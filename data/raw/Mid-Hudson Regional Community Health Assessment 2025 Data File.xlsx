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233.xml" ContentType="application/vnd.openxmlformats-officedocument.spreadsheetml.worksheet+xml"/>
  <Override PartName="/xl/worksheets/sheet234.xml" ContentType="application/vnd.openxmlformats-officedocument.spreadsheetml.worksheet+xml"/>
  <Override PartName="/xl/worksheets/sheet235.xml" ContentType="application/vnd.openxmlformats-officedocument.spreadsheetml.worksheet+xml"/>
  <Override PartName="/xl/worksheets/sheet236.xml" ContentType="application/vnd.openxmlformats-officedocument.spreadsheetml.worksheet+xml"/>
  <Override PartName="/xl/worksheets/sheet237.xml" ContentType="application/vnd.openxmlformats-officedocument.spreadsheetml.worksheet+xml"/>
  <Override PartName="/xl/worksheets/sheet238.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worksheets/sheet242.xml" ContentType="application/vnd.openxmlformats-officedocument.spreadsheetml.worksheet+xml"/>
  <Override PartName="/xl/worksheets/sheet243.xml" ContentType="application/vnd.openxmlformats-officedocument.spreadsheetml.worksheet+xml"/>
  <Override PartName="/xl/worksheets/sheet244.xml" ContentType="application/vnd.openxmlformats-officedocument.spreadsheetml.worksheet+xml"/>
  <Override PartName="/xl/worksheets/sheet245.xml" ContentType="application/vnd.openxmlformats-officedocument.spreadsheetml.worksheet+xml"/>
  <Override PartName="/xl/worksheets/sheet2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34560" windowHeight="21680" tabRatio="600" firstSheet="234" activeTab="245" autoFilterDateGrouping="1"/>
  </bookViews>
  <sheets>
    <sheet xmlns:r="http://schemas.openxmlformats.org/officeDocument/2006/relationships" name="Master" sheetId="1" state="visible" r:id="rId1"/>
    <sheet xmlns:r="http://schemas.openxmlformats.org/officeDocument/2006/relationships" name="Dropdowns" sheetId="2" state="visible" r:id="rId2"/>
    <sheet xmlns:r="http://schemas.openxmlformats.org/officeDocument/2006/relationships" name="_Demographics" sheetId="3" state="visible" r:id="rId3"/>
    <sheet xmlns:r="http://schemas.openxmlformats.org/officeDocument/2006/relationships" name="Population Demographic Characte" sheetId="4" state="visible" r:id="rId4"/>
    <sheet xmlns:r="http://schemas.openxmlformats.org/officeDocument/2006/relationships" name="Sex-Population" sheetId="5" state="visible" r:id="rId5"/>
    <sheet xmlns:r="http://schemas.openxmlformats.org/officeDocument/2006/relationships" name="Age-Population" sheetId="6" state="visible" r:id="rId6"/>
    <sheet xmlns:r="http://schemas.openxmlformats.org/officeDocument/2006/relationships" name="Ethnicity-Population" sheetId="7" state="visible" r:id="rId7"/>
    <sheet xmlns:r="http://schemas.openxmlformats.org/officeDocument/2006/relationships" name="Race-Population" sheetId="8" state="visible" r:id="rId8"/>
    <sheet xmlns:r="http://schemas.openxmlformats.org/officeDocument/2006/relationships" name="Spoken Lang-Population" sheetId="9" state="visible" r:id="rId9"/>
    <sheet xmlns:r="http://schemas.openxmlformats.org/officeDocument/2006/relationships" name="25 Years+-Population" sheetId="10" state="visible" r:id="rId10"/>
    <sheet xmlns:r="http://schemas.openxmlformats.org/officeDocument/2006/relationships" name="Educational Attainment-Pop" sheetId="11" state="visible" r:id="rId11"/>
    <sheet xmlns:r="http://schemas.openxmlformats.org/officeDocument/2006/relationships" name="Total Households" sheetId="12" state="visible" r:id="rId12"/>
    <sheet xmlns:r="http://schemas.openxmlformats.org/officeDocument/2006/relationships" name="Households by Income" sheetId="13" state="visible" r:id="rId13"/>
    <sheet xmlns:r="http://schemas.openxmlformats.org/officeDocument/2006/relationships" name="Veteran Status-Population" sheetId="14" state="visible" r:id="rId14"/>
    <sheet xmlns:r="http://schemas.openxmlformats.org/officeDocument/2006/relationships" name="Type of Disability-Population" sheetId="15" state="visible" r:id="rId15"/>
    <sheet xmlns:r="http://schemas.openxmlformats.org/officeDocument/2006/relationships" name="No Vehicle" sheetId="16" state="visible" r:id="rId16"/>
    <sheet xmlns:r="http://schemas.openxmlformats.org/officeDocument/2006/relationships" name="Mode To Work" sheetId="17" state="visible" r:id="rId17"/>
    <sheet xmlns:r="http://schemas.openxmlformats.org/officeDocument/2006/relationships" name="Mean Time Work" sheetId="18" state="visible" r:id="rId18"/>
    <sheet xmlns:r="http://schemas.openxmlformats.org/officeDocument/2006/relationships" name="DC Top Affect Health" sheetId="19" state="visible" r:id="rId19"/>
    <sheet xmlns:r="http://schemas.openxmlformats.org/officeDocument/2006/relationships" name="DC Top Barriers" sheetId="20" state="visible" r:id="rId20"/>
    <sheet xmlns:r="http://schemas.openxmlformats.org/officeDocument/2006/relationships" name="DC Impact Health" sheetId="21" state="visible" r:id="rId21"/>
    <sheet xmlns:r="http://schemas.openxmlformats.org/officeDocument/2006/relationships" name="DC Impact SDOH" sheetId="22" state="visible" r:id="rId22"/>
    <sheet xmlns:r="http://schemas.openxmlformats.org/officeDocument/2006/relationships" name="DC Impact Eco Wellbeing" sheetId="23" state="visible" r:id="rId23"/>
    <sheet xmlns:r="http://schemas.openxmlformats.org/officeDocument/2006/relationships" name="DC Impact MH &amp; SU" sheetId="24" state="visible" r:id="rId24"/>
    <sheet xmlns:r="http://schemas.openxmlformats.org/officeDocument/2006/relationships" name="DC ImpSct Hlth Ins &amp; Access " sheetId="25" state="visible" r:id="rId25"/>
    <sheet xmlns:r="http://schemas.openxmlformats.org/officeDocument/2006/relationships" name="OC Top Affect Health" sheetId="26" state="visible" r:id="rId26"/>
    <sheet xmlns:r="http://schemas.openxmlformats.org/officeDocument/2006/relationships" name="OC Top Barriers" sheetId="27" state="visible" r:id="rId27"/>
    <sheet xmlns:r="http://schemas.openxmlformats.org/officeDocument/2006/relationships" name="OC Impact Health" sheetId="28" state="visible" r:id="rId28"/>
    <sheet xmlns:r="http://schemas.openxmlformats.org/officeDocument/2006/relationships" name="OC Impact SDOH" sheetId="29" state="visible" r:id="rId29"/>
    <sheet xmlns:r="http://schemas.openxmlformats.org/officeDocument/2006/relationships" name="OC Impact Eco Wellbeing" sheetId="30" state="visible" r:id="rId30"/>
    <sheet xmlns:r="http://schemas.openxmlformats.org/officeDocument/2006/relationships" name="OC Impact MH &amp; SU" sheetId="31" state="visible" r:id="rId31"/>
    <sheet xmlns:r="http://schemas.openxmlformats.org/officeDocument/2006/relationships" name="OC Impact Hlth Ins &amp; Access" sheetId="32" state="visible" r:id="rId32"/>
    <sheet xmlns:r="http://schemas.openxmlformats.org/officeDocument/2006/relationships" name="PC Big Health Problem" sheetId="33" state="visible" r:id="rId33"/>
    <sheet xmlns:r="http://schemas.openxmlformats.org/officeDocument/2006/relationships" name="PC Help Improve Health" sheetId="34" state="visible" r:id="rId34"/>
    <sheet xmlns:r="http://schemas.openxmlformats.org/officeDocument/2006/relationships" name="PC Health Screen &amp; Education" sheetId="35" state="visible" r:id="rId35"/>
    <sheet xmlns:r="http://schemas.openxmlformats.org/officeDocument/2006/relationships" name="PC Can't Get Healthcare" sheetId="36" state="visible" r:id="rId36"/>
    <sheet xmlns:r="http://schemas.openxmlformats.org/officeDocument/2006/relationships" name="PC Trusted Source" sheetId="37" state="visible" r:id="rId37"/>
    <sheet xmlns:r="http://schemas.openxmlformats.org/officeDocument/2006/relationships" name="RC Top Affect Health" sheetId="38" state="visible" r:id="rId38"/>
    <sheet xmlns:r="http://schemas.openxmlformats.org/officeDocument/2006/relationships" name="RC Top Barriers" sheetId="39" state="visible" r:id="rId39"/>
    <sheet xmlns:r="http://schemas.openxmlformats.org/officeDocument/2006/relationships" name="RC Impact Health" sheetId="40" state="visible" r:id="rId40"/>
    <sheet xmlns:r="http://schemas.openxmlformats.org/officeDocument/2006/relationships" name="RC Impact SDOH" sheetId="41" state="visible" r:id="rId41"/>
    <sheet xmlns:r="http://schemas.openxmlformats.org/officeDocument/2006/relationships" name="RC Impact Eco Wellbeing" sheetId="42" state="visible" r:id="rId42"/>
    <sheet xmlns:r="http://schemas.openxmlformats.org/officeDocument/2006/relationships" name="RC Impact MH &amp; SU" sheetId="43" state="visible" r:id="rId43"/>
    <sheet xmlns:r="http://schemas.openxmlformats.org/officeDocument/2006/relationships" name="RC Impact Hlth Ins &amp; Access " sheetId="44" state="visible" r:id="rId44"/>
    <sheet xmlns:r="http://schemas.openxmlformats.org/officeDocument/2006/relationships" name="SC Top Affect Health" sheetId="45" state="visible" r:id="rId45"/>
    <sheet xmlns:r="http://schemas.openxmlformats.org/officeDocument/2006/relationships" name="SC Top Barriers" sheetId="46" state="visible" r:id="rId46"/>
    <sheet xmlns:r="http://schemas.openxmlformats.org/officeDocument/2006/relationships" name="SC Impact Health" sheetId="47" state="visible" r:id="rId47"/>
    <sheet xmlns:r="http://schemas.openxmlformats.org/officeDocument/2006/relationships" name="SC Impact SDOH" sheetId="48" state="visible" r:id="rId48"/>
    <sheet xmlns:r="http://schemas.openxmlformats.org/officeDocument/2006/relationships" name="SC Impact Eco Wellbeing" sheetId="49" state="visible" r:id="rId49"/>
    <sheet xmlns:r="http://schemas.openxmlformats.org/officeDocument/2006/relationships" name="SC Impact MH &amp; SU" sheetId="50" state="visible" r:id="rId50"/>
    <sheet xmlns:r="http://schemas.openxmlformats.org/officeDocument/2006/relationships" name="SC Impact Hlth Ins &amp; Access" sheetId="51" state="visible" r:id="rId51"/>
    <sheet xmlns:r="http://schemas.openxmlformats.org/officeDocument/2006/relationships" name="UC Top Affect Health" sheetId="52" state="visible" r:id="rId52"/>
    <sheet xmlns:r="http://schemas.openxmlformats.org/officeDocument/2006/relationships" name="UC Top Barriers" sheetId="53" state="visible" r:id="rId53"/>
    <sheet xmlns:r="http://schemas.openxmlformats.org/officeDocument/2006/relationships" name="UC Impact Health" sheetId="54" state="visible" r:id="rId54"/>
    <sheet xmlns:r="http://schemas.openxmlformats.org/officeDocument/2006/relationships" name="UC Impact SDOH" sheetId="55" state="visible" r:id="rId55"/>
    <sheet xmlns:r="http://schemas.openxmlformats.org/officeDocument/2006/relationships" name="UC Impact Eco Wellbeing" sheetId="56" state="visible" r:id="rId56"/>
    <sheet xmlns:r="http://schemas.openxmlformats.org/officeDocument/2006/relationships" name="UC Impact MH &amp; SU" sheetId="57" state="visible" r:id="rId57"/>
    <sheet xmlns:r="http://schemas.openxmlformats.org/officeDocument/2006/relationships" name="UC Impact Hlth Ins &amp; Access" sheetId="58" state="visible" r:id="rId58"/>
    <sheet xmlns:r="http://schemas.openxmlformats.org/officeDocument/2006/relationships" name="WC Top Affect Health" sheetId="59" state="visible" r:id="rId59"/>
    <sheet xmlns:r="http://schemas.openxmlformats.org/officeDocument/2006/relationships" name="WC Top Barriers" sheetId="60" state="visible" r:id="rId60"/>
    <sheet xmlns:r="http://schemas.openxmlformats.org/officeDocument/2006/relationships" name="WC Impact Health" sheetId="61" state="visible" r:id="rId61"/>
    <sheet xmlns:r="http://schemas.openxmlformats.org/officeDocument/2006/relationships" name="WC Impact SDOH" sheetId="62" state="visible" r:id="rId62"/>
    <sheet xmlns:r="http://schemas.openxmlformats.org/officeDocument/2006/relationships" name="WC Impact Eco Wellbeing" sheetId="63" state="visible" r:id="rId63"/>
    <sheet xmlns:r="http://schemas.openxmlformats.org/officeDocument/2006/relationships" name="WC Impact MH &amp; SU" sheetId="64" state="visible" r:id="rId64"/>
    <sheet xmlns:r="http://schemas.openxmlformats.org/officeDocument/2006/relationships" name="WC Impact Hlth Ins &amp; Access" sheetId="65" state="visible" r:id="rId65"/>
    <sheet xmlns:r="http://schemas.openxmlformats.org/officeDocument/2006/relationships" name="HEALTH BEHAVIORS INDICATORS" sheetId="66" state="visible" r:id="rId66"/>
    <sheet xmlns:r="http://schemas.openxmlformats.org/officeDocument/2006/relationships" name="Leisure Time Physical Act Adult" sheetId="67" state="visible" r:id="rId67"/>
    <sheet xmlns:r="http://schemas.openxmlformats.org/officeDocument/2006/relationships" name="Consuming Less Fruit-Veg" sheetId="68" state="visible" r:id="rId68"/>
    <sheet xmlns:r="http://schemas.openxmlformats.org/officeDocument/2006/relationships" name="Consume Sugary Bev" sheetId="69" state="visible" r:id="rId69"/>
    <sheet xmlns:r="http://schemas.openxmlformats.org/officeDocument/2006/relationships" name="Health Indicators" sheetId="70" state="visible" r:id="rId70"/>
    <sheet xmlns:r="http://schemas.openxmlformats.org/officeDocument/2006/relationships" name="Top 5 Leading Cause Death" sheetId="71" state="visible" r:id="rId71"/>
    <sheet xmlns:r="http://schemas.openxmlformats.org/officeDocument/2006/relationships" name="Premature Deaths" sheetId="72" state="visible" r:id="rId72"/>
    <sheet xmlns:r="http://schemas.openxmlformats.org/officeDocument/2006/relationships" name="Premature Deaths BH-WH" sheetId="73" state="visible" r:id="rId73"/>
    <sheet xmlns:r="http://schemas.openxmlformats.org/officeDocument/2006/relationships" name="Premature Deaths His-WNH" sheetId="74" state="visible" r:id="rId74"/>
    <sheet xmlns:r="http://schemas.openxmlformats.org/officeDocument/2006/relationships" name="CLRD Hosp AAR" sheetId="75" state="visible" r:id="rId75"/>
    <sheet xmlns:r="http://schemas.openxmlformats.org/officeDocument/2006/relationships" name="CLRD Hosp AAR-RE" sheetId="76" state="visible" r:id="rId76"/>
    <sheet xmlns:r="http://schemas.openxmlformats.org/officeDocument/2006/relationships" name="Adults Asthma" sheetId="77" state="visible" r:id="rId77"/>
    <sheet xmlns:r="http://schemas.openxmlformats.org/officeDocument/2006/relationships" name="Asthma Hosp" sheetId="78" state="visible" r:id="rId78"/>
    <sheet xmlns:r="http://schemas.openxmlformats.org/officeDocument/2006/relationships" name="Asthma Hosp RE" sheetId="79" state="visible" r:id="rId79"/>
    <sheet xmlns:r="http://schemas.openxmlformats.org/officeDocument/2006/relationships" name="Asthma ED 0-17" sheetId="80" state="visible" r:id="rId80"/>
    <sheet xmlns:r="http://schemas.openxmlformats.org/officeDocument/2006/relationships" name="CVD Adults" sheetId="81" state="visible" r:id="rId81"/>
    <sheet xmlns:r="http://schemas.openxmlformats.org/officeDocument/2006/relationships" name="CVD Hosp AAR" sheetId="82" state="visible" r:id="rId82"/>
    <sheet xmlns:r="http://schemas.openxmlformats.org/officeDocument/2006/relationships" name="CVD Mort AAR" sheetId="83" state="visible" r:id="rId83"/>
    <sheet xmlns:r="http://schemas.openxmlformats.org/officeDocument/2006/relationships" name="Asthma Gastro OM Pneumonia" sheetId="84" state="visible" r:id="rId84"/>
    <sheet xmlns:r="http://schemas.openxmlformats.org/officeDocument/2006/relationships" name="Unintent Injury Mortality" sheetId="85" state="visible" r:id="rId85"/>
    <sheet xmlns:r="http://schemas.openxmlformats.org/officeDocument/2006/relationships" name="Poison Control Calls" sheetId="86" state="visible" r:id="rId86"/>
    <sheet xmlns:r="http://schemas.openxmlformats.org/officeDocument/2006/relationships" name="Poison Control Calls Child" sheetId="87" state="visible" r:id="rId87"/>
    <sheet xmlns:r="http://schemas.openxmlformats.org/officeDocument/2006/relationships" name="Poison Control Calls Cannabis" sheetId="88" state="visible" r:id="rId88"/>
    <sheet xmlns:r="http://schemas.openxmlformats.org/officeDocument/2006/relationships" name="MV Injury Mortality" sheetId="89" state="visible" r:id="rId89"/>
    <sheet xmlns:r="http://schemas.openxmlformats.org/officeDocument/2006/relationships" name="Alcohol MV Injury Mortality" sheetId="90" state="visible" r:id="rId90"/>
    <sheet xmlns:r="http://schemas.openxmlformats.org/officeDocument/2006/relationships" name="MV Injury Mortaltiy RE" sheetId="91" state="visible" r:id="rId91"/>
    <sheet xmlns:r="http://schemas.openxmlformats.org/officeDocument/2006/relationships" name="Falls Hospitalization" sheetId="92" state="visible" r:id="rId92"/>
    <sheet xmlns:r="http://schemas.openxmlformats.org/officeDocument/2006/relationships" name="Falls Hospitalization 85+" sheetId="93" state="visible" r:id="rId93"/>
    <sheet xmlns:r="http://schemas.openxmlformats.org/officeDocument/2006/relationships" name="Falls Hospitalization 65+ RE" sheetId="94" state="visible" r:id="rId94"/>
    <sheet xmlns:r="http://schemas.openxmlformats.org/officeDocument/2006/relationships" name="Homicide Mortality" sheetId="95" state="visible" r:id="rId95"/>
    <sheet xmlns:r="http://schemas.openxmlformats.org/officeDocument/2006/relationships" name="Assault Hospitalization" sheetId="96" state="visible" r:id="rId96"/>
    <sheet xmlns:r="http://schemas.openxmlformats.org/officeDocument/2006/relationships" name="Domestic Violence Victims" sheetId="97" state="visible" r:id="rId97"/>
    <sheet xmlns:r="http://schemas.openxmlformats.org/officeDocument/2006/relationships" name="_SOCIAL and PHYS DETERMINANT" sheetId="98" state="visible" r:id="rId98"/>
    <sheet xmlns:r="http://schemas.openxmlformats.org/officeDocument/2006/relationships" name="_Template (2)" sheetId="99" state="visible" r:id="rId99"/>
    <sheet xmlns:r="http://schemas.openxmlformats.org/officeDocument/2006/relationships" name="Labor-Force" sheetId="100" state="visible" r:id="rId100"/>
    <sheet xmlns:r="http://schemas.openxmlformats.org/officeDocument/2006/relationships" name="Population Unemployed" sheetId="101" state="visible" r:id="rId101"/>
    <sheet xmlns:r="http://schemas.openxmlformats.org/officeDocument/2006/relationships" name="Food-Insecurity" sheetId="102" state="visible" r:id="rId102"/>
    <sheet xmlns:r="http://schemas.openxmlformats.org/officeDocument/2006/relationships" name="Child-Food-Insecurity" sheetId="103" state="visible" r:id="rId103"/>
    <sheet xmlns:r="http://schemas.openxmlformats.org/officeDocument/2006/relationships" name="Cost-Burdened-Renters" sheetId="104" state="visible" r:id="rId104"/>
    <sheet xmlns:r="http://schemas.openxmlformats.org/officeDocument/2006/relationships" name="Severely-Cost-Burdened" sheetId="105" state="visible" r:id="rId105"/>
    <sheet xmlns:r="http://schemas.openxmlformats.org/officeDocument/2006/relationships" name="HUD-Housing" sheetId="106" state="visible" r:id="rId106"/>
    <sheet xmlns:r="http://schemas.openxmlformats.org/officeDocument/2006/relationships" name="Poverty-Threshold" sheetId="107" state="visible" r:id="rId107"/>
    <sheet xmlns:r="http://schemas.openxmlformats.org/officeDocument/2006/relationships" name="Poverty-Rate" sheetId="108" state="visible" r:id="rId108"/>
    <sheet xmlns:r="http://schemas.openxmlformats.org/officeDocument/2006/relationships" name="Poverty-By-Race" sheetId="109" state="visible" r:id="rId109"/>
    <sheet xmlns:r="http://schemas.openxmlformats.org/officeDocument/2006/relationships" name="Economically-Disadvantaged" sheetId="110" state="visible" r:id="rId110"/>
    <sheet xmlns:r="http://schemas.openxmlformats.org/officeDocument/2006/relationships" name="ALICE-Budget" sheetId="111" state="visible" r:id="rId111"/>
    <sheet xmlns:r="http://schemas.openxmlformats.org/officeDocument/2006/relationships" name="ALICE-Threshold" sheetId="112" state="visible" r:id="rId112"/>
    <sheet xmlns:r="http://schemas.openxmlformats.org/officeDocument/2006/relationships" name="Graduation-Rate" sheetId="113" state="visible" r:id="rId113"/>
    <sheet xmlns:r="http://schemas.openxmlformats.org/officeDocument/2006/relationships" name="Graduation-By-Race" sheetId="114" state="visible" r:id="rId114"/>
    <sheet xmlns:r="http://schemas.openxmlformats.org/officeDocument/2006/relationships" name="Educational-Attainment" sheetId="115" state="visible" r:id="rId115"/>
    <sheet xmlns:r="http://schemas.openxmlformats.org/officeDocument/2006/relationships" name="Language-Proficiency" sheetId="116" state="visible" r:id="rId116"/>
    <sheet xmlns:r="http://schemas.openxmlformats.org/officeDocument/2006/relationships" name="Disconnected-Youth" sheetId="117" state="visible" r:id="rId117"/>
    <sheet xmlns:r="http://schemas.openxmlformats.org/officeDocument/2006/relationships" name="Resdential Segregation" sheetId="118" state="visible" r:id="rId118"/>
    <sheet xmlns:r="http://schemas.openxmlformats.org/officeDocument/2006/relationships" name="Adults No Rec Medical Due To Co" sheetId="119" state="visible" r:id="rId119"/>
    <sheet xmlns:r="http://schemas.openxmlformats.org/officeDocument/2006/relationships" name="Children-Uninsured" sheetId="120" state="visible" r:id="rId120"/>
    <sheet xmlns:r="http://schemas.openxmlformats.org/officeDocument/2006/relationships" name="Adults-Health Insurance" sheetId="121" state="visible" r:id="rId121"/>
    <sheet xmlns:r="http://schemas.openxmlformats.org/officeDocument/2006/relationships" name="Medically Underserved Area" sheetId="122" state="visible" r:id="rId122"/>
    <sheet xmlns:r="http://schemas.openxmlformats.org/officeDocument/2006/relationships" name="Residents to Primary Care" sheetId="123" state="visible" r:id="rId123"/>
    <sheet xmlns:r="http://schemas.openxmlformats.org/officeDocument/2006/relationships" name="Residents to Dentist" sheetId="124" state="visible" r:id="rId124"/>
    <sheet xmlns:r="http://schemas.openxmlformats.org/officeDocument/2006/relationships" name="Residents to MH Providers" sheetId="125" state="visible" r:id="rId125"/>
    <sheet xmlns:r="http://schemas.openxmlformats.org/officeDocument/2006/relationships" name="Adults with PCP" sheetId="126" state="visible" r:id="rId126"/>
    <sheet xmlns:r="http://schemas.openxmlformats.org/officeDocument/2006/relationships" name="Potentially Preventable Hospita" sheetId="127" state="visible" r:id="rId127"/>
    <sheet xmlns:r="http://schemas.openxmlformats.org/officeDocument/2006/relationships" name="Pre Hosp BNH and WNH" sheetId="128" state="visible" r:id="rId128"/>
    <sheet xmlns:r="http://schemas.openxmlformats.org/officeDocument/2006/relationships" name="Pre Hosp H and WNH" sheetId="129" state="visible" r:id="rId129"/>
    <sheet xmlns:r="http://schemas.openxmlformats.org/officeDocument/2006/relationships" name="Index Food Env" sheetId="130" state="visible" r:id="rId130"/>
    <sheet xmlns:r="http://schemas.openxmlformats.org/officeDocument/2006/relationships" name="Limited Access Food" sheetId="131" state="visible" r:id="rId131"/>
    <sheet xmlns:r="http://schemas.openxmlformats.org/officeDocument/2006/relationships" name="Violent Crimes" sheetId="132" state="visible" r:id="rId132"/>
    <sheet xmlns:r="http://schemas.openxmlformats.org/officeDocument/2006/relationships" name="Density Matter" sheetId="133" state="visible" r:id="rId133"/>
    <sheet xmlns:r="http://schemas.openxmlformats.org/officeDocument/2006/relationships" name="Lead Before 36 Mon" sheetId="134" state="visible" r:id="rId134"/>
    <sheet xmlns:r="http://schemas.openxmlformats.org/officeDocument/2006/relationships" name="Servere Housing" sheetId="135" state="visible" r:id="rId135"/>
    <sheet xmlns:r="http://schemas.openxmlformats.org/officeDocument/2006/relationships" name="No Vehicles" sheetId="136" state="visible" r:id="rId136"/>
    <sheet xmlns:r="http://schemas.openxmlformats.org/officeDocument/2006/relationships" name="Workers Mode Trans" sheetId="137" state="visible" r:id="rId137"/>
    <sheet xmlns:r="http://schemas.openxmlformats.org/officeDocument/2006/relationships" name="Travel Time Work" sheetId="138" state="visible" r:id="rId138"/>
    <sheet xmlns:r="http://schemas.openxmlformats.org/officeDocument/2006/relationships" name="_COUNTY HEALTH SUMMARIES" sheetId="139" state="visible" r:id="rId139"/>
    <sheet xmlns:r="http://schemas.openxmlformats.org/officeDocument/2006/relationships" name="DC Resident Priority Area" sheetId="140" state="visible" r:id="rId140"/>
    <sheet xmlns:r="http://schemas.openxmlformats.org/officeDocument/2006/relationships" name="RC CHA Demo" sheetId="141" state="visible" r:id="rId141"/>
    <sheet xmlns:r="http://schemas.openxmlformats.org/officeDocument/2006/relationships" name="Respondents by Zip" sheetId="142" state="visible" r:id="rId142"/>
    <sheet xmlns:r="http://schemas.openxmlformats.org/officeDocument/2006/relationships" name="QOL Rockland County" sheetId="143" state="visible" r:id="rId143"/>
    <sheet xmlns:r="http://schemas.openxmlformats.org/officeDocument/2006/relationships" name="Top 3 Postiv" sheetId="144" state="visible" r:id="rId144"/>
    <sheet xmlns:r="http://schemas.openxmlformats.org/officeDocument/2006/relationships" name="Top Areas Need Improvement" sheetId="145" state="visible" r:id="rId145"/>
    <sheet xmlns:r="http://schemas.openxmlformats.org/officeDocument/2006/relationships" name="Economic Prior Need Improvment" sheetId="146" state="visible" r:id="rId146"/>
    <sheet xmlns:r="http://schemas.openxmlformats.org/officeDocument/2006/relationships" name="Safe and Health Comm Need Impro" sheetId="147" state="visible" r:id="rId147"/>
    <sheet xmlns:r="http://schemas.openxmlformats.org/officeDocument/2006/relationships" name="Education Prior Improv" sheetId="148" state="visible" r:id="rId148"/>
    <sheet xmlns:r="http://schemas.openxmlformats.org/officeDocument/2006/relationships" name="Cornary Heart RE" sheetId="149" state="visible" r:id="rId149"/>
    <sheet xmlns:r="http://schemas.openxmlformats.org/officeDocument/2006/relationships" name="Heart Attack Mortality" sheetId="150" state="visible" r:id="rId150"/>
    <sheet xmlns:r="http://schemas.openxmlformats.org/officeDocument/2006/relationships" name="Cong Heart Fail AAR" sheetId="151" state="visible" r:id="rId151"/>
    <sheet xmlns:r="http://schemas.openxmlformats.org/officeDocument/2006/relationships" name="Poor MH 14+" sheetId="152" state="visible" r:id="rId152"/>
    <sheet xmlns:r="http://schemas.openxmlformats.org/officeDocument/2006/relationships" name="Adults Report DD" sheetId="153" state="visible" r:id="rId153"/>
    <sheet xmlns:r="http://schemas.openxmlformats.org/officeDocument/2006/relationships" name="Incidence from Smoking" sheetId="154" state="visible" r:id="rId154"/>
    <sheet xmlns:r="http://schemas.openxmlformats.org/officeDocument/2006/relationships" name="Current Smokers" sheetId="155" state="visible" r:id="rId155"/>
    <sheet xmlns:r="http://schemas.openxmlformats.org/officeDocument/2006/relationships" name="Binge Drinking Past Month" sheetId="156" state="visible" r:id="rId156"/>
    <sheet xmlns:r="http://schemas.openxmlformats.org/officeDocument/2006/relationships" name="ED Visits Opioid OD" sheetId="157" state="visible" r:id="rId157"/>
    <sheet xmlns:r="http://schemas.openxmlformats.org/officeDocument/2006/relationships" name="Hosp Discharge Opioid OD" sheetId="158" state="visible" r:id="rId158"/>
    <sheet xmlns:r="http://schemas.openxmlformats.org/officeDocument/2006/relationships" name="Treatment Programs Prim Substan" sheetId="159" state="visible" r:id="rId159"/>
    <sheet xmlns:r="http://schemas.openxmlformats.org/officeDocument/2006/relationships" name="Overdose Deaths Any Drug" sheetId="160" state="visible" r:id="rId160"/>
    <sheet xmlns:r="http://schemas.openxmlformats.org/officeDocument/2006/relationships" name="Overdose Deaths Involving Opioi" sheetId="161" state="visible" r:id="rId161"/>
    <sheet xmlns:r="http://schemas.openxmlformats.org/officeDocument/2006/relationships" name="Overdose Deaths Any Opioid" sheetId="162" state="visible" r:id="rId162"/>
    <sheet xmlns:r="http://schemas.openxmlformats.org/officeDocument/2006/relationships" name="OD Deaths Herion CR" sheetId="163" state="visible" r:id="rId163"/>
    <sheet xmlns:r="http://schemas.openxmlformats.org/officeDocument/2006/relationships" name="OD Deaths Opioid PR CR" sheetId="164" state="visible" r:id="rId164"/>
    <sheet xmlns:r="http://schemas.openxmlformats.org/officeDocument/2006/relationships" name="Opioid Analgesics" sheetId="165" state="visible" r:id="rId165"/>
    <sheet xmlns:r="http://schemas.openxmlformats.org/officeDocument/2006/relationships" name="Buprenorphine Prescription" sheetId="166" state="visible" r:id="rId166"/>
    <sheet xmlns:r="http://schemas.openxmlformats.org/officeDocument/2006/relationships" name="Suicide Mortality 15-19" sheetId="167" state="visible" r:id="rId167"/>
    <sheet xmlns:r="http://schemas.openxmlformats.org/officeDocument/2006/relationships" name="Suicide Mortality AAR" sheetId="168" state="visible" r:id="rId168"/>
    <sheet xmlns:r="http://schemas.openxmlformats.org/officeDocument/2006/relationships" name="As-Gas-otis-Pne-Hosp" sheetId="169" state="visible" r:id="rId169"/>
    <sheet xmlns:r="http://schemas.openxmlformats.org/officeDocument/2006/relationships" name="OD Deaths Opioid CR" sheetId="170" state="visible" r:id="rId170"/>
    <sheet xmlns:r="http://schemas.openxmlformats.org/officeDocument/2006/relationships" name="Poison Center Calls" sheetId="171" state="visible" r:id="rId171"/>
    <sheet xmlns:r="http://schemas.openxmlformats.org/officeDocument/2006/relationships" name="Unintentional Injury Mort AAR" sheetId="172" state="visible" r:id="rId172"/>
    <sheet xmlns:r="http://schemas.openxmlformats.org/officeDocument/2006/relationships" name="% Pos CC 5Yo" sheetId="173" state="visible" r:id="rId173"/>
    <sheet xmlns:r="http://schemas.openxmlformats.org/officeDocument/2006/relationships" name="% Pos CC 5Yo (2)" sheetId="174" state="visible" r:id="rId174"/>
    <sheet xmlns:r="http://schemas.openxmlformats.org/officeDocument/2006/relationships" name="CRLD Mort AAR" sheetId="175" state="visible" r:id="rId175"/>
    <sheet xmlns:r="http://schemas.openxmlformats.org/officeDocument/2006/relationships" name="CRLD Mort AAR RE 100" sheetId="176" state="visible" r:id="rId176"/>
    <sheet xmlns:r="http://schemas.openxmlformats.org/officeDocument/2006/relationships" name="Cardiovas Hosp" sheetId="177" state="visible" r:id="rId177"/>
    <sheet xmlns:r="http://schemas.openxmlformats.org/officeDocument/2006/relationships" name="High BP" sheetId="178" state="visible" r:id="rId178"/>
    <sheet xmlns:r="http://schemas.openxmlformats.org/officeDocument/2006/relationships" name="Cerebrovas Hosp AAR" sheetId="179" state="visible" r:id="rId179"/>
    <sheet xmlns:r="http://schemas.openxmlformats.org/officeDocument/2006/relationships" name="Cerebrovas Hosp AAR RE" sheetId="180" state="visible" r:id="rId180"/>
    <sheet xmlns:r="http://schemas.openxmlformats.org/officeDocument/2006/relationships" name="Cerebrovas Hosp Mort AAR" sheetId="181" state="visible" r:id="rId181"/>
    <sheet xmlns:r="http://schemas.openxmlformats.org/officeDocument/2006/relationships" name="Cerebrovas Hosp Mort AAR RE" sheetId="182" state="visible" r:id="rId182"/>
    <sheet xmlns:r="http://schemas.openxmlformats.org/officeDocument/2006/relationships" name="Speaks English" sheetId="183" state="visible" r:id="rId183"/>
    <sheet xmlns:r="http://schemas.openxmlformats.org/officeDocument/2006/relationships" name="HeartAttack Hosp" sheetId="184" state="visible" r:id="rId184"/>
    <sheet xmlns:r="http://schemas.openxmlformats.org/officeDocument/2006/relationships" name="Diabete Hosp RE" sheetId="185" state="visible" r:id="rId185"/>
    <sheet xmlns:r="http://schemas.openxmlformats.org/officeDocument/2006/relationships" name="Pre-diabetes" sheetId="186" state="visible" r:id="rId186"/>
    <sheet xmlns:r="http://schemas.openxmlformats.org/officeDocument/2006/relationships" name="Diabetes Hosp AAR" sheetId="187" state="visible" r:id="rId187"/>
    <sheet xmlns:r="http://schemas.openxmlformats.org/officeDocument/2006/relationships" name="HBS or Diabetes" sheetId="188" state="visible" r:id="rId188"/>
    <sheet xmlns:r="http://schemas.openxmlformats.org/officeDocument/2006/relationships" name="Diabetes Mort AAR" sheetId="189" state="visible" r:id="rId189"/>
    <sheet xmlns:r="http://schemas.openxmlformats.org/officeDocument/2006/relationships" name="Diabetes Mort AAR RE" sheetId="190" state="visible" r:id="rId190"/>
    <sheet xmlns:r="http://schemas.openxmlformats.org/officeDocument/2006/relationships" name="Adults Obese-Overweight" sheetId="191" state="visible" r:id="rId191"/>
    <sheet xmlns:r="http://schemas.openxmlformats.org/officeDocument/2006/relationships" name="Adults Obese" sheetId="192" state="visible" r:id="rId192"/>
    <sheet xmlns:r="http://schemas.openxmlformats.org/officeDocument/2006/relationships" name="School Children-Overw-Obese" sheetId="193" state="visible" r:id="rId193"/>
    <sheet xmlns:r="http://schemas.openxmlformats.org/officeDocument/2006/relationships" name="Cirrhosis Hosp AAR" sheetId="194" state="visible" r:id="rId194"/>
    <sheet xmlns:r="http://schemas.openxmlformats.org/officeDocument/2006/relationships" name="Cirrhosis Mortal AAR" sheetId="195" state="visible" r:id="rId195"/>
    <sheet xmlns:r="http://schemas.openxmlformats.org/officeDocument/2006/relationships" name="All Cancer Inc and Mort AAR" sheetId="196" state="visible" r:id="rId196"/>
    <sheet xmlns:r="http://schemas.openxmlformats.org/officeDocument/2006/relationships" name="All Cancer Inc and Mort AAR Sex" sheetId="197" state="visible" r:id="rId197"/>
    <sheet xmlns:r="http://schemas.openxmlformats.org/officeDocument/2006/relationships" name="Colon Rectum Ind Mort" sheetId="198" state="visible" r:id="rId198"/>
    <sheet xmlns:r="http://schemas.openxmlformats.org/officeDocument/2006/relationships" name="Colon Rectum Ind Mort Sex" sheetId="199" state="visible" r:id="rId199"/>
    <sheet xmlns:r="http://schemas.openxmlformats.org/officeDocument/2006/relationships" name="Colon Rectum Ind Mort RE" sheetId="200" state="visible" r:id="rId200"/>
    <sheet xmlns:r="http://schemas.openxmlformats.org/officeDocument/2006/relationships" name="Colon Rectum 50-64" sheetId="201" state="visible" r:id="rId201"/>
    <sheet xmlns:r="http://schemas.openxmlformats.org/officeDocument/2006/relationships" name="Lung Bronch Ind Mort AAR" sheetId="202" state="visible" r:id="rId202"/>
    <sheet xmlns:r="http://schemas.openxmlformats.org/officeDocument/2006/relationships" name="Lung Bronch Ind Mort AAR Sex" sheetId="203" state="visible" r:id="rId203"/>
    <sheet xmlns:r="http://schemas.openxmlformats.org/officeDocument/2006/relationships" name="Lung Incidence RE" sheetId="204" state="visible" r:id="rId204"/>
    <sheet xmlns:r="http://schemas.openxmlformats.org/officeDocument/2006/relationships" name="Prostate Cancer AAR Male" sheetId="205" state="visible" r:id="rId205"/>
    <sheet xmlns:r="http://schemas.openxmlformats.org/officeDocument/2006/relationships" name="Breast Cancer AAR" sheetId="206" state="visible" r:id="rId206"/>
    <sheet xmlns:r="http://schemas.openxmlformats.org/officeDocument/2006/relationships" name="Women 50-74 Breast Cancer Scree" sheetId="207" state="visible" r:id="rId207"/>
    <sheet xmlns:r="http://schemas.openxmlformats.org/officeDocument/2006/relationships" name="Cervix Uteri Cancer AAR" sheetId="208" state="visible" r:id="rId208"/>
    <sheet xmlns:r="http://schemas.openxmlformats.org/officeDocument/2006/relationships" name="Women 21-65 Cancer Screening" sheetId="209" state="visible" r:id="rId209"/>
    <sheet xmlns:r="http://schemas.openxmlformats.org/officeDocument/2006/relationships" name="Children 24-35 Months" sheetId="210" state="visible" r:id="rId210"/>
    <sheet xmlns:r="http://schemas.openxmlformats.org/officeDocument/2006/relationships" name="COVID-19 Mort" sheetId="211" state="visible" r:id="rId211"/>
    <sheet xmlns:r="http://schemas.openxmlformats.org/officeDocument/2006/relationships" name="13 HPV" sheetId="212" state="visible" r:id="rId212"/>
    <sheet xmlns:r="http://schemas.openxmlformats.org/officeDocument/2006/relationships" name="Flu Immunization 16-21" sheetId="213" state="visible" r:id="rId213"/>
    <sheet xmlns:r="http://schemas.openxmlformats.org/officeDocument/2006/relationships" name="Flu Immunization 65 16-21" sheetId="214" state="visible" r:id="rId214"/>
    <sheet xmlns:r="http://schemas.openxmlformats.org/officeDocument/2006/relationships" name="Pneumo 65 16-21" sheetId="215" state="visible" r:id="rId215"/>
    <sheet xmlns:r="http://schemas.openxmlformats.org/officeDocument/2006/relationships" name="HIV AAR 14-21" sheetId="216" state="visible" r:id="rId216"/>
    <sheet xmlns:r="http://schemas.openxmlformats.org/officeDocument/2006/relationships" name="Gonorrhea AAR 17-23" sheetId="217" state="visible" r:id="rId217"/>
    <sheet xmlns:r="http://schemas.openxmlformats.org/officeDocument/2006/relationships" name="Chlamydia AAR" sheetId="218" state="visible" r:id="rId218"/>
    <sheet xmlns:r="http://schemas.openxmlformats.org/officeDocument/2006/relationships" name="Syphilis AAR" sheetId="219" state="visible" r:id="rId219"/>
    <sheet xmlns:r="http://schemas.openxmlformats.org/officeDocument/2006/relationships" name="Lyme Disease" sheetId="220" state="visible" r:id="rId220"/>
    <sheet xmlns:r="http://schemas.openxmlformats.org/officeDocument/2006/relationships" name="Anaplasmosis" sheetId="221" state="visible" r:id="rId221"/>
    <sheet xmlns:r="http://schemas.openxmlformats.org/officeDocument/2006/relationships" name="Babesiosis" sheetId="222" state="visible" r:id="rId222"/>
    <sheet xmlns:r="http://schemas.openxmlformats.org/officeDocument/2006/relationships" name="Rabies" sheetId="223" state="visible" r:id="rId223"/>
    <sheet xmlns:r="http://schemas.openxmlformats.org/officeDocument/2006/relationships" name="Rabies Wild" sheetId="224" state="visible" r:id="rId224"/>
    <sheet xmlns:r="http://schemas.openxmlformats.org/officeDocument/2006/relationships" name="Rabies PEP" sheetId="225" state="visible" r:id="rId225"/>
    <sheet xmlns:r="http://schemas.openxmlformats.org/officeDocument/2006/relationships" name="Early Prenatal Care" sheetId="226" state="visible" r:id="rId226"/>
    <sheet xmlns:r="http://schemas.openxmlformats.org/officeDocument/2006/relationships" name="Early Prenatal Care Late No" sheetId="227" state="visible" r:id="rId227"/>
    <sheet xmlns:r="http://schemas.openxmlformats.org/officeDocument/2006/relationships" name="Births RE" sheetId="228" state="visible" r:id="rId228"/>
    <sheet xmlns:r="http://schemas.openxmlformats.org/officeDocument/2006/relationships" name="Preg 15-44" sheetId="229" state="visible" r:id="rId229"/>
    <sheet xmlns:r="http://schemas.openxmlformats.org/officeDocument/2006/relationships" name="Preg 15-44 RE" sheetId="230" state="visible" r:id="rId230"/>
    <sheet xmlns:r="http://schemas.openxmlformats.org/officeDocument/2006/relationships" name="Teen Preg 17 RE" sheetId="231" state="visible" r:id="rId231"/>
    <sheet xmlns:r="http://schemas.openxmlformats.org/officeDocument/2006/relationships" name="Live Birth Financ" sheetId="232" state="visible" r:id="rId232"/>
    <sheet xmlns:r="http://schemas.openxmlformats.org/officeDocument/2006/relationships" name="Preterm Births" sheetId="233" state="visible" r:id="rId233"/>
    <sheet xmlns:r="http://schemas.openxmlformats.org/officeDocument/2006/relationships" name="Low Birthweight Infants" sheetId="234" state="visible" r:id="rId234"/>
    <sheet xmlns:r="http://schemas.openxmlformats.org/officeDocument/2006/relationships" name="Low Birthweight Inf RE" sheetId="235" state="visible" r:id="rId235"/>
    <sheet xmlns:r="http://schemas.openxmlformats.org/officeDocument/2006/relationships" name="Infant Mort Live" sheetId="236" state="visible" r:id="rId236"/>
    <sheet xmlns:r="http://schemas.openxmlformats.org/officeDocument/2006/relationships" name="Breastfed Infants" sheetId="237" state="visible" r:id="rId237"/>
    <sheet xmlns:r="http://schemas.openxmlformats.org/officeDocument/2006/relationships" name="Medicaid Enrolles 1 Dental" sheetId="238" state="visible" r:id="rId238"/>
    <sheet xmlns:r="http://schemas.openxmlformats.org/officeDocument/2006/relationships" name="All Medicaid Dental" sheetId="239" state="visible" r:id="rId239"/>
    <sheet xmlns:r="http://schemas.openxmlformats.org/officeDocument/2006/relationships" name="Cirrhosiis-Mortal" sheetId="240" state="visible" r:id="rId240"/>
    <sheet xmlns:r="http://schemas.openxmlformats.org/officeDocument/2006/relationships" name="Coronary HD AAR" sheetId="241" state="visible" r:id="rId241"/>
    <sheet xmlns:r="http://schemas.openxmlformats.org/officeDocument/2006/relationships" name="Coronary HD AAR RE" sheetId="242" state="visible" r:id="rId242"/>
    <sheet xmlns:r="http://schemas.openxmlformats.org/officeDocument/2006/relationships" name="50-70 BS" sheetId="243" state="visible" r:id="rId243"/>
    <sheet xmlns:r="http://schemas.openxmlformats.org/officeDocument/2006/relationships" name="CervCa Screen" sheetId="244" state="visible" r:id="rId244"/>
    <sheet xmlns:r="http://schemas.openxmlformats.org/officeDocument/2006/relationships" name="HPV 13" sheetId="245" state="visible" r:id="rId245"/>
    <sheet xmlns:r="http://schemas.openxmlformats.org/officeDocument/2006/relationships" name="HPV 13 (2)" sheetId="246" state="visible" r:id="rId246"/>
  </sheets>
  <definedNames/>
  <calcPr calcId="191028" fullCalcOnLoad="1"/>
</workbook>
</file>

<file path=xl/styles.xml><?xml version="1.0" encoding="utf-8"?>
<styleSheet xmlns="http://schemas.openxmlformats.org/spreadsheetml/2006/main">
  <numFmts count="5">
    <numFmt numFmtId="164" formatCode="0.0"/>
    <numFmt numFmtId="165" formatCode="&quot;$&quot;#,##0.00"/>
    <numFmt numFmtId="166" formatCode="m/d/yyyy;@"/>
    <numFmt numFmtId="167" formatCode="00000"/>
    <numFmt numFmtId="168" formatCode="0.0%"/>
  </numFmts>
  <fonts count="39">
    <font>
      <name val="Calibri"/>
      <family val="2"/>
      <color theme="1"/>
      <sz val="11"/>
      <scheme val="minor"/>
    </font>
    <font>
      <name val="Calibri"/>
      <family val="2"/>
      <b val="1"/>
      <sz val="11"/>
    </font>
    <font>
      <name val="Calibri"/>
      <family val="2"/>
      <b val="1"/>
      <color theme="1"/>
      <sz val="11"/>
      <scheme val="minor"/>
    </font>
    <font>
      <name val="Calibri"/>
      <family val="2"/>
      <color theme="10"/>
      <sz val="11"/>
      <u val="single"/>
      <scheme val="minor"/>
    </font>
    <font>
      <name val="Calibri"/>
      <family val="2"/>
      <color rgb="FF000000"/>
      <sz val="11"/>
      <scheme val="minor"/>
    </font>
    <font>
      <name val="Calibri"/>
      <family val="2"/>
      <sz val="11"/>
      <scheme val="minor"/>
    </font>
    <font>
      <name val="Calibri"/>
      <family val="2"/>
      <color rgb="FF92D050"/>
      <sz val="11"/>
      <scheme val="minor"/>
    </font>
    <font>
      <name val="Calibri"/>
      <family val="2"/>
      <b val="1"/>
      <color theme="0"/>
      <sz val="48"/>
      <scheme val="minor"/>
    </font>
    <font>
      <name val="Calibri"/>
      <family val="2"/>
      <b val="1"/>
      <color theme="0"/>
      <sz val="11"/>
      <scheme val="minor"/>
    </font>
    <font>
      <name val="Tw Cen MT"/>
      <family val="2"/>
      <b val="1"/>
      <color rgb="FF000000"/>
      <sz val="9.6"/>
    </font>
    <font>
      <name val="Tw Cen MT"/>
      <family val="2"/>
      <color rgb="FF000000"/>
      <sz val="9.9"/>
    </font>
    <font>
      <name val="Tw Cen MT"/>
      <family val="2"/>
      <color rgb="FF000000"/>
      <sz val="9.6"/>
    </font>
    <font>
      <name val="Calibri"/>
      <family val="2"/>
      <b val="1"/>
      <color theme="1"/>
      <sz val="9.6"/>
      <scheme val="minor"/>
    </font>
    <font>
      <name val="Calibri"/>
      <family val="2"/>
      <color theme="1"/>
      <sz val="9.9"/>
      <scheme val="minor"/>
    </font>
    <font>
      <name val="Calibri"/>
      <family val="2"/>
      <color theme="1"/>
      <sz val="9.6"/>
      <scheme val="minor"/>
    </font>
    <font>
      <name val="Tw Cen MT"/>
      <family val="2"/>
      <color rgb="FF000000"/>
      <sz val="15"/>
    </font>
    <font>
      <name val="Calibri"/>
      <family val="2"/>
      <color rgb="FF6A737D"/>
      <sz val="12"/>
      <scheme val="minor"/>
    </font>
    <font>
      <name val="Tw Cen MT"/>
      <family val="2"/>
      <b val="1"/>
      <color theme="1"/>
      <sz val="11"/>
    </font>
    <font>
      <name val="Tw Cen MT"/>
      <family val="2"/>
      <color theme="1"/>
      <sz val="11"/>
    </font>
    <font>
      <name val="Tw Cen MT"/>
      <family val="2"/>
      <b val="1"/>
      <color theme="0"/>
      <sz val="11"/>
    </font>
    <font>
      <name val="Tw Cen MT"/>
      <family val="2"/>
      <b val="1"/>
      <color theme="0"/>
      <sz val="48"/>
    </font>
    <font>
      <name val="Tw Cen MT"/>
      <family val="2"/>
      <b val="1"/>
      <color theme="1"/>
      <sz val="9.6"/>
    </font>
    <font>
      <name val="Tw Cen MT"/>
      <family val="2"/>
      <color theme="1"/>
      <sz val="9.9"/>
    </font>
    <font>
      <name val="Tw Cen MT"/>
      <family val="2"/>
      <color theme="1"/>
      <sz val="9.6"/>
    </font>
    <font>
      <name val="Tw Cen MT"/>
      <family val="2"/>
      <color rgb="FF000000"/>
      <sz val="16"/>
    </font>
    <font>
      <name val="Calibri"/>
      <family val="2"/>
      <sz val="8"/>
      <scheme val="minor"/>
    </font>
    <font>
      <name val="Aptos Narrow"/>
      <family val="2"/>
      <color theme="1"/>
      <sz val="11"/>
    </font>
    <font>
      <name val="Calibri"/>
      <family val="2"/>
      <color theme="1"/>
      <sz val="11"/>
      <scheme val="minor"/>
    </font>
    <font>
      <name val="Calibri"/>
      <family val="2"/>
      <b val="1"/>
      <color rgb="FF000000"/>
      <sz val="11"/>
      <scheme val="minor"/>
    </font>
    <font>
      <name val="Calibri"/>
      <family val="2"/>
      <color rgb="FF000000"/>
      <sz val="12"/>
    </font>
    <font>
      <name val="Menlo"/>
      <family val="2"/>
      <color rgb="FFD1D5DA"/>
      <sz val="12"/>
    </font>
    <font>
      <name val="Tw Cen MT"/>
      <family val="2"/>
      <b val="1"/>
      <color rgb="FF000000"/>
      <sz val="14"/>
    </font>
    <font>
      <name val="Menlo"/>
      <family val="2"/>
      <color theme="1"/>
      <sz val="12"/>
    </font>
    <font>
      <name val="Calibri"/>
      <family val="2"/>
      <b val="1"/>
      <color rgb="FFFFFFFF"/>
      <sz val="11"/>
      <scheme val="minor"/>
    </font>
    <font>
      <name val="Calibri"/>
      <family val="2"/>
      <color theme="1"/>
      <sz val="12"/>
      <scheme val="minor"/>
    </font>
    <font>
      <name val="Menlo"/>
      <family val="2"/>
      <color rgb="FFF97583"/>
      <sz val="12"/>
    </font>
    <font>
      <name val="Menlo"/>
      <family val="2"/>
      <color rgb="FF6E7781"/>
      <sz val="12"/>
    </font>
    <font>
      <name val="Menlo"/>
      <family val="2"/>
      <color rgb="FFCF222E"/>
      <sz val="12"/>
    </font>
    <font>
      <name val="Menlo"/>
      <family val="2"/>
      <color rgb="FF0A3069"/>
      <sz val="12"/>
    </font>
  </fonts>
  <fills count="9">
    <fill>
      <patternFill/>
    </fill>
    <fill>
      <patternFill patternType="gray125"/>
    </fill>
    <fill>
      <patternFill patternType="solid">
        <fgColor rgb="FFFFFF00"/>
        <bgColor indexed="64"/>
      </patternFill>
    </fill>
    <fill>
      <patternFill patternType="solid">
        <fgColor theme="0" tint="-0.249977111117893"/>
        <bgColor indexed="64"/>
      </patternFill>
    </fill>
    <fill>
      <patternFill patternType="solid">
        <fgColor theme="9" tint="0.5999938962981048"/>
        <bgColor indexed="64"/>
      </patternFill>
    </fill>
    <fill>
      <patternFill patternType="solid">
        <fgColor theme="1"/>
        <bgColor indexed="64"/>
      </patternFill>
    </fill>
    <fill>
      <patternFill patternType="solid">
        <fgColor rgb="FF92D050"/>
        <bgColor indexed="64"/>
      </patternFill>
    </fill>
    <fill>
      <patternFill patternType="solid">
        <fgColor theme="4" tint="0.5999938962981048"/>
        <bgColor theme="4" tint="0.5999938962981048"/>
      </patternFill>
    </fill>
    <fill>
      <patternFill patternType="solid">
        <fgColor rgb="FF000000"/>
        <bgColor rgb="FF000000"/>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s>
  <cellStyleXfs count="4">
    <xf numFmtId="0" fontId="27" fillId="0" borderId="0"/>
    <xf numFmtId="0" fontId="3" fillId="0" borderId="0"/>
    <xf numFmtId="0" fontId="29" fillId="0" borderId="0"/>
    <xf numFmtId="0" fontId="27" fillId="0" borderId="0"/>
  </cellStyleXfs>
  <cellXfs count="121">
    <xf numFmtId="0" fontId="0" fillId="0" borderId="0" pivotButton="0" quotePrefix="0" xfId="0"/>
    <xf numFmtId="0" fontId="1" fillId="0" borderId="1" applyAlignment="1" pivotButton="0" quotePrefix="0" xfId="0">
      <alignment horizontal="center" vertical="top"/>
    </xf>
    <xf numFmtId="0" fontId="0" fillId="0" borderId="0" applyProtection="1" pivotButton="0" quotePrefix="0" xfId="0">
      <protection locked="0" hidden="0"/>
    </xf>
    <xf numFmtId="0" fontId="0" fillId="2" borderId="0" applyProtection="1" pivotButton="0" quotePrefix="0" xfId="0">
      <protection locked="0" hidden="0"/>
    </xf>
    <xf numFmtId="0" fontId="3" fillId="0" borderId="0" applyAlignment="1" pivotButton="0" quotePrefix="0" xfId="1">
      <alignment horizontal="left" vertical="top"/>
    </xf>
    <xf numFmtId="49" fontId="0" fillId="0" borderId="0" applyProtection="1" pivotButton="0" quotePrefix="0" xfId="0">
      <protection locked="0" hidden="0"/>
    </xf>
    <xf numFmtId="0" fontId="4" fillId="0" borderId="0" applyAlignment="1" pivotButton="0" quotePrefix="0" xfId="0">
      <alignment horizontal="left" vertical="top"/>
    </xf>
    <xf numFmtId="0" fontId="4" fillId="2" borderId="0" applyAlignment="1" pivotButton="0" quotePrefix="0" xfId="0">
      <alignment horizontal="left" vertical="top"/>
    </xf>
    <xf numFmtId="0" fontId="0" fillId="0" borderId="0" applyAlignment="1" pivotButton="0" quotePrefix="0" xfId="0">
      <alignment horizontal="left" vertical="top"/>
    </xf>
    <xf numFmtId="0" fontId="5" fillId="0" borderId="0" pivotButton="0" quotePrefix="0" xfId="0"/>
    <xf numFmtId="0" fontId="4" fillId="4" borderId="0" applyAlignment="1" pivotButton="0" quotePrefix="0" xfId="0">
      <alignment horizontal="left" vertical="top"/>
    </xf>
    <xf numFmtId="0" fontId="6" fillId="0" borderId="0" applyAlignment="1" pivotButton="0" quotePrefix="0" xfId="0">
      <alignment horizontal="left" vertical="top"/>
    </xf>
    <xf numFmtId="0" fontId="5" fillId="0" borderId="0" applyAlignment="1" pivotButton="0" quotePrefix="0" xfId="0">
      <alignment horizontal="left" vertical="top"/>
    </xf>
    <xf numFmtId="0" fontId="0" fillId="5" borderId="0" pivotButton="0" quotePrefix="0" xfId="0"/>
    <xf numFmtId="164" fontId="0" fillId="0" borderId="0" pivotButton="0" quotePrefix="0" xfId="0"/>
    <xf numFmtId="0" fontId="1" fillId="0" borderId="2" applyAlignment="1" pivotButton="0" quotePrefix="0" xfId="0">
      <alignment horizontal="center" vertical="top"/>
    </xf>
    <xf numFmtId="0" fontId="8" fillId="5" borderId="0" pivotButton="0" quotePrefix="0" xfId="0"/>
    <xf numFmtId="0" fontId="9" fillId="0" borderId="0" pivotButton="0" quotePrefix="0" xfId="0"/>
    <xf numFmtId="0" fontId="10" fillId="0" borderId="0" pivotButton="0" quotePrefix="0" xfId="0"/>
    <xf numFmtId="3" fontId="11"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5" fillId="0" borderId="0" pivotButton="0" quotePrefix="0" xfId="0"/>
    <xf numFmtId="0" fontId="13" fillId="0" borderId="0" applyAlignment="1" pivotButton="0" quotePrefix="0" xfId="0">
      <alignment horizontal="center" vertical="center"/>
    </xf>
    <xf numFmtId="3" fontId="14" fillId="0" borderId="0" applyAlignment="1" pivotButton="0" quotePrefix="0" xfId="0">
      <alignment horizontal="center" vertical="center"/>
    </xf>
    <xf numFmtId="0" fontId="14" fillId="0" borderId="0" applyAlignment="1" pivotButton="0" quotePrefix="0" xfId="0">
      <alignment horizontal="center" vertical="center"/>
    </xf>
    <xf numFmtId="0" fontId="16" fillId="0" borderId="0" pivotButton="0" quotePrefix="0" xfId="0"/>
    <xf numFmtId="0" fontId="17" fillId="0" borderId="0" pivotButton="0" quotePrefix="0" xfId="0"/>
    <xf numFmtId="0" fontId="18" fillId="5" borderId="0" pivotButton="0" quotePrefix="0" xfId="0"/>
    <xf numFmtId="0" fontId="19" fillId="5" borderId="0" pivotButton="0" quotePrefix="0" xfId="0"/>
    <xf numFmtId="0" fontId="10" fillId="0" borderId="0" applyAlignment="1" pivotButton="0" quotePrefix="0" xfId="0">
      <alignment horizontal="center" vertical="center"/>
    </xf>
    <xf numFmtId="3" fontId="11" fillId="0" borderId="0" applyAlignment="1" pivotButton="0" quotePrefix="0" xfId="0">
      <alignment horizontal="center" vertical="center"/>
    </xf>
    <xf numFmtId="0" fontId="11" fillId="0" borderId="0" applyAlignment="1" pivotButton="0" quotePrefix="0" xfId="0">
      <alignment horizontal="center" vertical="center"/>
    </xf>
    <xf numFmtId="0" fontId="21" fillId="0" borderId="0" pivotButton="0" quotePrefix="0" xfId="0"/>
    <xf numFmtId="3" fontId="23" fillId="0" borderId="0" pivotButton="0" quotePrefix="0" xfId="0"/>
    <xf numFmtId="0" fontId="24" fillId="0" borderId="0" pivotButton="0" quotePrefix="0" xfId="0"/>
    <xf numFmtId="0" fontId="22" fillId="0" borderId="0" applyAlignment="1" pivotButton="0" quotePrefix="0" xfId="0">
      <alignment horizontal="center" vertical="center"/>
    </xf>
    <xf numFmtId="3" fontId="23" fillId="0" borderId="0" applyAlignment="1" pivotButton="0" quotePrefix="0" xfId="0">
      <alignment horizontal="center" vertical="center"/>
    </xf>
    <xf numFmtId="0" fontId="23" fillId="0" borderId="0" applyAlignment="1" pivotButton="0" quotePrefix="0" xfId="0">
      <alignment horizontal="center" vertical="center"/>
    </xf>
    <xf numFmtId="0" fontId="8" fillId="5" borderId="0" applyAlignment="1" pivotButton="0" quotePrefix="0" xfId="0">
      <alignment horizontal="center" vertical="center"/>
    </xf>
    <xf numFmtId="165" fontId="0" fillId="0" borderId="0" pivotButton="0" quotePrefix="0" xfId="0"/>
    <xf numFmtId="164" fontId="0" fillId="0" borderId="0" applyAlignment="1" pivotButton="0" quotePrefix="0" xfId="0">
      <alignment horizontal="center" vertical="center"/>
    </xf>
    <xf numFmtId="0" fontId="0" fillId="0" borderId="0" applyAlignment="1" pivotButton="0" quotePrefix="0" xfId="0">
      <alignment horizontal="right"/>
    </xf>
    <xf numFmtId="166" fontId="0" fillId="0" borderId="0" applyAlignment="1" pivotButton="0" quotePrefix="0" xfId="0">
      <alignment horizontal="center" vertical="center"/>
    </xf>
    <xf numFmtId="166" fontId="0" fillId="0" borderId="0" pivotButton="0" quotePrefix="0" xfId="0"/>
    <xf numFmtId="49" fontId="0" fillId="0" borderId="0" pivotButton="0" quotePrefix="0" xfId="0"/>
    <xf numFmtId="49" fontId="0" fillId="0" borderId="0" applyAlignment="1" pivotButton="0" quotePrefix="0" xfId="0">
      <alignment horizontal="center" vertical="center"/>
    </xf>
    <xf numFmtId="49" fontId="0" fillId="0" borderId="0" applyAlignment="1" pivotButton="0" quotePrefix="1" xfId="0">
      <alignment horizontal="center" vertical="center"/>
    </xf>
    <xf numFmtId="2" fontId="0" fillId="0" borderId="0" pivotButton="0" quotePrefix="0" xfId="0"/>
    <xf numFmtId="0" fontId="0" fillId="0" borderId="0" applyAlignment="1" pivotButton="0" quotePrefix="0" xfId="0">
      <alignment wrapText="1"/>
    </xf>
    <xf numFmtId="1" fontId="0" fillId="0" borderId="0" applyAlignment="1" pivotButton="0" quotePrefix="0" xfId="0">
      <alignment horizontal="center"/>
    </xf>
    <xf numFmtId="3" fontId="0" fillId="0" borderId="0" pivotButton="0" quotePrefix="0" xfId="0"/>
    <xf numFmtId="164" fontId="0" fillId="0" borderId="0" applyAlignment="1" pivotButton="0" quotePrefix="0" xfId="0">
      <alignment horizontal="left"/>
    </xf>
    <xf numFmtId="2" fontId="0" fillId="0" borderId="0" applyAlignment="1" pivotButton="0" quotePrefix="0" xfId="0">
      <alignment horizontal="center"/>
    </xf>
    <xf numFmtId="0" fontId="0" fillId="0" borderId="0" applyAlignment="1" pivotButton="0" quotePrefix="0" xfId="0">
      <alignment horizontal="center"/>
    </xf>
    <xf numFmtId="0" fontId="18" fillId="0" borderId="0" pivotButton="0" quotePrefix="0" xfId="0"/>
    <xf numFmtId="0" fontId="9" fillId="0" borderId="0" applyAlignment="1" pivotButton="0" quotePrefix="0" xfId="0">
      <alignment horizontal="center" vertical="center"/>
    </xf>
    <xf numFmtId="0" fontId="2" fillId="0" borderId="0" pivotButton="0" quotePrefix="0" xfId="0"/>
    <xf numFmtId="164" fontId="0" fillId="0" borderId="0" applyAlignment="1" pivotButton="0" quotePrefix="0" xfId="0">
      <alignment horizontal="center"/>
    </xf>
    <xf numFmtId="0" fontId="0" fillId="0" borderId="0" applyAlignment="1" pivotButton="0" quotePrefix="0" xfId="0">
      <alignment horizontal="center" vertical="center"/>
    </xf>
    <xf numFmtId="0" fontId="0" fillId="0" borderId="0" applyAlignment="1" pivotButton="0" quotePrefix="0" xfId="0">
      <alignment horizontal="left"/>
    </xf>
    <xf numFmtId="0" fontId="5" fillId="6" borderId="0" pivotButton="0" quotePrefix="0" xfId="0"/>
    <xf numFmtId="1" fontId="0" fillId="0" borderId="0" pivotButton="0" quotePrefix="0" xfId="0"/>
    <xf numFmtId="0" fontId="0" fillId="6" borderId="0" pivotButton="0" quotePrefix="0" xfId="0"/>
    <xf numFmtId="0" fontId="0" fillId="0" borderId="0" applyAlignment="1" pivotButton="0" quotePrefix="0" xfId="0">
      <alignment vertical="center"/>
    </xf>
    <xf numFmtId="0" fontId="28" fillId="6" borderId="0" pivotButton="0" quotePrefix="0" xfId="0"/>
    <xf numFmtId="0" fontId="0" fillId="7" borderId="3" pivotButton="0" quotePrefix="0" xfId="0"/>
    <xf numFmtId="49" fontId="0" fillId="0" borderId="0" applyAlignment="1" pivotButton="0" quotePrefix="0" xfId="0">
      <alignment horizontal="center"/>
    </xf>
    <xf numFmtId="1" fontId="0" fillId="0" borderId="0" applyAlignment="1" pivotButton="0" quotePrefix="0" xfId="0">
      <alignment horizontal="left"/>
    </xf>
    <xf numFmtId="10" fontId="0" fillId="0" borderId="0" applyAlignment="1" pivotButton="0" quotePrefix="0" xfId="0">
      <alignment horizontal="center"/>
    </xf>
    <xf numFmtId="0" fontId="29" fillId="0" borderId="0" pivotButton="0" quotePrefix="0" xfId="2"/>
    <xf numFmtId="0" fontId="29" fillId="0" borderId="0" applyAlignment="1" pivotButton="0" quotePrefix="0" xfId="2">
      <alignment horizontal="left"/>
    </xf>
    <xf numFmtId="0" fontId="29" fillId="0" borderId="0" applyAlignment="1" pivotButton="0" quotePrefix="0" xfId="2">
      <alignment horizontal="center"/>
    </xf>
    <xf numFmtId="49" fontId="0" fillId="0" borderId="0" applyAlignment="1" pivotButton="0" quotePrefix="0" xfId="0">
      <alignment vertical="center"/>
    </xf>
    <xf numFmtId="164" fontId="29" fillId="0" borderId="0" applyAlignment="1" pivotButton="0" quotePrefix="0" xfId="2">
      <alignment horizontal="center"/>
    </xf>
    <xf numFmtId="167" fontId="27" fillId="0" borderId="0" applyAlignment="1" pivotButton="0" quotePrefix="0" xfId="3">
      <alignment horizontal="right"/>
    </xf>
    <xf numFmtId="168" fontId="27" fillId="0" borderId="0" pivotButton="0" quotePrefix="0" xfId="3"/>
    <xf numFmtId="0" fontId="30" fillId="0" borderId="0" pivotButton="0" quotePrefix="0" xfId="0"/>
    <xf numFmtId="0" fontId="31" fillId="0" borderId="0" pivotButton="0" quotePrefix="0" xfId="0"/>
    <xf numFmtId="0" fontId="32" fillId="0" borderId="0" applyAlignment="1" pivotButton="0" quotePrefix="0" xfId="0">
      <alignment horizontal="center"/>
    </xf>
    <xf numFmtId="0" fontId="33" fillId="8" borderId="0" pivotButton="0" quotePrefix="0" xfId="0"/>
    <xf numFmtId="0" fontId="4" fillId="0" borderId="0" pivotButton="0" quotePrefix="0" xfId="0"/>
    <xf numFmtId="0" fontId="4" fillId="0" borderId="0" applyAlignment="1" pivotButton="0" quotePrefix="0" xfId="0">
      <alignment horizontal="left"/>
    </xf>
    <xf numFmtId="0" fontId="5" fillId="0" borderId="0" applyAlignment="1" pivotButton="0" quotePrefix="0" xfId="0">
      <alignment vertical="center"/>
    </xf>
    <xf numFmtId="1" fontId="29" fillId="0" borderId="0" pivotButton="0" quotePrefix="0" xfId="2"/>
    <xf numFmtId="0" fontId="34" fillId="0" borderId="0" pivotButton="0" quotePrefix="0" xfId="0"/>
    <xf numFmtId="0" fontId="0" fillId="2" borderId="0" pivotButton="0" quotePrefix="0" xfId="0"/>
    <xf numFmtId="164" fontId="29" fillId="0" borderId="0" applyAlignment="1" pivotButton="0" quotePrefix="0" xfId="2">
      <alignment horizontal="center" vertical="center"/>
    </xf>
    <xf numFmtId="0" fontId="29" fillId="0" borderId="0" applyAlignment="1" pivotButton="0" quotePrefix="0" xfId="2">
      <alignment horizontal="center" vertical="center"/>
    </xf>
    <xf numFmtId="1" fontId="29" fillId="0" borderId="0" applyAlignment="1" pivotButton="0" quotePrefix="0" xfId="2">
      <alignment horizontal="center" vertical="center"/>
    </xf>
    <xf numFmtId="1" fontId="0" fillId="0" borderId="0" applyAlignment="1" pivotButton="0" quotePrefix="0" xfId="0">
      <alignment horizontal="center" vertical="center"/>
    </xf>
    <xf numFmtId="0" fontId="35" fillId="0" borderId="0" pivotButton="0" quotePrefix="0" xfId="0"/>
    <xf numFmtId="0" fontId="36" fillId="0" borderId="0" pivotButton="0" quotePrefix="0" xfId="0"/>
    <xf numFmtId="0" fontId="37" fillId="0" borderId="0" pivotButton="0" quotePrefix="0" xfId="0"/>
    <xf numFmtId="0" fontId="38" fillId="0" borderId="0" pivotButton="0" quotePrefix="0" xfId="0"/>
    <xf numFmtId="0" fontId="2" fillId="3" borderId="0" applyAlignment="1" pivotButton="0" quotePrefix="0" xfId="0">
      <alignment horizontal="left"/>
    </xf>
    <xf numFmtId="0" fontId="2" fillId="0" borderId="0" pivotButton="0" quotePrefix="0" xfId="0"/>
    <xf numFmtId="0" fontId="2" fillId="2" borderId="0" applyAlignment="1" pivotButton="0" quotePrefix="0" xfId="0">
      <alignment horizontal="center"/>
    </xf>
    <xf numFmtId="0" fontId="0" fillId="0" borderId="0" pivotButton="0" quotePrefix="0" xfId="0"/>
    <xf numFmtId="0" fontId="7" fillId="5" borderId="0" applyAlignment="1" pivotButton="0" quotePrefix="0" xfId="0">
      <alignment horizontal="center" vertical="center" textRotation="90"/>
    </xf>
    <xf numFmtId="0" fontId="0" fillId="0" borderId="0" applyAlignment="1" pivotButton="0" quotePrefix="0" xfId="0">
      <alignment horizontal="center"/>
    </xf>
    <xf numFmtId="0" fontId="0" fillId="0" borderId="0" applyAlignment="1" pivotButton="0" quotePrefix="0" xfId="0">
      <alignment horizontal="center" vertical="center" wrapText="1"/>
    </xf>
    <xf numFmtId="0" fontId="0" fillId="0" borderId="0" applyAlignment="1" pivotButton="0" quotePrefix="0" xfId="0">
      <alignment horizontal="center" wrapText="1"/>
    </xf>
    <xf numFmtId="0" fontId="0" fillId="3" borderId="0" applyAlignment="1" pivotButton="0" quotePrefix="0" xfId="0">
      <alignment horizontal="left"/>
    </xf>
    <xf numFmtId="0" fontId="18" fillId="3" borderId="0" applyAlignment="1" pivotButton="0" quotePrefix="0" xfId="0">
      <alignment horizontal="left"/>
    </xf>
    <xf numFmtId="0" fontId="18" fillId="0" borderId="0" pivotButton="0" quotePrefix="0" xfId="0"/>
    <xf numFmtId="0" fontId="17" fillId="2" borderId="0" applyAlignment="1" pivotButton="0" quotePrefix="0" xfId="0">
      <alignment horizontal="center"/>
    </xf>
    <xf numFmtId="0" fontId="20" fillId="5" borderId="0" applyAlignment="1" pivotButton="0" quotePrefix="0" xfId="0">
      <alignment horizontal="center" vertical="center" textRotation="90"/>
    </xf>
    <xf numFmtId="0" fontId="18" fillId="0" borderId="0" applyAlignment="1" pivotButton="0" quotePrefix="0" xfId="0">
      <alignment horizontal="center"/>
    </xf>
    <xf numFmtId="0" fontId="9" fillId="0" borderId="0" applyAlignment="1" pivotButton="0" quotePrefix="0" xfId="0">
      <alignment horizontal="center"/>
    </xf>
    <xf numFmtId="0" fontId="17" fillId="0" borderId="0" applyAlignment="1" pivotButton="0" quotePrefix="0" xfId="0">
      <alignment horizontal="center"/>
    </xf>
    <xf numFmtId="0" fontId="12" fillId="0" borderId="0" applyAlignment="1" pivotButton="0" quotePrefix="0" xfId="0">
      <alignment horizontal="center" vertical="center"/>
    </xf>
    <xf numFmtId="0" fontId="9" fillId="0" borderId="0" applyAlignment="1" pivotButton="0" quotePrefix="0" xfId="0">
      <alignment horizontal="center" vertical="center"/>
    </xf>
    <xf numFmtId="0" fontId="0" fillId="0" borderId="0" applyAlignment="1" pivotButton="0" quotePrefix="0" xfId="0">
      <alignment horizontal="center" vertical="center"/>
    </xf>
    <xf numFmtId="0" fontId="21" fillId="0" borderId="0" applyAlignment="1" pivotButton="0" quotePrefix="0" xfId="0">
      <alignment horizontal="center" vertical="center"/>
    </xf>
    <xf numFmtId="164" fontId="0" fillId="0" borderId="0" applyAlignment="1" pivotButton="0" quotePrefix="0" xfId="0">
      <alignment horizontal="center"/>
    </xf>
    <xf numFmtId="0" fontId="0" fillId="0" borderId="0" applyAlignment="1" pivotButton="0" quotePrefix="0" xfId="0">
      <alignment horizontal="left" vertical="center"/>
    </xf>
    <xf numFmtId="0" fontId="0" fillId="0" borderId="0" applyAlignment="1" pivotButton="0" quotePrefix="0" xfId="0">
      <alignment horizontal="left"/>
    </xf>
    <xf numFmtId="49" fontId="0" fillId="0" borderId="0" applyAlignment="1" pivotButton="0" quotePrefix="0" xfId="0">
      <alignment horizontal="center"/>
    </xf>
    <xf numFmtId="0" fontId="2" fillId="3" borderId="0" applyAlignment="1" pivotButton="0" quotePrefix="0" xfId="0">
      <alignment horizontal="left" wrapText="1"/>
    </xf>
  </cellXfs>
  <cellStyles count="4">
    <cellStyle name="Normal" xfId="0" builtinId="0"/>
    <cellStyle name="Hyperlink" xfId="1" builtinId="8"/>
    <cellStyle name="Normal 3" xfId="2"/>
    <cellStyle name="Normal 2" xfId="3"/>
  </cellStyles>
  <dxfs count="4">
    <dxf>
      <font>
        <color rgb="FF9C0006"/>
      </font>
      <fill>
        <patternFill>
          <bgColor rgb="FFFFC7CE"/>
        </patternFill>
      </fill>
    </dxf>
    <dxf>
      <font>
        <color rgb="FF9C0006"/>
      </font>
      <fill>
        <patternFill>
          <bgColor rgb="FFFFC7CE"/>
        </patternFill>
      </fill>
    </dxf>
    <dxf>
      <font>
        <name val="Calibri"/>
        <family val="2"/>
        <strike val="0"/>
        <outline val="0"/>
        <shadow val="0"/>
        <condense val="0"/>
        <color auto="1"/>
        <extend val="0"/>
        <sz val="11"/>
        <vertAlign val="baseline"/>
        <scheme val="minor"/>
      </font>
    </dxf>
    <dxf>
      <font>
        <strike val="0"/>
        <outline val="0"/>
        <shadow val="0"/>
        <color auto="1"/>
        <vertAlign val="baseline"/>
      </font>
      <numFmt numFmtId="0" formatCode="Genera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worksheet" Target="/xl/worksheets/sheet93.xml" Id="rId93"/><Relationship Type="http://schemas.openxmlformats.org/officeDocument/2006/relationships/worksheet" Target="/xl/worksheets/sheet94.xml" Id="rId94"/><Relationship Type="http://schemas.openxmlformats.org/officeDocument/2006/relationships/worksheet" Target="/xl/worksheets/sheet95.xml" Id="rId95"/><Relationship Type="http://schemas.openxmlformats.org/officeDocument/2006/relationships/worksheet" Target="/xl/worksheets/sheet96.xml" Id="rId96"/><Relationship Type="http://schemas.openxmlformats.org/officeDocument/2006/relationships/worksheet" Target="/xl/worksheets/sheet97.xml" Id="rId97"/><Relationship Type="http://schemas.openxmlformats.org/officeDocument/2006/relationships/worksheet" Target="/xl/worksheets/sheet98.xml" Id="rId98"/><Relationship Type="http://schemas.openxmlformats.org/officeDocument/2006/relationships/worksheet" Target="/xl/worksheets/sheet99.xml" Id="rId99"/><Relationship Type="http://schemas.openxmlformats.org/officeDocument/2006/relationships/worksheet" Target="/xl/worksheets/sheet100.xml" Id="rId100"/><Relationship Type="http://schemas.openxmlformats.org/officeDocument/2006/relationships/worksheet" Target="/xl/worksheets/sheet101.xml" Id="rId101"/><Relationship Type="http://schemas.openxmlformats.org/officeDocument/2006/relationships/worksheet" Target="/xl/worksheets/sheet102.xml" Id="rId102"/><Relationship Type="http://schemas.openxmlformats.org/officeDocument/2006/relationships/worksheet" Target="/xl/worksheets/sheet103.xml" Id="rId103"/><Relationship Type="http://schemas.openxmlformats.org/officeDocument/2006/relationships/worksheet" Target="/xl/worksheets/sheet104.xml" Id="rId104"/><Relationship Type="http://schemas.openxmlformats.org/officeDocument/2006/relationships/worksheet" Target="/xl/worksheets/sheet105.xml" Id="rId105"/><Relationship Type="http://schemas.openxmlformats.org/officeDocument/2006/relationships/worksheet" Target="/xl/worksheets/sheet106.xml" Id="rId106"/><Relationship Type="http://schemas.openxmlformats.org/officeDocument/2006/relationships/worksheet" Target="/xl/worksheets/sheet107.xml" Id="rId107"/><Relationship Type="http://schemas.openxmlformats.org/officeDocument/2006/relationships/worksheet" Target="/xl/worksheets/sheet108.xml" Id="rId108"/><Relationship Type="http://schemas.openxmlformats.org/officeDocument/2006/relationships/worksheet" Target="/xl/worksheets/sheet109.xml" Id="rId109"/><Relationship Type="http://schemas.openxmlformats.org/officeDocument/2006/relationships/worksheet" Target="/xl/worksheets/sheet110.xml" Id="rId110"/><Relationship Type="http://schemas.openxmlformats.org/officeDocument/2006/relationships/worksheet" Target="/xl/worksheets/sheet111.xml" Id="rId111"/><Relationship Type="http://schemas.openxmlformats.org/officeDocument/2006/relationships/worksheet" Target="/xl/worksheets/sheet112.xml" Id="rId112"/><Relationship Type="http://schemas.openxmlformats.org/officeDocument/2006/relationships/worksheet" Target="/xl/worksheets/sheet113.xml" Id="rId113"/><Relationship Type="http://schemas.openxmlformats.org/officeDocument/2006/relationships/worksheet" Target="/xl/worksheets/sheet114.xml" Id="rId114"/><Relationship Type="http://schemas.openxmlformats.org/officeDocument/2006/relationships/worksheet" Target="/xl/worksheets/sheet115.xml" Id="rId115"/><Relationship Type="http://schemas.openxmlformats.org/officeDocument/2006/relationships/worksheet" Target="/xl/worksheets/sheet116.xml" Id="rId116"/><Relationship Type="http://schemas.openxmlformats.org/officeDocument/2006/relationships/worksheet" Target="/xl/worksheets/sheet117.xml" Id="rId117"/><Relationship Type="http://schemas.openxmlformats.org/officeDocument/2006/relationships/worksheet" Target="/xl/worksheets/sheet118.xml" Id="rId118"/><Relationship Type="http://schemas.openxmlformats.org/officeDocument/2006/relationships/worksheet" Target="/xl/worksheets/sheet119.xml" Id="rId119"/><Relationship Type="http://schemas.openxmlformats.org/officeDocument/2006/relationships/worksheet" Target="/xl/worksheets/sheet120.xml" Id="rId120"/><Relationship Type="http://schemas.openxmlformats.org/officeDocument/2006/relationships/worksheet" Target="/xl/worksheets/sheet121.xml" Id="rId121"/><Relationship Type="http://schemas.openxmlformats.org/officeDocument/2006/relationships/worksheet" Target="/xl/worksheets/sheet122.xml" Id="rId122"/><Relationship Type="http://schemas.openxmlformats.org/officeDocument/2006/relationships/worksheet" Target="/xl/worksheets/sheet123.xml" Id="rId123"/><Relationship Type="http://schemas.openxmlformats.org/officeDocument/2006/relationships/worksheet" Target="/xl/worksheets/sheet124.xml" Id="rId124"/><Relationship Type="http://schemas.openxmlformats.org/officeDocument/2006/relationships/worksheet" Target="/xl/worksheets/sheet125.xml" Id="rId125"/><Relationship Type="http://schemas.openxmlformats.org/officeDocument/2006/relationships/worksheet" Target="/xl/worksheets/sheet126.xml" Id="rId126"/><Relationship Type="http://schemas.openxmlformats.org/officeDocument/2006/relationships/worksheet" Target="/xl/worksheets/sheet127.xml" Id="rId127"/><Relationship Type="http://schemas.openxmlformats.org/officeDocument/2006/relationships/worksheet" Target="/xl/worksheets/sheet128.xml" Id="rId128"/><Relationship Type="http://schemas.openxmlformats.org/officeDocument/2006/relationships/worksheet" Target="/xl/worksheets/sheet129.xml" Id="rId129"/><Relationship Type="http://schemas.openxmlformats.org/officeDocument/2006/relationships/worksheet" Target="/xl/worksheets/sheet130.xml" Id="rId130"/><Relationship Type="http://schemas.openxmlformats.org/officeDocument/2006/relationships/worksheet" Target="/xl/worksheets/sheet131.xml" Id="rId131"/><Relationship Type="http://schemas.openxmlformats.org/officeDocument/2006/relationships/worksheet" Target="/xl/worksheets/sheet132.xml" Id="rId132"/><Relationship Type="http://schemas.openxmlformats.org/officeDocument/2006/relationships/worksheet" Target="/xl/worksheets/sheet133.xml" Id="rId133"/><Relationship Type="http://schemas.openxmlformats.org/officeDocument/2006/relationships/worksheet" Target="/xl/worksheets/sheet134.xml" Id="rId134"/><Relationship Type="http://schemas.openxmlformats.org/officeDocument/2006/relationships/worksheet" Target="/xl/worksheets/sheet135.xml" Id="rId135"/><Relationship Type="http://schemas.openxmlformats.org/officeDocument/2006/relationships/worksheet" Target="/xl/worksheets/sheet136.xml" Id="rId136"/><Relationship Type="http://schemas.openxmlformats.org/officeDocument/2006/relationships/worksheet" Target="/xl/worksheets/sheet137.xml" Id="rId137"/><Relationship Type="http://schemas.openxmlformats.org/officeDocument/2006/relationships/worksheet" Target="/xl/worksheets/sheet138.xml" Id="rId138"/><Relationship Type="http://schemas.openxmlformats.org/officeDocument/2006/relationships/worksheet" Target="/xl/worksheets/sheet139.xml" Id="rId139"/><Relationship Type="http://schemas.openxmlformats.org/officeDocument/2006/relationships/worksheet" Target="/xl/worksheets/sheet140.xml" Id="rId140"/><Relationship Type="http://schemas.openxmlformats.org/officeDocument/2006/relationships/worksheet" Target="/xl/worksheets/sheet141.xml" Id="rId141"/><Relationship Type="http://schemas.openxmlformats.org/officeDocument/2006/relationships/worksheet" Target="/xl/worksheets/sheet142.xml" Id="rId142"/><Relationship Type="http://schemas.openxmlformats.org/officeDocument/2006/relationships/worksheet" Target="/xl/worksheets/sheet143.xml" Id="rId143"/><Relationship Type="http://schemas.openxmlformats.org/officeDocument/2006/relationships/worksheet" Target="/xl/worksheets/sheet144.xml" Id="rId144"/><Relationship Type="http://schemas.openxmlformats.org/officeDocument/2006/relationships/worksheet" Target="/xl/worksheets/sheet145.xml" Id="rId145"/><Relationship Type="http://schemas.openxmlformats.org/officeDocument/2006/relationships/worksheet" Target="/xl/worksheets/sheet146.xml" Id="rId146"/><Relationship Type="http://schemas.openxmlformats.org/officeDocument/2006/relationships/worksheet" Target="/xl/worksheets/sheet147.xml" Id="rId147"/><Relationship Type="http://schemas.openxmlformats.org/officeDocument/2006/relationships/worksheet" Target="/xl/worksheets/sheet148.xml" Id="rId148"/><Relationship Type="http://schemas.openxmlformats.org/officeDocument/2006/relationships/worksheet" Target="/xl/worksheets/sheet149.xml" Id="rId149"/><Relationship Type="http://schemas.openxmlformats.org/officeDocument/2006/relationships/worksheet" Target="/xl/worksheets/sheet150.xml" Id="rId150"/><Relationship Type="http://schemas.openxmlformats.org/officeDocument/2006/relationships/worksheet" Target="/xl/worksheets/sheet151.xml" Id="rId151"/><Relationship Type="http://schemas.openxmlformats.org/officeDocument/2006/relationships/worksheet" Target="/xl/worksheets/sheet152.xml" Id="rId152"/><Relationship Type="http://schemas.openxmlformats.org/officeDocument/2006/relationships/worksheet" Target="/xl/worksheets/sheet153.xml" Id="rId153"/><Relationship Type="http://schemas.openxmlformats.org/officeDocument/2006/relationships/worksheet" Target="/xl/worksheets/sheet154.xml" Id="rId154"/><Relationship Type="http://schemas.openxmlformats.org/officeDocument/2006/relationships/worksheet" Target="/xl/worksheets/sheet155.xml" Id="rId155"/><Relationship Type="http://schemas.openxmlformats.org/officeDocument/2006/relationships/worksheet" Target="/xl/worksheets/sheet156.xml" Id="rId156"/><Relationship Type="http://schemas.openxmlformats.org/officeDocument/2006/relationships/worksheet" Target="/xl/worksheets/sheet157.xml" Id="rId157"/><Relationship Type="http://schemas.openxmlformats.org/officeDocument/2006/relationships/worksheet" Target="/xl/worksheets/sheet158.xml" Id="rId158"/><Relationship Type="http://schemas.openxmlformats.org/officeDocument/2006/relationships/worksheet" Target="/xl/worksheets/sheet159.xml" Id="rId159"/><Relationship Type="http://schemas.openxmlformats.org/officeDocument/2006/relationships/worksheet" Target="/xl/worksheets/sheet160.xml" Id="rId160"/><Relationship Type="http://schemas.openxmlformats.org/officeDocument/2006/relationships/worksheet" Target="/xl/worksheets/sheet161.xml" Id="rId161"/><Relationship Type="http://schemas.openxmlformats.org/officeDocument/2006/relationships/worksheet" Target="/xl/worksheets/sheet162.xml" Id="rId162"/><Relationship Type="http://schemas.openxmlformats.org/officeDocument/2006/relationships/worksheet" Target="/xl/worksheets/sheet163.xml" Id="rId163"/><Relationship Type="http://schemas.openxmlformats.org/officeDocument/2006/relationships/worksheet" Target="/xl/worksheets/sheet164.xml" Id="rId164"/><Relationship Type="http://schemas.openxmlformats.org/officeDocument/2006/relationships/worksheet" Target="/xl/worksheets/sheet165.xml" Id="rId165"/><Relationship Type="http://schemas.openxmlformats.org/officeDocument/2006/relationships/worksheet" Target="/xl/worksheets/sheet166.xml" Id="rId166"/><Relationship Type="http://schemas.openxmlformats.org/officeDocument/2006/relationships/worksheet" Target="/xl/worksheets/sheet167.xml" Id="rId167"/><Relationship Type="http://schemas.openxmlformats.org/officeDocument/2006/relationships/worksheet" Target="/xl/worksheets/sheet168.xml" Id="rId168"/><Relationship Type="http://schemas.openxmlformats.org/officeDocument/2006/relationships/worksheet" Target="/xl/worksheets/sheet169.xml" Id="rId169"/><Relationship Type="http://schemas.openxmlformats.org/officeDocument/2006/relationships/worksheet" Target="/xl/worksheets/sheet170.xml" Id="rId170"/><Relationship Type="http://schemas.openxmlformats.org/officeDocument/2006/relationships/worksheet" Target="/xl/worksheets/sheet171.xml" Id="rId171"/><Relationship Type="http://schemas.openxmlformats.org/officeDocument/2006/relationships/worksheet" Target="/xl/worksheets/sheet172.xml" Id="rId172"/><Relationship Type="http://schemas.openxmlformats.org/officeDocument/2006/relationships/worksheet" Target="/xl/worksheets/sheet173.xml" Id="rId173"/><Relationship Type="http://schemas.openxmlformats.org/officeDocument/2006/relationships/worksheet" Target="/xl/worksheets/sheet174.xml" Id="rId174"/><Relationship Type="http://schemas.openxmlformats.org/officeDocument/2006/relationships/worksheet" Target="/xl/worksheets/sheet175.xml" Id="rId175"/><Relationship Type="http://schemas.openxmlformats.org/officeDocument/2006/relationships/worksheet" Target="/xl/worksheets/sheet176.xml" Id="rId176"/><Relationship Type="http://schemas.openxmlformats.org/officeDocument/2006/relationships/worksheet" Target="/xl/worksheets/sheet177.xml" Id="rId177"/><Relationship Type="http://schemas.openxmlformats.org/officeDocument/2006/relationships/worksheet" Target="/xl/worksheets/sheet178.xml" Id="rId178"/><Relationship Type="http://schemas.openxmlformats.org/officeDocument/2006/relationships/worksheet" Target="/xl/worksheets/sheet179.xml" Id="rId179"/><Relationship Type="http://schemas.openxmlformats.org/officeDocument/2006/relationships/worksheet" Target="/xl/worksheets/sheet180.xml" Id="rId180"/><Relationship Type="http://schemas.openxmlformats.org/officeDocument/2006/relationships/worksheet" Target="/xl/worksheets/sheet181.xml" Id="rId181"/><Relationship Type="http://schemas.openxmlformats.org/officeDocument/2006/relationships/worksheet" Target="/xl/worksheets/sheet182.xml" Id="rId182"/><Relationship Type="http://schemas.openxmlformats.org/officeDocument/2006/relationships/worksheet" Target="/xl/worksheets/sheet183.xml" Id="rId183"/><Relationship Type="http://schemas.openxmlformats.org/officeDocument/2006/relationships/worksheet" Target="/xl/worksheets/sheet184.xml" Id="rId184"/><Relationship Type="http://schemas.openxmlformats.org/officeDocument/2006/relationships/worksheet" Target="/xl/worksheets/sheet185.xml" Id="rId185"/><Relationship Type="http://schemas.openxmlformats.org/officeDocument/2006/relationships/worksheet" Target="/xl/worksheets/sheet186.xml" Id="rId186"/><Relationship Type="http://schemas.openxmlformats.org/officeDocument/2006/relationships/worksheet" Target="/xl/worksheets/sheet187.xml" Id="rId187"/><Relationship Type="http://schemas.openxmlformats.org/officeDocument/2006/relationships/worksheet" Target="/xl/worksheets/sheet188.xml" Id="rId188"/><Relationship Type="http://schemas.openxmlformats.org/officeDocument/2006/relationships/worksheet" Target="/xl/worksheets/sheet189.xml" Id="rId189"/><Relationship Type="http://schemas.openxmlformats.org/officeDocument/2006/relationships/worksheet" Target="/xl/worksheets/sheet190.xml" Id="rId190"/><Relationship Type="http://schemas.openxmlformats.org/officeDocument/2006/relationships/worksheet" Target="/xl/worksheets/sheet191.xml" Id="rId191"/><Relationship Type="http://schemas.openxmlformats.org/officeDocument/2006/relationships/worksheet" Target="/xl/worksheets/sheet192.xml" Id="rId192"/><Relationship Type="http://schemas.openxmlformats.org/officeDocument/2006/relationships/worksheet" Target="/xl/worksheets/sheet193.xml" Id="rId193"/><Relationship Type="http://schemas.openxmlformats.org/officeDocument/2006/relationships/worksheet" Target="/xl/worksheets/sheet194.xml" Id="rId194"/><Relationship Type="http://schemas.openxmlformats.org/officeDocument/2006/relationships/worksheet" Target="/xl/worksheets/sheet195.xml" Id="rId195"/><Relationship Type="http://schemas.openxmlformats.org/officeDocument/2006/relationships/worksheet" Target="/xl/worksheets/sheet196.xml" Id="rId196"/><Relationship Type="http://schemas.openxmlformats.org/officeDocument/2006/relationships/worksheet" Target="/xl/worksheets/sheet197.xml" Id="rId197"/><Relationship Type="http://schemas.openxmlformats.org/officeDocument/2006/relationships/worksheet" Target="/xl/worksheets/sheet198.xml" Id="rId198"/><Relationship Type="http://schemas.openxmlformats.org/officeDocument/2006/relationships/worksheet" Target="/xl/worksheets/sheet199.xml" Id="rId199"/><Relationship Type="http://schemas.openxmlformats.org/officeDocument/2006/relationships/worksheet" Target="/xl/worksheets/sheet200.xml" Id="rId200"/><Relationship Type="http://schemas.openxmlformats.org/officeDocument/2006/relationships/worksheet" Target="/xl/worksheets/sheet201.xml" Id="rId201"/><Relationship Type="http://schemas.openxmlformats.org/officeDocument/2006/relationships/worksheet" Target="/xl/worksheets/sheet202.xml" Id="rId202"/><Relationship Type="http://schemas.openxmlformats.org/officeDocument/2006/relationships/worksheet" Target="/xl/worksheets/sheet203.xml" Id="rId203"/><Relationship Type="http://schemas.openxmlformats.org/officeDocument/2006/relationships/worksheet" Target="/xl/worksheets/sheet204.xml" Id="rId204"/><Relationship Type="http://schemas.openxmlformats.org/officeDocument/2006/relationships/worksheet" Target="/xl/worksheets/sheet205.xml" Id="rId205"/><Relationship Type="http://schemas.openxmlformats.org/officeDocument/2006/relationships/worksheet" Target="/xl/worksheets/sheet206.xml" Id="rId206"/><Relationship Type="http://schemas.openxmlformats.org/officeDocument/2006/relationships/worksheet" Target="/xl/worksheets/sheet207.xml" Id="rId207"/><Relationship Type="http://schemas.openxmlformats.org/officeDocument/2006/relationships/worksheet" Target="/xl/worksheets/sheet208.xml" Id="rId208"/><Relationship Type="http://schemas.openxmlformats.org/officeDocument/2006/relationships/worksheet" Target="/xl/worksheets/sheet209.xml" Id="rId209"/><Relationship Type="http://schemas.openxmlformats.org/officeDocument/2006/relationships/worksheet" Target="/xl/worksheets/sheet210.xml" Id="rId210"/><Relationship Type="http://schemas.openxmlformats.org/officeDocument/2006/relationships/worksheet" Target="/xl/worksheets/sheet211.xml" Id="rId211"/><Relationship Type="http://schemas.openxmlformats.org/officeDocument/2006/relationships/worksheet" Target="/xl/worksheets/sheet212.xml" Id="rId212"/><Relationship Type="http://schemas.openxmlformats.org/officeDocument/2006/relationships/worksheet" Target="/xl/worksheets/sheet213.xml" Id="rId213"/><Relationship Type="http://schemas.openxmlformats.org/officeDocument/2006/relationships/worksheet" Target="/xl/worksheets/sheet214.xml" Id="rId214"/><Relationship Type="http://schemas.openxmlformats.org/officeDocument/2006/relationships/worksheet" Target="/xl/worksheets/sheet215.xml" Id="rId215"/><Relationship Type="http://schemas.openxmlformats.org/officeDocument/2006/relationships/worksheet" Target="/xl/worksheets/sheet216.xml" Id="rId216"/><Relationship Type="http://schemas.openxmlformats.org/officeDocument/2006/relationships/worksheet" Target="/xl/worksheets/sheet217.xml" Id="rId217"/><Relationship Type="http://schemas.openxmlformats.org/officeDocument/2006/relationships/worksheet" Target="/xl/worksheets/sheet218.xml" Id="rId218"/><Relationship Type="http://schemas.openxmlformats.org/officeDocument/2006/relationships/worksheet" Target="/xl/worksheets/sheet219.xml" Id="rId219"/><Relationship Type="http://schemas.openxmlformats.org/officeDocument/2006/relationships/worksheet" Target="/xl/worksheets/sheet220.xml" Id="rId220"/><Relationship Type="http://schemas.openxmlformats.org/officeDocument/2006/relationships/worksheet" Target="/xl/worksheets/sheet221.xml" Id="rId221"/><Relationship Type="http://schemas.openxmlformats.org/officeDocument/2006/relationships/worksheet" Target="/xl/worksheets/sheet222.xml" Id="rId222"/><Relationship Type="http://schemas.openxmlformats.org/officeDocument/2006/relationships/worksheet" Target="/xl/worksheets/sheet223.xml" Id="rId223"/><Relationship Type="http://schemas.openxmlformats.org/officeDocument/2006/relationships/worksheet" Target="/xl/worksheets/sheet224.xml" Id="rId224"/><Relationship Type="http://schemas.openxmlformats.org/officeDocument/2006/relationships/worksheet" Target="/xl/worksheets/sheet225.xml" Id="rId225"/><Relationship Type="http://schemas.openxmlformats.org/officeDocument/2006/relationships/worksheet" Target="/xl/worksheets/sheet226.xml" Id="rId226"/><Relationship Type="http://schemas.openxmlformats.org/officeDocument/2006/relationships/worksheet" Target="/xl/worksheets/sheet227.xml" Id="rId227"/><Relationship Type="http://schemas.openxmlformats.org/officeDocument/2006/relationships/worksheet" Target="/xl/worksheets/sheet228.xml" Id="rId228"/><Relationship Type="http://schemas.openxmlformats.org/officeDocument/2006/relationships/worksheet" Target="/xl/worksheets/sheet229.xml" Id="rId229"/><Relationship Type="http://schemas.openxmlformats.org/officeDocument/2006/relationships/worksheet" Target="/xl/worksheets/sheet230.xml" Id="rId230"/><Relationship Type="http://schemas.openxmlformats.org/officeDocument/2006/relationships/worksheet" Target="/xl/worksheets/sheet231.xml" Id="rId231"/><Relationship Type="http://schemas.openxmlformats.org/officeDocument/2006/relationships/worksheet" Target="/xl/worksheets/sheet232.xml" Id="rId232"/><Relationship Type="http://schemas.openxmlformats.org/officeDocument/2006/relationships/worksheet" Target="/xl/worksheets/sheet233.xml" Id="rId233"/><Relationship Type="http://schemas.openxmlformats.org/officeDocument/2006/relationships/worksheet" Target="/xl/worksheets/sheet234.xml" Id="rId234"/><Relationship Type="http://schemas.openxmlformats.org/officeDocument/2006/relationships/worksheet" Target="/xl/worksheets/sheet235.xml" Id="rId235"/><Relationship Type="http://schemas.openxmlformats.org/officeDocument/2006/relationships/worksheet" Target="/xl/worksheets/sheet236.xml" Id="rId236"/><Relationship Type="http://schemas.openxmlformats.org/officeDocument/2006/relationships/worksheet" Target="/xl/worksheets/sheet237.xml" Id="rId237"/><Relationship Type="http://schemas.openxmlformats.org/officeDocument/2006/relationships/worksheet" Target="/xl/worksheets/sheet238.xml" Id="rId238"/><Relationship Type="http://schemas.openxmlformats.org/officeDocument/2006/relationships/worksheet" Target="/xl/worksheets/sheet239.xml" Id="rId239"/><Relationship Type="http://schemas.openxmlformats.org/officeDocument/2006/relationships/worksheet" Target="/xl/worksheets/sheet240.xml" Id="rId240"/><Relationship Type="http://schemas.openxmlformats.org/officeDocument/2006/relationships/worksheet" Target="/xl/worksheets/sheet241.xml" Id="rId241"/><Relationship Type="http://schemas.openxmlformats.org/officeDocument/2006/relationships/worksheet" Target="/xl/worksheets/sheet242.xml" Id="rId242"/><Relationship Type="http://schemas.openxmlformats.org/officeDocument/2006/relationships/worksheet" Target="/xl/worksheets/sheet243.xml" Id="rId243"/><Relationship Type="http://schemas.openxmlformats.org/officeDocument/2006/relationships/worksheet" Target="/xl/worksheets/sheet244.xml" Id="rId244"/><Relationship Type="http://schemas.openxmlformats.org/officeDocument/2006/relationships/worksheet" Target="/xl/worksheets/sheet245.xml" Id="rId245"/><Relationship Type="http://schemas.openxmlformats.org/officeDocument/2006/relationships/worksheet" Target="/xl/worksheets/sheet246.xml" Id="rId246"/><Relationship Type="http://schemas.openxmlformats.org/officeDocument/2006/relationships/styles" Target="styles.xml" Id="rId247"/><Relationship Type="http://schemas.openxmlformats.org/officeDocument/2006/relationships/theme" Target="theme/theme1.xml" Id="rId248"/></Relationships>
</file>

<file path=xl/tables/table1.xml><?xml version="1.0" encoding="utf-8"?>
<table xmlns="http://schemas.openxmlformats.org/spreadsheetml/2006/main" id="1" name="Table3" displayName="Table3" ref="A1:L308" headerRowCount="1" totalsRowShown="0">
  <autoFilter ref="A1:L308"/>
  <tableColumns count="12">
    <tableColumn id="1" name="Activate/Deactivate"/>
    <tableColumn id="9" name="Count"/>
    <tableColumn id="12" name="Column1"/>
    <tableColumn id="2" name="Object_Type"/>
    <tableColumn id="3" name="Old         F or T #"/>
    <tableColumn id="4" name="Indicator Name"/>
    <tableColumn id="10" name="Object ID" dataDxfId="3"/>
    <tableColumn id="11" name="Figure ID" dataDxfId="2"/>
    <tableColumn id="5" name="Our Data Source"/>
    <tableColumn id="6" name="Table # "/>
    <tableColumn id="7" name="Primary Data Source"/>
    <tableColumn id="8" name="County Assigne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hyperlink" Target="https://health.data.ny.gov/Health/Behavioral-Risk-Factor-Surveillance-System-BRFSS-H/jsy7-eb4n/data" TargetMode="External" Id="rId1"/><Relationship Type="http://schemas.openxmlformats.org/officeDocument/2006/relationships/hyperlink" Target="https://www.cdc.gov/places/" TargetMode="External" Id="rId2"/><Relationship Type="http://schemas.openxmlformats.org/officeDocument/2006/relationships/hyperlink" Target="https://webbi1.health.ny.gov/SASStoredProcess/guest?_program=%2FEBI%2FPHIG%2Fapps%2Fchir_dashboard%2Fchir_dashboard&amp;p=ch&amp;cos=33" TargetMode="External" Id="rId3"/><Relationship Type="http://schemas.openxmlformats.org/officeDocument/2006/relationships/hyperlink" Target="https://www.health.ny.gov/statistics/community/minority/county/orange.htm" TargetMode="External" Id="rId4"/><Relationship Type="http://schemas.openxmlformats.org/officeDocument/2006/relationships/hyperlink" Target="https://www.health.ny.gov/statistics/diseases/communicable/docs/2019_hepc_regional.pdf" TargetMode="External" Id="rId5"/><Relationship Type="http://schemas.openxmlformats.org/officeDocument/2006/relationships/hyperlink" Target="https://www.health.ny.gov/statistics/chac/perinatal/county/2018-2020/orange.htm" TargetMode="External" Id="rId6"/><Relationship Type="http://schemas.openxmlformats.org/officeDocument/2006/relationships/hyperlink" Target="https://www.criminaljustice.ny.gov/crimnet/ojsa/arrests/index.htm" TargetMode="External" Id="rId7"/><Relationship Type="http://schemas.openxmlformats.org/officeDocument/2006/relationships/hyperlink" Target="https://data.nysed.gov/gradrate.php?year=2022&amp;county=44" TargetMode="External" Id="rId8"/><Relationship Type="http://schemas.openxmlformats.org/officeDocument/2006/relationships/hyperlink" Target="https://webbi1.health.ny.gov/SASStoredProcess/guest?_program=%2FEBI%2FPHIG%2Fapps%2Fmch_dashboard%2Fmch_dashboard&amp;p=ch&amp;cos=33" TargetMode="External" Id="rId9"/><Relationship Type="http://schemas.openxmlformats.org/officeDocument/2006/relationships/hyperlink" Target="https://webbi1.health.ny.gov/SASStoredProcess/guest?_program=%2FEBI%2FPHIG%2Fapps%2Fopioid_dashboard%2Fop_dashboard&amp;p=ch&amp;cos=33" TargetMode="External" Id="rId10"/><Relationship Type="http://schemas.openxmlformats.org/officeDocument/2006/relationships/hyperlink" Target="https://webbi1.health.ny.gov/SASStoredProcess/guest?_program=%2FEBI%2FPHIG%2Fapps%2Fdashboard%2Fpa_dashboard&amp;p=ch&amp;cos=33" TargetMode="External" Id="rId11"/><Relationship Type="http://schemas.openxmlformats.org/officeDocument/2006/relationships/hyperlink" Target="https://www.health.ny.gov/statistics/diseases/communicable/std/docs/sti_surveillance_report_2021.pdf" TargetMode="External" Id="rId12"/><Relationship Type="http://schemas.openxmlformats.org/officeDocument/2006/relationships/hyperlink" Target="https://statecancerprofiles.cancer.gov/" TargetMode="External" Id="rId13"/><Relationship Type="http://schemas.openxmlformats.org/officeDocument/2006/relationships/hyperlink" Target="https://data.census.gov/cedsci/" TargetMode="External" Id="rId14"/><Relationship Type="http://schemas.openxmlformats.org/officeDocument/2006/relationships/hyperlink" Target="https://www.americashealthrankings.org/" TargetMode="External" Id="rId15"/><Relationship Type="http://schemas.openxmlformats.org/officeDocument/2006/relationships/hyperlink" Target="https://ahead.hiv.gov/" TargetMode="External" Id="rId16"/><Relationship Type="http://schemas.openxmlformats.org/officeDocument/2006/relationships/hyperlink" Target="https://wonder.cdc.gov/" TargetMode="External" Id="rId17"/><Relationship Type="http://schemas.openxmlformats.org/officeDocument/2006/relationships/hyperlink" Target="https://nccd.cdc.gov/Youthonline/App/Results.aspx?LID=XX" TargetMode="External" Id="rId18"/><Relationship Type="http://schemas.openxmlformats.org/officeDocument/2006/relationships/hyperlink" Target="https://www.cdc.gov/injury/wisqars/index.html" TargetMode="External" Id="rId19"/><Relationship Type="http://schemas.openxmlformats.org/officeDocument/2006/relationships/hyperlink" Target="https://www.cdc.gov/mmwr/index.html" TargetMode="External" Id="rId20"/><Relationship Type="http://schemas.openxmlformats.org/officeDocument/2006/relationships/hyperlink" Target="https://www.cdc.gov/asthma/asthmadata.htm" TargetMode="External" Id="rId21"/><Relationship Type="http://schemas.openxmlformats.org/officeDocument/2006/relationships/hyperlink" Target="https://www.cdc.gov/nceh/" TargetMode="External" Id="rId22"/><Relationship Type="http://schemas.openxmlformats.org/officeDocument/2006/relationships/hyperlink" Target="https://www.cdc.gov/nchs/index.htm" TargetMode="External" Id="rId23"/><Relationship Type="http://schemas.openxmlformats.org/officeDocument/2006/relationships/hyperlink" Target="https://www.cdc.gov/nchs/nhis/shs.htm" TargetMode="External" Id="rId24"/><Relationship Type="http://schemas.openxmlformats.org/officeDocument/2006/relationships/hyperlink" Target="https://www.cdc.gov/diabetes/data/index.html" TargetMode="External" Id="rId25"/><Relationship Type="http://schemas.openxmlformats.org/officeDocument/2006/relationships/hyperlink" Target="https://www.cdc.gov/nchhstp/atlas/index.htm" TargetMode="External" Id="rId26"/><Relationship Type="http://schemas.openxmlformats.org/officeDocument/2006/relationships/hyperlink" Target="https://www.cdc.gov/std/statistics/2021/default.htm" TargetMode="External" Id="rId27"/><Relationship Type="http://schemas.openxmlformats.org/officeDocument/2006/relationships/hyperlink" Target="https://www.cdc.gov/vaccines/imz-managers/coverage/teenvaxview/data-reports/index.html" TargetMode="External" Id="rId28"/><Relationship Type="http://schemas.openxmlformats.org/officeDocument/2006/relationships/hyperlink" Target="https://gis.cdc.gov/grasp/diabetes/diabetesatlas-surveillance.html" TargetMode="External" Id="rId29"/><Relationship Type="http://schemas.openxmlformats.org/officeDocument/2006/relationships/hyperlink" Target="https://www.cdc.gov/hepatitis/statistics/SurveillanceRpts.htm" TargetMode="External" Id="rId30"/><Relationship Type="http://schemas.openxmlformats.org/officeDocument/2006/relationships/hyperlink" Target="https://www.ghrconnects.org/indicators" TargetMode="External" Id="rId31"/><Relationship Type="http://schemas.openxmlformats.org/officeDocument/2006/relationships/hyperlink" Target="https://www.kff.org/" TargetMode="External" Id="rId32"/><Relationship Type="http://schemas.openxmlformats.org/officeDocument/2006/relationships/hyperlink" Target="https://progressreport.cancer.gov/detection" TargetMode="External" Id="rId33"/><Relationship Type="http://schemas.openxmlformats.org/officeDocument/2006/relationships/hyperlink" Target="https://statecancerprofiles.cancer.gov/index.html" TargetMode="External" Id="rId34"/><Relationship Type="http://schemas.openxmlformats.org/officeDocument/2006/relationships/hyperlink" Target="https://nces.ed.gov/" TargetMode="External" Id="rId35"/><Relationship Type="http://schemas.openxmlformats.org/officeDocument/2006/relationships/hyperlink" Target="https://www.niaaa.nih.gov/" TargetMode="External" Id="rId36"/><Relationship Type="http://schemas.openxmlformats.org/officeDocument/2006/relationships/hyperlink" Target="https://data.oecd.org/" TargetMode="External" Id="rId37"/><Relationship Type="http://schemas.openxmlformats.org/officeDocument/2006/relationships/hyperlink" Target="https://data.census.gov/cedsci/" TargetMode="External" Id="rId38"/><Relationship Type="http://schemas.openxmlformats.org/officeDocument/2006/relationships/hyperlink" Target="https://www.bls.gov/cps/data-overview.htm" TargetMode="External" Id="rId39"/><Relationship Type="http://schemas.openxmlformats.org/officeDocument/2006/relationships/hyperlink" Target="https://health.gov/healthypeople" TargetMode="External" Id="rId40"/></Relationships>
</file>

<file path=xl/worksheets/sheet1.xml><?xml version="1.0" encoding="utf-8"?>
<worksheet xmlns="http://schemas.openxmlformats.org/spreadsheetml/2006/main">
  <sheetPr>
    <outlinePr summaryBelow="1" summaryRight="1"/>
    <pageSetUpPr/>
  </sheetPr>
  <dimension ref="A1:L308"/>
  <sheetViews>
    <sheetView topLeftCell="C205" zoomScale="125" workbookViewId="0">
      <selection activeCell="G226" sqref="G226"/>
    </sheetView>
  </sheetViews>
  <sheetFormatPr baseColWidth="10" defaultColWidth="8.6640625" defaultRowHeight="15"/>
  <cols>
    <col width="19" customWidth="1" style="99" min="1" max="2"/>
    <col width="14.33203125" customWidth="1" style="99" min="3" max="3"/>
    <col width="16.33203125" customWidth="1" style="99" min="4" max="4"/>
    <col width="19.6640625" customWidth="1" style="99" min="5" max="5"/>
    <col width="121.6640625" bestFit="1" customWidth="1" style="99" min="6" max="6"/>
    <col width="38.6640625" bestFit="1" customWidth="1" style="99" min="7" max="7"/>
    <col width="96.5" bestFit="1" customWidth="1" style="99" min="8" max="8"/>
    <col width="83.6640625" bestFit="1" customWidth="1" style="99" min="9" max="9"/>
    <col width="20.6640625" customWidth="1" style="99" min="10" max="10"/>
    <col width="17.6640625" customWidth="1" style="99" min="11" max="11"/>
  </cols>
  <sheetData>
    <row r="1">
      <c r="A1" t="inlineStr">
        <is>
          <t>Activate/Deactivate</t>
        </is>
      </c>
      <c r="B1" t="inlineStr">
        <is>
          <t>Count</t>
        </is>
      </c>
      <c r="C1" t="inlineStr">
        <is>
          <t>Column1</t>
        </is>
      </c>
      <c r="D1" t="inlineStr">
        <is>
          <t>Object_Type</t>
        </is>
      </c>
      <c r="E1" t="inlineStr">
        <is>
          <t>Old         F or T #</t>
        </is>
      </c>
      <c r="F1" t="inlineStr">
        <is>
          <t>Indicator Name</t>
        </is>
      </c>
      <c r="G1" t="inlineStr">
        <is>
          <t>Object ID</t>
        </is>
      </c>
      <c r="H1" t="inlineStr">
        <is>
          <t>Figure ID</t>
        </is>
      </c>
      <c r="I1" t="inlineStr">
        <is>
          <t>Our Data Source</t>
        </is>
      </c>
      <c r="J1" t="inlineStr">
        <is>
          <t xml:space="preserve">Table # </t>
        </is>
      </c>
      <c r="K1" t="inlineStr">
        <is>
          <t>Primary Data Source</t>
        </is>
      </c>
      <c r="L1" t="inlineStr">
        <is>
          <t>County Assigned</t>
        </is>
      </c>
    </row>
    <row r="2" customFormat="1" s="64">
      <c r="A2" s="64" t="inlineStr">
        <is>
          <t>Activate</t>
        </is>
      </c>
      <c r="B2" s="64" t="n">
        <v>1</v>
      </c>
      <c r="D2" s="64" t="inlineStr">
        <is>
          <t>Table</t>
        </is>
      </c>
      <c r="E2" s="64" t="inlineStr">
        <is>
          <t>T1</t>
        </is>
      </c>
      <c r="F2" s="64" t="inlineStr">
        <is>
          <t>Population Demographic Characteristics, 2023</t>
        </is>
      </c>
      <c r="G2" s="62" t="inlineStr">
        <is>
          <t>tbl-population-demographics</t>
        </is>
      </c>
      <c r="H2" s="62" t="n"/>
      <c r="I2" s="64" t="inlineStr">
        <is>
          <t>US Census ACS 5-Year</t>
        </is>
      </c>
      <c r="J2" s="64" t="inlineStr">
        <is>
          <t>Table S0101</t>
        </is>
      </c>
      <c r="L2" s="64" t="inlineStr">
        <is>
          <t>Orange</t>
        </is>
      </c>
    </row>
    <row r="3" customFormat="1" s="64">
      <c r="A3" s="64" t="inlineStr">
        <is>
          <t>Activate</t>
        </is>
      </c>
      <c r="B3" s="64" t="n">
        <v>2</v>
      </c>
      <c r="D3" s="64" t="inlineStr">
        <is>
          <t>Table</t>
        </is>
      </c>
      <c r="E3" s="64" t="inlineStr">
        <is>
          <t>T2</t>
        </is>
      </c>
      <c r="F3" s="64" t="inlineStr">
        <is>
          <t>Population by Sex, 2023</t>
        </is>
      </c>
      <c r="G3" s="62" t="inlineStr">
        <is>
          <t>tbl-sex</t>
        </is>
      </c>
      <c r="H3" s="62" t="n"/>
      <c r="I3" s="64" t="inlineStr">
        <is>
          <t>US Census ACS 5-Year</t>
        </is>
      </c>
      <c r="J3" s="64" t="inlineStr">
        <is>
          <t>Table S0101</t>
        </is>
      </c>
      <c r="L3" s="64" t="inlineStr">
        <is>
          <t>Orange</t>
        </is>
      </c>
    </row>
    <row r="4" ht="16" customFormat="1" customHeight="1" s="64">
      <c r="A4" s="64" t="inlineStr">
        <is>
          <t>Activate</t>
        </is>
      </c>
      <c r="B4" s="64" t="n">
        <v>3</v>
      </c>
      <c r="D4" s="64" t="inlineStr">
        <is>
          <t>Table</t>
        </is>
      </c>
      <c r="E4" s="64" t="inlineStr">
        <is>
          <t>T3</t>
        </is>
      </c>
      <c r="F4" s="64" t="inlineStr">
        <is>
          <t>Population by Age, 2023</t>
        </is>
      </c>
      <c r="G4" s="95" t="inlineStr">
        <is>
          <t>tbl-age</t>
        </is>
      </c>
      <c r="H4" s="62" t="n"/>
      <c r="I4" s="64" t="inlineStr">
        <is>
          <t>US Census ACS 5-Year</t>
        </is>
      </c>
      <c r="J4" s="64" t="inlineStr">
        <is>
          <t>Table S0101</t>
        </is>
      </c>
      <c r="L4" s="64" t="inlineStr">
        <is>
          <t>Orange</t>
        </is>
      </c>
    </row>
    <row r="5" customFormat="1" s="64">
      <c r="A5" s="64" t="inlineStr">
        <is>
          <t>Activate</t>
        </is>
      </c>
      <c r="B5" s="64" t="n">
        <v>4</v>
      </c>
      <c r="D5" s="64" t="inlineStr">
        <is>
          <t>Table</t>
        </is>
      </c>
      <c r="E5" s="64" t="inlineStr">
        <is>
          <t>T4</t>
        </is>
      </c>
      <c r="F5" s="64" t="inlineStr">
        <is>
          <t>Population by Ethnicity, 2023</t>
        </is>
      </c>
      <c r="G5" s="62" t="inlineStr">
        <is>
          <t>tbl-ethnicity</t>
        </is>
      </c>
      <c r="H5" s="62" t="n"/>
      <c r="I5" s="64" t="inlineStr">
        <is>
          <t>US Census ACS 5-Year</t>
        </is>
      </c>
      <c r="J5" s="64" t="inlineStr">
        <is>
          <t>Table B03002</t>
        </is>
      </c>
      <c r="L5" s="64" t="inlineStr">
        <is>
          <t>Orange</t>
        </is>
      </c>
    </row>
    <row r="6" customFormat="1" s="64">
      <c r="A6" s="64" t="inlineStr">
        <is>
          <t>Activate</t>
        </is>
      </c>
      <c r="B6" s="64" t="n">
        <v>5</v>
      </c>
      <c r="D6" s="64" t="inlineStr">
        <is>
          <t>Table</t>
        </is>
      </c>
      <c r="E6" s="64" t="inlineStr">
        <is>
          <t>T5</t>
        </is>
      </c>
      <c r="F6" s="64" t="inlineStr">
        <is>
          <t>Population by Race, 2023</t>
        </is>
      </c>
      <c r="G6" s="62" t="inlineStr">
        <is>
          <t>tbl-race</t>
        </is>
      </c>
      <c r="H6" s="62" t="n"/>
      <c r="I6" s="64" t="inlineStr">
        <is>
          <t>US Census ACS 5-Year</t>
        </is>
      </c>
      <c r="J6" s="64" t="inlineStr">
        <is>
          <t>Table B03002</t>
        </is>
      </c>
      <c r="L6" s="64" t="inlineStr">
        <is>
          <t>Orange</t>
        </is>
      </c>
    </row>
    <row r="7" customFormat="1" s="64">
      <c r="A7" s="64" t="inlineStr">
        <is>
          <t>Activate</t>
        </is>
      </c>
      <c r="B7" s="64" t="n">
        <v>6</v>
      </c>
      <c r="D7" s="64" t="inlineStr">
        <is>
          <t>Table</t>
        </is>
      </c>
      <c r="E7" s="64" t="inlineStr">
        <is>
          <t>T6</t>
        </is>
      </c>
      <c r="F7" s="64" t="inlineStr">
        <is>
          <t>Population by Spoken Language, 2023</t>
        </is>
      </c>
      <c r="G7" s="62" t="inlineStr">
        <is>
          <t>tbl-language</t>
        </is>
      </c>
      <c r="H7" s="62" t="n"/>
      <c r="I7" s="64" t="inlineStr">
        <is>
          <t>US Census ACS 5-Year</t>
        </is>
      </c>
      <c r="J7" s="64" t="inlineStr">
        <is>
          <t>Table S1601</t>
        </is>
      </c>
      <c r="L7" s="64" t="inlineStr">
        <is>
          <t>Orange</t>
        </is>
      </c>
    </row>
    <row r="8" customFormat="1" s="64">
      <c r="A8" s="64" t="inlineStr">
        <is>
          <t>Activate</t>
        </is>
      </c>
      <c r="B8" s="64" t="n">
        <v>7</v>
      </c>
      <c r="D8" s="64" t="inlineStr">
        <is>
          <t>Table</t>
        </is>
      </c>
      <c r="E8" s="64" t="inlineStr">
        <is>
          <t>T7</t>
        </is>
      </c>
      <c r="F8" s="64" t="inlineStr">
        <is>
          <t>Population 25 Years and Older, 2023</t>
        </is>
      </c>
      <c r="G8" s="62" t="inlineStr">
        <is>
          <t>tbl-pop-25</t>
        </is>
      </c>
      <c r="H8" s="62" t="n"/>
      <c r="I8" s="64" t="inlineStr">
        <is>
          <t>US Census ACS 5-Year</t>
        </is>
      </c>
      <c r="J8" s="64" t="inlineStr">
        <is>
          <t>Table S1501</t>
        </is>
      </c>
      <c r="L8" s="64" t="inlineStr">
        <is>
          <t>Orange</t>
        </is>
      </c>
    </row>
    <row r="9" ht="16" customFormat="1" customHeight="1" s="64">
      <c r="A9" s="64" t="inlineStr">
        <is>
          <t>Activate</t>
        </is>
      </c>
      <c r="B9" s="64" t="n">
        <v>8</v>
      </c>
      <c r="D9" s="64" t="inlineStr">
        <is>
          <t>Table</t>
        </is>
      </c>
      <c r="E9" s="64" t="inlineStr">
        <is>
          <t>T8</t>
        </is>
      </c>
      <c r="F9" s="64" t="inlineStr">
        <is>
          <t>Population by Educational Attainment, 2023</t>
        </is>
      </c>
      <c r="G9" s="94" t="inlineStr">
        <is>
          <t>tbl-education-base</t>
        </is>
      </c>
      <c r="H9" s="62" t="n"/>
      <c r="I9" s="64" t="inlineStr">
        <is>
          <t>US Census ACS 5-Year</t>
        </is>
      </c>
      <c r="J9" s="64" t="inlineStr">
        <is>
          <t>Table S1501</t>
        </is>
      </c>
      <c r="L9" s="64" t="inlineStr">
        <is>
          <t>Orange</t>
        </is>
      </c>
    </row>
    <row r="10" customFormat="1" s="64">
      <c r="A10" s="64" t="inlineStr">
        <is>
          <t>Activate</t>
        </is>
      </c>
      <c r="B10" s="64" t="n">
        <v>9</v>
      </c>
      <c r="D10" s="64" t="inlineStr">
        <is>
          <t>Table</t>
        </is>
      </c>
      <c r="E10" s="64" t="inlineStr">
        <is>
          <t>T9</t>
        </is>
      </c>
      <c r="F10" s="64" t="inlineStr">
        <is>
          <t>Total Households, 2023</t>
        </is>
      </c>
      <c r="G10" s="62" t="inlineStr">
        <is>
          <t>tbl-households</t>
        </is>
      </c>
      <c r="H10" s="62" t="n"/>
      <c r="I10" s="64" t="inlineStr">
        <is>
          <t>US Census ACS 5-Year</t>
        </is>
      </c>
      <c r="J10" s="64" t="inlineStr">
        <is>
          <t>Table S1901</t>
        </is>
      </c>
      <c r="L10" s="64" t="inlineStr">
        <is>
          <t>Orange</t>
        </is>
      </c>
    </row>
    <row r="11" customFormat="1" s="64">
      <c r="A11" s="64" t="inlineStr">
        <is>
          <t>Activate</t>
        </is>
      </c>
      <c r="B11" s="64" t="n">
        <v>10</v>
      </c>
      <c r="D11" s="64" t="inlineStr">
        <is>
          <t>Table</t>
        </is>
      </c>
      <c r="E11" s="64" t="inlineStr">
        <is>
          <t>T10</t>
        </is>
      </c>
      <c r="F11" s="64" t="inlineStr">
        <is>
          <t>Households by Income, 2023</t>
        </is>
      </c>
      <c r="G11" s="62" t="inlineStr">
        <is>
          <t>tbl-income</t>
        </is>
      </c>
      <c r="H11" s="62" t="n"/>
      <c r="I11" s="64" t="inlineStr">
        <is>
          <t>US Census ACS 5-Year</t>
        </is>
      </c>
      <c r="J11" s="64" t="inlineStr">
        <is>
          <t>Table S1901</t>
        </is>
      </c>
      <c r="L11" s="64" t="inlineStr">
        <is>
          <t>Orange</t>
        </is>
      </c>
    </row>
    <row r="12" customFormat="1" s="64">
      <c r="A12" s="64" t="inlineStr">
        <is>
          <t>Activate</t>
        </is>
      </c>
      <c r="B12" s="64" t="n">
        <v>11</v>
      </c>
      <c r="D12" s="64" t="inlineStr">
        <is>
          <t>Table</t>
        </is>
      </c>
      <c r="E12" s="64" t="inlineStr">
        <is>
          <t>T11</t>
        </is>
      </c>
      <c r="F12" s="64" t="inlineStr">
        <is>
          <t>Population by Veteran Status, 2023</t>
        </is>
      </c>
      <c r="G12" s="62" t="inlineStr">
        <is>
          <t>tbl-veteran</t>
        </is>
      </c>
      <c r="H12" s="62" t="n"/>
      <c r="I12" s="64" t="inlineStr">
        <is>
          <t>US Census ACS 5-Year</t>
        </is>
      </c>
      <c r="J12" s="64" t="inlineStr">
        <is>
          <t>Table S2101</t>
        </is>
      </c>
      <c r="L12" s="64" t="inlineStr">
        <is>
          <t>Orange</t>
        </is>
      </c>
    </row>
    <row r="13" customFormat="1" s="64">
      <c r="A13" s="64" t="inlineStr">
        <is>
          <t>Activate</t>
        </is>
      </c>
      <c r="B13" s="64" t="n">
        <v>12</v>
      </c>
      <c r="D13" s="64" t="inlineStr">
        <is>
          <t>Table</t>
        </is>
      </c>
      <c r="E13" s="64" t="inlineStr">
        <is>
          <t>T12</t>
        </is>
      </c>
      <c r="F13" s="64" t="inlineStr">
        <is>
          <t>Percentage of Population by Type of Disability, 2023</t>
        </is>
      </c>
      <c r="G13" s="62" t="inlineStr">
        <is>
          <t>tbl-disability</t>
        </is>
      </c>
      <c r="H13" s="62" t="n"/>
      <c r="I13" s="64" t="inlineStr">
        <is>
          <t>US Census ACS 5-Year</t>
        </is>
      </c>
      <c r="J13" s="64" t="inlineStr">
        <is>
          <t>Table S1810</t>
        </is>
      </c>
      <c r="L13" s="64" t="inlineStr">
        <is>
          <t>Orange</t>
        </is>
      </c>
    </row>
    <row r="14" customFormat="1" s="64">
      <c r="A14" s="64" t="inlineStr">
        <is>
          <t>Activate</t>
        </is>
      </c>
      <c r="B14" s="64" t="n">
        <v>13</v>
      </c>
      <c r="D14" s="64" t="inlineStr">
        <is>
          <t>Figure</t>
        </is>
      </c>
      <c r="E14" s="64" t="inlineStr">
        <is>
          <t>F1</t>
        </is>
      </c>
      <c r="F14" s="64" t="inlineStr">
        <is>
          <t>Percentage in Labor Force, Population 16 Years and Older, 2021–2023</t>
        </is>
      </c>
      <c r="G14" s="62" t="inlineStr">
        <is>
          <t>tbl-labor-force</t>
        </is>
      </c>
      <c r="H14" s="62" t="inlineStr">
        <is>
          <t>fig-labor-force</t>
        </is>
      </c>
      <c r="I14" s="64" t="inlineStr">
        <is>
          <t>US Census ACS 5-Year</t>
        </is>
      </c>
      <c r="J14" s="64" t="inlineStr">
        <is>
          <t>Table DP03</t>
        </is>
      </c>
      <c r="L14" s="64" t="inlineStr">
        <is>
          <t>Orange</t>
        </is>
      </c>
    </row>
    <row r="15" customFormat="1" s="64">
      <c r="A15" s="64" t="inlineStr">
        <is>
          <t>Activate</t>
        </is>
      </c>
      <c r="B15" s="64" t="n">
        <v>14</v>
      </c>
      <c r="D15" s="64" t="inlineStr">
        <is>
          <t>Figure</t>
        </is>
      </c>
      <c r="E15" s="64" t="inlineStr">
        <is>
          <t>F2</t>
        </is>
      </c>
      <c r="F15" s="64" t="inlineStr">
        <is>
          <t xml:space="preserve">Percentage of Population Unemployed, 16 Years and Older, 2021-2023   </t>
        </is>
      </c>
      <c r="G15" s="62" t="inlineStr">
        <is>
          <t>tbl-unemployed</t>
        </is>
      </c>
      <c r="H15" s="62" t="inlineStr">
        <is>
          <t>fig-unemployed</t>
        </is>
      </c>
      <c r="I15" s="64" t="inlineStr">
        <is>
          <t>US Census ACS 5-Year</t>
        </is>
      </c>
      <c r="J15" s="64" t="inlineStr">
        <is>
          <t>Table DP03</t>
        </is>
      </c>
      <c r="L15" s="64" t="inlineStr">
        <is>
          <t>Orange</t>
        </is>
      </c>
    </row>
    <row r="16" customFormat="1" s="64">
      <c r="A16" s="64" t="inlineStr">
        <is>
          <t>Activate</t>
        </is>
      </c>
      <c r="B16" s="64" t="n">
        <v>15</v>
      </c>
      <c r="D16" s="64" t="inlineStr">
        <is>
          <t>Figure</t>
        </is>
      </c>
      <c r="E16" s="64" t="inlineStr">
        <is>
          <t>F3</t>
        </is>
      </c>
      <c r="F16" s="64" t="inlineStr">
        <is>
          <t>Percentage of Overall Food Insecurity, 2020–2023</t>
        </is>
      </c>
      <c r="G16" s="62" t="inlineStr">
        <is>
          <t>tbl-food-insecurity</t>
        </is>
      </c>
      <c r="H16" s="62" t="inlineStr">
        <is>
          <t>fig-food-insecurity</t>
        </is>
      </c>
      <c r="I16" s="64" t="inlineStr">
        <is>
          <t>Feeding America</t>
        </is>
      </c>
      <c r="L16" s="64" t="inlineStr">
        <is>
          <t>Orange</t>
        </is>
      </c>
    </row>
    <row r="17" ht="16" customFormat="1" customHeight="1" s="64">
      <c r="A17" s="64" t="inlineStr">
        <is>
          <t>Activate</t>
        </is>
      </c>
      <c r="B17" s="64" t="n">
        <v>16</v>
      </c>
      <c r="D17" s="64" t="inlineStr">
        <is>
          <t>Figure</t>
        </is>
      </c>
      <c r="E17" s="64" t="inlineStr">
        <is>
          <t>F4</t>
        </is>
      </c>
      <c r="F17" s="64" t="inlineStr">
        <is>
          <t>Percentage of Food Insecurity, Children 18 Years and Younger, 2020–2023</t>
        </is>
      </c>
      <c r="G17" s="78" t="inlineStr">
        <is>
          <t>tbl-childhood-food-insecurity</t>
        </is>
      </c>
      <c r="H17" s="62" t="inlineStr">
        <is>
          <t>fig-childhood-food-insecurity</t>
        </is>
      </c>
      <c r="I17" s="64" t="inlineStr">
        <is>
          <t>Feeding America</t>
        </is>
      </c>
      <c r="L17" s="64" t="inlineStr">
        <is>
          <t>Orange</t>
        </is>
      </c>
    </row>
    <row r="18" customFormat="1" s="64">
      <c r="A18" s="64" t="inlineStr">
        <is>
          <t>Activate</t>
        </is>
      </c>
      <c r="B18" s="64" t="n">
        <v>17</v>
      </c>
      <c r="D18" s="64" t="inlineStr">
        <is>
          <t>Figure</t>
        </is>
      </c>
      <c r="E18" s="64" t="inlineStr">
        <is>
          <t>F5</t>
        </is>
      </c>
      <c r="F18" s="64" t="inlineStr">
        <is>
          <t>Percentage of Cost Burdened Renter Occupied Units, 2021–2023</t>
        </is>
      </c>
      <c r="G18" s="62" t="inlineStr">
        <is>
          <t>tbl-cost-burdened-renters</t>
        </is>
      </c>
      <c r="H18" s="62" t="inlineStr">
        <is>
          <t>fig-cost-burdened-renters</t>
        </is>
      </c>
      <c r="I18" s="64" t="inlineStr">
        <is>
          <t>US Census ACS 5-Year</t>
        </is>
      </c>
      <c r="J18" s="64" t="inlineStr">
        <is>
          <t>Table DP04</t>
        </is>
      </c>
      <c r="L18" s="64" t="inlineStr">
        <is>
          <t>Orange</t>
        </is>
      </c>
    </row>
    <row r="19" customFormat="1" s="64">
      <c r="A19" s="64" t="inlineStr">
        <is>
          <t>Activate</t>
        </is>
      </c>
      <c r="B19" s="64" t="n">
        <v>18</v>
      </c>
      <c r="D19" s="64" t="inlineStr">
        <is>
          <t>Figure</t>
        </is>
      </c>
      <c r="E19" s="64" t="inlineStr">
        <is>
          <t>F6</t>
        </is>
      </c>
      <c r="F19" s="64" t="inlineStr">
        <is>
          <t>Percentage of Severely Cost Burdened Households, 2016–2023</t>
        </is>
      </c>
      <c r="G19" s="62" t="inlineStr">
        <is>
          <t>tbl-severely-cost-burdened</t>
        </is>
      </c>
      <c r="H19" s="62" t="inlineStr">
        <is>
          <t>fig-severely-cost-burdened</t>
        </is>
      </c>
      <c r="I19" s="64" t="inlineStr">
        <is>
          <t>County Health Rankings and Roadmaps</t>
        </is>
      </c>
      <c r="K19" s="64" t="inlineStr">
        <is>
          <t>US Census ACS 5-Year</t>
        </is>
      </c>
      <c r="L19" s="64" t="inlineStr">
        <is>
          <t>Orange</t>
        </is>
      </c>
    </row>
    <row r="20" customFormat="1" s="64">
      <c r="A20" s="64" t="inlineStr">
        <is>
          <t>Activate</t>
        </is>
      </c>
      <c r="B20" s="64" t="n">
        <v>19</v>
      </c>
      <c r="D20" s="64" t="inlineStr">
        <is>
          <t>Table</t>
        </is>
      </c>
      <c r="E20" s="64" t="inlineStr">
        <is>
          <t>T13</t>
        </is>
      </c>
      <c r="F20" s="64" t="inlineStr">
        <is>
          <t>Number of people living in HUD-Subsidized Housing in the Past 12 Months, 2021–2024</t>
        </is>
      </c>
      <c r="G20" s="62" t="inlineStr">
        <is>
          <t>tbl-hud-housing</t>
        </is>
      </c>
      <c r="H20" s="62" t="inlineStr">
        <is>
          <t xml:space="preserve"> </t>
        </is>
      </c>
      <c r="I20" s="64" t="inlineStr">
        <is>
          <t>US Department of Housing and Urban Development</t>
        </is>
      </c>
      <c r="L20" s="64" t="inlineStr">
        <is>
          <t>Orange</t>
        </is>
      </c>
    </row>
    <row r="21" customFormat="1" s="64">
      <c r="A21" s="64" t="inlineStr">
        <is>
          <t>Activate</t>
        </is>
      </c>
      <c r="B21" s="64" t="n">
        <v>20</v>
      </c>
      <c r="D21" s="64" t="inlineStr">
        <is>
          <t>Table</t>
        </is>
      </c>
      <c r="E21" s="64" t="inlineStr">
        <is>
          <t>T14</t>
        </is>
      </c>
      <c r="F21" s="64" t="inlineStr">
        <is>
          <t>Poverty Threshold for 2024 by Size of Family and Number of Related Children 18 Years and Younger</t>
        </is>
      </c>
      <c r="G21" s="62" t="inlineStr">
        <is>
          <t>tbl-poverty-threshold</t>
        </is>
      </c>
      <c r="H21" s="62" t="n"/>
      <c r="I21" s="64" t="inlineStr">
        <is>
          <t xml:space="preserve">US Census </t>
        </is>
      </c>
      <c r="L21" s="64" t="inlineStr">
        <is>
          <t>Orange</t>
        </is>
      </c>
    </row>
    <row r="22" customFormat="1" s="64">
      <c r="A22" s="64" t="inlineStr">
        <is>
          <t>Activate</t>
        </is>
      </c>
      <c r="B22" s="64" t="n">
        <v>21</v>
      </c>
      <c r="D22" s="64" t="inlineStr">
        <is>
          <t>Figure</t>
        </is>
      </c>
      <c r="E22" s="64" t="inlineStr">
        <is>
          <t>F7</t>
        </is>
      </c>
      <c r="F22" s="64" t="inlineStr">
        <is>
          <t>Percentage of Population in Poverty, 2021–2023</t>
        </is>
      </c>
      <c r="G22" s="62" t="inlineStr">
        <is>
          <t>tbl-poverty-rate</t>
        </is>
      </c>
      <c r="H22" s="62" t="inlineStr">
        <is>
          <t>fig-poverty-rate</t>
        </is>
      </c>
      <c r="I22" s="64" t="inlineStr">
        <is>
          <t>US Census ACS 5-Year</t>
        </is>
      </c>
      <c r="J22" s="64" t="inlineStr">
        <is>
          <t>Table S1701</t>
        </is>
      </c>
      <c r="L22" s="64" t="inlineStr">
        <is>
          <t>Orange</t>
        </is>
      </c>
    </row>
    <row r="23" customFormat="1" s="64">
      <c r="A23" s="64" t="inlineStr">
        <is>
          <t>Activate</t>
        </is>
      </c>
      <c r="B23" s="64" t="n">
        <v>22</v>
      </c>
      <c r="D23" s="64" t="inlineStr">
        <is>
          <t>Figure</t>
        </is>
      </c>
      <c r="E23" s="64" t="inlineStr">
        <is>
          <t>F8</t>
        </is>
      </c>
      <c r="F23" s="64" t="inlineStr">
        <is>
          <t>Percentage of Families below Poverty by Race and Ethnicity, 2018–2022</t>
        </is>
      </c>
      <c r="G23" s="62" t="inlineStr">
        <is>
          <t>tbl-poverty-by-race</t>
        </is>
      </c>
      <c r="H23" s="62" t="inlineStr">
        <is>
          <t>fig-poverty-by-race</t>
        </is>
      </c>
      <c r="I23" s="64" t="inlineStr">
        <is>
          <t>NYS County Health Indicators by Race/Ethnicity (CHIRE)</t>
        </is>
      </c>
      <c r="K23" s="64" t="inlineStr">
        <is>
          <t>US Census SAIPE</t>
        </is>
      </c>
      <c r="L23" s="64" t="inlineStr">
        <is>
          <t>Orange</t>
        </is>
      </c>
    </row>
    <row r="24" customFormat="1" s="64">
      <c r="A24" s="64" t="inlineStr">
        <is>
          <t>Activate</t>
        </is>
      </c>
      <c r="B24" s="64" t="n">
        <v>23</v>
      </c>
      <c r="D24" s="64" t="inlineStr">
        <is>
          <t>Figure</t>
        </is>
      </c>
      <c r="E24" s="64" t="inlineStr">
        <is>
          <t>F9</t>
        </is>
      </c>
      <c r="F24" s="64" t="inlineStr">
        <is>
          <t xml:space="preserve">Enrollment Rate of Economically Disadvantaged Students, 2021-2023  </t>
        </is>
      </c>
      <c r="G24" s="62" t="inlineStr">
        <is>
          <t>tbl-economically-disadvantaged</t>
        </is>
      </c>
      <c r="H24" s="62" t="inlineStr">
        <is>
          <t>fig-economically-disadvantaged</t>
        </is>
      </c>
      <c r="I24" s="64" t="inlineStr">
        <is>
          <t>NYS Education Department</t>
        </is>
      </c>
      <c r="L24" s="64" t="inlineStr">
        <is>
          <t>Orange</t>
        </is>
      </c>
    </row>
    <row r="25" customFormat="1" s="64">
      <c r="A25" s="64" t="inlineStr">
        <is>
          <t>Activate</t>
        </is>
      </c>
      <c r="B25" s="64" t="n">
        <v>24</v>
      </c>
      <c r="D25" s="64" t="inlineStr">
        <is>
          <t>Table</t>
        </is>
      </c>
      <c r="E25" s="64" t="inlineStr">
        <is>
          <t>T15</t>
        </is>
      </c>
      <c r="F25" s="64" t="inlineStr">
        <is>
          <t>ALICE Household Survival Budget, New York State, 2023</t>
        </is>
      </c>
      <c r="G25" s="62" t="inlineStr">
        <is>
          <t>tbl-alice-budget</t>
        </is>
      </c>
      <c r="H25" s="62" t="n"/>
      <c r="I25" s="64" t="inlineStr">
        <is>
          <t>United for ALICE</t>
        </is>
      </c>
      <c r="L25" s="64" t="inlineStr">
        <is>
          <t>Orange</t>
        </is>
      </c>
    </row>
    <row r="26" customFormat="1" s="64">
      <c r="A26" s="64" t="inlineStr">
        <is>
          <t>Activate</t>
        </is>
      </c>
      <c r="B26" s="64" t="n">
        <v>25</v>
      </c>
      <c r="D26" s="64" t="inlineStr">
        <is>
          <t>Figure</t>
        </is>
      </c>
      <c r="E26" s="64" t="inlineStr">
        <is>
          <t>F10</t>
        </is>
      </c>
      <c r="F26" s="64" t="inlineStr">
        <is>
          <t>ALICE Threshold Percentage, 2023</t>
        </is>
      </c>
      <c r="G26" s="62" t="inlineStr">
        <is>
          <t>tbl-alice-threshold</t>
        </is>
      </c>
      <c r="H26" s="62" t="inlineStr">
        <is>
          <t>fig-alice-threshold</t>
        </is>
      </c>
      <c r="I26" s="64" t="inlineStr">
        <is>
          <t>United for ALICE</t>
        </is>
      </c>
      <c r="L26" s="64" t="inlineStr">
        <is>
          <t>Orange</t>
        </is>
      </c>
    </row>
    <row r="27" customFormat="1" s="64">
      <c r="A27" s="64" t="inlineStr">
        <is>
          <t>Activate</t>
        </is>
      </c>
      <c r="B27" s="64" t="n">
        <v>26</v>
      </c>
      <c r="D27" s="64" t="inlineStr">
        <is>
          <t>Figure</t>
        </is>
      </c>
      <c r="E27" s="64" t="inlineStr">
        <is>
          <t>F11</t>
        </is>
      </c>
      <c r="F27" s="64" t="inlineStr">
        <is>
          <t>High School Graduation Rate, 2021-2023</t>
        </is>
      </c>
      <c r="G27" s="62" t="inlineStr">
        <is>
          <t>tbl-graduation-rate</t>
        </is>
      </c>
      <c r="H27" s="62" t="inlineStr">
        <is>
          <t>fig-graduation-rate</t>
        </is>
      </c>
      <c r="I27" s="64" t="inlineStr">
        <is>
          <t>NYS Education Department</t>
        </is>
      </c>
      <c r="L27" s="64" t="inlineStr">
        <is>
          <t>Orange</t>
        </is>
      </c>
    </row>
    <row r="28" customFormat="1" s="64">
      <c r="A28" s="64" t="inlineStr">
        <is>
          <t>Activate</t>
        </is>
      </c>
      <c r="B28" s="64" t="n">
        <v>27</v>
      </c>
      <c r="D28" s="64" t="inlineStr">
        <is>
          <t>Figure</t>
        </is>
      </c>
      <c r="E28" s="64" t="inlineStr">
        <is>
          <t>F12</t>
        </is>
      </c>
      <c r="F28" s="64" t="inlineStr">
        <is>
          <t>High School Graduation Rate, by Race and Ethnicity, 2023</t>
        </is>
      </c>
      <c r="G28" s="62" t="inlineStr">
        <is>
          <t>tbl-graduation-by-race</t>
        </is>
      </c>
      <c r="H28" s="62" t="inlineStr">
        <is>
          <t>fig-graduation-by-race</t>
        </is>
      </c>
      <c r="I28" s="64" t="inlineStr">
        <is>
          <t>NYS Education Department</t>
        </is>
      </c>
      <c r="L28" s="64" t="inlineStr">
        <is>
          <t>Orange</t>
        </is>
      </c>
    </row>
    <row r="29" customFormat="1" s="64">
      <c r="A29" s="64" t="inlineStr">
        <is>
          <t>Activate</t>
        </is>
      </c>
      <c r="B29" s="64" t="n">
        <v>28</v>
      </c>
      <c r="D29" s="64" t="inlineStr">
        <is>
          <t>Figure</t>
        </is>
      </c>
      <c r="E29" s="64" t="inlineStr">
        <is>
          <t>F 13</t>
        </is>
      </c>
      <c r="F29" s="64" t="inlineStr">
        <is>
          <t>Rate of Higher Education Attainment, 2023</t>
        </is>
      </c>
      <c r="G29" s="62" t="inlineStr">
        <is>
          <t>tbl-educational-attainment</t>
        </is>
      </c>
      <c r="H29" s="62" t="inlineStr">
        <is>
          <t>fig-educational-attainment</t>
        </is>
      </c>
      <c r="I29" s="64" t="inlineStr">
        <is>
          <t>US Census ACS 5-Year</t>
        </is>
      </c>
      <c r="J29" s="64" t="inlineStr">
        <is>
          <t>Table S1501</t>
        </is>
      </c>
      <c r="L29" s="64" t="inlineStr">
        <is>
          <t>Orange</t>
        </is>
      </c>
    </row>
    <row r="30" customFormat="1" s="64">
      <c r="A30" s="64" t="inlineStr">
        <is>
          <t>Activate</t>
        </is>
      </c>
      <c r="B30" s="64" t="n">
        <v>29</v>
      </c>
      <c r="D30" s="64" t="inlineStr">
        <is>
          <t>Figure</t>
        </is>
      </c>
      <c r="E30" s="64" t="inlineStr">
        <is>
          <t>F 14</t>
        </is>
      </c>
      <c r="F30" s="64" t="inlineStr">
        <is>
          <t>Percentage of Population that Speaks English "Less Than Very Well", 5 Years and Older, 2021–2023</t>
        </is>
      </c>
      <c r="G30" s="62" t="inlineStr">
        <is>
          <t>tbl-language-proficiency</t>
        </is>
      </c>
      <c r="H30" s="62" t="inlineStr">
        <is>
          <t>fig-language-proficiency</t>
        </is>
      </c>
      <c r="I30" s="64" t="inlineStr">
        <is>
          <t>US Census ACS 5-Year</t>
        </is>
      </c>
      <c r="J30" s="64" t="inlineStr">
        <is>
          <t>Table S1601</t>
        </is>
      </c>
      <c r="L30" s="64" t="inlineStr">
        <is>
          <t>Orange</t>
        </is>
      </c>
    </row>
    <row r="31" customFormat="1" s="64">
      <c r="A31" s="64" t="inlineStr">
        <is>
          <t>Activate</t>
        </is>
      </c>
      <c r="B31" s="64" t="n">
        <v>30</v>
      </c>
      <c r="D31" s="64" t="inlineStr">
        <is>
          <t>Figure</t>
        </is>
      </c>
      <c r="E31" s="64" t="inlineStr">
        <is>
          <t>F15</t>
        </is>
      </c>
      <c r="F31" s="64" t="inlineStr">
        <is>
          <t>Percentage of Disconnected Youth, 16–19 Years Old, 2014–2023</t>
        </is>
      </c>
      <c r="G31" s="62" t="inlineStr">
        <is>
          <t>tbl-disconnected-youth</t>
        </is>
      </c>
      <c r="H31" s="62" t="inlineStr">
        <is>
          <t>fig-disconnected-youth</t>
        </is>
      </c>
      <c r="I31" s="64" t="inlineStr">
        <is>
          <t>County Health Rankings and Roadmaps</t>
        </is>
      </c>
      <c r="L31" s="64" t="inlineStr">
        <is>
          <t>Orange</t>
        </is>
      </c>
    </row>
    <row r="32" customFormat="1" s="64">
      <c r="A32" s="64" t="inlineStr">
        <is>
          <t>Activate</t>
        </is>
      </c>
      <c r="B32" s="64" t="n">
        <v>31</v>
      </c>
      <c r="D32" s="64" t="inlineStr">
        <is>
          <t>Figure</t>
        </is>
      </c>
      <c r="E32" s="64" t="inlineStr">
        <is>
          <t>F16</t>
        </is>
      </c>
      <c r="F32" s="64" t="inlineStr">
        <is>
          <t>Index Score of Residential Segregation, 2013–2023</t>
        </is>
      </c>
      <c r="G32" s="62" t="inlineStr">
        <is>
          <t>tbl-residential-segregation</t>
        </is>
      </c>
      <c r="H32" s="62" t="inlineStr">
        <is>
          <t>fig-residential-segregation</t>
        </is>
      </c>
      <c r="I32" s="64" t="inlineStr">
        <is>
          <t>County Health Rankings and Roadmaps</t>
        </is>
      </c>
      <c r="L32" s="64" t="inlineStr">
        <is>
          <t>Orange</t>
        </is>
      </c>
    </row>
    <row r="33" customFormat="1" s="64">
      <c r="A33" s="64" t="inlineStr">
        <is>
          <t>Activate</t>
        </is>
      </c>
      <c r="B33" s="64" t="n">
        <v>32</v>
      </c>
      <c r="D33" s="64" t="inlineStr">
        <is>
          <t>Figure</t>
        </is>
      </c>
      <c r="E33" s="64" t="inlineStr">
        <is>
          <t>F17</t>
        </is>
      </c>
      <c r="F33" s="64" t="inlineStr">
        <is>
          <t>Percentage of Adults Who Did Not Receive Medical Care Due to Cost,  2016, 2018, and 2021</t>
        </is>
      </c>
      <c r="G33" s="66" t="inlineStr">
        <is>
          <t>tbl-adult-medical-care-cost</t>
        </is>
      </c>
      <c r="H33" s="66" t="inlineStr">
        <is>
          <t>fig-medical-care-cost</t>
        </is>
      </c>
      <c r="I33" s="64" t="inlineStr">
        <is>
          <t xml:space="preserve">NYS Behavioral Risk Factor Surveillance System (BRFSS) </t>
        </is>
      </c>
      <c r="L33" s="64" t="inlineStr">
        <is>
          <t>Orange</t>
        </is>
      </c>
    </row>
    <row r="34" customFormat="1" s="64">
      <c r="A34" s="64" t="inlineStr">
        <is>
          <t>Activate</t>
        </is>
      </c>
      <c r="B34" s="64" t="n">
        <v>33</v>
      </c>
      <c r="D34" s="64" t="inlineStr">
        <is>
          <t>Figure</t>
        </is>
      </c>
      <c r="E34" s="64" t="inlineStr">
        <is>
          <t>F18</t>
        </is>
      </c>
      <c r="F34" s="64" t="inlineStr">
        <is>
          <t>Percentage of Children Without Health Insurance, 2020–2023</t>
        </is>
      </c>
      <c r="G34" s="66" t="inlineStr">
        <is>
          <t>tbl-children-uninsured</t>
        </is>
      </c>
      <c r="H34" s="66" t="inlineStr">
        <is>
          <t>fig-children-uninsured</t>
        </is>
      </c>
      <c r="I34" s="64" t="inlineStr">
        <is>
          <t>County Health Rankings and Roadmaps</t>
        </is>
      </c>
      <c r="L34" s="64" t="inlineStr">
        <is>
          <t>Orange</t>
        </is>
      </c>
    </row>
    <row r="35" customFormat="1" s="64">
      <c r="A35" s="64" t="inlineStr">
        <is>
          <t>Activate</t>
        </is>
      </c>
      <c r="B35" s="64" t="n">
        <v>34</v>
      </c>
      <c r="D35" s="64" t="inlineStr">
        <is>
          <t>Figure</t>
        </is>
      </c>
      <c r="E35" s="64" t="inlineStr">
        <is>
          <t>F19</t>
        </is>
      </c>
      <c r="F35" s="64" t="inlineStr">
        <is>
          <t>Percentage of Adults with Health Insurance, 2020–2023</t>
        </is>
      </c>
      <c r="G35" s="62" t="inlineStr">
        <is>
          <t>tbl-adult-health-insured</t>
        </is>
      </c>
      <c r="H35" s="62" t="inlineStr">
        <is>
          <t>fig-adult-health-insured</t>
        </is>
      </c>
      <c r="I35" s="64" t="inlineStr">
        <is>
          <t xml:space="preserve">US Census </t>
        </is>
      </c>
      <c r="L35" s="64" t="inlineStr">
        <is>
          <t>Orange</t>
        </is>
      </c>
    </row>
    <row r="36" customFormat="1" s="64">
      <c r="A36" s="64" t="inlineStr">
        <is>
          <t>Activate</t>
        </is>
      </c>
      <c r="B36" s="64" t="n">
        <v>35</v>
      </c>
      <c r="D36" s="64" t="inlineStr">
        <is>
          <t>Table</t>
        </is>
      </c>
      <c r="E36" s="64" t="inlineStr">
        <is>
          <t>T16</t>
        </is>
      </c>
      <c r="F36" s="64" t="inlineStr">
        <is>
          <t>Medically Underserved Areas and Populations</t>
        </is>
      </c>
      <c r="G36" s="62" t="inlineStr">
        <is>
          <t>tbl-medically-underserved</t>
        </is>
      </c>
      <c r="H36" s="62" t="n"/>
      <c r="I36" s="64" t="inlineStr">
        <is>
          <t>HRSA</t>
        </is>
      </c>
      <c r="J36" s="64" t="inlineStr">
        <is>
          <t>Data Warehouse</t>
        </is>
      </c>
      <c r="L36" s="64" t="inlineStr">
        <is>
          <t>Orange</t>
        </is>
      </c>
    </row>
    <row r="37" customFormat="1" s="64">
      <c r="A37" s="64" t="inlineStr">
        <is>
          <t>Activate</t>
        </is>
      </c>
      <c r="B37" s="64" t="n">
        <v>36</v>
      </c>
      <c r="E37" s="64" t="inlineStr">
        <is>
          <t>F20</t>
        </is>
      </c>
      <c r="F37" s="64" t="inlineStr">
        <is>
          <t>Ratio of Residents to Primary Care Providers, 2019–2022</t>
        </is>
      </c>
      <c r="G37" s="62" t="inlineStr">
        <is>
          <t>tbl-primary-care-providers</t>
        </is>
      </c>
      <c r="H37" s="62" t="inlineStr">
        <is>
          <t>fig-primary-care-providers</t>
        </is>
      </c>
      <c r="I37" s="64" t="inlineStr">
        <is>
          <t>County Health Rankings and Roadmaps</t>
        </is>
      </c>
      <c r="L37" s="64" t="inlineStr">
        <is>
          <t>Orange</t>
        </is>
      </c>
    </row>
    <row r="38" customFormat="1" s="64">
      <c r="A38" s="64" t="inlineStr">
        <is>
          <t>Activate</t>
        </is>
      </c>
      <c r="B38" s="64" t="n">
        <v>37</v>
      </c>
      <c r="E38" s="64" t="inlineStr">
        <is>
          <t>F21</t>
        </is>
      </c>
      <c r="F38" s="64" t="inlineStr">
        <is>
          <t>Ratio of Residents to Dentists, 2019–2022</t>
        </is>
      </c>
      <c r="G38" s="62" t="inlineStr">
        <is>
          <t>tbl-dentists</t>
        </is>
      </c>
      <c r="H38" s="62" t="inlineStr">
        <is>
          <t>fig-dentists</t>
        </is>
      </c>
      <c r="I38" s="64" t="inlineStr">
        <is>
          <t>County Health Rankings and Roadmaps</t>
        </is>
      </c>
      <c r="L38" s="64" t="inlineStr">
        <is>
          <t>Orange</t>
        </is>
      </c>
    </row>
    <row r="39" customFormat="1" s="64">
      <c r="A39" s="64" t="inlineStr">
        <is>
          <t>Activate</t>
        </is>
      </c>
      <c r="B39" s="64" t="n">
        <v>38</v>
      </c>
      <c r="E39" s="64" t="inlineStr">
        <is>
          <t>F22</t>
        </is>
      </c>
      <c r="F39" s="64" t="inlineStr">
        <is>
          <t>Ratio of Residents to Mental Health Providers, 2021–2024</t>
        </is>
      </c>
      <c r="G39" s="62" t="inlineStr">
        <is>
          <t>tbl-mental-health-providers</t>
        </is>
      </c>
      <c r="H39" s="62" t="inlineStr">
        <is>
          <t>fig-mental-health-providers</t>
        </is>
      </c>
      <c r="I39" s="64" t="inlineStr">
        <is>
          <t>County Health Rankings and Roadmaps</t>
        </is>
      </c>
      <c r="K39" s="64" t="inlineStr">
        <is>
          <t xml:space="preserve">National Provider Identification Registry, Center for Medicaid and Medicare Services </t>
        </is>
      </c>
      <c r="L39" s="64" t="inlineStr">
        <is>
          <t>Orange</t>
        </is>
      </c>
    </row>
    <row r="40" ht="19.5" customFormat="1" customHeight="1" s="64">
      <c r="A40" s="64" t="inlineStr">
        <is>
          <t>Activate</t>
        </is>
      </c>
      <c r="B40" s="64" t="n">
        <v>39</v>
      </c>
      <c r="E40" s="64" t="inlineStr">
        <is>
          <t>F23</t>
        </is>
      </c>
      <c r="F40" s="64" t="inlineStr">
        <is>
          <t>Percentage of Adults Who Have a Regular Health Care Provider, 2016, 2018, and 2021</t>
        </is>
      </c>
      <c r="G40" s="62" t="inlineStr">
        <is>
          <t>tbl-adult-access-primary-care</t>
        </is>
      </c>
      <c r="H40" s="66" t="inlineStr">
        <is>
          <t>fig-access-to-primary-care</t>
        </is>
      </c>
      <c r="I40" s="64" t="inlineStr">
        <is>
          <t>NYS Community Health Indicator Reports (CHIRS)</t>
        </is>
      </c>
      <c r="K40" s="64" t="inlineStr">
        <is>
          <t xml:space="preserve">NYS Behavioral Risk Factor Surveillance System (BRFSS) </t>
        </is>
      </c>
      <c r="L40" s="64" t="inlineStr">
        <is>
          <t>Orange</t>
        </is>
      </c>
    </row>
    <row r="41" customFormat="1" s="64">
      <c r="A41" s="64" t="inlineStr">
        <is>
          <t>Activate</t>
        </is>
      </c>
      <c r="B41" s="64" t="n">
        <v>40</v>
      </c>
      <c r="E41" s="64" t="inlineStr">
        <is>
          <t>F24</t>
        </is>
      </c>
      <c r="F41" s="64" t="inlineStr">
        <is>
          <t xml:space="preserve">Potentially Preventable Hospitalizations, Age-Adjusted Rate per 10,000 Population, 2020–2022 </t>
        </is>
      </c>
      <c r="G41" s="62" t="inlineStr">
        <is>
          <t>tbl-pph</t>
        </is>
      </c>
      <c r="H41" s="62" t="inlineStr">
        <is>
          <t>fig-pph</t>
        </is>
      </c>
      <c r="I41" s="64" t="inlineStr">
        <is>
          <t>NYS County Health Indicators by Race/Ethnicity (CHIRE)</t>
        </is>
      </c>
      <c r="K41" s="64" t="inlineStr">
        <is>
          <t>NY Statewide Planning and Research Cooperative System</t>
        </is>
      </c>
      <c r="L41" s="64" t="inlineStr">
        <is>
          <t>Orange</t>
        </is>
      </c>
    </row>
    <row r="42" customFormat="1" s="64">
      <c r="A42" s="64" t="inlineStr">
        <is>
          <t>Activate</t>
        </is>
      </c>
      <c r="B42" s="64" t="n">
        <v>41</v>
      </c>
      <c r="E42" s="64" t="inlineStr">
        <is>
          <t>F25</t>
        </is>
      </c>
      <c r="F42" s="64" t="inlineStr">
        <is>
          <t>Potentially Preventable Hospitalizations, Rate Difference Between Black Non-Hispanics and White Non-Hispanics, 2016–2022</t>
        </is>
      </c>
      <c r="G42" s="62" t="inlineStr">
        <is>
          <t>tbl-pph-black-white-nh</t>
        </is>
      </c>
      <c r="H42" s="62" t="inlineStr">
        <is>
          <t>fig-pph-black-white-nh</t>
        </is>
      </c>
      <c r="I42" s="64" t="inlineStr">
        <is>
          <t xml:space="preserve">NYS Prevention Agenda Tracking Dashboard </t>
        </is>
      </c>
      <c r="K42" s="64" t="inlineStr">
        <is>
          <t>NY Statewide Planning and Research Cooperative System</t>
        </is>
      </c>
      <c r="L42" s="64" t="inlineStr">
        <is>
          <t>Orange</t>
        </is>
      </c>
    </row>
    <row r="43" customFormat="1" s="64">
      <c r="A43" s="64" t="inlineStr">
        <is>
          <t>Activate</t>
        </is>
      </c>
      <c r="B43" s="64" t="n">
        <v>42</v>
      </c>
      <c r="E43" s="64" t="inlineStr">
        <is>
          <t>F26</t>
        </is>
      </c>
      <c r="F43" s="64" t="inlineStr">
        <is>
          <t>Potentially Preventable Hospitalizations, Rate Difference Between Hispanics and White Non-Hispanics, 2016–2022</t>
        </is>
      </c>
      <c r="G43" s="62" t="inlineStr">
        <is>
          <t>tbl-pph-white-nh</t>
        </is>
      </c>
      <c r="H43" s="62" t="inlineStr">
        <is>
          <t>fig-pph-white-nh</t>
        </is>
      </c>
      <c r="I43" s="64" t="inlineStr">
        <is>
          <t xml:space="preserve">NYS Prevention Agenda Tracking Dashboard </t>
        </is>
      </c>
      <c r="K43" s="64" t="inlineStr">
        <is>
          <t>NY Statewide Planning and Research Cooperative System</t>
        </is>
      </c>
      <c r="L43" s="64" t="inlineStr">
        <is>
          <t>Orange</t>
        </is>
      </c>
    </row>
    <row r="44" ht="18" customFormat="1" customHeight="1" s="64">
      <c r="A44" s="64" t="inlineStr">
        <is>
          <t>Activate</t>
        </is>
      </c>
      <c r="B44" s="64" t="n">
        <v>43</v>
      </c>
      <c r="E44" s="64" t="inlineStr">
        <is>
          <t>F27</t>
        </is>
      </c>
      <c r="F44" s="64" t="inlineStr">
        <is>
          <t>Index of Factors that Contribute to a Healthy Food Environment, 2018, 2019, and 2022</t>
        </is>
      </c>
      <c r="G44" s="79" t="inlineStr">
        <is>
          <t>tbl-food-environment</t>
        </is>
      </c>
      <c r="H44" s="79" t="inlineStr">
        <is>
          <t>tbl-food-environment</t>
        </is>
      </c>
      <c r="I44" s="64" t="inlineStr">
        <is>
          <t>County Health Rankings and Roadmaps</t>
        </is>
      </c>
      <c r="K44" s="64" t="inlineStr">
        <is>
          <t>US Department of Agriculture</t>
        </is>
      </c>
      <c r="L44" s="64" t="inlineStr">
        <is>
          <t>Orange</t>
        </is>
      </c>
    </row>
    <row r="45" customFormat="1" s="64">
      <c r="A45" s="64" t="inlineStr">
        <is>
          <t>Activate</t>
        </is>
      </c>
      <c r="B45" s="64" t="n">
        <v>44</v>
      </c>
      <c r="E45" s="64" t="inlineStr">
        <is>
          <t>F28</t>
        </is>
      </c>
      <c r="F45" s="64" t="inlineStr">
        <is>
          <t>Percentage of Population with Limited Access to Healthy Foods, 2015 and 2019</t>
        </is>
      </c>
      <c r="G45" s="62" t="inlineStr">
        <is>
          <t>tbl-limited-healthy-foods</t>
        </is>
      </c>
      <c r="H45" s="62" t="inlineStr">
        <is>
          <t>fig-limited-healthy-foods</t>
        </is>
      </c>
      <c r="I45" s="64" t="inlineStr">
        <is>
          <t>County Health Rankings and Roadmaps</t>
        </is>
      </c>
      <c r="K45" s="64" t="inlineStr">
        <is>
          <t>US Department of Agriculture</t>
        </is>
      </c>
      <c r="L45" s="64" t="inlineStr">
        <is>
          <t>Orange</t>
        </is>
      </c>
    </row>
    <row r="46" customFormat="1" s="64">
      <c r="A46" s="64" t="inlineStr">
        <is>
          <t>Activate</t>
        </is>
      </c>
      <c r="B46" s="64" t="n">
        <v>45</v>
      </c>
      <c r="E46" s="64" t="inlineStr">
        <is>
          <t>F29</t>
        </is>
      </c>
      <c r="F46" s="64" t="inlineStr">
        <is>
          <t>Violent Crimes, Rate per 100,000 Population, 2018–2021</t>
        </is>
      </c>
      <c r="G46" s="62" t="inlineStr">
        <is>
          <t>tbl-violent-crime</t>
        </is>
      </c>
      <c r="H46" s="62" t="inlineStr">
        <is>
          <t>fig-violent-crime</t>
        </is>
      </c>
      <c r="I46" s="64" t="inlineStr">
        <is>
          <t>NYS Division of Criminal Justice Services</t>
        </is>
      </c>
      <c r="L46" s="64" t="inlineStr">
        <is>
          <t>Orange</t>
        </is>
      </c>
    </row>
    <row r="47" customFormat="1" s="64">
      <c r="A47" s="64" t="inlineStr">
        <is>
          <t>Activate</t>
        </is>
      </c>
      <c r="B47" s="64" t="n">
        <v>46</v>
      </c>
      <c r="E47" s="64" t="inlineStr">
        <is>
          <t>F30</t>
        </is>
      </c>
      <c r="F47" s="64" t="inlineStr">
        <is>
          <t>Average Daily Density of Fine Particulate Matter, 2014, 2016, 2018, and 2020</t>
        </is>
      </c>
      <c r="G47" s="62" t="inlineStr">
        <is>
          <t>tbl-density-matter</t>
        </is>
      </c>
      <c r="H47" s="62" t="inlineStr">
        <is>
          <t>fig-density-matter</t>
        </is>
      </c>
      <c r="I47" s="64" t="inlineStr">
        <is>
          <t>County Health Rankings and Roadmaps</t>
        </is>
      </c>
      <c r="K47" s="64" t="inlineStr">
        <is>
          <t xml:space="preserve">Environmental Public Health Tracking Network </t>
        </is>
      </c>
      <c r="L47" s="64" t="inlineStr">
        <is>
          <t>Orange</t>
        </is>
      </c>
    </row>
    <row r="48" customFormat="1" s="64">
      <c r="A48" s="64" t="inlineStr">
        <is>
          <t>Activate</t>
        </is>
      </c>
      <c r="B48" s="64" t="n">
        <v>47</v>
      </c>
      <c r="E48" s="64" t="inlineStr">
        <is>
          <t>F31</t>
        </is>
      </c>
      <c r="F48" s="64" t="inlineStr">
        <is>
          <t>Percentage of Children Tested for Lead Before 36 Months of Age, 2013, 2016, 2017, and 2019</t>
        </is>
      </c>
      <c r="G48" s="62" t="inlineStr">
        <is>
          <t>tbl-lead-children</t>
        </is>
      </c>
      <c r="H48" s="62" t="inlineStr">
        <is>
          <t>fig-lead-children</t>
        </is>
      </c>
      <c r="I48" s="64" t="inlineStr">
        <is>
          <t>NYS Community Health Indicator Reports (CHIRS)</t>
        </is>
      </c>
      <c r="K48" s="64" t="inlineStr">
        <is>
          <t xml:space="preserve">NYS Child Health Lead Poisoning Prevention Program </t>
        </is>
      </c>
      <c r="L48" s="64" t="inlineStr">
        <is>
          <t>Orange</t>
        </is>
      </c>
    </row>
    <row r="49" ht="18" customFormat="1" customHeight="1" s="64">
      <c r="A49" s="64" t="inlineStr">
        <is>
          <t>Activate</t>
        </is>
      </c>
      <c r="B49" s="64" t="n">
        <v>48</v>
      </c>
      <c r="E49" s="64" t="inlineStr">
        <is>
          <t>F32</t>
        </is>
      </c>
      <c r="F49" s="64" t="inlineStr">
        <is>
          <t>Percentage of Households with Severe Housing Problems, 2017–2021</t>
        </is>
      </c>
      <c r="G49" s="62" t="inlineStr">
        <is>
          <t>tbl-severe-housing</t>
        </is>
      </c>
      <c r="H49" s="79" t="inlineStr">
        <is>
          <t>fig-severe-housing</t>
        </is>
      </c>
      <c r="I49" s="64" t="inlineStr">
        <is>
          <t>County Health Rankings and Roadmaps</t>
        </is>
      </c>
      <c r="K49" s="64" t="inlineStr">
        <is>
          <t xml:space="preserve">US Census </t>
        </is>
      </c>
      <c r="L49" s="64" t="inlineStr">
        <is>
          <t>Orange</t>
        </is>
      </c>
    </row>
    <row r="50" ht="15.75" customFormat="1" customHeight="1" s="64">
      <c r="A50" s="64" t="inlineStr">
        <is>
          <t>Activate</t>
        </is>
      </c>
      <c r="B50" s="64" t="n">
        <v>49</v>
      </c>
      <c r="E50" s="64" t="inlineStr">
        <is>
          <t>F33</t>
        </is>
      </c>
      <c r="F50" s="64" t="inlineStr">
        <is>
          <t>Percentage of Households with No Vehicles Available, 2021–2023</t>
        </is>
      </c>
      <c r="G50" s="62" t="inlineStr">
        <is>
          <t>tbl-no-vehicles</t>
        </is>
      </c>
      <c r="H50" s="62" t="inlineStr">
        <is>
          <t>fig-no-vehicles</t>
        </is>
      </c>
      <c r="I50" s="64" t="inlineStr">
        <is>
          <t>US Census ACS 5-Year</t>
        </is>
      </c>
      <c r="J50" s="64" t="inlineStr">
        <is>
          <t>Table DP04</t>
        </is>
      </c>
      <c r="K50" s="64" t="inlineStr">
        <is>
          <t xml:space="preserve">US Census </t>
        </is>
      </c>
      <c r="L50" s="64" t="inlineStr">
        <is>
          <t>Orange</t>
        </is>
      </c>
    </row>
    <row r="51" customFormat="1" s="64">
      <c r="A51" s="64" t="inlineStr">
        <is>
          <t>Activate</t>
        </is>
      </c>
      <c r="B51" s="64" t="n">
        <v>50</v>
      </c>
      <c r="E51" s="64" t="inlineStr">
        <is>
          <t>F34</t>
        </is>
      </c>
      <c r="F51" s="64" t="inlineStr">
        <is>
          <t>Percentage of Workers by Mode of Transportation to Work, 2023</t>
        </is>
      </c>
      <c r="G51" s="62" t="inlineStr">
        <is>
          <t>tbl-mode-to-work</t>
        </is>
      </c>
      <c r="H51" s="62" t="inlineStr">
        <is>
          <t>fig-mode-to-work</t>
        </is>
      </c>
      <c r="I51" s="64" t="inlineStr">
        <is>
          <t>US Census ACS 5-Year</t>
        </is>
      </c>
      <c r="J51" s="64" t="inlineStr">
        <is>
          <t>Table B08141</t>
        </is>
      </c>
      <c r="K51" s="64" t="inlineStr">
        <is>
          <t xml:space="preserve">US Census </t>
        </is>
      </c>
      <c r="L51" s="64" t="inlineStr">
        <is>
          <t>Orange</t>
        </is>
      </c>
    </row>
    <row r="52" customFormat="1" s="64">
      <c r="A52" s="64" t="inlineStr">
        <is>
          <t>Activate</t>
        </is>
      </c>
      <c r="B52" s="64" t="n">
        <v>51</v>
      </c>
      <c r="E52" s="64" t="inlineStr">
        <is>
          <t>F35</t>
        </is>
      </c>
      <c r="F52" s="64" t="inlineStr">
        <is>
          <t>Mean Travel Time to Work, 2021–2023</t>
        </is>
      </c>
      <c r="G52" s="62" t="inlineStr">
        <is>
          <t>tbl-mean-time-work</t>
        </is>
      </c>
      <c r="H52" s="62" t="inlineStr">
        <is>
          <t>fig-mean-time-work</t>
        </is>
      </c>
      <c r="I52" s="64" t="inlineStr">
        <is>
          <t>US Census ACS 5-Year</t>
        </is>
      </c>
      <c r="J52" s="64" t="inlineStr">
        <is>
          <t>Table DP03</t>
        </is>
      </c>
      <c r="K52" s="64" t="inlineStr">
        <is>
          <t xml:space="preserve">US Census </t>
        </is>
      </c>
      <c r="L52" s="64" t="inlineStr">
        <is>
          <t>Orange</t>
        </is>
      </c>
    </row>
    <row r="53" customFormat="1" s="64">
      <c r="A53" s="64" t="inlineStr">
        <is>
          <t>Activate</t>
        </is>
      </c>
      <c r="B53" s="64" t="n">
        <v>52</v>
      </c>
      <c r="E53" s="64" t="inlineStr">
        <is>
          <t>F36</t>
        </is>
      </c>
      <c r="F53" s="64" t="inlineStr">
        <is>
          <t>Top Rated Issues That Affect Health in Dutchess County (n = 109)</t>
        </is>
      </c>
      <c r="G53" s="62" t="inlineStr">
        <is>
          <t>tbl-DC-affect-health</t>
        </is>
      </c>
      <c r="H53" s="62" t="inlineStr">
        <is>
          <t>fig-DC-affect-health</t>
        </is>
      </c>
      <c r="I53" s="64" t="inlineStr">
        <is>
          <t xml:space="preserve">Community Partner Survey </t>
        </is>
      </c>
      <c r="K53" s="64" t="inlineStr">
        <is>
          <t>Community Partner Survey</t>
        </is>
      </c>
      <c r="L53" s="64" t="inlineStr">
        <is>
          <t>Dutchess</t>
        </is>
      </c>
    </row>
    <row r="54" customFormat="1" s="64">
      <c r="A54" s="64" t="inlineStr">
        <is>
          <t>Activate</t>
        </is>
      </c>
      <c r="B54" s="64" t="n">
        <v>53</v>
      </c>
      <c r="E54" s="64" t="inlineStr">
        <is>
          <t>F37</t>
        </is>
      </c>
      <c r="F54" s="64" t="inlineStr">
        <is>
          <t>Top Rated Barriers to Achieving Better Health in Dutchess County (n = 109)</t>
        </is>
      </c>
      <c r="G54" s="62" t="inlineStr">
        <is>
          <t>tbl-DC-achieve-health</t>
        </is>
      </c>
      <c r="H54" s="62" t="inlineStr">
        <is>
          <t>fig-DC-achieve-health</t>
        </is>
      </c>
      <c r="I54" s="64" t="inlineStr">
        <is>
          <t xml:space="preserve">Community Partner Survey </t>
        </is>
      </c>
      <c r="K54" s="64" t="inlineStr">
        <is>
          <t>Community Partner Survey</t>
        </is>
      </c>
      <c r="L54" s="64" t="inlineStr">
        <is>
          <t>Dutchess</t>
        </is>
      </c>
    </row>
    <row r="55" customFormat="1" s="64">
      <c r="A55" s="64" t="inlineStr">
        <is>
          <t>Activate</t>
        </is>
      </c>
      <c r="B55" s="64" t="n">
        <v>54</v>
      </c>
      <c r="E55" s="64" t="inlineStr">
        <is>
          <t>F38</t>
        </is>
      </c>
      <c r="F55" s="64" t="inlineStr">
        <is>
          <t>The Impact of Health Issues in Dutchess County (n = 106)</t>
        </is>
      </c>
      <c r="G55" s="62" t="inlineStr">
        <is>
          <t>tbl-DC-impact-hlth-issue</t>
        </is>
      </c>
      <c r="H55" s="62" t="inlineStr">
        <is>
          <t>fig-DC-impact-hlth-issue</t>
        </is>
      </c>
      <c r="I55" s="64" t="inlineStr">
        <is>
          <t xml:space="preserve">Community Partner Survey </t>
        </is>
      </c>
      <c r="K55" s="64" t="inlineStr">
        <is>
          <t>Community Partner Survey</t>
        </is>
      </c>
      <c r="L55" s="64" t="inlineStr">
        <is>
          <t>Dutchess</t>
        </is>
      </c>
    </row>
    <row r="56" customFormat="1" s="64">
      <c r="A56" s="64" t="inlineStr">
        <is>
          <t>Activate</t>
        </is>
      </c>
      <c r="B56" s="64" t="n">
        <v>55</v>
      </c>
      <c r="E56" s="64" t="inlineStr">
        <is>
          <t>F39</t>
        </is>
      </c>
      <c r="F56" s="64" t="inlineStr">
        <is>
          <t>The Impact of the Social Determinants of Health in Dutchess County (n = 103)</t>
        </is>
      </c>
      <c r="G56" s="62" t="inlineStr">
        <is>
          <t>tbl-DC-impact-sdoh</t>
        </is>
      </c>
      <c r="H56" s="62" t="inlineStr">
        <is>
          <t>fig-DC-impact-sdoh</t>
        </is>
      </c>
      <c r="I56" s="64" t="inlineStr">
        <is>
          <t xml:space="preserve">Community Partner Survey </t>
        </is>
      </c>
      <c r="K56" s="64" t="inlineStr">
        <is>
          <t>Community Partner Survey</t>
        </is>
      </c>
      <c r="L56" s="64" t="inlineStr">
        <is>
          <t>Dutchess</t>
        </is>
      </c>
    </row>
    <row r="57" customFormat="1" s="64">
      <c r="A57" s="64" t="inlineStr">
        <is>
          <t>Activate</t>
        </is>
      </c>
      <c r="B57" s="64" t="n">
        <v>56</v>
      </c>
      <c r="E57" s="64" t="inlineStr">
        <is>
          <t>F40</t>
        </is>
      </c>
      <c r="F57" s="64" t="inlineStr">
        <is>
          <t>The Impact of Economic Wellbeing in Dutchess County (n = 103)</t>
        </is>
      </c>
      <c r="G57" s="62" t="inlineStr">
        <is>
          <t>tbl-DC-eco-wellbeing</t>
        </is>
      </c>
      <c r="H57" s="62" t="inlineStr">
        <is>
          <t>fig-DC-eco-wellbeing</t>
        </is>
      </c>
      <c r="I57" s="64" t="inlineStr">
        <is>
          <t xml:space="preserve">Community Partner Survey </t>
        </is>
      </c>
      <c r="K57" s="64" t="inlineStr">
        <is>
          <t>Community Partner Survey</t>
        </is>
      </c>
      <c r="L57" s="64" t="inlineStr">
        <is>
          <t>Dutchess</t>
        </is>
      </c>
    </row>
    <row r="58" customFormat="1" s="64">
      <c r="A58" s="64" t="inlineStr">
        <is>
          <t>Activate</t>
        </is>
      </c>
      <c r="B58" s="64" t="n">
        <v>57</v>
      </c>
      <c r="E58" s="64" t="inlineStr">
        <is>
          <t>F41</t>
        </is>
      </c>
      <c r="F58" s="64" t="inlineStr">
        <is>
          <t>The Impact of Mental Wellbeing &amp; Substance Use in Dutchess County (n = 101)</t>
        </is>
      </c>
      <c r="G58" s="62" t="inlineStr">
        <is>
          <t>tbl-DC-impact-mhsu</t>
        </is>
      </c>
      <c r="H58" s="62" t="inlineStr">
        <is>
          <t>fig-DC-impact-mhsu</t>
        </is>
      </c>
      <c r="I58" s="64" t="inlineStr">
        <is>
          <t xml:space="preserve">Community Partner Survey </t>
        </is>
      </c>
      <c r="K58" s="64" t="inlineStr">
        <is>
          <t>Community Partner Survey</t>
        </is>
      </c>
      <c r="L58" s="64" t="inlineStr">
        <is>
          <t>Dutchess</t>
        </is>
      </c>
    </row>
    <row r="59">
      <c r="A59" t="inlineStr">
        <is>
          <t>Activate</t>
        </is>
      </c>
      <c r="B59" t="n">
        <v>58</v>
      </c>
      <c r="E59" t="inlineStr">
        <is>
          <t>F42</t>
        </is>
      </c>
      <c r="F59" t="inlineStr">
        <is>
          <t>The Impact of Health Insurance Coverage &amp; Access to Care in Dutchess County (n = 100)</t>
        </is>
      </c>
      <c r="G59" s="9" t="inlineStr">
        <is>
          <t>tbl-DC-impact-hlthinsur-access</t>
        </is>
      </c>
      <c r="H59" s="9" t="inlineStr">
        <is>
          <t>fig-DC-impact-hlthinsur-access</t>
        </is>
      </c>
      <c r="I59" t="inlineStr">
        <is>
          <t xml:space="preserve">Community Partner Survey </t>
        </is>
      </c>
      <c r="K59" t="inlineStr">
        <is>
          <t>Community Partner Survey</t>
        </is>
      </c>
      <c r="L59" t="inlineStr">
        <is>
          <t>Dutchess</t>
        </is>
      </c>
    </row>
    <row r="60">
      <c r="A60" t="inlineStr">
        <is>
          <t>Activate</t>
        </is>
      </c>
      <c r="B60" t="n">
        <v>59</v>
      </c>
      <c r="E60" t="inlineStr">
        <is>
          <t>F43</t>
        </is>
      </c>
      <c r="F60" t="inlineStr">
        <is>
          <t>Top Rated Issues That Affect Health in Orange County (n = 170)</t>
        </is>
      </c>
      <c r="G60" s="9" t="inlineStr">
        <is>
          <t>tbl-OC-affect-health</t>
        </is>
      </c>
      <c r="H60" s="9" t="inlineStr">
        <is>
          <t>fig-OC-affect-health</t>
        </is>
      </c>
      <c r="I60" t="inlineStr">
        <is>
          <t xml:space="preserve">Community Partner Survey </t>
        </is>
      </c>
      <c r="K60" t="inlineStr">
        <is>
          <t>Community Partner Survey</t>
        </is>
      </c>
      <c r="L60" t="inlineStr">
        <is>
          <t>Dutchess</t>
        </is>
      </c>
    </row>
    <row r="61">
      <c r="A61" t="inlineStr">
        <is>
          <t>Activate</t>
        </is>
      </c>
      <c r="B61" t="n">
        <v>60</v>
      </c>
      <c r="E61" t="inlineStr">
        <is>
          <t>F44</t>
        </is>
      </c>
      <c r="F61" t="inlineStr">
        <is>
          <t>Top Rated Barriers to Achieving Better Health in Orange County (n = 170)</t>
        </is>
      </c>
      <c r="G61" s="9" t="inlineStr">
        <is>
          <t>tbl-OC-achieve-health</t>
        </is>
      </c>
      <c r="H61" s="9" t="inlineStr">
        <is>
          <t>fig-OC-achieve-health</t>
        </is>
      </c>
      <c r="I61" t="inlineStr">
        <is>
          <t xml:space="preserve">Community Partner Survey </t>
        </is>
      </c>
      <c r="K61" t="inlineStr">
        <is>
          <t>Community Partner Survey</t>
        </is>
      </c>
      <c r="L61" t="inlineStr">
        <is>
          <t>Dutchess</t>
        </is>
      </c>
    </row>
    <row r="62">
      <c r="A62" t="inlineStr">
        <is>
          <t>Activate</t>
        </is>
      </c>
      <c r="B62" t="n">
        <v>61</v>
      </c>
      <c r="E62" t="inlineStr">
        <is>
          <t>F45</t>
        </is>
      </c>
      <c r="F62" t="inlineStr">
        <is>
          <t>The Impact of Health Issues in Orange County (n = 163)</t>
        </is>
      </c>
      <c r="G62" s="9" t="inlineStr">
        <is>
          <t>tbl-OC-impact-hlth-issue</t>
        </is>
      </c>
      <c r="H62" s="9" t="inlineStr">
        <is>
          <t>fig-OC-impact-hlth-issue</t>
        </is>
      </c>
      <c r="I62" t="inlineStr">
        <is>
          <t xml:space="preserve">Community Partner Survey </t>
        </is>
      </c>
      <c r="K62" t="inlineStr">
        <is>
          <t>Community Partner Survey</t>
        </is>
      </c>
      <c r="L62" t="inlineStr">
        <is>
          <t>Dutchess</t>
        </is>
      </c>
    </row>
    <row r="63">
      <c r="A63" t="inlineStr">
        <is>
          <t>Activate</t>
        </is>
      </c>
      <c r="B63" t="n">
        <v>62</v>
      </c>
      <c r="E63" t="inlineStr">
        <is>
          <t>F46</t>
        </is>
      </c>
      <c r="F63" t="inlineStr">
        <is>
          <t>The Impact of the Social Determinants of Health in Orange County (n = 160)</t>
        </is>
      </c>
      <c r="G63" s="9" t="inlineStr">
        <is>
          <t>tbl-OC-impact-sdoh</t>
        </is>
      </c>
      <c r="H63" s="9" t="inlineStr">
        <is>
          <t>fig-OC-impact-sdoh</t>
        </is>
      </c>
      <c r="I63" t="inlineStr">
        <is>
          <t xml:space="preserve">Community Partner Survey </t>
        </is>
      </c>
      <c r="K63" t="inlineStr">
        <is>
          <t>Community Partner Survey</t>
        </is>
      </c>
      <c r="L63" t="inlineStr">
        <is>
          <t>Dutchess</t>
        </is>
      </c>
    </row>
    <row r="64">
      <c r="A64" t="inlineStr">
        <is>
          <t>Activate</t>
        </is>
      </c>
      <c r="B64" t="n">
        <v>63</v>
      </c>
      <c r="E64" t="inlineStr">
        <is>
          <t>F47</t>
        </is>
      </c>
      <c r="F64" t="inlineStr">
        <is>
          <t>The Impact of Economic Wellbeing in Orange County (n = 159)</t>
        </is>
      </c>
      <c r="G64" s="9" t="inlineStr">
        <is>
          <t>tbl-OC-eco-wellbeing</t>
        </is>
      </c>
      <c r="H64" s="9" t="inlineStr">
        <is>
          <t>fig-OC-eco-wellbeing</t>
        </is>
      </c>
      <c r="I64" t="inlineStr">
        <is>
          <t xml:space="preserve">Community Partner Survey </t>
        </is>
      </c>
      <c r="K64" t="inlineStr">
        <is>
          <t>Community Partner Survey</t>
        </is>
      </c>
      <c r="L64" t="inlineStr">
        <is>
          <t>Dutchess</t>
        </is>
      </c>
    </row>
    <row r="65">
      <c r="A65" t="inlineStr">
        <is>
          <t>Activate</t>
        </is>
      </c>
      <c r="B65" t="n">
        <v>64</v>
      </c>
      <c r="E65" t="inlineStr">
        <is>
          <t>F48</t>
        </is>
      </c>
      <c r="F65" t="inlineStr">
        <is>
          <t>The Impact of Mental Wellbeing &amp; Substance Use in Orange County (n = 157)</t>
        </is>
      </c>
      <c r="G65" s="9" t="inlineStr">
        <is>
          <t>tbl-OC-impact-mhsu</t>
        </is>
      </c>
      <c r="H65" s="9" t="inlineStr">
        <is>
          <t>fig-OC-impact-mhsu</t>
        </is>
      </c>
      <c r="I65" t="inlineStr">
        <is>
          <t xml:space="preserve">Community Partner Survey </t>
        </is>
      </c>
      <c r="K65" t="inlineStr">
        <is>
          <t>Community Partner Survey</t>
        </is>
      </c>
      <c r="L65" t="inlineStr">
        <is>
          <t>Dutchess</t>
        </is>
      </c>
    </row>
    <row r="66">
      <c r="A66" t="inlineStr">
        <is>
          <t>Activate</t>
        </is>
      </c>
      <c r="B66" t="n">
        <v>65</v>
      </c>
      <c r="E66" t="inlineStr">
        <is>
          <t>F49</t>
        </is>
      </c>
      <c r="F66" t="inlineStr">
        <is>
          <t>The Impact of Health Insurance Coverage &amp; Access to Care in Orange County (n = 156)</t>
        </is>
      </c>
      <c r="G66" s="9" t="inlineStr">
        <is>
          <t>tbl-OC-impact-hlthinsur-access</t>
        </is>
      </c>
      <c r="H66" s="9" t="inlineStr">
        <is>
          <t>fig-OC-impact-hlthinsur-access</t>
        </is>
      </c>
      <c r="I66" t="inlineStr">
        <is>
          <t xml:space="preserve">Community Partner Survey </t>
        </is>
      </c>
      <c r="K66" t="inlineStr">
        <is>
          <t>Community Partner Survey</t>
        </is>
      </c>
      <c r="L66" t="inlineStr">
        <is>
          <t>Dutchess</t>
        </is>
      </c>
    </row>
    <row r="67">
      <c r="A67" t="inlineStr">
        <is>
          <t>Activate</t>
        </is>
      </c>
      <c r="B67" t="n">
        <v>66</v>
      </c>
      <c r="E67" t="inlineStr">
        <is>
          <t>F50</t>
        </is>
      </c>
      <c r="F67" t="inlineStr">
        <is>
          <t>Biggest Health Problems in Populations Served, Putnam County (n = 128)</t>
        </is>
      </c>
      <c r="G67" s="9" t="inlineStr">
        <is>
          <t>tbl-PC-big-hlth-prob</t>
        </is>
      </c>
      <c r="H67" s="9" t="inlineStr">
        <is>
          <t>fig-PC-big-hlth-prob</t>
        </is>
      </c>
      <c r="I67" t="inlineStr">
        <is>
          <t xml:space="preserve">Community Partner Survey </t>
        </is>
      </c>
      <c r="K67" t="inlineStr">
        <is>
          <t>Community Partner Survey</t>
        </is>
      </c>
      <c r="L67" t="inlineStr">
        <is>
          <t>Dutchess</t>
        </is>
      </c>
    </row>
    <row r="68">
      <c r="A68" t="inlineStr">
        <is>
          <t>Activate</t>
        </is>
      </c>
      <c r="B68" t="n">
        <v>67</v>
      </c>
      <c r="E68" t="inlineStr">
        <is>
          <t>F51</t>
        </is>
      </c>
      <c r="F68" t="inlineStr">
        <is>
          <t>Most Helpful to Improve Health in Populations Served, Putnam County (n = 128)</t>
        </is>
      </c>
      <c r="G68" s="9" t="inlineStr">
        <is>
          <t>tbl-PC-help-improve-hlth</t>
        </is>
      </c>
      <c r="H68" s="9" t="inlineStr">
        <is>
          <t>fig-PC-help-improve-hlth</t>
        </is>
      </c>
      <c r="I68" t="inlineStr">
        <is>
          <t xml:space="preserve">Community Partner Survey </t>
        </is>
      </c>
      <c r="K68" t="inlineStr">
        <is>
          <t>Community Partner Survey</t>
        </is>
      </c>
      <c r="L68" t="inlineStr">
        <is>
          <t>Dutchess</t>
        </is>
      </c>
    </row>
    <row r="69">
      <c r="A69" t="inlineStr">
        <is>
          <t>Activate</t>
        </is>
      </c>
      <c r="B69" t="n">
        <v>68</v>
      </c>
      <c r="E69" t="inlineStr">
        <is>
          <t>F52</t>
        </is>
      </c>
      <c r="F69" t="inlineStr">
        <is>
          <t>Most Beneficial Health Screenings or Health Education Topics for Populations Served, Putnam County (n=128)</t>
        </is>
      </c>
      <c r="G69" s="9" t="inlineStr">
        <is>
          <t>tbl-PC-help-hlth-screen-education</t>
        </is>
      </c>
      <c r="H69" s="9" t="inlineStr">
        <is>
          <t>fig-PC-help-hlth-screen-education</t>
        </is>
      </c>
      <c r="I69" t="inlineStr">
        <is>
          <t xml:space="preserve">Community Partner Survey </t>
        </is>
      </c>
      <c r="K69" t="inlineStr">
        <is>
          <t>Community Partner Survey</t>
        </is>
      </c>
      <c r="L69" t="inlineStr">
        <is>
          <t>Dutchess</t>
        </is>
      </c>
    </row>
    <row r="70">
      <c r="A70" t="inlineStr">
        <is>
          <t>Activate</t>
        </is>
      </c>
      <c r="B70" t="n">
        <v>69</v>
      </c>
      <c r="E70" t="inlineStr">
        <is>
          <t>F53</t>
        </is>
      </c>
      <c r="F70" t="inlineStr">
        <is>
          <t>Reasons Populations Served Can't Get Needed Healthcare, Putnam County (n = 99)</t>
        </is>
      </c>
      <c r="G70" s="9" t="inlineStr">
        <is>
          <t>tbl-PC-reason-no-hlthcare</t>
        </is>
      </c>
      <c r="H70" s="9" t="inlineStr">
        <is>
          <t>fig-PC-reason-no-hlthcare</t>
        </is>
      </c>
      <c r="I70" t="inlineStr">
        <is>
          <t xml:space="preserve">Community Partner Survey </t>
        </is>
      </c>
      <c r="K70" t="inlineStr">
        <is>
          <t>Community Partner Survey</t>
        </is>
      </c>
      <c r="L70" t="inlineStr">
        <is>
          <t>Dutchess</t>
        </is>
      </c>
    </row>
    <row r="71">
      <c r="A71" t="inlineStr">
        <is>
          <t>Activate</t>
        </is>
      </c>
      <c r="B71" t="n">
        <v>70</v>
      </c>
      <c r="E71" t="inlineStr">
        <is>
          <t>F54</t>
        </is>
      </c>
      <c r="F71" t="inlineStr">
        <is>
          <t>Trusted Sources of Health Information for Populations Served, Putnam County (n = 128)</t>
        </is>
      </c>
      <c r="G71" s="9" t="inlineStr">
        <is>
          <t>tbl-PC-trust-hlth-source</t>
        </is>
      </c>
      <c r="H71" s="9" t="inlineStr">
        <is>
          <t>fig-PC-trust-hlth-source</t>
        </is>
      </c>
      <c r="I71" t="inlineStr">
        <is>
          <t xml:space="preserve">Community Partner Survey </t>
        </is>
      </c>
      <c r="K71" t="inlineStr">
        <is>
          <t>Community Partner Survey</t>
        </is>
      </c>
      <c r="L71" t="inlineStr">
        <is>
          <t>Dutchess</t>
        </is>
      </c>
    </row>
    <row r="72">
      <c r="A72" t="inlineStr">
        <is>
          <t>Activate</t>
        </is>
      </c>
      <c r="B72" t="n">
        <v>71</v>
      </c>
      <c r="E72" t="inlineStr">
        <is>
          <t>F55</t>
        </is>
      </c>
      <c r="F72" t="inlineStr">
        <is>
          <t>Top Rated Issues That Affect Health in Rockland County (n = 135)</t>
        </is>
      </c>
      <c r="G72" s="9" t="inlineStr">
        <is>
          <t>tbl-RC-affect-health</t>
        </is>
      </c>
      <c r="H72" s="9" t="inlineStr">
        <is>
          <t>fig-RC-affect-health</t>
        </is>
      </c>
      <c r="I72" t="inlineStr">
        <is>
          <t xml:space="preserve">Community Partner Survey </t>
        </is>
      </c>
      <c r="K72" t="inlineStr">
        <is>
          <t>Community Partner Survey</t>
        </is>
      </c>
      <c r="L72" t="inlineStr">
        <is>
          <t>Dutchess</t>
        </is>
      </c>
    </row>
    <row r="73">
      <c r="A73" t="inlineStr">
        <is>
          <t>Activate</t>
        </is>
      </c>
      <c r="B73" t="n">
        <v>72</v>
      </c>
      <c r="E73" t="inlineStr">
        <is>
          <t>F56</t>
        </is>
      </c>
      <c r="F73" t="inlineStr">
        <is>
          <t>Top Rated Barriers to Achieving Better Health in Rockland County (n = 135)</t>
        </is>
      </c>
      <c r="G73" s="9" t="inlineStr">
        <is>
          <t>tbl-RC-achieve-health</t>
        </is>
      </c>
      <c r="H73" s="9" t="inlineStr">
        <is>
          <t>fig-RC-achieve-health</t>
        </is>
      </c>
      <c r="I73" t="inlineStr">
        <is>
          <t xml:space="preserve">Community Partner Survey </t>
        </is>
      </c>
      <c r="K73" t="inlineStr">
        <is>
          <t>Community Partner Survey</t>
        </is>
      </c>
      <c r="L73" t="inlineStr">
        <is>
          <t>Dutchess</t>
        </is>
      </c>
    </row>
    <row r="74">
      <c r="A74" t="inlineStr">
        <is>
          <t>Activate</t>
        </is>
      </c>
      <c r="B74" t="n">
        <v>73</v>
      </c>
      <c r="E74" t="inlineStr">
        <is>
          <t>F57</t>
        </is>
      </c>
      <c r="F74" t="inlineStr">
        <is>
          <t>The Impact of Health Issues in Rockland County (n = 132)</t>
        </is>
      </c>
      <c r="G74" s="9" t="inlineStr">
        <is>
          <t>tbl-RC-impact-hlth-issue</t>
        </is>
      </c>
      <c r="H74" s="9" t="inlineStr">
        <is>
          <t>fig-RC-impact-hlth-issue</t>
        </is>
      </c>
      <c r="I74" t="inlineStr">
        <is>
          <t xml:space="preserve">Community Partner Survey </t>
        </is>
      </c>
      <c r="K74" t="inlineStr">
        <is>
          <t>Community Partner Survey</t>
        </is>
      </c>
      <c r="L74" t="inlineStr">
        <is>
          <t>Dutchess</t>
        </is>
      </c>
    </row>
    <row r="75">
      <c r="A75" t="inlineStr">
        <is>
          <t>Activate</t>
        </is>
      </c>
      <c r="B75" t="n">
        <v>74</v>
      </c>
      <c r="E75" t="inlineStr">
        <is>
          <t>F58</t>
        </is>
      </c>
      <c r="F75" t="inlineStr">
        <is>
          <t>The Impact of the Social Determinants of Health in Rockland County (n = 128)</t>
        </is>
      </c>
      <c r="G75" s="9" t="inlineStr">
        <is>
          <t>tbl-RC-impact-sdoh</t>
        </is>
      </c>
      <c r="H75" s="9" t="inlineStr">
        <is>
          <t>fig-RC-impact-sdoh</t>
        </is>
      </c>
      <c r="I75" t="inlineStr">
        <is>
          <t xml:space="preserve">Community Partner Survey </t>
        </is>
      </c>
      <c r="K75" t="inlineStr">
        <is>
          <t>Community Partner Survey</t>
        </is>
      </c>
      <c r="L75" t="inlineStr">
        <is>
          <t>Dutchess</t>
        </is>
      </c>
    </row>
    <row r="76">
      <c r="A76" t="inlineStr">
        <is>
          <t>Activate</t>
        </is>
      </c>
      <c r="B76" t="n">
        <v>75</v>
      </c>
      <c r="E76" t="inlineStr">
        <is>
          <t>F59</t>
        </is>
      </c>
      <c r="F76" t="inlineStr">
        <is>
          <t>The Impact of Economic Wellbeing in Rockland County (n = 127)</t>
        </is>
      </c>
      <c r="G76" s="9" t="inlineStr">
        <is>
          <t>tbl-RC-eco-wellbeing</t>
        </is>
      </c>
      <c r="H76" s="9" t="inlineStr">
        <is>
          <t>fig-RC-eco-wellbeing</t>
        </is>
      </c>
      <c r="I76" t="inlineStr">
        <is>
          <t xml:space="preserve">Community Partner Survey </t>
        </is>
      </c>
      <c r="K76" t="inlineStr">
        <is>
          <t>Community Partner Survey</t>
        </is>
      </c>
      <c r="L76" t="inlineStr">
        <is>
          <t>Dutchess</t>
        </is>
      </c>
    </row>
    <row r="77">
      <c r="A77" t="inlineStr">
        <is>
          <t>Activate</t>
        </is>
      </c>
      <c r="B77" t="n">
        <v>76</v>
      </c>
      <c r="E77" t="inlineStr">
        <is>
          <t>F60</t>
        </is>
      </c>
      <c r="F77" t="inlineStr">
        <is>
          <t>The Impact of Mental Wellbeing &amp; Substance Use in Rockland County (n = 125)</t>
        </is>
      </c>
      <c r="G77" s="9" t="inlineStr">
        <is>
          <t>tbl-RC-impact-mhsu</t>
        </is>
      </c>
      <c r="H77" s="9" t="inlineStr">
        <is>
          <t>fig-RC-impact-mhsu</t>
        </is>
      </c>
      <c r="I77" t="inlineStr">
        <is>
          <t xml:space="preserve">Community Partner Survey </t>
        </is>
      </c>
      <c r="K77" t="inlineStr">
        <is>
          <t>Community Partner Survey</t>
        </is>
      </c>
      <c r="L77" t="inlineStr">
        <is>
          <t>Dutchess</t>
        </is>
      </c>
    </row>
    <row r="78">
      <c r="A78" t="inlineStr">
        <is>
          <t>Activate</t>
        </is>
      </c>
      <c r="B78" t="n">
        <v>77</v>
      </c>
      <c r="E78" t="inlineStr">
        <is>
          <t>F61</t>
        </is>
      </c>
      <c r="F78" t="inlineStr">
        <is>
          <t>The Impact of Health Insurance Coverage &amp; Access to Care in Rockland County (n = 124)</t>
        </is>
      </c>
      <c r="G78" s="9" t="inlineStr">
        <is>
          <t>tbl-RC-impact-hlthinsur-access</t>
        </is>
      </c>
      <c r="H78" s="9" t="inlineStr">
        <is>
          <t>fig-RC-impact-hlthinsur-access</t>
        </is>
      </c>
      <c r="I78" t="inlineStr">
        <is>
          <t xml:space="preserve">Community Partner Survey </t>
        </is>
      </c>
      <c r="K78" t="inlineStr">
        <is>
          <t>Community Partner Survey</t>
        </is>
      </c>
      <c r="L78" t="inlineStr">
        <is>
          <t>Dutchess</t>
        </is>
      </c>
    </row>
    <row r="79">
      <c r="A79" t="inlineStr">
        <is>
          <t>Activate</t>
        </is>
      </c>
      <c r="B79" t="n">
        <v>78</v>
      </c>
      <c r="E79" t="inlineStr">
        <is>
          <t>F62</t>
        </is>
      </c>
      <c r="F79" t="inlineStr">
        <is>
          <t>Top Rated Issues That Affect Health in Sullivan County (n = 102)</t>
        </is>
      </c>
      <c r="G79" s="9" t="inlineStr">
        <is>
          <t>tbl-SC-affect-health</t>
        </is>
      </c>
      <c r="H79" s="9" t="inlineStr">
        <is>
          <t>fig-SC-affect-health</t>
        </is>
      </c>
      <c r="I79" t="inlineStr">
        <is>
          <t xml:space="preserve">Community Partner Survey </t>
        </is>
      </c>
      <c r="K79" t="inlineStr">
        <is>
          <t>Community Partner Survey</t>
        </is>
      </c>
      <c r="L79" t="inlineStr">
        <is>
          <t>Dutchess</t>
        </is>
      </c>
    </row>
    <row r="80">
      <c r="A80" t="inlineStr">
        <is>
          <t>Activate</t>
        </is>
      </c>
      <c r="B80" t="n">
        <v>79</v>
      </c>
      <c r="E80" t="inlineStr">
        <is>
          <t>F63</t>
        </is>
      </c>
      <c r="F80" t="inlineStr">
        <is>
          <t>Top Rated Barriers to Achieving Better Health in Sullivan County (n = 102)</t>
        </is>
      </c>
      <c r="G80" s="9" t="inlineStr">
        <is>
          <t>tbl-SC-achieve-health</t>
        </is>
      </c>
      <c r="H80" s="9" t="inlineStr">
        <is>
          <t>fig-SC-achieve-health</t>
        </is>
      </c>
      <c r="I80" t="inlineStr">
        <is>
          <t xml:space="preserve">Community Partner Survey </t>
        </is>
      </c>
      <c r="K80" t="inlineStr">
        <is>
          <t>Community Partner Survey</t>
        </is>
      </c>
      <c r="L80" t="inlineStr">
        <is>
          <t>Dutchess</t>
        </is>
      </c>
    </row>
    <row r="81">
      <c r="A81" t="inlineStr">
        <is>
          <t>Activate</t>
        </is>
      </c>
      <c r="B81" t="n">
        <v>80</v>
      </c>
      <c r="E81" t="inlineStr">
        <is>
          <t>F64</t>
        </is>
      </c>
      <c r="F81" t="inlineStr">
        <is>
          <t>The Impact of Health Issues in Sullivan County (n = 98)</t>
        </is>
      </c>
      <c r="G81" s="9" t="inlineStr">
        <is>
          <t>tbl-SC-impact-hlth-issue</t>
        </is>
      </c>
      <c r="H81" s="9" t="inlineStr">
        <is>
          <t>fig-SC-impact-hlth-issue</t>
        </is>
      </c>
      <c r="I81" t="inlineStr">
        <is>
          <t xml:space="preserve">Community Partner Survey </t>
        </is>
      </c>
      <c r="K81" t="inlineStr">
        <is>
          <t>Community Partner Survey</t>
        </is>
      </c>
      <c r="L81" t="inlineStr">
        <is>
          <t>Dutchess</t>
        </is>
      </c>
    </row>
    <row r="82">
      <c r="A82" t="inlineStr">
        <is>
          <t>Activate</t>
        </is>
      </c>
      <c r="B82" t="n">
        <v>81</v>
      </c>
      <c r="E82" t="inlineStr">
        <is>
          <t>F65</t>
        </is>
      </c>
      <c r="F82" t="inlineStr">
        <is>
          <t>The Impact of the Social Determinants of Health in Sullivan County (n = 96)</t>
        </is>
      </c>
      <c r="G82" s="9" t="inlineStr">
        <is>
          <t>tbl-SC-impact-sdoh</t>
        </is>
      </c>
      <c r="H82" s="9" t="inlineStr">
        <is>
          <t>fig-SC-impact-sdoh</t>
        </is>
      </c>
      <c r="I82" t="inlineStr">
        <is>
          <t xml:space="preserve">Community Partner Survey </t>
        </is>
      </c>
      <c r="K82" t="inlineStr">
        <is>
          <t>Community Partner Survey</t>
        </is>
      </c>
      <c r="L82" t="inlineStr">
        <is>
          <t>Dutchess</t>
        </is>
      </c>
    </row>
    <row r="83">
      <c r="A83" t="inlineStr">
        <is>
          <t>Activate</t>
        </is>
      </c>
      <c r="B83" t="n">
        <v>82</v>
      </c>
      <c r="E83" t="inlineStr">
        <is>
          <t>F66</t>
        </is>
      </c>
      <c r="F83" t="inlineStr">
        <is>
          <t>The Impact of Economic Wellbeing in Sullivan County (n = 95)</t>
        </is>
      </c>
      <c r="G83" s="9" t="inlineStr">
        <is>
          <t>tbl-SC-eco-wellbeing</t>
        </is>
      </c>
      <c r="H83" s="9" t="inlineStr">
        <is>
          <t>fig-SC-eco-wellbeing</t>
        </is>
      </c>
      <c r="I83" t="inlineStr">
        <is>
          <t xml:space="preserve">Community Partner Survey </t>
        </is>
      </c>
      <c r="K83" t="inlineStr">
        <is>
          <t>Community Partner Survey</t>
        </is>
      </c>
      <c r="L83" t="inlineStr">
        <is>
          <t>Dutchess</t>
        </is>
      </c>
    </row>
    <row r="84">
      <c r="A84" t="inlineStr">
        <is>
          <t>Activate</t>
        </is>
      </c>
      <c r="B84" t="n">
        <v>83</v>
      </c>
      <c r="E84" t="inlineStr">
        <is>
          <t>F67</t>
        </is>
      </c>
      <c r="F84" t="inlineStr">
        <is>
          <t>The Impact of Mental Wellbeing &amp; Substance Use in Sullivan County (n = 93)</t>
        </is>
      </c>
      <c r="G84" s="9" t="inlineStr">
        <is>
          <t>tbl-SC-impact-mhsu</t>
        </is>
      </c>
      <c r="H84" s="9" t="inlineStr">
        <is>
          <t>fig-SC-impact-mhsu</t>
        </is>
      </c>
      <c r="I84" t="inlineStr">
        <is>
          <t xml:space="preserve">Community Partner Survey </t>
        </is>
      </c>
      <c r="K84" t="inlineStr">
        <is>
          <t>Community Partner Survey</t>
        </is>
      </c>
      <c r="L84" t="inlineStr">
        <is>
          <t>Dutchess</t>
        </is>
      </c>
    </row>
    <row r="85">
      <c r="A85" t="inlineStr">
        <is>
          <t>Activate</t>
        </is>
      </c>
      <c r="B85" t="n">
        <v>84</v>
      </c>
      <c r="E85" t="inlineStr">
        <is>
          <t>F68</t>
        </is>
      </c>
      <c r="F85" t="inlineStr">
        <is>
          <t>The Impact of Health Insurance Coverage &amp; Access to Care in Sullivan County (n = 92)</t>
        </is>
      </c>
      <c r="G85" s="9" t="inlineStr">
        <is>
          <t>tbl-SC-impact-hlthinsur-access</t>
        </is>
      </c>
      <c r="H85" s="9" t="inlineStr">
        <is>
          <t>fig-SC-impact-hlthinsur-access</t>
        </is>
      </c>
      <c r="I85" t="inlineStr">
        <is>
          <t xml:space="preserve">Community Partner Survey </t>
        </is>
      </c>
      <c r="K85" t="inlineStr">
        <is>
          <t>Community Partner Survey</t>
        </is>
      </c>
      <c r="L85" t="inlineStr">
        <is>
          <t>Dutchess</t>
        </is>
      </c>
    </row>
    <row r="86">
      <c r="A86" t="inlineStr">
        <is>
          <t>Activate</t>
        </is>
      </c>
      <c r="B86" t="n">
        <v>85</v>
      </c>
      <c r="E86" t="inlineStr">
        <is>
          <t>F69</t>
        </is>
      </c>
      <c r="F86" t="inlineStr">
        <is>
          <t>Top Rated Issues That Affect Health in Ulster County (n = 73)</t>
        </is>
      </c>
      <c r="G86" s="9" t="inlineStr">
        <is>
          <t>tbl-UC-affect-health</t>
        </is>
      </c>
      <c r="H86" s="9" t="inlineStr">
        <is>
          <t>fig-UC-affect-health</t>
        </is>
      </c>
      <c r="I86" t="inlineStr">
        <is>
          <t xml:space="preserve">Community Partner Survey </t>
        </is>
      </c>
      <c r="K86" t="inlineStr">
        <is>
          <t>Community Partner Survey</t>
        </is>
      </c>
      <c r="L86" t="inlineStr">
        <is>
          <t>Dutchess</t>
        </is>
      </c>
    </row>
    <row r="87">
      <c r="A87" t="inlineStr">
        <is>
          <t>Activate</t>
        </is>
      </c>
      <c r="B87" t="n">
        <v>86</v>
      </c>
      <c r="E87" t="inlineStr">
        <is>
          <t>F70</t>
        </is>
      </c>
      <c r="F87" t="inlineStr">
        <is>
          <t>Top Rated Barriers to Achieving Better Health in Ulster County (n = 73)</t>
        </is>
      </c>
      <c r="G87" s="9" t="inlineStr">
        <is>
          <t>tbl-UC-achieve-health</t>
        </is>
      </c>
      <c r="H87" s="9" t="inlineStr">
        <is>
          <t>fig-UC-achieve-health</t>
        </is>
      </c>
      <c r="I87" t="inlineStr">
        <is>
          <t xml:space="preserve">Community Partner Survey </t>
        </is>
      </c>
      <c r="K87" t="inlineStr">
        <is>
          <t>Community Partner Survey</t>
        </is>
      </c>
      <c r="L87" t="inlineStr">
        <is>
          <t>Dutchess</t>
        </is>
      </c>
    </row>
    <row r="88">
      <c r="A88" t="inlineStr">
        <is>
          <t>Activate</t>
        </is>
      </c>
      <c r="B88" t="n">
        <v>87</v>
      </c>
      <c r="E88" t="inlineStr">
        <is>
          <t>F71</t>
        </is>
      </c>
      <c r="F88" t="inlineStr">
        <is>
          <t>The Impact of Health Issues in Ulster County (n = 73)</t>
        </is>
      </c>
      <c r="G88" s="9" t="inlineStr">
        <is>
          <t>tbl-UC-impact-hlth-issue</t>
        </is>
      </c>
      <c r="H88" s="9" t="inlineStr">
        <is>
          <t>fig-UC-impact-hlth-issue</t>
        </is>
      </c>
      <c r="I88" t="inlineStr">
        <is>
          <t xml:space="preserve">Community Partner Survey </t>
        </is>
      </c>
      <c r="K88" t="inlineStr">
        <is>
          <t>Community Partner Survey</t>
        </is>
      </c>
      <c r="L88" t="inlineStr">
        <is>
          <t>Dutchess</t>
        </is>
      </c>
    </row>
    <row r="89">
      <c r="A89" t="inlineStr">
        <is>
          <t>Activate</t>
        </is>
      </c>
      <c r="B89" t="n">
        <v>88</v>
      </c>
      <c r="E89" t="inlineStr">
        <is>
          <t>F72</t>
        </is>
      </c>
      <c r="F89" t="inlineStr">
        <is>
          <t>The Impact of the Social Determinants of Health in Ulster County (n = 70)</t>
        </is>
      </c>
      <c r="G89" s="9" t="inlineStr">
        <is>
          <t>tbl-UC-impact-sdoh</t>
        </is>
      </c>
      <c r="H89" s="9" t="inlineStr">
        <is>
          <t>fig-UC-impact-sdoh</t>
        </is>
      </c>
      <c r="I89" t="inlineStr">
        <is>
          <t xml:space="preserve">Community Partner Survey </t>
        </is>
      </c>
      <c r="K89" t="inlineStr">
        <is>
          <t>Community Partner Survey</t>
        </is>
      </c>
      <c r="L89" t="inlineStr">
        <is>
          <t>Dutchess</t>
        </is>
      </c>
    </row>
    <row r="90">
      <c r="A90" t="inlineStr">
        <is>
          <t>Activate</t>
        </is>
      </c>
      <c r="B90" t="n">
        <v>89</v>
      </c>
      <c r="E90" t="inlineStr">
        <is>
          <t>F73</t>
        </is>
      </c>
      <c r="F90" t="inlineStr">
        <is>
          <t>The Impact of Economic Wellbeing in Ulster County (n = 69)</t>
        </is>
      </c>
      <c r="G90" s="9" t="inlineStr">
        <is>
          <t>tbl-UC-eco-wellbeing</t>
        </is>
      </c>
      <c r="H90" s="9" t="inlineStr">
        <is>
          <t>fig-UC-eco-wellbeing</t>
        </is>
      </c>
      <c r="I90" t="inlineStr">
        <is>
          <t xml:space="preserve">Community Partner Survey </t>
        </is>
      </c>
      <c r="K90" t="inlineStr">
        <is>
          <t>Community Partner Survey</t>
        </is>
      </c>
      <c r="L90" t="inlineStr">
        <is>
          <t>Dutchess</t>
        </is>
      </c>
    </row>
    <row r="91">
      <c r="A91" t="inlineStr">
        <is>
          <t>Activate</t>
        </is>
      </c>
      <c r="B91" t="n">
        <v>90</v>
      </c>
      <c r="E91" t="inlineStr">
        <is>
          <t>F74</t>
        </is>
      </c>
      <c r="F91" t="inlineStr">
        <is>
          <t>The Impact of Mental Wellbeing &amp; Substance Use in Ulster County (n = 67)</t>
        </is>
      </c>
      <c r="G91" s="9" t="inlineStr">
        <is>
          <t>tbl-UC-impact-mhsu</t>
        </is>
      </c>
      <c r="H91" s="9" t="inlineStr">
        <is>
          <t>fig-UC-impact-mhsu</t>
        </is>
      </c>
      <c r="I91" t="inlineStr">
        <is>
          <t xml:space="preserve">Community Partner Survey </t>
        </is>
      </c>
      <c r="K91" t="inlineStr">
        <is>
          <t>Community Partner Survey</t>
        </is>
      </c>
      <c r="L91" t="inlineStr">
        <is>
          <t>Dutchess</t>
        </is>
      </c>
    </row>
    <row r="92">
      <c r="A92" t="inlineStr">
        <is>
          <t>Activate</t>
        </is>
      </c>
      <c r="B92" t="n">
        <v>91</v>
      </c>
      <c r="E92" t="inlineStr">
        <is>
          <t>F75</t>
        </is>
      </c>
      <c r="F92" t="inlineStr">
        <is>
          <t>The Impact of Health Insurance Coverage &amp; Access to Care in Ulster County (n = 66)</t>
        </is>
      </c>
      <c r="G92" s="9" t="inlineStr">
        <is>
          <t>tbl-UC-impact-hlthinsur-access</t>
        </is>
      </c>
      <c r="H92" s="9" t="inlineStr">
        <is>
          <t>fig-UC-impact-hlthinsur-access</t>
        </is>
      </c>
      <c r="I92" t="inlineStr">
        <is>
          <t xml:space="preserve">Community Partner Survey </t>
        </is>
      </c>
      <c r="K92" t="inlineStr">
        <is>
          <t>Community Partner Survey</t>
        </is>
      </c>
      <c r="L92" t="inlineStr">
        <is>
          <t>Dutchess</t>
        </is>
      </c>
    </row>
    <row r="93">
      <c r="A93" t="inlineStr">
        <is>
          <t>Activate</t>
        </is>
      </c>
      <c r="B93" t="n">
        <v>92</v>
      </c>
      <c r="E93" t="inlineStr">
        <is>
          <t>F76</t>
        </is>
      </c>
      <c r="F93" t="inlineStr">
        <is>
          <t>Top Rated Issues That Affect Health in Westchester County (n = 40)</t>
        </is>
      </c>
      <c r="G93" s="9" t="inlineStr">
        <is>
          <t>tbl-WC-affect-health</t>
        </is>
      </c>
      <c r="H93" s="9" t="inlineStr">
        <is>
          <t>fig-WC-affect-health</t>
        </is>
      </c>
      <c r="I93" t="inlineStr">
        <is>
          <t xml:space="preserve">Community Partner Survey </t>
        </is>
      </c>
      <c r="K93" t="inlineStr">
        <is>
          <t>Community Partner Survey</t>
        </is>
      </c>
      <c r="L93" t="inlineStr">
        <is>
          <t>Dutchess</t>
        </is>
      </c>
    </row>
    <row r="94">
      <c r="A94" t="inlineStr">
        <is>
          <t>Activate</t>
        </is>
      </c>
      <c r="B94" t="n">
        <v>93</v>
      </c>
      <c r="E94" t="inlineStr">
        <is>
          <t>F77</t>
        </is>
      </c>
      <c r="F94" t="inlineStr">
        <is>
          <t>Top Rated Barriers to Achieving Better Health in Westchester County (n = 40)</t>
        </is>
      </c>
      <c r="G94" s="9" t="inlineStr">
        <is>
          <t>tbl-WC-achieve-health</t>
        </is>
      </c>
      <c r="H94" s="9" t="inlineStr">
        <is>
          <t>fig-WC-achieve-health</t>
        </is>
      </c>
      <c r="I94" t="inlineStr">
        <is>
          <t xml:space="preserve">Community Partner Survey </t>
        </is>
      </c>
      <c r="K94" t="inlineStr">
        <is>
          <t>Community Partner Survey</t>
        </is>
      </c>
      <c r="L94" t="inlineStr">
        <is>
          <t>Dutchess</t>
        </is>
      </c>
    </row>
    <row r="95">
      <c r="A95" t="inlineStr">
        <is>
          <t>Activate</t>
        </is>
      </c>
      <c r="B95" t="n">
        <v>94</v>
      </c>
      <c r="E95" t="inlineStr">
        <is>
          <t>F78</t>
        </is>
      </c>
      <c r="F95" t="inlineStr">
        <is>
          <t>The Impact of Health Issues in Westchester County (n = 39)</t>
        </is>
      </c>
      <c r="G95" s="9" t="inlineStr">
        <is>
          <t>tbl-WC-impact-hlth-issue</t>
        </is>
      </c>
      <c r="H95" s="9" t="inlineStr">
        <is>
          <t>fig-WC-impact-hlth-issue</t>
        </is>
      </c>
      <c r="I95" t="inlineStr">
        <is>
          <t xml:space="preserve">Community Partner Survey </t>
        </is>
      </c>
      <c r="K95" t="inlineStr">
        <is>
          <t>Community Partner Survey</t>
        </is>
      </c>
      <c r="L95" t="inlineStr">
        <is>
          <t>Dutchess</t>
        </is>
      </c>
    </row>
    <row r="96">
      <c r="A96" t="inlineStr">
        <is>
          <t>Activate</t>
        </is>
      </c>
      <c r="B96" t="n">
        <v>95</v>
      </c>
      <c r="E96" t="inlineStr">
        <is>
          <t>F79</t>
        </is>
      </c>
      <c r="F96" t="inlineStr">
        <is>
          <t>The Impact of the Social Determinants of Health in Westchester County (n = 38)</t>
        </is>
      </c>
      <c r="G96" s="9" t="inlineStr">
        <is>
          <t>tbl-WC-impact-sdoh</t>
        </is>
      </c>
      <c r="H96" s="9" t="inlineStr">
        <is>
          <t>fig-WC-impact-sdoh</t>
        </is>
      </c>
      <c r="I96" t="inlineStr">
        <is>
          <t xml:space="preserve">Community Partner Survey </t>
        </is>
      </c>
      <c r="K96" t="inlineStr">
        <is>
          <t>Community Partner Survey</t>
        </is>
      </c>
      <c r="L96" t="inlineStr">
        <is>
          <t>Dutchess</t>
        </is>
      </c>
    </row>
    <row r="97">
      <c r="A97" t="inlineStr">
        <is>
          <t>Activate</t>
        </is>
      </c>
      <c r="B97" t="n">
        <v>96</v>
      </c>
      <c r="E97" t="inlineStr">
        <is>
          <t>F80</t>
        </is>
      </c>
      <c r="F97" t="inlineStr">
        <is>
          <t>The Impact of Economic Wellbeing in Westchester County (n = 37)</t>
        </is>
      </c>
      <c r="G97" s="9" t="inlineStr">
        <is>
          <t>tbl-WC-eco-wellbeing</t>
        </is>
      </c>
      <c r="H97" s="9" t="inlineStr">
        <is>
          <t>fig-WC-eco-wellbeing</t>
        </is>
      </c>
      <c r="I97" t="inlineStr">
        <is>
          <t xml:space="preserve">Community Partner Survey </t>
        </is>
      </c>
      <c r="K97" t="inlineStr">
        <is>
          <t>Community Partner Survey</t>
        </is>
      </c>
      <c r="L97" t="inlineStr">
        <is>
          <t>Dutchess</t>
        </is>
      </c>
    </row>
    <row r="98">
      <c r="A98" t="inlineStr">
        <is>
          <t>Activate</t>
        </is>
      </c>
      <c r="B98" t="n">
        <v>97</v>
      </c>
      <c r="E98" t="inlineStr">
        <is>
          <t>F81</t>
        </is>
      </c>
      <c r="F98" t="inlineStr">
        <is>
          <t>The Impact of Mental Wellbeing &amp; Substance Use in Westchester County (n = 35)</t>
        </is>
      </c>
      <c r="G98" s="9" t="inlineStr">
        <is>
          <t>tbl-WC-impact-mhsu</t>
        </is>
      </c>
      <c r="H98" s="9" t="inlineStr">
        <is>
          <t>fig-WC-impact-mhsu</t>
        </is>
      </c>
      <c r="I98" t="inlineStr">
        <is>
          <t xml:space="preserve">Community Partner Survey </t>
        </is>
      </c>
      <c r="K98" t="inlineStr">
        <is>
          <t>Community Partner Survey</t>
        </is>
      </c>
      <c r="L98" t="inlineStr">
        <is>
          <t>Dutchess</t>
        </is>
      </c>
    </row>
    <row r="99">
      <c r="A99" t="inlineStr">
        <is>
          <t>Activate</t>
        </is>
      </c>
      <c r="B99" t="n">
        <v>98</v>
      </c>
      <c r="E99" t="inlineStr">
        <is>
          <t>F82</t>
        </is>
      </c>
      <c r="F99" t="inlineStr">
        <is>
          <t>The Impact of Health Insurance Coverage &amp; Access to Care in Westchester County (n = 35)</t>
        </is>
      </c>
      <c r="G99" s="9" t="inlineStr">
        <is>
          <t>tbl-WC-impact-hlthinsur-access</t>
        </is>
      </c>
      <c r="H99" s="9" t="inlineStr">
        <is>
          <t>fig-WC-impact-hlthinsur-access</t>
        </is>
      </c>
      <c r="I99" t="inlineStr">
        <is>
          <t xml:space="preserve">Community Partner Survey </t>
        </is>
      </c>
      <c r="K99" t="inlineStr">
        <is>
          <t>Community Partner Survey</t>
        </is>
      </c>
      <c r="L99" t="inlineStr">
        <is>
          <t>Dutchess</t>
        </is>
      </c>
    </row>
    <row r="100" ht="16" customHeight="1" s="99">
      <c r="A100" t="inlineStr">
        <is>
          <t>Activate</t>
        </is>
      </c>
      <c r="B100" t="n">
        <v>99</v>
      </c>
      <c r="E100" t="inlineStr">
        <is>
          <t>F83</t>
        </is>
      </c>
      <c r="F100" s="50" t="inlineStr">
        <is>
          <t>Percentage of Adults Who Participated in Leisure Time Physical Activity in the Past 30 Days, 2016, 2018, and 2021</t>
        </is>
      </c>
      <c r="G100" s="9" t="inlineStr">
        <is>
          <t>tbl-BRFSS-adult-leisure-PA</t>
        </is>
      </c>
      <c r="H100" s="9" t="inlineStr">
        <is>
          <t>fig-BRFSS-leisure-PA</t>
        </is>
      </c>
      <c r="I100" t="inlineStr">
        <is>
          <t xml:space="preserve">NYS Behavioral Risk Factor Surveillance System (NYS Behavioral Risk Factor Surveillance System (BRFSS) ) </t>
        </is>
      </c>
      <c r="K100" t="inlineStr">
        <is>
          <t>BRFSS</t>
        </is>
      </c>
      <c r="L100" t="inlineStr">
        <is>
          <t>Sullivan</t>
        </is>
      </c>
    </row>
    <row r="101">
      <c r="A101" t="inlineStr">
        <is>
          <t>Activate</t>
        </is>
      </c>
      <c r="B101" t="n">
        <v>100</v>
      </c>
      <c r="E101" t="inlineStr">
        <is>
          <t>F84</t>
        </is>
      </c>
      <c r="F101" t="inlineStr">
        <is>
          <t>Percentage of Adults Who Report Consuming Less Than One Fruit and Less Than One Vegetable Daily, 2016, 2018, and 2021</t>
        </is>
      </c>
      <c r="G101" s="9" t="inlineStr">
        <is>
          <t>tbl-BRFSS-adult-fruit-veg</t>
        </is>
      </c>
      <c r="H101" s="9" t="inlineStr">
        <is>
          <t>fig-BRFSS-fruit-veg</t>
        </is>
      </c>
      <c r="I101" t="inlineStr">
        <is>
          <t xml:space="preserve">NYS Behavioral Risk Factor Surveillance System (NYS Behavioral Risk Factor Surveillance System (BRFSS) ) </t>
        </is>
      </c>
      <c r="K101" t="inlineStr">
        <is>
          <t>BRFSS</t>
        </is>
      </c>
      <c r="L101" t="inlineStr">
        <is>
          <t>Sullivan</t>
        </is>
      </c>
    </row>
    <row r="102">
      <c r="A102" t="inlineStr">
        <is>
          <t>Activate</t>
        </is>
      </c>
      <c r="B102" t="n">
        <v>101</v>
      </c>
      <c r="E102" t="inlineStr">
        <is>
          <t>F85</t>
        </is>
      </c>
      <c r="F102" t="inlineStr">
        <is>
          <t>Percentage of Adults Who Consume One or More Sugary Beverages Daily, 2016, 2018, and 2021</t>
        </is>
      </c>
      <c r="G102" s="9" t="inlineStr">
        <is>
          <t>tbl-BRFSS-adult-sug-bev</t>
        </is>
      </c>
      <c r="H102" s="9" t="inlineStr">
        <is>
          <t>fig-BRFSS-sug-bev</t>
        </is>
      </c>
      <c r="I102" t="inlineStr">
        <is>
          <t xml:space="preserve">NYS Behavioral Risk Factor Surveillance System (NYS Behavioral Risk Factor Surveillance System (BRFSS) ) </t>
        </is>
      </c>
      <c r="K102" t="inlineStr">
        <is>
          <t>BRFSS</t>
        </is>
      </c>
      <c r="L102" t="inlineStr">
        <is>
          <t>Sullivan</t>
        </is>
      </c>
    </row>
    <row r="103">
      <c r="A103" t="inlineStr">
        <is>
          <t>Activate</t>
        </is>
      </c>
      <c r="B103" t="n">
        <v>102</v>
      </c>
      <c r="E103" t="inlineStr">
        <is>
          <t>T17</t>
        </is>
      </c>
      <c r="F103" t="inlineStr">
        <is>
          <t xml:space="preserve">Top Five Leading Causes of Death, by Count and Age-Adjusted Rate per 100,000 Population, 2022 </t>
        </is>
      </c>
      <c r="G103" s="9" t="inlineStr">
        <is>
          <t>tbl-five-lead-death-aar</t>
        </is>
      </c>
      <c r="H103" s="9" t="inlineStr">
        <is>
          <t>fig-five-lead-death</t>
        </is>
      </c>
      <c r="I103" t="inlineStr">
        <is>
          <t xml:space="preserve">NYS Vital Statistics </t>
        </is>
      </c>
      <c r="J103" t="inlineStr">
        <is>
          <t>Leading Causes of Death</t>
        </is>
      </c>
      <c r="K103" t="inlineStr">
        <is>
          <t>Vital Statistics of NYS</t>
        </is>
      </c>
      <c r="L103" t="inlineStr">
        <is>
          <t>Ulster</t>
        </is>
      </c>
    </row>
    <row r="104">
      <c r="A104" t="inlineStr">
        <is>
          <t>Activate</t>
        </is>
      </c>
      <c r="B104" t="n">
        <v>103</v>
      </c>
      <c r="E104" t="inlineStr">
        <is>
          <t>F86</t>
        </is>
      </c>
      <c r="F104" t="inlineStr">
        <is>
          <t xml:space="preserve">Percentage of Deaths That are Premature, 2019–2022 </t>
        </is>
      </c>
      <c r="G104" s="9" t="inlineStr">
        <is>
          <t>tbl-premature-death-percent</t>
        </is>
      </c>
      <c r="H104" s="9">
        <f>IF(LEFT(G104,4)="tbl-","fig-" &amp; MID(G104,5,LEN(G104)-4),"")</f>
        <v/>
      </c>
      <c r="I104" t="inlineStr">
        <is>
          <t xml:space="preserve">NYS Prevention Agenda Tracking Dashboard </t>
        </is>
      </c>
      <c r="K104" t="inlineStr">
        <is>
          <t>Vital Statistics of NYS</t>
        </is>
      </c>
      <c r="L104" t="inlineStr">
        <is>
          <t>Ulster</t>
        </is>
      </c>
    </row>
    <row r="105">
      <c r="A105" t="inlineStr">
        <is>
          <t>Activate</t>
        </is>
      </c>
      <c r="B105" t="n">
        <v>104</v>
      </c>
      <c r="E105" t="inlineStr">
        <is>
          <t>F87</t>
        </is>
      </c>
      <c r="F105" t="inlineStr">
        <is>
          <t>Premature Deaths, Percentage Difference Between Black Non-Hispanics and White Non-Hispanics, 2019–2022</t>
        </is>
      </c>
      <c r="G105" s="9" t="inlineStr">
        <is>
          <t>tbl-premature-death-percent-diff-BNHvsWNH</t>
        </is>
      </c>
      <c r="H105" s="9">
        <f>IF(LEFT(G105,4)="tbl-","fig-" &amp; MID(G105,5,LEN(G105)-4),"")</f>
        <v/>
      </c>
      <c r="I105" t="inlineStr">
        <is>
          <t xml:space="preserve">NYS Prevention Agenda Tracking Dashboard </t>
        </is>
      </c>
      <c r="K105" t="inlineStr">
        <is>
          <t>Vital Statistics of NYS</t>
        </is>
      </c>
      <c r="L105" t="inlineStr">
        <is>
          <t>Ulster</t>
        </is>
      </c>
    </row>
    <row r="106">
      <c r="A106" t="inlineStr">
        <is>
          <t>Activate</t>
        </is>
      </c>
      <c r="B106" t="n">
        <v>105</v>
      </c>
      <c r="E106" t="inlineStr">
        <is>
          <t>F88</t>
        </is>
      </c>
      <c r="F106" t="inlineStr">
        <is>
          <t>Premature Deaths, Percentage Difference Between Hispanics and White Non-Hispanics, 2019–2022</t>
        </is>
      </c>
      <c r="G106" s="9" t="inlineStr">
        <is>
          <t>tbl-premature-death-percent-diff-HvsWNH</t>
        </is>
      </c>
      <c r="H106" s="9">
        <f>IF(LEFT(G106,4)="tbl-","fig-" &amp; MID(G106,5,LEN(G106)-4),"")</f>
        <v/>
      </c>
      <c r="I106" t="inlineStr">
        <is>
          <t xml:space="preserve">NYS Prevention Agenda Tracking Dashboard </t>
        </is>
      </c>
      <c r="K106" t="inlineStr">
        <is>
          <t xml:space="preserve">Vital Statistics of NYS </t>
        </is>
      </c>
      <c r="L106" t="inlineStr">
        <is>
          <t>Ulster</t>
        </is>
      </c>
    </row>
    <row r="107">
      <c r="A107" t="inlineStr">
        <is>
          <t>Activate</t>
        </is>
      </c>
      <c r="B107" t="n">
        <v>106</v>
      </c>
      <c r="E107" t="inlineStr">
        <is>
          <t>F89</t>
        </is>
      </c>
      <c r="F107" t="inlineStr">
        <is>
          <t>Chronic Lower Respiratory Disease Hospitalization, Age-Adjusted Rate per 10,000 Population, 2020–2022</t>
        </is>
      </c>
      <c r="G107" s="9" t="inlineStr">
        <is>
          <t>tbl-clrd-hospital-aar</t>
        </is>
      </c>
      <c r="H107" s="9">
        <f>IF(LEFT(G107,4)="tbl-","fig-" &amp; MID(G107,5,LEN(G107)-4),"")</f>
        <v/>
      </c>
    </row>
    <row r="108">
      <c r="A108" t="inlineStr">
        <is>
          <t>Activate</t>
        </is>
      </c>
      <c r="B108" t="n">
        <v>107</v>
      </c>
      <c r="E108" t="inlineStr">
        <is>
          <t>F90</t>
        </is>
      </c>
      <c r="F108" t="inlineStr">
        <is>
          <t>Chronic Lower Respiratory Disease Mortality, Age-Adjusted Rate per 100,000 Population, 2020-2022</t>
        </is>
      </c>
      <c r="G108" s="9" t="inlineStr">
        <is>
          <t>tbl-clrd-mortal-aar</t>
        </is>
      </c>
      <c r="H108" s="9">
        <f>IF(LEFT(G108,4)="tbl-","fig-" &amp; MID(G108,5,LEN(G108)-4),"")</f>
        <v/>
      </c>
      <c r="I108" t="inlineStr">
        <is>
          <t>NYS Community Health Indicator Reports (CHIRS)</t>
        </is>
      </c>
      <c r="K108" t="inlineStr">
        <is>
          <t>NY Statewide Planning and Research Cooperative System</t>
        </is>
      </c>
      <c r="L108" t="inlineStr">
        <is>
          <t>Dutchess</t>
        </is>
      </c>
    </row>
    <row r="109">
      <c r="A109" t="inlineStr">
        <is>
          <t>Activate</t>
        </is>
      </c>
      <c r="B109" t="n">
        <v>108</v>
      </c>
      <c r="E109" t="inlineStr">
        <is>
          <t>F91</t>
        </is>
      </c>
      <c r="F109" t="inlineStr">
        <is>
          <t>Chronic Lower Respiratory Disease Hospitalization, Age-Adjusted Rate per 10,000 by Race and Ethnicity, 2020–2022</t>
        </is>
      </c>
      <c r="G109" s="9" t="inlineStr">
        <is>
          <t>tbl-clrd-hospital-rande-aar</t>
        </is>
      </c>
      <c r="H109" s="9">
        <f>IF(LEFT(G109,4)="tbl-","fig-" &amp; MID(G109,5,LEN(G109)-4),"")</f>
        <v/>
      </c>
    </row>
    <row r="110">
      <c r="A110" t="inlineStr">
        <is>
          <t>Activate</t>
        </is>
      </c>
      <c r="B110" t="n">
        <v>109</v>
      </c>
      <c r="E110" t="inlineStr">
        <is>
          <t>F92</t>
        </is>
      </c>
      <c r="F110" t="inlineStr">
        <is>
          <t>Chronic Lower Respiratory Disease Mortality, Age-Adjusted Rate per 100,000 Population by Race and Ethnicity, 2020–2022</t>
        </is>
      </c>
      <c r="G110" s="9" t="inlineStr">
        <is>
          <t>tbl-clrd-mortal-rande-aar</t>
        </is>
      </c>
      <c r="H110" s="9">
        <f>IF(LEFT(G110,4)="tbl-","fig-" &amp; MID(G110,5,LEN(G110)-4),"")</f>
        <v/>
      </c>
      <c r="I110" t="inlineStr">
        <is>
          <t>NYS Community Health Indicator Reports (CHIRS)</t>
        </is>
      </c>
      <c r="K110" t="inlineStr">
        <is>
          <t>Vital Statistics of NYS</t>
        </is>
      </c>
      <c r="L110" t="inlineStr">
        <is>
          <t>Dutchess</t>
        </is>
      </c>
    </row>
    <row r="111">
      <c r="A111" t="inlineStr">
        <is>
          <t>Activate</t>
        </is>
      </c>
      <c r="B111" t="n">
        <v>110</v>
      </c>
      <c r="E111" t="inlineStr">
        <is>
          <t>F93</t>
        </is>
      </c>
      <c r="F111" t="inlineStr">
        <is>
          <t>Percentage of Adults with Current Asthma, 2016, 2018, and 2021</t>
        </is>
      </c>
      <c r="G111" s="9" t="inlineStr">
        <is>
          <t>tbl-brfss-adult-asthma</t>
        </is>
      </c>
      <c r="H111" s="9">
        <f>IF(LEFT(G111,4)="tbl-","fig-" &amp; MID(G111,5,LEN(G111)-4),"")</f>
        <v/>
      </c>
      <c r="I111" t="inlineStr">
        <is>
          <t xml:space="preserve">NYS Behavioral Risk Factor Surveillance System (BRFSS) </t>
        </is>
      </c>
      <c r="L111" t="inlineStr">
        <is>
          <t>Dutchess</t>
        </is>
      </c>
    </row>
    <row r="112">
      <c r="A112" t="inlineStr">
        <is>
          <t>Activate</t>
        </is>
      </c>
      <c r="B112" t="n">
        <v>111</v>
      </c>
      <c r="E112" t="inlineStr">
        <is>
          <t>F94</t>
        </is>
      </c>
      <c r="F112" t="inlineStr">
        <is>
          <t>Asthma Hospitalization, Age-Adjusted Rate per 10,000 Population, 2020–2022</t>
        </is>
      </c>
      <c r="G112" s="9" t="inlineStr">
        <is>
          <t>tbl-asthma-hopsital-aar</t>
        </is>
      </c>
      <c r="H112" s="9">
        <f>IF(LEFT(G112,4)="tbl-","fig-" &amp; MID(G112,5,LEN(G112)-4),"")</f>
        <v/>
      </c>
      <c r="I112" t="inlineStr">
        <is>
          <t>NYS Community Health Indicator Reports (CHIRS)</t>
        </is>
      </c>
      <c r="K112" t="inlineStr">
        <is>
          <t>NY Statewide Planning and Research Cooperative System</t>
        </is>
      </c>
      <c r="L112" t="inlineStr">
        <is>
          <t>Dutchess</t>
        </is>
      </c>
    </row>
    <row r="113">
      <c r="A113" t="inlineStr">
        <is>
          <t>Activate</t>
        </is>
      </c>
      <c r="B113" t="n">
        <v>112</v>
      </c>
      <c r="E113" t="inlineStr">
        <is>
          <t>F95</t>
        </is>
      </c>
      <c r="F113" t="inlineStr">
        <is>
          <t>Asthma Hospitalization, Age-Adjusted Rate per 10,000 Population by Race and Ethnicity, 2020–2022</t>
        </is>
      </c>
      <c r="G113" s="9" t="inlineStr">
        <is>
          <t>tbl-asthma-hopsital-rande-aar</t>
        </is>
      </c>
      <c r="H113" s="9">
        <f>IF(LEFT(G113,4)="tbl-","fig-" &amp; MID(G113,5,LEN(G113)-4),"")</f>
        <v/>
      </c>
      <c r="I113" t="inlineStr">
        <is>
          <t>NYS County Health Indicators by Race/Ethnicity (CHIRE)</t>
        </is>
      </c>
      <c r="K113" t="inlineStr">
        <is>
          <t>NY Statewide Planning and Research Cooperative System</t>
        </is>
      </c>
      <c r="L113" t="inlineStr">
        <is>
          <t>Dutchess</t>
        </is>
      </c>
    </row>
    <row r="114">
      <c r="A114" t="inlineStr">
        <is>
          <t>Activate</t>
        </is>
      </c>
      <c r="B114" t="n">
        <v>113</v>
      </c>
      <c r="E114" t="inlineStr">
        <is>
          <t>F96</t>
        </is>
      </c>
      <c r="F114" t="inlineStr">
        <is>
          <t>Asthma Emergency Department Visits, Rate per 10,000 Population 0–17 Years Old, 2017–2023</t>
        </is>
      </c>
      <c r="G114" s="9" t="inlineStr">
        <is>
          <t>tbl-0to17-asthma-ed-rate</t>
        </is>
      </c>
      <c r="H114" s="9">
        <f>IF(LEFT(G114,4)="tbl-","fig-" &amp; MID(G114,5,LEN(G114)-4),"")</f>
        <v/>
      </c>
      <c r="I114" t="inlineStr">
        <is>
          <t>NYSDOH Asthma Dashboard</t>
        </is>
      </c>
      <c r="K114" t="inlineStr">
        <is>
          <t>NY Statewide Planning and Research Cooperative System</t>
        </is>
      </c>
      <c r="L114" t="inlineStr">
        <is>
          <t>Dutchess</t>
        </is>
      </c>
    </row>
    <row r="115">
      <c r="A115" t="inlineStr">
        <is>
          <t>Activate</t>
        </is>
      </c>
      <c r="B115" t="n">
        <v>114</v>
      </c>
      <c r="E115" t="inlineStr">
        <is>
          <t>F97</t>
        </is>
      </c>
      <c r="F115" t="inlineStr">
        <is>
          <t>Percentage of Adults with Cardiovascular Disease, 2016, 2018, and 2021</t>
        </is>
      </c>
      <c r="G115" s="9" t="inlineStr">
        <is>
          <t>tbl-adult-cardiovasdz-percent</t>
        </is>
      </c>
      <c r="H115" s="9">
        <f>IF(LEFT(G115,4)="tbl-","fig-" &amp; MID(G115,5,LEN(G115)-4),"")</f>
        <v/>
      </c>
    </row>
    <row r="116">
      <c r="A116" t="inlineStr">
        <is>
          <t>Activate</t>
        </is>
      </c>
      <c r="B116" t="n">
        <v>115</v>
      </c>
      <c r="E116" t="inlineStr">
        <is>
          <t>F98</t>
        </is>
      </c>
      <c r="F116" t="inlineStr">
        <is>
          <t>Cardiovascular Hospitalization, Age-Adjusted Rate per 10,000, 2019–2021</t>
        </is>
      </c>
      <c r="G116" s="9" t="inlineStr">
        <is>
          <t>tbl-cardiovasdz-hospi-aar</t>
        </is>
      </c>
      <c r="H116" s="9">
        <f>IF(LEFT(G116,4)="tbl-","fig-" &amp; MID(G116,5,LEN(G116)-4),"")</f>
        <v/>
      </c>
      <c r="I116" t="inlineStr">
        <is>
          <t>NYS Community Health Indicator Reports (CHIRS)</t>
        </is>
      </c>
      <c r="K116" t="inlineStr">
        <is>
          <t>NY Statewide Planning and Research Cooperative System</t>
        </is>
      </c>
      <c r="L116" t="inlineStr">
        <is>
          <t>Rockland</t>
        </is>
      </c>
    </row>
    <row r="117">
      <c r="A117" t="inlineStr">
        <is>
          <t>Activate</t>
        </is>
      </c>
      <c r="B117" t="n">
        <v>116</v>
      </c>
      <c r="E117" t="inlineStr">
        <is>
          <t>F99</t>
        </is>
      </c>
      <c r="F117" t="inlineStr">
        <is>
          <t xml:space="preserve">Cardiovascular Disease Mortality, Age-Adjusted Rate Per 100,000 Population, 2018–2021 </t>
        </is>
      </c>
      <c r="G117" s="9" t="inlineStr">
        <is>
          <t>tbl-adult-cardiovasdz-percent</t>
        </is>
      </c>
      <c r="H117" s="9">
        <f>IF(LEFT(G117,4)="tbl-","fig-" &amp; MID(G117,5,LEN(G117)-4),"")</f>
        <v/>
      </c>
      <c r="I117" t="inlineStr">
        <is>
          <t>NYS Community Health Indicator Reports (CHIRS)</t>
        </is>
      </c>
      <c r="K117" t="inlineStr">
        <is>
          <t xml:space="preserve">Vital Statistics of NYS </t>
        </is>
      </c>
      <c r="L117" t="inlineStr">
        <is>
          <t>Rockland</t>
        </is>
      </c>
    </row>
    <row r="118">
      <c r="A118" t="inlineStr">
        <is>
          <t>Activate</t>
        </is>
      </c>
      <c r="B118" t="n">
        <v>117</v>
      </c>
      <c r="E118" t="inlineStr">
        <is>
          <t>F100</t>
        </is>
      </c>
      <c r="F118" t="inlineStr">
        <is>
          <t>Percentage of Adults with Physician Diagnosed High Blood Pressure, 2022</t>
        </is>
      </c>
      <c r="G118" s="9" t="inlineStr">
        <is>
          <t>tbl-adult-highbp-mddx-percent</t>
        </is>
      </c>
      <c r="H118" s="9">
        <f>IF(LEFT(G118,4)="tbl-","fig-" &amp; MID(G118,5,LEN(G118)-4),"")</f>
        <v/>
      </c>
      <c r="I118" t="inlineStr">
        <is>
          <t xml:space="preserve">NYS Behavioral Risk Factor Surveillance System (BRFSS) </t>
        </is>
      </c>
      <c r="L118" t="inlineStr">
        <is>
          <t>Rockland</t>
        </is>
      </c>
    </row>
    <row r="119">
      <c r="A119" t="inlineStr">
        <is>
          <t>Activate</t>
        </is>
      </c>
      <c r="B119" t="n">
        <v>118</v>
      </c>
      <c r="E119" t="inlineStr">
        <is>
          <t>F101</t>
        </is>
      </c>
      <c r="F119" t="inlineStr">
        <is>
          <t>Cerebrovascular Disease Hospitalization, Age-Adjusted Rate per 10,000 Population, 2019–2021</t>
        </is>
      </c>
      <c r="G119" s="9" t="inlineStr">
        <is>
          <t>tbl-cerebrovasdz-hospital-aar</t>
        </is>
      </c>
      <c r="H119" s="9">
        <f>IF(LEFT(G119,4)="tbl-","fig-" &amp; MID(G119,5,LEN(G119)-4),"")</f>
        <v/>
      </c>
      <c r="I119" t="inlineStr">
        <is>
          <t>NYS Community Health Indicator Reports (CHIRS)</t>
        </is>
      </c>
      <c r="K119" t="inlineStr">
        <is>
          <t xml:space="preserve">NY Statewide Planning and Research Cooperative System </t>
        </is>
      </c>
      <c r="L119" t="inlineStr">
        <is>
          <t>Rockland</t>
        </is>
      </c>
    </row>
    <row r="120">
      <c r="A120" t="inlineStr">
        <is>
          <t>Activate</t>
        </is>
      </c>
      <c r="B120" t="n">
        <v>119</v>
      </c>
      <c r="E120" t="inlineStr">
        <is>
          <t>F102</t>
        </is>
      </c>
      <c r="F120" t="inlineStr">
        <is>
          <t>Cerebrovascular Disease Hospitalization, Age-Adjusted Rate per 10,000 Population by Race and Ethnicity, 2020–2022</t>
        </is>
      </c>
      <c r="G120" s="65" t="inlineStr">
        <is>
          <t>tbl-cerebrovasdz-hospital-rande-aar</t>
        </is>
      </c>
      <c r="H120" s="9">
        <f>IF(LEFT(G120,4)="tbl-","fig-" &amp; MID(G120,5,LEN(G120)-4),"")</f>
        <v/>
      </c>
      <c r="I120" t="inlineStr">
        <is>
          <t>NYS County Health Indicators by Race/Ethnicity (CHIRE)</t>
        </is>
      </c>
      <c r="K120" t="inlineStr">
        <is>
          <t xml:space="preserve">NY Statewide Planning and Research Cooperative System </t>
        </is>
      </c>
      <c r="L120" t="inlineStr">
        <is>
          <t>Rockland</t>
        </is>
      </c>
    </row>
    <row r="121">
      <c r="A121" t="inlineStr">
        <is>
          <t>Activate</t>
        </is>
      </c>
      <c r="B121" t="n">
        <v>120</v>
      </c>
      <c r="E121" t="inlineStr">
        <is>
          <t>F103</t>
        </is>
      </c>
      <c r="F121" t="inlineStr">
        <is>
          <t xml:space="preserve">Cerebrovascular Disease Mortality, Age-Adjusted Rate per 100,000 Population, 2018–2021 </t>
        </is>
      </c>
      <c r="G121" s="65" t="inlineStr">
        <is>
          <t>tbl-cerebrovasdz-mortal-aar</t>
        </is>
      </c>
      <c r="H121" s="9">
        <f>IF(LEFT(G121,4)="tbl-","fig-" &amp; MID(G121,5,LEN(G121)-4),"")</f>
        <v/>
      </c>
      <c r="I121" t="inlineStr">
        <is>
          <t>NYS Community Health Indicator Reports (CHIRS)</t>
        </is>
      </c>
      <c r="K121" t="inlineStr">
        <is>
          <t xml:space="preserve">Vital Statistics of NYS </t>
        </is>
      </c>
      <c r="L121" t="inlineStr">
        <is>
          <t>Rockland</t>
        </is>
      </c>
    </row>
    <row r="122">
      <c r="A122" t="inlineStr">
        <is>
          <t>Activate</t>
        </is>
      </c>
      <c r="B122" t="n">
        <v>121</v>
      </c>
      <c r="E122" t="inlineStr">
        <is>
          <t>F104</t>
        </is>
      </c>
      <c r="F122" t="inlineStr">
        <is>
          <t>Cerebrovascular Disease Mortality, Age-Adjusted Rate per 100,000 Population by Race and Ethnicity, 2020–2022</t>
        </is>
      </c>
      <c r="G122" s="65" t="inlineStr">
        <is>
          <t>tbl-cerebrovasdz-mortal-rande-aar</t>
        </is>
      </c>
      <c r="H122" s="9">
        <f>IF(LEFT(G122,4)="tbl-","fig-" &amp; MID(G122,5,LEN(G122)-4),"")</f>
        <v/>
      </c>
      <c r="I122" t="inlineStr">
        <is>
          <t>NYS County Health Indicators by Race/Ethnicity (CHIRE)</t>
        </is>
      </c>
      <c r="K122" t="inlineStr">
        <is>
          <t xml:space="preserve">Vital Statistics of NYS </t>
        </is>
      </c>
      <c r="L122" t="inlineStr">
        <is>
          <t>Rockland</t>
        </is>
      </c>
    </row>
    <row r="123" ht="16" customHeight="1" s="99">
      <c r="A123" t="inlineStr">
        <is>
          <t>Activate</t>
        </is>
      </c>
      <c r="B123" t="n">
        <v>122</v>
      </c>
      <c r="E123" t="inlineStr">
        <is>
          <t>F105</t>
        </is>
      </c>
      <c r="F123" t="inlineStr">
        <is>
          <t>Coronary Heart Disease Hospitalization, Age-Adjusted Rate per 10,000, 2021</t>
        </is>
      </c>
      <c r="G123" s="94" t="inlineStr">
        <is>
          <t>tbl-coronary-heart-disease-hospital-aar</t>
        </is>
      </c>
      <c r="H123" s="9">
        <f>IF(LEFT(G123,4)="tbl-","fig-" &amp; MID(G123,5,LEN(G123)-4),"")</f>
        <v/>
      </c>
    </row>
    <row r="124" ht="16" customHeight="1" s="99">
      <c r="A124" t="inlineStr">
        <is>
          <t>Activate</t>
        </is>
      </c>
      <c r="B124" t="n">
        <v>123</v>
      </c>
      <c r="E124" t="inlineStr">
        <is>
          <t>F106</t>
        </is>
      </c>
      <c r="F124" t="inlineStr">
        <is>
          <t>Coronary Heart Disease Age-Adjusted Hospitalization Rate per 10,00 by Race/Ethnicity, 2020–2022</t>
        </is>
      </c>
      <c r="G124" s="94" t="inlineStr">
        <is>
          <t>tbl-coronary-heart-disease-hospital-rande-aar</t>
        </is>
      </c>
      <c r="H124" s="9">
        <f>IF(LEFT(G124,4)="tbl-","fig-" &amp; MID(G124,5,LEN(G124)-4),"")</f>
        <v/>
      </c>
    </row>
    <row r="125">
      <c r="A125" t="inlineStr">
        <is>
          <t>Activate</t>
        </is>
      </c>
      <c r="B125" t="n">
        <v>124</v>
      </c>
      <c r="E125" t="inlineStr">
        <is>
          <t>F107</t>
        </is>
      </c>
      <c r="F125" t="inlineStr">
        <is>
          <t>Heart Attack, Age-Adjusted Hospitalization Rate per 10,000 population, 2021</t>
        </is>
      </c>
      <c r="G125" s="65" t="inlineStr">
        <is>
          <t>tbl-heartattack-hospital-aar</t>
        </is>
      </c>
      <c r="H125" s="9">
        <f>IF(LEFT(G125,4)="tbl-","fig-" &amp; MID(G125,5,LEN(G125)-4),"")</f>
        <v/>
      </c>
    </row>
    <row r="126">
      <c r="A126" t="inlineStr">
        <is>
          <t>Activate</t>
        </is>
      </c>
      <c r="B126" t="n">
        <v>125</v>
      </c>
      <c r="E126" t="inlineStr">
        <is>
          <t>F108</t>
        </is>
      </c>
      <c r="F126" t="inlineStr">
        <is>
          <t>Congestive Heart Failure Mortality, Age-Adjusted Rate per 100,000 Population, 2018–2021</t>
        </is>
      </c>
      <c r="G126" s="65" t="inlineStr">
        <is>
          <t>tbl-congheartfail-mortal-aar</t>
        </is>
      </c>
      <c r="H126" s="9">
        <f>IF(LEFT(G126,4)="tbl-","fig-" &amp; MID(G126,5,LEN(G126)-4),"")</f>
        <v/>
      </c>
      <c r="I126" t="inlineStr">
        <is>
          <t>NYS Community Health Indicator Reports (CHIRS)</t>
        </is>
      </c>
      <c r="K126" t="inlineStr">
        <is>
          <t xml:space="preserve">Vital Statistics </t>
        </is>
      </c>
      <c r="L126" t="inlineStr">
        <is>
          <t>Westchester</t>
        </is>
      </c>
    </row>
    <row r="127">
      <c r="A127" t="inlineStr">
        <is>
          <t>Activate</t>
        </is>
      </c>
      <c r="B127" t="n">
        <v>126</v>
      </c>
      <c r="E127" t="inlineStr">
        <is>
          <t>F203</t>
        </is>
      </c>
      <c r="F127" t="inlineStr">
        <is>
          <t>Dropped</t>
        </is>
      </c>
      <c r="G127" s="9" t="n"/>
      <c r="H127" s="9" t="n"/>
    </row>
    <row r="128">
      <c r="F128" t="inlineStr">
        <is>
          <t>Coronary Heart Disease, Age-Adjusted Hospitalization Rate per 10,000 by Race/Ethnicity, 2020-2022</t>
        </is>
      </c>
      <c r="G128" s="65" t="inlineStr">
        <is>
          <t>tbl-congheartfail-mortal-rande</t>
        </is>
      </c>
      <c r="H128" s="9">
        <f>IF(LEFT(G128,4)="tbl-","fig-" &amp; MID(G128,5,LEN(G128)-4),"")</f>
        <v/>
      </c>
    </row>
    <row r="129">
      <c r="F129" t="inlineStr">
        <is>
          <t>Heart Attack Mortality, Age-Adjusted Rate per 100,000 Population, 2018–2021</t>
        </is>
      </c>
      <c r="G129" s="84" t="inlineStr">
        <is>
          <t>tbl-heartattack-mortal-aar</t>
        </is>
      </c>
      <c r="H129" s="9">
        <f>IF(LEFT(G129,4)="tbl-","fig-" &amp; MID(G129,5,LEN(G129)-4),"")</f>
        <v/>
      </c>
    </row>
    <row r="130">
      <c r="A130" t="inlineStr">
        <is>
          <t>Activate</t>
        </is>
      </c>
      <c r="B130" t="n">
        <v>127</v>
      </c>
      <c r="E130" t="n">
        <v>204</v>
      </c>
      <c r="F130" t="inlineStr">
        <is>
          <t>Percentage of Adults with Physician Diagnosed Prediabetes and Diabetes, 2021</t>
        </is>
      </c>
      <c r="G130" s="65" t="inlineStr">
        <is>
          <t>tbl-mddx-predm-dm-percent</t>
        </is>
      </c>
      <c r="H130" s="9">
        <f>IF(LEFT(G130,4)="tbl-","fig-" &amp; MID(G130,5,LEN(G130)-4),"")</f>
        <v/>
      </c>
      <c r="I130" t="inlineStr">
        <is>
          <t xml:space="preserve">NYS Behavioral Risk Factor Surveillance System (BRFSS) </t>
        </is>
      </c>
      <c r="L130" t="inlineStr">
        <is>
          <t>Westchester</t>
        </is>
      </c>
    </row>
    <row r="131">
      <c r="A131" t="inlineStr">
        <is>
          <t>Activate</t>
        </is>
      </c>
      <c r="B131" t="n">
        <v>128</v>
      </c>
      <c r="E131" t="inlineStr">
        <is>
          <t>F205</t>
        </is>
      </c>
      <c r="F131" t="inlineStr">
        <is>
          <t>Dropped</t>
        </is>
      </c>
      <c r="G131" s="9" t="n"/>
      <c r="H131" s="9" t="n"/>
    </row>
    <row r="132">
      <c r="A132" t="inlineStr">
        <is>
          <t>Activate</t>
        </is>
      </c>
      <c r="B132" t="n">
        <v>129</v>
      </c>
      <c r="E132" t="n">
        <v>206</v>
      </c>
      <c r="F132" t="inlineStr">
        <is>
          <t>Diabetes Hospitalization, Age-Adjusted Rate per 10,000 Population, 2021</t>
        </is>
      </c>
      <c r="G132" s="65" t="inlineStr">
        <is>
          <t>tbl-dm-hospital-aar</t>
        </is>
      </c>
      <c r="H132" s="9">
        <f>IF(LEFT(G132,4)="tbl-","fig-" &amp; MID(G132,5,LEN(G132)-4),"")</f>
        <v/>
      </c>
      <c r="I132" t="inlineStr">
        <is>
          <t>NYS Community Health Indicator Reports (CHIRS)</t>
        </is>
      </c>
      <c r="K132" t="inlineStr">
        <is>
          <t xml:space="preserve">NY Statewide Planning and Research Cooperative System </t>
        </is>
      </c>
      <c r="L132" t="inlineStr">
        <is>
          <t>Westchester</t>
        </is>
      </c>
    </row>
    <row r="133">
      <c r="A133" t="inlineStr">
        <is>
          <t>Activate</t>
        </is>
      </c>
      <c r="B133" t="n">
        <v>130</v>
      </c>
      <c r="E133" t="n">
        <v>207</v>
      </c>
      <c r="F133" t="inlineStr">
        <is>
          <t>Diabetes Hospitalization, Age-Adjusted Rate per 10,000 by Race and Ethnicity, 2020–2022</t>
        </is>
      </c>
      <c r="G133" s="65" t="inlineStr">
        <is>
          <t>tbl-dm-hospital-rande-aar</t>
        </is>
      </c>
      <c r="H133" s="9">
        <f>IF(LEFT(G133,4)="tbl-","fig-" &amp; MID(G133,5,LEN(G133)-4),"")</f>
        <v/>
      </c>
      <c r="I133" t="inlineStr">
        <is>
          <t>NYS County Health Indicators by Race/Ethnicity (CHIRE)</t>
        </is>
      </c>
      <c r="L133" t="inlineStr">
        <is>
          <t>Westchester</t>
        </is>
      </c>
    </row>
    <row r="134">
      <c r="A134" t="inlineStr">
        <is>
          <t>Activate</t>
        </is>
      </c>
      <c r="B134" t="n">
        <v>131</v>
      </c>
      <c r="E134" t="n">
        <v>208</v>
      </c>
      <c r="F134" t="inlineStr">
        <is>
          <t>Percentage of Adults Who Had a Test for High Blood Sugar or Diabetes Within the Past Three Years, 2013–2014, 2016, 2018, and 2021</t>
        </is>
      </c>
      <c r="G134" s="65" t="inlineStr">
        <is>
          <t>tbl-highbs-dm-percent</t>
        </is>
      </c>
      <c r="H134" s="9">
        <f>IF(LEFT(G134,4)="tbl-","fig-" &amp; MID(G134,5,LEN(G134)-4),"")</f>
        <v/>
      </c>
      <c r="I134" t="inlineStr">
        <is>
          <t xml:space="preserve">NYS Behavioral Risk Factor Surveillance System (BRFSS) </t>
        </is>
      </c>
      <c r="L134" t="inlineStr">
        <is>
          <t>Westchester</t>
        </is>
      </c>
    </row>
    <row r="135">
      <c r="A135" t="inlineStr">
        <is>
          <t>Activate</t>
        </is>
      </c>
      <c r="B135" t="n">
        <v>132</v>
      </c>
      <c r="E135" t="n">
        <v>209</v>
      </c>
      <c r="F135" t="inlineStr">
        <is>
          <t>Diabetes Mortality, Age-Adjusted Rate per 100,000 Population, 2018–2021</t>
        </is>
      </c>
      <c r="G135" s="9" t="inlineStr">
        <is>
          <t>tbl-dm-mortal-aar</t>
        </is>
      </c>
      <c r="H135" s="9">
        <f>IF(LEFT(G135,4)="tbl-","fig-" &amp; MID(G135,5,LEN(G135)-4),"")</f>
        <v/>
      </c>
      <c r="I135" t="inlineStr">
        <is>
          <t>NYS Community Health Indicator Reports (CHIRS)</t>
        </is>
      </c>
      <c r="K135" t="inlineStr">
        <is>
          <t xml:space="preserve">NY Statewide Planning and Research Cooperative System </t>
        </is>
      </c>
      <c r="L135" t="inlineStr">
        <is>
          <t>Westchester</t>
        </is>
      </c>
    </row>
    <row r="136">
      <c r="A136" t="inlineStr">
        <is>
          <t>Activate</t>
        </is>
      </c>
      <c r="B136" t="n">
        <v>133</v>
      </c>
      <c r="E136" t="inlineStr">
        <is>
          <t>F210</t>
        </is>
      </c>
      <c r="F136" t="inlineStr">
        <is>
          <t>Dropped</t>
        </is>
      </c>
      <c r="G136" s="9" t="n"/>
      <c r="H136" s="9" t="n"/>
    </row>
    <row r="137">
      <c r="A137" t="inlineStr">
        <is>
          <t>Activate</t>
        </is>
      </c>
      <c r="B137" t="n">
        <v>134</v>
      </c>
      <c r="E137" t="n">
        <v>211</v>
      </c>
      <c r="F137" t="inlineStr">
        <is>
          <t>Diabetes Mortality, Age-Adjusted per 100,000 Population by Race and Ethnicity, 2020–2022</t>
        </is>
      </c>
      <c r="G137" s="65" t="inlineStr">
        <is>
          <t>tbl-dm-mortal-rande-aar</t>
        </is>
      </c>
      <c r="H137" s="9">
        <f>IF(LEFT(G137,4)="tbl-","fig-" &amp; MID(G137,5,LEN(G137)-4),"")</f>
        <v/>
      </c>
      <c r="I137" t="inlineStr">
        <is>
          <t>NYS County Health Indicators by Race/Ethnicity (CHIRE)</t>
        </is>
      </c>
      <c r="K137" t="inlineStr">
        <is>
          <t xml:space="preserve">Vital Statistics of NYS </t>
        </is>
      </c>
      <c r="L137" t="inlineStr">
        <is>
          <t>Westchester</t>
        </is>
      </c>
    </row>
    <row r="138">
      <c r="A138" t="inlineStr">
        <is>
          <t>Activate</t>
        </is>
      </c>
      <c r="B138" t="n">
        <v>135</v>
      </c>
      <c r="E138" t="n">
        <v>212</v>
      </c>
      <c r="F138" t="inlineStr">
        <is>
          <t>Percentage of Adults Overweight or Obese, 2013–2014, 2016, 2018, 2021</t>
        </is>
      </c>
      <c r="G138" s="9" t="inlineStr">
        <is>
          <t>tbl-adult-oando-percent</t>
        </is>
      </c>
      <c r="H138" s="9">
        <f>IF(LEFT(G138,4)="tbl-","fig-" &amp; MID(G138,5,LEN(G138)-4),"")</f>
        <v/>
      </c>
      <c r="I138" t="inlineStr">
        <is>
          <t xml:space="preserve">NYS Behavioral Risk Factor Surveillance System (BRFSS) </t>
        </is>
      </c>
      <c r="K138" t="inlineStr">
        <is>
          <t xml:space="preserve">NYS Student Weight Status Category Reporting System </t>
        </is>
      </c>
      <c r="L138" t="inlineStr">
        <is>
          <t>Westchester</t>
        </is>
      </c>
    </row>
    <row r="139">
      <c r="A139" t="inlineStr">
        <is>
          <t>Activate</t>
        </is>
      </c>
      <c r="B139" t="n">
        <v>136</v>
      </c>
      <c r="E139" t="n">
        <v>213</v>
      </c>
      <c r="F139" t="inlineStr">
        <is>
          <t>Percentage of Adults who are Obese, 2013–2014, 2016, 2018, and 2021</t>
        </is>
      </c>
      <c r="G139" s="65" t="inlineStr">
        <is>
          <t>tbl-adult-obese-percent</t>
        </is>
      </c>
      <c r="H139" s="9">
        <f>IF(LEFT(G139,4)="tbl-","fig-" &amp; MID(G139,5,LEN(G139)-4),"")</f>
        <v/>
      </c>
      <c r="I139" t="inlineStr">
        <is>
          <t xml:space="preserve">NYS Behavioral Risk Factor Surveillance System (BRFSS) </t>
        </is>
      </c>
      <c r="L139" t="inlineStr">
        <is>
          <t>Westchester</t>
        </is>
      </c>
    </row>
    <row r="140">
      <c r="A140" t="inlineStr">
        <is>
          <t>Activate</t>
        </is>
      </c>
      <c r="B140" t="n">
        <v>137</v>
      </c>
      <c r="E140" t="n">
        <v>214</v>
      </c>
      <c r="F140" t="inlineStr">
        <is>
          <t>Percentage of School-Aged Children and Adolescents Who Are Overweight or Obese, 2014–2023</t>
        </is>
      </c>
      <c r="G140" s="9" t="inlineStr">
        <is>
          <t>tbl-child-oando-percent</t>
        </is>
      </c>
      <c r="H140" s="9">
        <f>IF(LEFT(G140,4)="tbl-","fig-" &amp; MID(G140,5,LEN(G140)-4),"")</f>
        <v/>
      </c>
      <c r="I140" t="inlineStr">
        <is>
          <t>NYS Community Health Indicator Reports (CHIRS)</t>
        </is>
      </c>
      <c r="L140" t="inlineStr">
        <is>
          <t>Westchester</t>
        </is>
      </c>
    </row>
    <row r="141">
      <c r="A141" t="inlineStr">
        <is>
          <t>Activate</t>
        </is>
      </c>
      <c r="B141" t="n">
        <v>138</v>
      </c>
      <c r="E141" t="inlineStr">
        <is>
          <t>F215</t>
        </is>
      </c>
      <c r="F141" t="inlineStr">
        <is>
          <t>Dropped</t>
        </is>
      </c>
      <c r="G141" s="9" t="n"/>
      <c r="H141" s="9" t="n"/>
    </row>
    <row r="142">
      <c r="A142" t="inlineStr">
        <is>
          <t>Activate</t>
        </is>
      </c>
      <c r="B142" t="n">
        <v>139</v>
      </c>
      <c r="E142" t="inlineStr">
        <is>
          <t>F216</t>
        </is>
      </c>
      <c r="F142" t="inlineStr">
        <is>
          <t>Dropped</t>
        </is>
      </c>
      <c r="G142" s="9" t="n"/>
      <c r="H142" s="9" t="n"/>
    </row>
    <row r="143">
      <c r="A143" t="inlineStr">
        <is>
          <t>Activate</t>
        </is>
      </c>
      <c r="B143" t="n">
        <v>140</v>
      </c>
      <c r="E143" t="inlineStr">
        <is>
          <t>F217</t>
        </is>
      </c>
      <c r="F143" t="inlineStr">
        <is>
          <t>Dropped</t>
        </is>
      </c>
      <c r="G143" s="9" t="n"/>
      <c r="H143" s="9" t="n"/>
    </row>
    <row r="144">
      <c r="A144" t="inlineStr">
        <is>
          <t>Activate</t>
        </is>
      </c>
      <c r="B144" t="n">
        <v>141</v>
      </c>
      <c r="E144" t="n">
        <v>218</v>
      </c>
      <c r="F144" t="inlineStr">
        <is>
          <t>Cirrhosis Hospitalization, Age-Adjusted Rate per 10,000 Population, 2020–2022</t>
        </is>
      </c>
      <c r="G144" s="65" t="inlineStr">
        <is>
          <t>tbl-cirrhosis-hospital-aar</t>
        </is>
      </c>
      <c r="H144" s="9">
        <f>IF(LEFT(G144,4)="tbl-","fig-" &amp; MID(G144,5,LEN(G144)-4),"")</f>
        <v/>
      </c>
      <c r="I144" t="inlineStr">
        <is>
          <t>NYS Community Health Indicator Reports (CHIRS)</t>
        </is>
      </c>
      <c r="K144" t="inlineStr">
        <is>
          <t>NY Statewide Planning and Research Cooperative System</t>
        </is>
      </c>
      <c r="L144" t="inlineStr">
        <is>
          <t>Dutchess</t>
        </is>
      </c>
    </row>
    <row r="145">
      <c r="A145" t="inlineStr">
        <is>
          <t>Activate</t>
        </is>
      </c>
      <c r="B145" t="n">
        <v>142</v>
      </c>
      <c r="E145" t="n">
        <v>219</v>
      </c>
      <c r="F145" t="inlineStr">
        <is>
          <t>Cirrhosis Mortality, Age-Adjusted Rate per 100,000 Population, 2014–2021</t>
        </is>
      </c>
      <c r="G145" s="9" t="inlineStr">
        <is>
          <t>tbl-cirrhosis-mortal-aar</t>
        </is>
      </c>
      <c r="H145" s="9">
        <f>IF(LEFT(G145,4)="tbl-","fig-" &amp; MID(G145,5,LEN(G145)-4),"")</f>
        <v/>
      </c>
      <c r="I145" t="inlineStr">
        <is>
          <t>NYS Community Health Indicator Reports (CHIRS)</t>
        </is>
      </c>
      <c r="K145" t="inlineStr">
        <is>
          <t xml:space="preserve">NY Statewide Planning and Research Cooperative System </t>
        </is>
      </c>
      <c r="L145" t="inlineStr">
        <is>
          <t>Dutchess</t>
        </is>
      </c>
    </row>
    <row r="146">
      <c r="A146" t="inlineStr">
        <is>
          <t>Activate</t>
        </is>
      </c>
      <c r="B146" t="n">
        <v>143</v>
      </c>
      <c r="E146" t="inlineStr">
        <is>
          <t>F220</t>
        </is>
      </c>
      <c r="F146" t="inlineStr">
        <is>
          <t>Dropped</t>
        </is>
      </c>
      <c r="G146" s="9" t="n"/>
      <c r="H146" s="9" t="n"/>
    </row>
    <row r="147">
      <c r="A147" t="inlineStr">
        <is>
          <t>Activate</t>
        </is>
      </c>
      <c r="B147" t="n">
        <v>144</v>
      </c>
      <c r="E147" t="n">
        <v>221</v>
      </c>
      <c r="F147" t="inlineStr">
        <is>
          <t>All Cancer Incidence and Mortality, Age-Adjusted Rates per 100,000 Population, 2019–2021</t>
        </is>
      </c>
      <c r="G147" s="9" t="inlineStr">
        <is>
          <t>tbl-allca-incident-mortal-aar</t>
        </is>
      </c>
      <c r="H147" s="9">
        <f>IF(LEFT(G147,4)="tbl-","fig-" &amp; MID(G147,5,LEN(G147)-4),"")</f>
        <v/>
      </c>
      <c r="I147" t="inlineStr">
        <is>
          <t>NYS Community Health Indicator Reports (CHIRS)</t>
        </is>
      </c>
      <c r="K147" t="inlineStr">
        <is>
          <t>NYS Cancer Registry</t>
        </is>
      </c>
      <c r="L147" t="inlineStr">
        <is>
          <t>Dutchess</t>
        </is>
      </c>
    </row>
    <row r="148">
      <c r="A148" t="inlineStr">
        <is>
          <t>Activate</t>
        </is>
      </c>
      <c r="B148" t="n">
        <v>145</v>
      </c>
      <c r="E148" t="inlineStr">
        <is>
          <t>F222</t>
        </is>
      </c>
      <c r="F148" t="inlineStr">
        <is>
          <t>Dropped</t>
        </is>
      </c>
      <c r="G148" s="9" t="n"/>
      <c r="H148" s="9" t="n"/>
    </row>
    <row r="149">
      <c r="A149" t="inlineStr">
        <is>
          <t>Activate</t>
        </is>
      </c>
      <c r="B149" t="n">
        <v>146</v>
      </c>
      <c r="E149" t="inlineStr">
        <is>
          <t>F223</t>
        </is>
      </c>
      <c r="F149" t="inlineStr">
        <is>
          <t>Dropped</t>
        </is>
      </c>
      <c r="G149" s="9" t="n"/>
      <c r="H149" s="9" t="n"/>
    </row>
    <row r="150">
      <c r="A150" t="inlineStr">
        <is>
          <t>Activate</t>
        </is>
      </c>
      <c r="B150" t="n">
        <v>147</v>
      </c>
      <c r="E150" t="n">
        <v>224</v>
      </c>
      <c r="F150" t="inlineStr">
        <is>
          <t>All Cancer Incidence and Mortality, Age-Adjusted Rates per 100,000 Population by Sex, 2018–2022</t>
        </is>
      </c>
      <c r="G150" s="65" t="inlineStr">
        <is>
          <t>tbl-allca-incident-mortal-sex-aar</t>
        </is>
      </c>
      <c r="H150" s="9">
        <f>IF(LEFT(G150,4)="tbl-","fig-" &amp; MID(G150,5,LEN(G150)-4),"")</f>
        <v/>
      </c>
      <c r="I150" t="inlineStr">
        <is>
          <t xml:space="preserve">Cancer Statistics Dashboard </t>
        </is>
      </c>
      <c r="K150" t="inlineStr">
        <is>
          <t>NYS Cancer Registry</t>
        </is>
      </c>
      <c r="L150" t="inlineStr">
        <is>
          <t>Dutchess</t>
        </is>
      </c>
    </row>
    <row r="151">
      <c r="A151" t="inlineStr">
        <is>
          <t>Activate</t>
        </is>
      </c>
      <c r="B151" t="n">
        <v>148</v>
      </c>
      <c r="E151" t="n">
        <v>225</v>
      </c>
      <c r="F151" t="inlineStr">
        <is>
          <t>Colon and Rectum Cancer Incidence and Mortality, Age-Adjusted Rates per 100,000 Population, 2019–2021</t>
        </is>
      </c>
      <c r="G151" s="9" t="inlineStr">
        <is>
          <t>tbl-colonrectca-incident-mortal-aar</t>
        </is>
      </c>
      <c r="H151" s="9">
        <f>IF(LEFT(G151,4)="tbl-","fig-" &amp; MID(G151,5,LEN(G151)-4),"")</f>
        <v/>
      </c>
      <c r="I151" t="inlineStr">
        <is>
          <t>NYS Community Health Indicator Reports (CHIRS)</t>
        </is>
      </c>
      <c r="K151" t="inlineStr">
        <is>
          <t>NYS Cancer Registry</t>
        </is>
      </c>
      <c r="L151" t="inlineStr">
        <is>
          <t>Dutchess</t>
        </is>
      </c>
    </row>
    <row r="152">
      <c r="A152" t="inlineStr">
        <is>
          <t>Activate</t>
        </is>
      </c>
      <c r="B152" t="n">
        <v>149</v>
      </c>
      <c r="E152" t="n">
        <v>226</v>
      </c>
      <c r="F152" t="inlineStr">
        <is>
          <t>Colon and Rectum Cancer Incidence and Mortality, Age-Adjusted Rates per 100,000 Population by Sex, 2018–2022</t>
        </is>
      </c>
      <c r="G152" s="65" t="inlineStr">
        <is>
          <t>tbl-colonrectca-incident-mortal-sex-aar</t>
        </is>
      </c>
      <c r="H152" s="9">
        <f>IF(LEFT(G152,4)="tbl-","fig-" &amp; MID(G152,5,LEN(G152)-4),"")</f>
        <v/>
      </c>
      <c r="I152" t="inlineStr">
        <is>
          <t>NYS Community Health Indicator Reports (CHIRS)</t>
        </is>
      </c>
      <c r="K152" t="inlineStr">
        <is>
          <t>NYS Cancer Registry</t>
        </is>
      </c>
      <c r="L152" t="inlineStr">
        <is>
          <t>Dutchess</t>
        </is>
      </c>
    </row>
    <row r="153">
      <c r="A153" t="inlineStr">
        <is>
          <t>Activate</t>
        </is>
      </c>
      <c r="B153" t="n">
        <v>150</v>
      </c>
      <c r="E153" t="n">
        <v>227</v>
      </c>
      <c r="F153" t="inlineStr">
        <is>
          <t>Colorectal Cancer Incidence, Age-Adjusted Rate per 100,000 Population by Race and Ethnicity, 2020–2022</t>
        </is>
      </c>
      <c r="G153" s="65" t="inlineStr">
        <is>
          <t>tbl-colorectalca-incidence-rande-aar</t>
        </is>
      </c>
      <c r="H153" s="9">
        <f>IF(LEFT(G153,4)="tbl-","fig-" &amp; MID(G153,5,LEN(G153)-4),"")</f>
        <v/>
      </c>
      <c r="I153" t="inlineStr">
        <is>
          <t>NYS County Health Indicators by Race/Ethnicity (CHIRE)</t>
        </is>
      </c>
      <c r="K153" t="inlineStr">
        <is>
          <t xml:space="preserve">NYS Cancer Registry </t>
        </is>
      </c>
      <c r="L153" t="inlineStr">
        <is>
          <t>Dutchess</t>
        </is>
      </c>
    </row>
    <row r="154">
      <c r="A154" t="inlineStr">
        <is>
          <t>Activate</t>
        </is>
      </c>
      <c r="B154" t="n">
        <v>151</v>
      </c>
      <c r="E154" t="n">
        <v>228</v>
      </c>
      <c r="F154" t="inlineStr">
        <is>
          <t>Percentage of Adults 50–64 Years Old Who Received a Colorectal Cancer Screening Based on the Most Recent Guidelines, 2018</t>
        </is>
      </c>
      <c r="G154" s="65" t="inlineStr">
        <is>
          <t>tbl-adult-50to64-colorectalca-screening-percent</t>
        </is>
      </c>
      <c r="H154" s="9">
        <f>IF(LEFT(G154,4)="tbl-","fig-" &amp; MID(G154,5,LEN(G154)-4),"")</f>
        <v/>
      </c>
      <c r="I154" t="inlineStr">
        <is>
          <t>NYS Prevention Agenda Dashboard</t>
        </is>
      </c>
      <c r="K154" t="inlineStr">
        <is>
          <t xml:space="preserve">NYS Behavioral Risk Factor Surveillance System </t>
        </is>
      </c>
      <c r="L154" t="inlineStr">
        <is>
          <t>Dutchess</t>
        </is>
      </c>
    </row>
    <row r="155">
      <c r="A155" t="inlineStr">
        <is>
          <t>Activate</t>
        </is>
      </c>
      <c r="B155" t="n">
        <v>152</v>
      </c>
      <c r="E155" t="inlineStr">
        <is>
          <t>NEW</t>
        </is>
      </c>
      <c r="F155" t="inlineStr">
        <is>
          <t>? Missing ?</t>
        </is>
      </c>
      <c r="G155" s="9" t="n"/>
      <c r="H155" s="9">
        <f>IF(LEFT(G155,4)="tbl-","fig-" &amp; MID(G155,5,LEN(G155)-4),"")</f>
        <v/>
      </c>
      <c r="I155" t="inlineStr">
        <is>
          <t>NYS Community Health Indicator Reports (CHIRS)</t>
        </is>
      </c>
      <c r="K155" t="inlineStr">
        <is>
          <t xml:space="preserve">NYS Behavioral Risk Factor Surveillance System </t>
        </is>
      </c>
      <c r="L155" t="inlineStr">
        <is>
          <t>Dutchess</t>
        </is>
      </c>
    </row>
    <row r="156">
      <c r="A156" t="inlineStr">
        <is>
          <t>Activate</t>
        </is>
      </c>
      <c r="B156" t="n">
        <v>153</v>
      </c>
      <c r="E156" t="n">
        <v>229</v>
      </c>
      <c r="F156" t="inlineStr">
        <is>
          <t>Lung and Bronchus Cancer Incidence and Mortality, Age-Adjusted Rates per 100,000 Population, 2018–2022</t>
        </is>
      </c>
      <c r="G156" s="65" t="inlineStr">
        <is>
          <t>tbl-lungbronchca-incident-mortal-aar</t>
        </is>
      </c>
      <c r="H156" s="9">
        <f>IF(LEFT(G156,4)="tbl-","fig-" &amp; MID(G156,5,LEN(G156)-4),"")</f>
        <v/>
      </c>
      <c r="I156" t="inlineStr">
        <is>
          <t xml:space="preserve">NYS Cancer Statistics Dashboard </t>
        </is>
      </c>
      <c r="K156" t="inlineStr">
        <is>
          <t xml:space="preserve">NYS Cancer Registry </t>
        </is>
      </c>
      <c r="L156" t="inlineStr">
        <is>
          <t>Westchester</t>
        </is>
      </c>
    </row>
    <row r="157">
      <c r="A157" t="inlineStr">
        <is>
          <t>Activate</t>
        </is>
      </c>
      <c r="B157" t="n">
        <v>154</v>
      </c>
      <c r="E157" t="n">
        <v>230</v>
      </c>
      <c r="F157" t="inlineStr">
        <is>
          <t>Lung and Bronchus Cancer Incidence and Mortality, Age-Adjusted Rates per 100,000 Population by Sex, 2015–2019</t>
        </is>
      </c>
      <c r="G157" s="65" t="inlineStr">
        <is>
          <t>tbl-lungbronchca-incident-mortal-sex-aar</t>
        </is>
      </c>
      <c r="H157" s="9">
        <f>IF(LEFT(G157,4)="tbl-","fig-" &amp; MID(G157,5,LEN(G157)-4),"")</f>
        <v/>
      </c>
      <c r="I157" t="inlineStr">
        <is>
          <t xml:space="preserve">NYS Cancer Statistics Dashboard </t>
        </is>
      </c>
      <c r="K157" t="inlineStr">
        <is>
          <t xml:space="preserve">NYS Cancer Registry </t>
        </is>
      </c>
      <c r="L157" t="inlineStr">
        <is>
          <t>Westchester</t>
        </is>
      </c>
    </row>
    <row r="158">
      <c r="A158" t="inlineStr">
        <is>
          <t>Activate</t>
        </is>
      </c>
      <c r="B158" t="n">
        <v>155</v>
      </c>
      <c r="E158" t="n">
        <v>231</v>
      </c>
      <c r="F158" t="inlineStr">
        <is>
          <t>Lung Cancer Incidence, Age-Adjusted Rate per 100,000 Population by Race and Ethnicity, 2020–2022</t>
        </is>
      </c>
      <c r="G158" s="65" t="inlineStr">
        <is>
          <t>tbl-lungca-incidence-rande-aar</t>
        </is>
      </c>
      <c r="H158" s="9">
        <f>IF(LEFT(G158,4)="tbl-","fig-" &amp; MID(G158,5,LEN(G158)-4),"")</f>
        <v/>
      </c>
      <c r="I158" t="inlineStr">
        <is>
          <t>NYS County Health Indicators by Race/Ethnicity (CHIRE)</t>
        </is>
      </c>
      <c r="K158" t="inlineStr">
        <is>
          <t xml:space="preserve">NYS Cancer Registry </t>
        </is>
      </c>
      <c r="L158" t="inlineStr">
        <is>
          <t>Westchester</t>
        </is>
      </c>
    </row>
    <row r="159">
      <c r="A159" t="inlineStr">
        <is>
          <t>Activate</t>
        </is>
      </c>
      <c r="B159" t="n">
        <v>156</v>
      </c>
      <c r="E159" t="n">
        <v>232</v>
      </c>
      <c r="F159" t="inlineStr">
        <is>
          <t>Prostate Cancer Incidence and Mortality, Age-Adjusted Rates per 100,000 Population Males, 2018–2022</t>
        </is>
      </c>
      <c r="G159" s="65" t="inlineStr">
        <is>
          <t>tbl-male-prostateca-incidence-mortal-aar</t>
        </is>
      </c>
      <c r="H159" s="9">
        <f>IF(LEFT(G159,4)="tbl-","fig-" &amp; MID(G159,5,LEN(G159)-4),"")</f>
        <v/>
      </c>
      <c r="I159" t="inlineStr">
        <is>
          <t>NYS Cancer Statistics Dashboard</t>
        </is>
      </c>
      <c r="K159" t="inlineStr">
        <is>
          <t xml:space="preserve">NYS Cancer Registry </t>
        </is>
      </c>
      <c r="L159" t="inlineStr">
        <is>
          <t>Westchester</t>
        </is>
      </c>
    </row>
    <row r="160">
      <c r="A160" t="inlineStr">
        <is>
          <t>Activate</t>
        </is>
      </c>
      <c r="B160" t="n">
        <v>157</v>
      </c>
      <c r="E160" t="n">
        <v>233</v>
      </c>
      <c r="F160" t="inlineStr">
        <is>
          <t>Breast Cancer Incidence and Mortality, Age-Adjusted Rates per 100,000 Population Females, 2018–2022</t>
        </is>
      </c>
      <c r="G160" s="65" t="inlineStr">
        <is>
          <t>tbl-female-breastca-incidence-mortal-aar</t>
        </is>
      </c>
      <c r="H160" s="9">
        <f>IF(LEFT(G160,4)="tbl-","fig-" &amp; MID(G160,5,LEN(G160)-4),"")</f>
        <v/>
      </c>
      <c r="I160" t="inlineStr">
        <is>
          <t>NYS Cancer Statistics Dashboard</t>
        </is>
      </c>
      <c r="K160" t="inlineStr">
        <is>
          <t xml:space="preserve">NYS Cancer Registry </t>
        </is>
      </c>
      <c r="L160" t="inlineStr">
        <is>
          <t>Westchester</t>
        </is>
      </c>
    </row>
    <row r="161">
      <c r="A161" t="inlineStr">
        <is>
          <t>Activate</t>
        </is>
      </c>
      <c r="B161" t="n">
        <v>158</v>
      </c>
      <c r="E161" t="n">
        <v>234</v>
      </c>
      <c r="F161" t="inlineStr">
        <is>
          <t>Percentage of Women 50-74 Years Old Receiving Breast Cancer Screening Based on the Most Recent Guidelines, 2013–2018</t>
        </is>
      </c>
      <c r="G161" s="65" t="inlineStr">
        <is>
          <t>tbl-female-breastca-screening-percent</t>
        </is>
      </c>
      <c r="H161" s="9">
        <f>IF(LEFT(G161,4)="tbl-","fig-" &amp; MID(G161,5,LEN(G161)-4),"")</f>
        <v/>
      </c>
      <c r="I161" t="inlineStr">
        <is>
          <t xml:space="preserve">NYS Behavioral Risk Factor Surveillance System (BRFSS) </t>
        </is>
      </c>
      <c r="L161" t="inlineStr">
        <is>
          <t>Westchester</t>
        </is>
      </c>
    </row>
    <row r="162">
      <c r="A162" t="inlineStr">
        <is>
          <t>Activate</t>
        </is>
      </c>
      <c r="B162" t="n">
        <v>159</v>
      </c>
      <c r="E162" t="n">
        <v>235</v>
      </c>
      <c r="F162" t="inlineStr">
        <is>
          <t>Cervix Uteri Cancer Incidence and Mortality, Age-Adjusted Rates per 100,000 Female Population, 2018–2022</t>
        </is>
      </c>
      <c r="G162" s="65" t="inlineStr">
        <is>
          <t>tbl-cervutca-incident-mortal-aar</t>
        </is>
      </c>
      <c r="H162" s="9">
        <f>IF(LEFT(G162,4)="tbl-","fig-" &amp; MID(G162,5,LEN(G162)-4),"")</f>
        <v/>
      </c>
      <c r="I162" t="inlineStr">
        <is>
          <t>Cancer Statistics Dashboard</t>
        </is>
      </c>
      <c r="K162" t="inlineStr">
        <is>
          <t xml:space="preserve">NYS Cancer Registry </t>
        </is>
      </c>
      <c r="L162" t="inlineStr">
        <is>
          <t>Dutchess</t>
        </is>
      </c>
    </row>
    <row r="163">
      <c r="A163" t="inlineStr">
        <is>
          <t>Activate</t>
        </is>
      </c>
      <c r="B163" t="n">
        <v>160</v>
      </c>
      <c r="E163" t="n">
        <v>236</v>
      </c>
      <c r="F163" t="inlineStr">
        <is>
          <t>Percentage of Women 21–65 Years Old Receiving Cervical Cancer Screening Based on Most Recent Guidelines, 2018</t>
        </is>
      </c>
      <c r="G163" s="65" t="inlineStr">
        <is>
          <t>tbl-cervutca-screening-percent</t>
        </is>
      </c>
      <c r="H163" s="9">
        <f>IF(LEFT(G163,4)="tbl-","fig-" &amp; MID(G163,5,LEN(G163)-4),"")</f>
        <v/>
      </c>
      <c r="I163" t="inlineStr">
        <is>
          <t>NYS Community Health Indicator Reports (CHIRS)</t>
        </is>
      </c>
      <c r="K163" t="inlineStr">
        <is>
          <t xml:space="preserve">NYS Behavioral Risk Factor Surveillance System </t>
        </is>
      </c>
      <c r="L163" t="inlineStr">
        <is>
          <t>Dutchess</t>
        </is>
      </c>
    </row>
    <row r="164">
      <c r="A164" t="inlineStr">
        <is>
          <t>Activate</t>
        </is>
      </c>
      <c r="B164" t="n">
        <v>161</v>
      </c>
      <c r="E164" t="inlineStr">
        <is>
          <t>F237</t>
        </is>
      </c>
      <c r="F164" t="inlineStr">
        <is>
          <t>Dropped</t>
        </is>
      </c>
      <c r="G164" s="9" t="n"/>
      <c r="H164" s="9" t="n"/>
    </row>
    <row r="165">
      <c r="A165" t="inlineStr">
        <is>
          <t>Activate</t>
        </is>
      </c>
      <c r="B165" t="n">
        <v>162</v>
      </c>
      <c r="E165" t="n">
        <v>238</v>
      </c>
      <c r="F165" t="inlineStr">
        <is>
          <t>Percentage of Children Aged 24–35 Months with the 4:3:1:3:3:1:4 Vaccine Series, 2019–2024</t>
        </is>
      </c>
      <c r="G165" s="65" t="inlineStr">
        <is>
          <t>tbl-24to35mo-child-vaccine-series-percent</t>
        </is>
      </c>
      <c r="H165" s="9">
        <f>IF(LEFT(G165,4)="tbl-","fig-" &amp; MID(G165,5,LEN(G165)-4),"")</f>
        <v/>
      </c>
      <c r="I165" t="inlineStr">
        <is>
          <t>NYS Prevention Agenda Dashboard</t>
        </is>
      </c>
      <c r="K165" t="inlineStr">
        <is>
          <t xml:space="preserve">NYS Immunization Information System </t>
        </is>
      </c>
      <c r="L165" t="inlineStr">
        <is>
          <t>Rockland</t>
        </is>
      </c>
    </row>
    <row r="166">
      <c r="A166" t="inlineStr">
        <is>
          <t>Activate</t>
        </is>
      </c>
      <c r="B166" t="n">
        <v>163</v>
      </c>
      <c r="E166" t="inlineStr">
        <is>
          <t>F239</t>
        </is>
      </c>
      <c r="F166" t="inlineStr">
        <is>
          <t>Dropped</t>
        </is>
      </c>
      <c r="G166" s="9" t="n"/>
      <c r="H166" s="9" t="n"/>
    </row>
    <row r="167">
      <c r="A167" t="inlineStr">
        <is>
          <t>Activate</t>
        </is>
      </c>
      <c r="B167" t="n">
        <v>164</v>
      </c>
      <c r="E167" t="inlineStr">
        <is>
          <t>F240</t>
        </is>
      </c>
      <c r="F167" t="inlineStr">
        <is>
          <t>Dropped</t>
        </is>
      </c>
      <c r="G167" s="9" t="n"/>
      <c r="H167" s="9" t="n"/>
    </row>
    <row r="168">
      <c r="A168" t="inlineStr">
        <is>
          <t>Activate</t>
        </is>
      </c>
      <c r="B168" t="n">
        <v>165</v>
      </c>
      <c r="E168" t="inlineStr">
        <is>
          <t>F241</t>
        </is>
      </c>
      <c r="F168" t="inlineStr">
        <is>
          <t>Dropped</t>
        </is>
      </c>
      <c r="G168" s="9" t="n"/>
      <c r="H168" s="9" t="n"/>
    </row>
    <row r="169">
      <c r="A169" t="inlineStr">
        <is>
          <t>Activate</t>
        </is>
      </c>
      <c r="B169" t="n">
        <v>166</v>
      </c>
      <c r="E169" t="inlineStr">
        <is>
          <t>F242</t>
        </is>
      </c>
      <c r="F169" t="inlineStr">
        <is>
          <t>Dropped</t>
        </is>
      </c>
      <c r="G169" s="9" t="n"/>
      <c r="H169" s="9" t="n"/>
    </row>
    <row r="170">
      <c r="A170" t="inlineStr">
        <is>
          <t>Activate</t>
        </is>
      </c>
      <c r="B170" t="n">
        <v>167</v>
      </c>
      <c r="E170" t="inlineStr">
        <is>
          <t>F243</t>
        </is>
      </c>
      <c r="F170" t="inlineStr">
        <is>
          <t>Dropped</t>
        </is>
      </c>
      <c r="G170" s="9" t="n"/>
      <c r="H170" s="9" t="n"/>
    </row>
    <row r="171">
      <c r="A171" t="inlineStr">
        <is>
          <t>Activate</t>
        </is>
      </c>
      <c r="B171" t="n">
        <v>168</v>
      </c>
      <c r="E171" t="inlineStr">
        <is>
          <t>F244</t>
        </is>
      </c>
      <c r="F171" t="inlineStr">
        <is>
          <t>Dropped</t>
        </is>
      </c>
      <c r="G171" s="9" t="n"/>
      <c r="H171" s="9" t="n"/>
    </row>
    <row r="172">
      <c r="A172" t="inlineStr">
        <is>
          <t>Activate</t>
        </is>
      </c>
      <c r="B172" t="n">
        <v>169</v>
      </c>
      <c r="E172" t="inlineStr">
        <is>
          <t>F245</t>
        </is>
      </c>
      <c r="F172" t="inlineStr">
        <is>
          <t>Dropped</t>
        </is>
      </c>
      <c r="G172" s="9" t="n"/>
      <c r="H172" s="9" t="n"/>
    </row>
    <row r="173">
      <c r="A173" t="inlineStr">
        <is>
          <t>Activate</t>
        </is>
      </c>
      <c r="B173" t="n">
        <v>170</v>
      </c>
      <c r="E173" t="inlineStr">
        <is>
          <t>F246</t>
        </is>
      </c>
      <c r="F173" t="inlineStr">
        <is>
          <t>Dropped</t>
        </is>
      </c>
      <c r="G173" s="9" t="n"/>
      <c r="H173" s="9" t="n"/>
    </row>
    <row r="174">
      <c r="A174" t="inlineStr">
        <is>
          <t>Activate</t>
        </is>
      </c>
      <c r="B174" t="n">
        <v>171</v>
      </c>
      <c r="E174" t="inlineStr">
        <is>
          <t>F247</t>
        </is>
      </c>
      <c r="F174" t="inlineStr">
        <is>
          <t>Dropped</t>
        </is>
      </c>
      <c r="G174" s="9" t="n"/>
      <c r="H174" s="9" t="n"/>
    </row>
    <row r="175">
      <c r="A175" t="inlineStr">
        <is>
          <t>Activate</t>
        </is>
      </c>
      <c r="B175" t="n">
        <v>172</v>
      </c>
      <c r="E175" t="inlineStr">
        <is>
          <t>F248</t>
        </is>
      </c>
      <c r="F175" t="inlineStr">
        <is>
          <t>Dropped</t>
        </is>
      </c>
      <c r="G175" s="9" t="n"/>
      <c r="H175" s="9" t="n"/>
    </row>
    <row r="176">
      <c r="F176" t="inlineStr">
        <is>
          <t>COVID-19 Mortality, Age-Adjusted Rate per 100,000 Population, 2020–2022</t>
        </is>
      </c>
      <c r="G176" s="9" t="inlineStr">
        <is>
          <t>tbl-covid-mort-aar</t>
        </is>
      </c>
      <c r="H176" s="9">
        <f>IF(LEFT(G176,4)="tbl-","fig-" &amp; MID(G176,5,LEN(G176)-4),"")</f>
        <v/>
      </c>
    </row>
    <row r="177">
      <c r="A177" t="inlineStr">
        <is>
          <t>Activate</t>
        </is>
      </c>
      <c r="B177" t="n">
        <v>173</v>
      </c>
      <c r="E177" t="n">
        <v>249</v>
      </c>
      <c r="F177" t="inlineStr">
        <is>
          <t>Percentage of Adolescents 13 Years Old with a Complete HPV Vaccine Series, 2019–2024</t>
        </is>
      </c>
      <c r="G177" s="65" t="inlineStr">
        <is>
          <t>tbl-13yo+-hpv-vaccine-complete-percent</t>
        </is>
      </c>
      <c r="H177" s="9">
        <f>IF(LEFT(G177,4)="tbl-","fig-" &amp; MID(G177,5,LEN(G177)-4),"")</f>
        <v/>
      </c>
      <c r="I177" t="inlineStr">
        <is>
          <t>NYS Prevention Agenda Dashboard</t>
        </is>
      </c>
      <c r="K177" t="inlineStr">
        <is>
          <t xml:space="preserve">NYS Immunization Information System </t>
        </is>
      </c>
      <c r="L177" t="inlineStr">
        <is>
          <t>Rockland</t>
        </is>
      </c>
    </row>
    <row r="178">
      <c r="A178" t="inlineStr">
        <is>
          <t>Activate</t>
        </is>
      </c>
      <c r="B178" t="n">
        <v>174</v>
      </c>
      <c r="E178" t="n">
        <v>250</v>
      </c>
      <c r="F178" t="inlineStr">
        <is>
          <t>Percentage of Adults with Flu Immunization in the Past Year,  2016, 2018, and 2021</t>
        </is>
      </c>
      <c r="G178" s="65" t="inlineStr">
        <is>
          <t>tbl-adult-flu-immi-lastyear-percent</t>
        </is>
      </c>
      <c r="H178" s="9">
        <f>IF(LEFT(G178,4)="tbl-","fig-" &amp; MID(G178,5,LEN(G178)-4),"")</f>
        <v/>
      </c>
      <c r="I178" t="inlineStr">
        <is>
          <t xml:space="preserve">NYS Behavioral Risk Factor Surveillance System (BRFSS) </t>
        </is>
      </c>
      <c r="L178" t="inlineStr">
        <is>
          <t>Rockland</t>
        </is>
      </c>
    </row>
    <row r="179" ht="16" customHeight="1" s="99">
      <c r="A179" t="inlineStr">
        <is>
          <t>Activate</t>
        </is>
      </c>
      <c r="B179" t="n">
        <v>175</v>
      </c>
      <c r="E179" t="n">
        <v>251</v>
      </c>
      <c r="F179" t="inlineStr">
        <is>
          <t>Percentage of Adults 65 Years and Older with Flu Immunization in the Past Year,  2016, 2018, and 2021</t>
        </is>
      </c>
      <c r="G179" s="94" t="inlineStr">
        <is>
          <t>tbl-65+-flu-immi-percent</t>
        </is>
      </c>
      <c r="H179" s="9">
        <f>IF(LEFT(G179,4)="tbl-","fig-" &amp; MID(G179,5,LEN(G179)-4),"")</f>
        <v/>
      </c>
      <c r="I179" t="inlineStr">
        <is>
          <t xml:space="preserve">NYS Behavioral Risk Factor Surveillance System (BRFSS) </t>
        </is>
      </c>
      <c r="L179" t="inlineStr">
        <is>
          <t>Rockland</t>
        </is>
      </c>
    </row>
    <row r="180">
      <c r="A180" t="inlineStr">
        <is>
          <t>Activate</t>
        </is>
      </c>
      <c r="B180" t="n">
        <v>176</v>
      </c>
      <c r="E180" t="n">
        <v>252</v>
      </c>
      <c r="F180" t="inlineStr">
        <is>
          <t>Percentage of Adults 65 Years and Older with Pneumococcal Immunization, 2016, 2018, and 2021</t>
        </is>
      </c>
      <c r="G180" s="9" t="inlineStr">
        <is>
          <t>tbl-65+-pneumo-immi-percent</t>
        </is>
      </c>
      <c r="H180" s="9">
        <f>IF(LEFT(G180,4)="tbl-","fig-" &amp; MID(G180,5,LEN(G180)-4),"")</f>
        <v/>
      </c>
      <c r="I180" t="inlineStr">
        <is>
          <t xml:space="preserve">NYS Behavioral Risk Factor Surveillance System (BRFSS) </t>
        </is>
      </c>
      <c r="L180" t="inlineStr">
        <is>
          <t>Rockland</t>
        </is>
      </c>
    </row>
    <row r="181">
      <c r="A181" t="inlineStr">
        <is>
          <t>Activate</t>
        </is>
      </c>
      <c r="B181" t="n">
        <v>177</v>
      </c>
      <c r="E181" t="inlineStr">
        <is>
          <t>F253</t>
        </is>
      </c>
      <c r="F181" t="inlineStr">
        <is>
          <t>Dropped</t>
        </is>
      </c>
      <c r="G181" s="9" t="n"/>
      <c r="H181" s="9" t="n"/>
    </row>
    <row r="182">
      <c r="A182" t="inlineStr">
        <is>
          <t>Activate</t>
        </is>
      </c>
      <c r="B182" t="n">
        <v>178</v>
      </c>
      <c r="E182" t="n">
        <v>254</v>
      </c>
      <c r="F182" t="inlineStr">
        <is>
          <t>Newly Diagnosed HIV, Age-Adjusted Case Rate per 100,000 Population, 2014–2021</t>
        </is>
      </c>
      <c r="G182" s="65" t="inlineStr">
        <is>
          <t>tbl-hiv-incident-aar</t>
        </is>
      </c>
      <c r="H182" s="9">
        <f>IF(LEFT(G182,4)="tbl-","fig-" &amp; MID(G182,5,LEN(G182)-4),"")</f>
        <v/>
      </c>
      <c r="I182" t="inlineStr">
        <is>
          <t>NYS Community Health Indicator Reports (CHIRS)</t>
        </is>
      </c>
      <c r="K182" t="inlineStr">
        <is>
          <t xml:space="preserve">NYS HIV Surveillance System </t>
        </is>
      </c>
      <c r="L182" t="inlineStr">
        <is>
          <t>Putnam</t>
        </is>
      </c>
    </row>
    <row r="183">
      <c r="A183" t="inlineStr">
        <is>
          <t>Activate</t>
        </is>
      </c>
      <c r="B183" t="n">
        <v>179</v>
      </c>
      <c r="E183" t="inlineStr">
        <is>
          <t>F255</t>
        </is>
      </c>
      <c r="F183" t="inlineStr">
        <is>
          <t>Dropped</t>
        </is>
      </c>
      <c r="G183" s="9" t="n"/>
      <c r="H183" s="9" t="n"/>
    </row>
    <row r="184">
      <c r="A184" t="inlineStr">
        <is>
          <t>Activate</t>
        </is>
      </c>
      <c r="B184" t="n">
        <v>180</v>
      </c>
      <c r="E184" t="inlineStr">
        <is>
          <t>F256</t>
        </is>
      </c>
      <c r="F184" t="inlineStr">
        <is>
          <t>Dropped</t>
        </is>
      </c>
      <c r="G184" s="9" t="n"/>
      <c r="H184" s="9" t="n"/>
    </row>
    <row r="185">
      <c r="A185" t="inlineStr">
        <is>
          <t>Activate</t>
        </is>
      </c>
      <c r="B185" t="n">
        <v>181</v>
      </c>
      <c r="E185" t="inlineStr">
        <is>
          <t>F257</t>
        </is>
      </c>
      <c r="F185" t="inlineStr">
        <is>
          <t>Dropped</t>
        </is>
      </c>
      <c r="G185" s="9" t="n"/>
      <c r="H185" s="9" t="n"/>
    </row>
    <row r="186">
      <c r="A186" t="inlineStr">
        <is>
          <t>Activate</t>
        </is>
      </c>
      <c r="B186" t="n">
        <v>182</v>
      </c>
      <c r="E186" t="inlineStr">
        <is>
          <t>F258</t>
        </is>
      </c>
      <c r="F186" t="inlineStr">
        <is>
          <t>Dropped</t>
        </is>
      </c>
      <c r="G186" s="9" t="n"/>
      <c r="H186" s="9" t="n"/>
    </row>
    <row r="187">
      <c r="A187" t="inlineStr">
        <is>
          <t>Activate</t>
        </is>
      </c>
      <c r="B187" t="n">
        <v>183</v>
      </c>
      <c r="E187" t="inlineStr">
        <is>
          <t>F259</t>
        </is>
      </c>
      <c r="F187" t="inlineStr">
        <is>
          <t>Dropped</t>
        </is>
      </c>
      <c r="G187" s="9" t="n"/>
      <c r="H187" s="9" t="n"/>
    </row>
    <row r="188">
      <c r="A188" t="inlineStr">
        <is>
          <t>Activate</t>
        </is>
      </c>
      <c r="B188" t="n">
        <v>184</v>
      </c>
      <c r="E188" t="inlineStr">
        <is>
          <t>NEW</t>
        </is>
      </c>
      <c r="F188" t="inlineStr">
        <is>
          <t>Gonorrhea Incidence, Age-Adjusted Rate per 100,000 Population, 2017–2023</t>
        </is>
      </c>
      <c r="G188" s="65" t="inlineStr">
        <is>
          <t>tbl-gono-incident-aar</t>
        </is>
      </c>
      <c r="H188" s="9">
        <f>IF(LEFT(G188,4)="tbl-","fig-" &amp; MID(G188,5,LEN(G188)-4),"")</f>
        <v/>
      </c>
      <c r="I188" t="inlineStr">
        <is>
          <t>NYS Office of Sexual Health and Epidemiology</t>
        </is>
      </c>
      <c r="K188" t="inlineStr">
        <is>
          <t xml:space="preserve">Sexually Transmitted Infections Surveillance Summary Reports </t>
        </is>
      </c>
      <c r="L188" t="inlineStr">
        <is>
          <t>Putnam</t>
        </is>
      </c>
    </row>
    <row r="189">
      <c r="A189" t="inlineStr">
        <is>
          <t>Activate</t>
        </is>
      </c>
      <c r="B189" t="n">
        <v>185</v>
      </c>
      <c r="E189" t="n">
        <v>260</v>
      </c>
      <c r="F189" t="inlineStr">
        <is>
          <t>Dropped</t>
        </is>
      </c>
      <c r="G189" s="9" t="n"/>
      <c r="H189" s="9" t="n"/>
    </row>
    <row r="190">
      <c r="A190" t="inlineStr">
        <is>
          <t>Activate</t>
        </is>
      </c>
      <c r="B190" t="n">
        <v>186</v>
      </c>
      <c r="E190" t="inlineStr">
        <is>
          <t>F261</t>
        </is>
      </c>
      <c r="F190" t="inlineStr">
        <is>
          <t>Dropped</t>
        </is>
      </c>
      <c r="G190" s="9" t="n"/>
      <c r="H190" s="9" t="n"/>
    </row>
    <row r="191">
      <c r="A191" t="inlineStr">
        <is>
          <t>Activate</t>
        </is>
      </c>
      <c r="B191" t="n">
        <v>187</v>
      </c>
      <c r="E191" t="inlineStr">
        <is>
          <t>F262</t>
        </is>
      </c>
      <c r="F191" t="inlineStr">
        <is>
          <t>Dropped</t>
        </is>
      </c>
      <c r="G191" s="9" t="n"/>
      <c r="H191" s="9" t="n"/>
    </row>
    <row r="192">
      <c r="A192" t="inlineStr">
        <is>
          <t>Activate</t>
        </is>
      </c>
      <c r="B192" t="n">
        <v>188</v>
      </c>
      <c r="E192" t="inlineStr">
        <is>
          <t>F263</t>
        </is>
      </c>
      <c r="F192" t="inlineStr">
        <is>
          <t>Dropped</t>
        </is>
      </c>
      <c r="G192" s="9" t="n"/>
      <c r="H192" s="9" t="n"/>
    </row>
    <row r="193">
      <c r="A193" t="inlineStr">
        <is>
          <t>Activate</t>
        </is>
      </c>
      <c r="B193" t="n">
        <v>189</v>
      </c>
      <c r="E193" t="inlineStr">
        <is>
          <t>F264</t>
        </is>
      </c>
      <c r="F193" t="inlineStr">
        <is>
          <t>Dropped</t>
        </is>
      </c>
      <c r="G193" s="9" t="n"/>
      <c r="H193" s="9" t="n"/>
    </row>
    <row r="194">
      <c r="A194" t="inlineStr">
        <is>
          <t>Activate</t>
        </is>
      </c>
      <c r="B194" t="n">
        <v>190</v>
      </c>
      <c r="E194" t="inlineStr">
        <is>
          <t>F265</t>
        </is>
      </c>
      <c r="F194" t="inlineStr">
        <is>
          <t>Dropped</t>
        </is>
      </c>
      <c r="G194" s="9" t="n"/>
      <c r="H194" s="9" t="n"/>
    </row>
    <row r="195">
      <c r="A195" t="inlineStr">
        <is>
          <t>Activate</t>
        </is>
      </c>
      <c r="B195" t="n">
        <v>191</v>
      </c>
      <c r="E195" t="inlineStr">
        <is>
          <t>F266</t>
        </is>
      </c>
      <c r="F195" t="inlineStr">
        <is>
          <t>Dropped</t>
        </is>
      </c>
      <c r="G195" s="9" t="n"/>
      <c r="H195" s="9" t="n"/>
    </row>
    <row r="196">
      <c r="A196" t="inlineStr">
        <is>
          <t>Activate</t>
        </is>
      </c>
      <c r="B196" t="n">
        <v>192</v>
      </c>
      <c r="E196" t="inlineStr">
        <is>
          <t>F267</t>
        </is>
      </c>
      <c r="F196" t="inlineStr">
        <is>
          <t>Dropped</t>
        </is>
      </c>
      <c r="G196" s="9" t="n"/>
      <c r="H196" s="9" t="n"/>
    </row>
    <row r="197">
      <c r="A197" t="inlineStr">
        <is>
          <t>Activate</t>
        </is>
      </c>
      <c r="B197" t="n">
        <v>193</v>
      </c>
      <c r="E197" t="inlineStr">
        <is>
          <t>F268</t>
        </is>
      </c>
      <c r="F197" t="inlineStr">
        <is>
          <t>Dropped</t>
        </is>
      </c>
      <c r="G197" s="9" t="n"/>
      <c r="H197" s="9" t="n"/>
    </row>
    <row r="198">
      <c r="A198" t="inlineStr">
        <is>
          <t>Activate</t>
        </is>
      </c>
      <c r="B198" t="n">
        <v>194</v>
      </c>
      <c r="E198" t="inlineStr">
        <is>
          <t>F269</t>
        </is>
      </c>
      <c r="F198" t="inlineStr">
        <is>
          <t>Dropped</t>
        </is>
      </c>
      <c r="G198" s="9" t="n"/>
      <c r="H198" s="9" t="n"/>
    </row>
    <row r="199">
      <c r="A199" t="inlineStr">
        <is>
          <t>Activate</t>
        </is>
      </c>
      <c r="B199" t="n">
        <v>195</v>
      </c>
      <c r="E199" t="n">
        <v>270</v>
      </c>
      <c r="F199" t="inlineStr">
        <is>
          <t>Dropped</t>
        </is>
      </c>
      <c r="G199" s="9" t="n"/>
      <c r="H199" s="9" t="n"/>
    </row>
    <row r="200">
      <c r="A200" t="inlineStr">
        <is>
          <t>Activate</t>
        </is>
      </c>
      <c r="B200" t="n">
        <v>196</v>
      </c>
      <c r="E200" t="inlineStr">
        <is>
          <t>NEW</t>
        </is>
      </c>
      <c r="F200" t="inlineStr">
        <is>
          <t>Chlamydia Incidence, Age-Adjusted Rate per 100,000 Population, 2017–2023</t>
        </is>
      </c>
      <c r="G200" s="9" t="inlineStr">
        <is>
          <t>tbl-chlamy-incident-aar</t>
        </is>
      </c>
      <c r="H200" s="9">
        <f>IF(LEFT(G200,4)="tbl-","fig-" &amp; MID(G200,5,LEN(G200)-4),"")</f>
        <v/>
      </c>
      <c r="I200" t="inlineStr">
        <is>
          <t>NYS Office of Sexual Health and Epidemiology</t>
        </is>
      </c>
      <c r="K200" t="inlineStr">
        <is>
          <t xml:space="preserve">Sexually Transmitted Infections Surveillance Summary Reports </t>
        </is>
      </c>
      <c r="L200" t="inlineStr">
        <is>
          <t>Putnam</t>
        </is>
      </c>
    </row>
    <row r="201">
      <c r="A201" t="inlineStr">
        <is>
          <t>Activate</t>
        </is>
      </c>
      <c r="B201" t="n">
        <v>197</v>
      </c>
      <c r="E201" t="n">
        <v>271</v>
      </c>
      <c r="G201" s="9" t="n"/>
      <c r="H201" s="9" t="n"/>
    </row>
    <row r="202">
      <c r="A202" t="inlineStr">
        <is>
          <t>Activate</t>
        </is>
      </c>
      <c r="B202" t="n">
        <v>198</v>
      </c>
      <c r="E202" t="n">
        <v>272</v>
      </c>
      <c r="G202" s="9" t="n"/>
      <c r="H202" s="9" t="n"/>
    </row>
    <row r="203">
      <c r="A203" t="inlineStr">
        <is>
          <t>Activate</t>
        </is>
      </c>
      <c r="B203" t="n">
        <v>199</v>
      </c>
      <c r="F203" t="inlineStr">
        <is>
          <t>Early Syphilis Incidence, Age-Adjusted Rate per 100,000 Population, 2017–2023</t>
        </is>
      </c>
      <c r="G203" s="9" t="inlineStr">
        <is>
          <t>tbl-syph-early-aar</t>
        </is>
      </c>
      <c r="H203" s="9">
        <f>IF(LEFT(G203,4)="tbl-","fig-" &amp; MID(G203,5,LEN(G203)-4),"")</f>
        <v/>
      </c>
      <c r="I203" t="inlineStr">
        <is>
          <t xml:space="preserve">NYS Office of Sexual Health and Epidemiology </t>
        </is>
      </c>
      <c r="K203" t="inlineStr">
        <is>
          <t>Sexually Transmitted Infections Surveillance Summary Reports</t>
        </is>
      </c>
      <c r="L203" t="inlineStr">
        <is>
          <t>Putnam</t>
        </is>
      </c>
    </row>
    <row r="204">
      <c r="A204" t="inlineStr">
        <is>
          <t>Activate</t>
        </is>
      </c>
      <c r="B204" t="n">
        <v>200</v>
      </c>
      <c r="E204" t="inlineStr">
        <is>
          <t>F273</t>
        </is>
      </c>
      <c r="F204" t="inlineStr">
        <is>
          <t>Dropped</t>
        </is>
      </c>
      <c r="G204" s="9" t="n"/>
      <c r="H204" s="9" t="n"/>
    </row>
    <row r="205">
      <c r="A205" t="inlineStr">
        <is>
          <t>Activate</t>
        </is>
      </c>
      <c r="B205" t="n">
        <v>201</v>
      </c>
      <c r="E205" t="inlineStr">
        <is>
          <t>F274</t>
        </is>
      </c>
      <c r="F205" t="inlineStr">
        <is>
          <t>Dropped</t>
        </is>
      </c>
      <c r="G205" s="9" t="n"/>
      <c r="H205" s="9" t="n"/>
    </row>
    <row r="206">
      <c r="A206" t="inlineStr">
        <is>
          <t>Activate</t>
        </is>
      </c>
      <c r="B206" t="n">
        <v>202</v>
      </c>
      <c r="E206" t="n">
        <v>275</v>
      </c>
      <c r="F206" t="inlineStr">
        <is>
          <t>Lyme Disease, Case Rate per 100,000 Population, 2020–2023</t>
        </is>
      </c>
      <c r="G206" s="9" t="inlineStr">
        <is>
          <t>tbl-lyme-disease</t>
        </is>
      </c>
      <c r="H206" s="9">
        <f>IF(LEFT(G206,4)="tbl-","fig-" &amp; MID(G206,5,LEN(G206)-4),"")</f>
        <v/>
      </c>
      <c r="I206" t="inlineStr">
        <is>
          <t xml:space="preserve">NYS Communicable Disease Annual Reports </t>
        </is>
      </c>
      <c r="J206" t="inlineStr">
        <is>
          <t>CD Annual report</t>
        </is>
      </c>
      <c r="K206" t="inlineStr">
        <is>
          <t xml:space="preserve">NYS Communicable Disease Electronic Surveillance System </t>
        </is>
      </c>
      <c r="L206" t="inlineStr">
        <is>
          <t>Rockland</t>
        </is>
      </c>
    </row>
    <row r="207">
      <c r="A207" t="inlineStr">
        <is>
          <t>Activate</t>
        </is>
      </c>
      <c r="B207" t="n">
        <v>203</v>
      </c>
      <c r="E207" t="inlineStr">
        <is>
          <t>F276</t>
        </is>
      </c>
      <c r="F207" t="inlineStr">
        <is>
          <t>Dropped</t>
        </is>
      </c>
      <c r="G207" s="9" t="n"/>
      <c r="H207" s="9" t="n"/>
    </row>
    <row r="208">
      <c r="A208" t="inlineStr">
        <is>
          <t>Activate</t>
        </is>
      </c>
      <c r="B208" t="n">
        <v>204</v>
      </c>
      <c r="E208" t="n">
        <v>277</v>
      </c>
      <c r="F208" t="inlineStr">
        <is>
          <t>Anaplasmosis, Case Rate per 100,000 Population, 2020–2023</t>
        </is>
      </c>
      <c r="G208" s="9" t="inlineStr">
        <is>
          <t>tbl-anaplasmosis</t>
        </is>
      </c>
      <c r="H208" s="9">
        <f>IF(LEFT(G208,4)="tbl-","fig-" &amp; MID(G208,5,LEN(G208)-4),"")</f>
        <v/>
      </c>
      <c r="I208" t="inlineStr">
        <is>
          <t xml:space="preserve">NYS Communicable Disease Annual Reports </t>
        </is>
      </c>
      <c r="J208" t="inlineStr">
        <is>
          <t>CD Annual report</t>
        </is>
      </c>
      <c r="K208" t="inlineStr">
        <is>
          <t xml:space="preserve">NYS Communicable Disease Electronic Surveillance System </t>
        </is>
      </c>
      <c r="L208" t="inlineStr">
        <is>
          <t>Rockland</t>
        </is>
      </c>
    </row>
    <row r="209">
      <c r="A209" t="inlineStr">
        <is>
          <t>Activate</t>
        </is>
      </c>
      <c r="B209" t="n">
        <v>205</v>
      </c>
      <c r="E209" t="inlineStr">
        <is>
          <t>F278</t>
        </is>
      </c>
      <c r="F209" t="inlineStr">
        <is>
          <t>Dropped</t>
        </is>
      </c>
      <c r="G209" s="9" t="n"/>
      <c r="H209" s="9" t="n"/>
    </row>
    <row r="210">
      <c r="A210" t="inlineStr">
        <is>
          <t>Activate</t>
        </is>
      </c>
      <c r="B210" t="n">
        <v>206</v>
      </c>
      <c r="E210" t="n">
        <v>279</v>
      </c>
      <c r="F210" t="inlineStr">
        <is>
          <t xml:space="preserve">Babesiosis, Case Rate per 100,000 Population, 2020–2023 </t>
        </is>
      </c>
      <c r="G210" s="9" t="inlineStr">
        <is>
          <t>tbl-babesiosis</t>
        </is>
      </c>
      <c r="H210" s="9">
        <f>IF(LEFT(G210,4)="tbl-","fig-" &amp; MID(G210,5,LEN(G210)-4),"")</f>
        <v/>
      </c>
      <c r="I210" t="inlineStr">
        <is>
          <t xml:space="preserve">NYS Communicable Disease Annual Reports </t>
        </is>
      </c>
      <c r="J210" t="inlineStr">
        <is>
          <t>CD Annual report</t>
        </is>
      </c>
      <c r="K210" t="inlineStr">
        <is>
          <t xml:space="preserve">NYS Communicable Disease Electronic Surveillance System </t>
        </is>
      </c>
      <c r="L210" t="inlineStr">
        <is>
          <t>Rockland</t>
        </is>
      </c>
    </row>
    <row r="211">
      <c r="A211" t="inlineStr">
        <is>
          <t>Activate</t>
        </is>
      </c>
      <c r="B211" t="n">
        <v>207</v>
      </c>
      <c r="E211" t="inlineStr">
        <is>
          <t>F280</t>
        </is>
      </c>
      <c r="F211" t="inlineStr">
        <is>
          <t>Dropped</t>
        </is>
      </c>
      <c r="G211" s="9" t="n"/>
      <c r="H211" s="9" t="n"/>
    </row>
    <row r="212">
      <c r="A212" t="inlineStr">
        <is>
          <t>Activate</t>
        </is>
      </c>
      <c r="B212" t="n">
        <v>208</v>
      </c>
      <c r="E212" t="inlineStr">
        <is>
          <t>F281</t>
        </is>
      </c>
      <c r="F212" t="inlineStr">
        <is>
          <t>Dropped</t>
        </is>
      </c>
      <c r="G212" s="9" t="n"/>
      <c r="H212" s="9" t="n"/>
    </row>
    <row r="213">
      <c r="A213" t="inlineStr">
        <is>
          <t>Activate</t>
        </is>
      </c>
      <c r="B213" t="n">
        <v>209</v>
      </c>
      <c r="E213" t="inlineStr">
        <is>
          <t>T 38</t>
        </is>
      </c>
      <c r="F213" t="inlineStr">
        <is>
          <t>Animal Rabies Testing of Domestic Species†, 2024</t>
        </is>
      </c>
      <c r="G213" s="9" t="inlineStr">
        <is>
          <t>tbl-rabies-test-domestic</t>
        </is>
      </c>
      <c r="H213" s="9">
        <f>IF(LEFT(G213,4)="tbl-","fig-" &amp; MID(G213,5,LEN(G213)-4),"")</f>
        <v/>
      </c>
      <c r="I213" t="inlineStr">
        <is>
          <t>NYS Wadsworth</t>
        </is>
      </c>
      <c r="L213" t="inlineStr">
        <is>
          <t>Putnam</t>
        </is>
      </c>
    </row>
    <row r="214">
      <c r="A214" t="inlineStr">
        <is>
          <t>Activate</t>
        </is>
      </c>
      <c r="B214" t="n">
        <v>210</v>
      </c>
      <c r="E214" t="inlineStr">
        <is>
          <t>T 39</t>
        </is>
      </c>
      <c r="F214" t="inlineStr">
        <is>
          <t>Animal Rabies Testing of Wild Species†, 2024</t>
        </is>
      </c>
      <c r="G214" s="9" t="inlineStr">
        <is>
          <t>tbl-rabies-test-wild</t>
        </is>
      </c>
      <c r="H214" s="9">
        <f>IF(LEFT(G214,4)="tbl-","fig-" &amp; MID(G214,5,LEN(G214)-4),"")</f>
        <v/>
      </c>
      <c r="I214" t="inlineStr">
        <is>
          <t>NYS Wadsworth</t>
        </is>
      </c>
      <c r="L214" t="inlineStr">
        <is>
          <t>Putnam</t>
        </is>
      </c>
    </row>
    <row r="215">
      <c r="A215" t="inlineStr">
        <is>
          <t>Activate</t>
        </is>
      </c>
      <c r="B215" t="n">
        <v>211</v>
      </c>
      <c r="E215" t="n">
        <v>282</v>
      </c>
      <c r="F215" t="inlineStr">
        <is>
          <t>Persons Authorized to Receive Rabies Post-Exposure Prophylaxis, Rate per 10,000 Population, 2021–2024</t>
        </is>
      </c>
      <c r="G215" s="9" t="inlineStr">
        <is>
          <t>tbl-rabies-pep-rate</t>
        </is>
      </c>
      <c r="H215" s="9">
        <f>IF(LEFT(G215,4)="tbl-","fig-" &amp; MID(G215,5,LEN(G215)-4),"")</f>
        <v/>
      </c>
      <c r="I215" t="inlineStr">
        <is>
          <t>NYSDOH Bureau of Communicable Disease Control</t>
        </is>
      </c>
      <c r="L215" t="inlineStr">
        <is>
          <t>Putnam</t>
        </is>
      </c>
    </row>
    <row r="216">
      <c r="A216" t="inlineStr">
        <is>
          <t>Activate</t>
        </is>
      </c>
      <c r="B216" t="n">
        <v>212</v>
      </c>
      <c r="E216" t="inlineStr">
        <is>
          <t>F283</t>
        </is>
      </c>
      <c r="F216" t="inlineStr">
        <is>
          <t>Percentage of Births with Early Prenatal Care or Late and No Prenatal Care, 2020–2022</t>
        </is>
      </c>
      <c r="G216" s="9" t="inlineStr">
        <is>
          <t>tbl-early-late-no-pnc-percent</t>
        </is>
      </c>
      <c r="H216" s="9">
        <f>IF(LEFT(G216,4)="tbl-","fig-" &amp; MID(G216,5,LEN(G216)-4),"")</f>
        <v/>
      </c>
      <c r="L216" t="inlineStr">
        <is>
          <t>Sullivan</t>
        </is>
      </c>
    </row>
    <row r="217">
      <c r="A217" t="inlineStr">
        <is>
          <t>Activate</t>
        </is>
      </c>
      <c r="B217" t="n">
        <v>213</v>
      </c>
      <c r="E217" t="n">
        <v>284</v>
      </c>
      <c r="F217" t="inlineStr">
        <is>
          <t>Percentage of Births with Early Prenatal Care, 2014–2021</t>
        </is>
      </c>
      <c r="G217" s="9" t="inlineStr">
        <is>
          <t>tbl-early-pnc-percent</t>
        </is>
      </c>
      <c r="H217" s="9">
        <f>IF(LEFT(G217,4)="tbl-","fig-" &amp; MID(G217,5,LEN(G217)-4),"")</f>
        <v/>
      </c>
      <c r="I217" t="inlineStr">
        <is>
          <t>NYS Community Health Indicator Reports (CHIRS)</t>
        </is>
      </c>
      <c r="K217" t="inlineStr">
        <is>
          <t xml:space="preserve">Vital Statistics of NYS </t>
        </is>
      </c>
      <c r="L217" t="inlineStr">
        <is>
          <t>Sullivan</t>
        </is>
      </c>
    </row>
    <row r="218">
      <c r="A218" t="inlineStr">
        <is>
          <t>Activate</t>
        </is>
      </c>
      <c r="B218" t="n">
        <v>214</v>
      </c>
      <c r="E218" t="n">
        <v>285</v>
      </c>
      <c r="F218" t="inlineStr">
        <is>
          <t>Percentage of Births with Late or No Prenatal Care, 2014–2021</t>
        </is>
      </c>
      <c r="G218" s="9" t="inlineStr">
        <is>
          <t>tbl-late-no-pnc-percent</t>
        </is>
      </c>
      <c r="H218" s="9">
        <f>IF(LEFT(G218,4)="tbl-","fig-" &amp; MID(G218,5,LEN(G218)-4),"")</f>
        <v/>
      </c>
      <c r="I218" t="inlineStr">
        <is>
          <t>NYS Community Health Indicator Reports (CHIRS)</t>
        </is>
      </c>
      <c r="K218" t="inlineStr">
        <is>
          <t xml:space="preserve">Vital Statistics of NYS </t>
        </is>
      </c>
      <c r="L218" t="inlineStr">
        <is>
          <t>Sullivan</t>
        </is>
      </c>
    </row>
    <row r="219">
      <c r="A219" t="inlineStr">
        <is>
          <t>Activate</t>
        </is>
      </c>
      <c r="B219" t="n">
        <v>215</v>
      </c>
      <c r="E219" t="n">
        <v>286</v>
      </c>
      <c r="F219" t="inlineStr">
        <is>
          <t>Percentage of Births with Early Prenatal Care by Race and Ethnicity, 2020–2022</t>
        </is>
      </c>
      <c r="G219" s="9" t="inlineStr">
        <is>
          <t>tbl-epc-rande-percent</t>
        </is>
      </c>
      <c r="H219" s="9">
        <f>IF(LEFT(G219,4)="tbl-","fig-" &amp; MID(G219,5,LEN(G219)-4),"")</f>
        <v/>
      </c>
      <c r="I219" t="inlineStr">
        <is>
          <t>NYS County Health Indicators by Race/Ethnicity (CHIRE)</t>
        </is>
      </c>
      <c r="K219" t="inlineStr">
        <is>
          <t xml:space="preserve">Vital Statistics of NYS </t>
        </is>
      </c>
      <c r="L219" t="inlineStr">
        <is>
          <t>Sullivan</t>
        </is>
      </c>
    </row>
    <row r="220">
      <c r="A220" t="inlineStr">
        <is>
          <t>Activate</t>
        </is>
      </c>
      <c r="B220" t="n">
        <v>216</v>
      </c>
      <c r="E220" t="inlineStr">
        <is>
          <t>F287</t>
        </is>
      </c>
      <c r="F220" t="inlineStr">
        <is>
          <t>Dropped</t>
        </is>
      </c>
      <c r="G220" s="9" t="n"/>
      <c r="H220" s="9" t="n"/>
    </row>
    <row r="221">
      <c r="A221" t="inlineStr">
        <is>
          <t>Activate</t>
        </is>
      </c>
      <c r="B221" t="n">
        <v>217</v>
      </c>
      <c r="E221" t="n">
        <v>288</v>
      </c>
      <c r="F221" t="inlineStr">
        <is>
          <t>Pregnancy, Rate per 1,000 Female Population 15–44 Years Old, 2014–2021</t>
        </is>
      </c>
      <c r="G221" s="9" t="inlineStr">
        <is>
          <t>tbl-15to44-preg-rate</t>
        </is>
      </c>
      <c r="H221" s="9">
        <f>IF(LEFT(G221,4)="tbl-","fig-" &amp; MID(G221,5,LEN(G221)-4),"")</f>
        <v/>
      </c>
      <c r="I221" t="inlineStr">
        <is>
          <t>NYS Community Health Indicator Reports (CHIRS)</t>
        </is>
      </c>
      <c r="K221" t="inlineStr">
        <is>
          <t xml:space="preserve">Vital Statistics of NYS </t>
        </is>
      </c>
      <c r="L221" t="inlineStr">
        <is>
          <t>Sullivan</t>
        </is>
      </c>
    </row>
    <row r="222">
      <c r="A222" t="inlineStr">
        <is>
          <t>Activate</t>
        </is>
      </c>
      <c r="B222" t="n">
        <v>218</v>
      </c>
      <c r="E222" t="n">
        <v>289</v>
      </c>
      <c r="F222" t="inlineStr">
        <is>
          <t>Pregnancy, Rate per 1,000 Female Population 15–44 Years Old  by Race and Ethnicity, 2020–2022</t>
        </is>
      </c>
      <c r="G222" s="9" t="inlineStr">
        <is>
          <t>tbl-15to44-preg-rate-rande</t>
        </is>
      </c>
      <c r="H222" s="9">
        <f>IF(LEFT(G222,4)="tbl-","fig-" &amp; MID(G222,5,LEN(G222)-4),"")</f>
        <v/>
      </c>
      <c r="I222" t="inlineStr">
        <is>
          <t>NYS County Health Indicators by Race/Ethnicity (CHIRE)</t>
        </is>
      </c>
      <c r="K222" t="inlineStr">
        <is>
          <t xml:space="preserve">Vital Statistics of NYS </t>
        </is>
      </c>
      <c r="L222" t="inlineStr">
        <is>
          <t>Sullivan</t>
        </is>
      </c>
    </row>
    <row r="223">
      <c r="A223" t="inlineStr">
        <is>
          <t>Activate</t>
        </is>
      </c>
      <c r="B223" t="n">
        <v>219</v>
      </c>
      <c r="E223" t="inlineStr">
        <is>
          <t>F290</t>
        </is>
      </c>
      <c r="F223" t="inlineStr">
        <is>
          <t>Dropped</t>
        </is>
      </c>
      <c r="G223" s="9" t="n"/>
      <c r="H223" s="9" t="n"/>
    </row>
    <row r="224">
      <c r="A224" t="inlineStr">
        <is>
          <t>Activate</t>
        </is>
      </c>
      <c r="B224" t="n">
        <v>220</v>
      </c>
      <c r="E224" t="inlineStr">
        <is>
          <t>F291</t>
        </is>
      </c>
      <c r="F224" t="inlineStr">
        <is>
          <t>Dropped</t>
        </is>
      </c>
      <c r="G224" s="9" t="n"/>
      <c r="H224" s="9" t="n"/>
    </row>
    <row r="225">
      <c r="A225" t="inlineStr">
        <is>
          <t>Activate</t>
        </is>
      </c>
      <c r="B225" t="n">
        <v>221</v>
      </c>
      <c r="E225" t="inlineStr">
        <is>
          <t>F292</t>
        </is>
      </c>
      <c r="F225" t="inlineStr">
        <is>
          <t>Dropped</t>
        </is>
      </c>
      <c r="G225" s="9" t="n"/>
      <c r="H225" s="9" t="n"/>
    </row>
    <row r="226">
      <c r="A226" t="inlineStr">
        <is>
          <t>Activate</t>
        </is>
      </c>
      <c r="B226" t="n">
        <v>222</v>
      </c>
      <c r="E226" t="n">
        <v>293</v>
      </c>
      <c r="F226" t="inlineStr">
        <is>
          <t>Teen Pregnancy, Rate per 1,000 Female Population 15–19 Years Old, 2014–2021</t>
        </is>
      </c>
      <c r="G226" s="9" t="inlineStr">
        <is>
          <t>tbl-15to19-teenpreg-rate</t>
        </is>
      </c>
      <c r="H226" s="9">
        <f>IF(LEFT(G226,4)="tbl-","fig-" &amp; MID(G226,5,LEN(G226)-4),"")</f>
        <v/>
      </c>
      <c r="I226" t="inlineStr">
        <is>
          <t>NYS Community Health Indicator Reports (CHIRS)</t>
        </is>
      </c>
      <c r="K226" t="inlineStr">
        <is>
          <t xml:space="preserve">Vital Statistics of NYS </t>
        </is>
      </c>
      <c r="L226" t="inlineStr">
        <is>
          <t>Sullivan</t>
        </is>
      </c>
    </row>
    <row r="227" ht="16" customHeight="1" s="99">
      <c r="A227" t="inlineStr">
        <is>
          <t>Activate</t>
        </is>
      </c>
      <c r="B227" t="n">
        <v>223</v>
      </c>
      <c r="E227" t="n">
        <v>294</v>
      </c>
      <c r="F227" t="inlineStr">
        <is>
          <t>Teen Pregnancy, Rate per 1,000 Female Population 17 Years Old and Younger by Race and Ethnicity, 2020–2022</t>
        </is>
      </c>
      <c r="G227" s="94" t="inlineStr">
        <is>
          <t>tbl-17+-teenpreg-rande-rate</t>
        </is>
      </c>
      <c r="H227" s="9">
        <f>IF(LEFT(G227,4)="tbl-","fig-" &amp; MID(G227,5,LEN(G227)-4),"")</f>
        <v/>
      </c>
      <c r="I227" t="inlineStr">
        <is>
          <t>NYS County Health Indicators by Race/Ethnicity (CHIRE)</t>
        </is>
      </c>
      <c r="K227" t="inlineStr">
        <is>
          <t xml:space="preserve">Vital Statistics of NYS </t>
        </is>
      </c>
      <c r="L227" t="inlineStr">
        <is>
          <t>Sullivan</t>
        </is>
      </c>
    </row>
    <row r="228">
      <c r="A228" t="inlineStr">
        <is>
          <t>Activate</t>
        </is>
      </c>
      <c r="B228" t="n">
        <v>224</v>
      </c>
      <c r="E228" t="n">
        <v>295</v>
      </c>
      <c r="F228" t="inlineStr">
        <is>
          <t>Percentage of Live Births by Financial Coverage, 2022</t>
        </is>
      </c>
      <c r="G228" s="9" t="inlineStr">
        <is>
          <t>tbl-financial-coverage-liveb-percent</t>
        </is>
      </c>
      <c r="H228" s="9">
        <f>IF(LEFT(G228,4)="tbl-","fig-" &amp; MID(G228,5,LEN(G228)-4),"")</f>
        <v/>
      </c>
    </row>
    <row r="229">
      <c r="A229" t="inlineStr">
        <is>
          <t>Activate</t>
        </is>
      </c>
      <c r="B229" t="n">
        <v>225</v>
      </c>
      <c r="G229" s="9" t="n"/>
      <c r="H229" s="9" t="n"/>
      <c r="I229" t="inlineStr">
        <is>
          <t>NYS Vital Statistics</t>
        </is>
      </c>
      <c r="K229" t="inlineStr">
        <is>
          <t xml:space="preserve">Vital Statistics of NYS </t>
        </is>
      </c>
      <c r="L229" t="inlineStr">
        <is>
          <t>Sullivan</t>
        </is>
      </c>
    </row>
    <row r="230">
      <c r="A230" t="inlineStr">
        <is>
          <t>Activate</t>
        </is>
      </c>
      <c r="B230" t="n">
        <v>226</v>
      </c>
      <c r="E230" t="inlineStr">
        <is>
          <t>NEW</t>
        </is>
      </c>
      <c r="F230" t="inlineStr">
        <is>
          <t>Percentage of Infants Who Are Exclusively Breastfed in the Hospital among All Infants, 2013–2022</t>
        </is>
      </c>
      <c r="G230" s="9" t="inlineStr">
        <is>
          <t>tbl-hospital-exclusive-bf-percent</t>
        </is>
      </c>
      <c r="H230" s="9">
        <f>IF(LEFT(G230,4)="tbl-","fig-" &amp; MID(G230,5,LEN(G230)-4),"")</f>
        <v/>
      </c>
      <c r="I230" t="inlineStr">
        <is>
          <t xml:space="preserve">NYS Prevention Agenda Dashboard </t>
        </is>
      </c>
      <c r="K230" t="inlineStr">
        <is>
          <t xml:space="preserve">Vital Statistics of NYS </t>
        </is>
      </c>
      <c r="L230" t="inlineStr">
        <is>
          <t>Sullivan</t>
        </is>
      </c>
    </row>
    <row r="231">
      <c r="A231" t="inlineStr">
        <is>
          <t>Activate</t>
        </is>
      </c>
      <c r="B231" t="n">
        <v>227</v>
      </c>
      <c r="E231" t="inlineStr">
        <is>
          <t>F296</t>
        </is>
      </c>
      <c r="F231" t="inlineStr">
        <is>
          <t>Dropped</t>
        </is>
      </c>
      <c r="G231" s="9" t="n"/>
      <c r="H231" s="9" t="n"/>
    </row>
    <row r="232">
      <c r="A232" t="inlineStr">
        <is>
          <t>Activate</t>
        </is>
      </c>
      <c r="B232" t="n">
        <v>228</v>
      </c>
      <c r="E232" t="n">
        <v>297</v>
      </c>
      <c r="F232" t="inlineStr">
        <is>
          <t>Percentage of Preterm Births, 2014–2021</t>
        </is>
      </c>
      <c r="G232" s="9" t="inlineStr">
        <is>
          <t>tbl-preterm-births-percent</t>
        </is>
      </c>
      <c r="H232" s="9">
        <f>IF(LEFT(G232,4)="tbl-","fig-" &amp; MID(G232,5,LEN(G232)-4),"")</f>
        <v/>
      </c>
      <c r="I232" t="inlineStr">
        <is>
          <t>NYS Community Health Indicator Reports (CHIRS)</t>
        </is>
      </c>
      <c r="L232" t="inlineStr">
        <is>
          <t>Sullivan</t>
        </is>
      </c>
    </row>
    <row r="233">
      <c r="A233" t="inlineStr">
        <is>
          <t>Activate</t>
        </is>
      </c>
      <c r="B233" t="n">
        <v>229</v>
      </c>
      <c r="E233" t="inlineStr">
        <is>
          <t>F298</t>
        </is>
      </c>
      <c r="F233" t="inlineStr">
        <is>
          <t>Dropped</t>
        </is>
      </c>
      <c r="G233" s="9" t="n"/>
      <c r="H233" s="9" t="n"/>
    </row>
    <row r="234">
      <c r="A234" t="inlineStr">
        <is>
          <t>Activate</t>
        </is>
      </c>
      <c r="B234" t="n">
        <v>230</v>
      </c>
      <c r="E234" t="n">
        <v>299</v>
      </c>
      <c r="F234" t="inlineStr">
        <is>
          <t>Percentage of Low Birthweight Infants, 2014–2021</t>
        </is>
      </c>
      <c r="G234" s="9" t="inlineStr">
        <is>
          <t>tbl-lbw-percent</t>
        </is>
      </c>
      <c r="H234" s="9">
        <f>IF(LEFT(G234,4)="tbl-","fig-" &amp; MID(G234,5,LEN(G234)-4),"")</f>
        <v/>
      </c>
      <c r="I234" t="inlineStr">
        <is>
          <t>NYS Community Health Indicator Reports (CHIRS)</t>
        </is>
      </c>
      <c r="K234" t="inlineStr">
        <is>
          <t xml:space="preserve">Vital Statistics of NYS </t>
        </is>
      </c>
      <c r="L234" t="inlineStr">
        <is>
          <t>Sullivan</t>
        </is>
      </c>
    </row>
    <row r="235">
      <c r="A235" t="inlineStr">
        <is>
          <t>Activate</t>
        </is>
      </c>
      <c r="B235" t="n">
        <v>231</v>
      </c>
      <c r="E235" t="n">
        <v>300</v>
      </c>
      <c r="F235" t="inlineStr">
        <is>
          <t>Percentage of Low Birthweight Infants by Race and Ethnicity, 2020–2022</t>
        </is>
      </c>
      <c r="G235" s="9" t="inlineStr">
        <is>
          <t>tbl-lbw-rande-percent</t>
        </is>
      </c>
      <c r="H235" s="9">
        <f>IF(LEFT(G235,4)="tbl-","fig-" &amp; MID(G235,5,LEN(G235)-4),"")</f>
        <v/>
      </c>
      <c r="I235" t="inlineStr">
        <is>
          <t>NYS County Health Indicators by Race/Ethnicity (CHIRE)</t>
        </is>
      </c>
      <c r="K235" t="inlineStr">
        <is>
          <t xml:space="preserve">Vital Statistics of NYS </t>
        </is>
      </c>
      <c r="L235" t="inlineStr">
        <is>
          <t>Sullivan</t>
        </is>
      </c>
    </row>
    <row r="236">
      <c r="A236" t="inlineStr">
        <is>
          <t>Activate</t>
        </is>
      </c>
      <c r="B236" t="n">
        <v>232</v>
      </c>
      <c r="E236" t="inlineStr">
        <is>
          <t>F301</t>
        </is>
      </c>
      <c r="F236" t="inlineStr">
        <is>
          <t>Dropped</t>
        </is>
      </c>
      <c r="G236" s="9" t="n"/>
      <c r="H236" s="9" t="n"/>
    </row>
    <row r="237">
      <c r="A237" t="inlineStr">
        <is>
          <t>Activate</t>
        </is>
      </c>
      <c r="B237" t="n">
        <v>233</v>
      </c>
      <c r="E237" t="n">
        <v>302</v>
      </c>
      <c r="F237" t="inlineStr">
        <is>
          <t>Infant Mortality, Rate per 1,000 Live Births, 2014–2021</t>
        </is>
      </c>
      <c r="G237" s="9" t="inlineStr">
        <is>
          <t>tbl-infant-mortal-rate</t>
        </is>
      </c>
      <c r="H237" s="9">
        <f>IF(LEFT(G237,4)="tbl-","fig-" &amp; MID(G237,5,LEN(G237)-4),"")</f>
        <v/>
      </c>
      <c r="I237" t="inlineStr">
        <is>
          <t>NYS Community Health Indicator Reports (CHIRS)</t>
        </is>
      </c>
      <c r="K237" t="inlineStr">
        <is>
          <t xml:space="preserve">Vital Statistics of NYS </t>
        </is>
      </c>
      <c r="L237" t="inlineStr">
        <is>
          <t>Sullivan</t>
        </is>
      </c>
    </row>
    <row r="238">
      <c r="A238" t="inlineStr">
        <is>
          <t>Activate</t>
        </is>
      </c>
      <c r="B238" t="n">
        <v>234</v>
      </c>
      <c r="E238" t="inlineStr">
        <is>
          <t>NEW</t>
        </is>
      </c>
      <c r="F238" t="inlineStr">
        <is>
          <t>Maternal Mortality, Rate per 100,000 Live Births, 2013–2022 Unstable Data</t>
        </is>
      </c>
      <c r="G238" s="9" t="inlineStr">
        <is>
          <t>tbl-maternal-mortal-rate</t>
        </is>
      </c>
      <c r="H238" s="9">
        <f>IF(LEFT(G238,4)="tbl-","fig-" &amp; MID(G238,5,LEN(G238)-4),"")</f>
        <v/>
      </c>
      <c r="I238" t="inlineStr">
        <is>
          <t>NYS Prevention Agenda Dashboard</t>
        </is>
      </c>
      <c r="K238" t="inlineStr">
        <is>
          <t xml:space="preserve">Vital Statistics of NYS </t>
        </is>
      </c>
      <c r="L238" t="inlineStr">
        <is>
          <t>Sullivan</t>
        </is>
      </c>
    </row>
    <row r="239">
      <c r="A239" t="inlineStr">
        <is>
          <t>Activate</t>
        </is>
      </c>
      <c r="B239" t="n">
        <v>235</v>
      </c>
      <c r="E239" t="inlineStr">
        <is>
          <t>F303</t>
        </is>
      </c>
      <c r="F239" t="inlineStr">
        <is>
          <t>Dropped</t>
        </is>
      </c>
      <c r="G239" s="9" t="n"/>
      <c r="H239" s="9" t="n"/>
    </row>
    <row r="240">
      <c r="A240" t="inlineStr">
        <is>
          <t>Activate</t>
        </is>
      </c>
      <c r="B240" t="n">
        <v>236</v>
      </c>
      <c r="E240" t="inlineStr">
        <is>
          <t>F304</t>
        </is>
      </c>
      <c r="F240" t="inlineStr">
        <is>
          <t>Dropped</t>
        </is>
      </c>
      <c r="G240" s="9" t="n"/>
      <c r="H240" s="9" t="n"/>
    </row>
    <row r="241">
      <c r="A241" t="inlineStr">
        <is>
          <t>Activate</t>
        </is>
      </c>
      <c r="B241" t="n">
        <v>237</v>
      </c>
      <c r="E241" t="inlineStr">
        <is>
          <t>F305</t>
        </is>
      </c>
      <c r="F241" t="inlineStr">
        <is>
          <t>Dropped</t>
        </is>
      </c>
      <c r="G241" s="9" t="n"/>
      <c r="H241" s="9" t="n"/>
    </row>
    <row r="242">
      <c r="A242" t="inlineStr">
        <is>
          <t>Activate</t>
        </is>
      </c>
      <c r="B242" t="n">
        <v>238</v>
      </c>
      <c r="E242" t="n">
        <v>306</v>
      </c>
      <c r="F242" t="inlineStr">
        <is>
          <t>?</t>
        </is>
      </c>
      <c r="G242" s="9" t="n"/>
      <c r="H242" s="9" t="n"/>
      <c r="I242" t="inlineStr">
        <is>
          <t>NYS Community Health Indicator Reports (CHIRS)</t>
        </is>
      </c>
      <c r="L242" t="inlineStr">
        <is>
          <t>Sullivan</t>
        </is>
      </c>
    </row>
    <row r="243">
      <c r="A243" t="inlineStr">
        <is>
          <t>Activate</t>
        </is>
      </c>
      <c r="B243" t="n">
        <v>239</v>
      </c>
      <c r="E243" t="inlineStr">
        <is>
          <t>F307</t>
        </is>
      </c>
      <c r="F243" t="inlineStr">
        <is>
          <t>Dropped</t>
        </is>
      </c>
      <c r="G243" s="9" t="n"/>
      <c r="H243" s="9" t="n"/>
    </row>
    <row r="244">
      <c r="A244" t="inlineStr">
        <is>
          <t>Activate</t>
        </is>
      </c>
      <c r="B244" t="n">
        <v>240</v>
      </c>
      <c r="E244" t="n">
        <v>308</v>
      </c>
      <c r="F244" t="inlineStr">
        <is>
          <t>Percentage of Medicaid Enrollees with at least One Dental Visit Within The Last Year, 2021–2023</t>
        </is>
      </c>
      <c r="G244" s="9" t="inlineStr">
        <is>
          <t>tbl-medicaid-1dental-visit-percent</t>
        </is>
      </c>
      <c r="H244" s="9">
        <f>IF(LEFT(G244,4)="tbl-","fig-" &amp; MID(G244,5,LEN(G244)-4),"")</f>
        <v/>
      </c>
      <c r="I244" t="inlineStr">
        <is>
          <t>NYS Community Health Indicator Reports (CHIRS)</t>
        </is>
      </c>
      <c r="K244" t="inlineStr">
        <is>
          <t>NYS Medicaid Program</t>
        </is>
      </c>
      <c r="L244" t="inlineStr">
        <is>
          <t>Westchester</t>
        </is>
      </c>
    </row>
    <row r="245">
      <c r="A245" t="inlineStr">
        <is>
          <t>Activate</t>
        </is>
      </c>
      <c r="B245" t="n">
        <v>241</v>
      </c>
      <c r="E245" t="n">
        <v>309</v>
      </c>
      <c r="F245" t="inlineStr">
        <is>
          <t>Percentage of All Medicaid Enrollees with a Dental Visit in the Past 12 Months, 2019–2022</t>
        </is>
      </c>
      <c r="G245" s="9" t="inlineStr">
        <is>
          <t>tbl-medicaid-dental-past12-percent</t>
        </is>
      </c>
      <c r="H245" s="9">
        <f>IF(LEFT(G245,4)="tbl-","fig-" &amp; MID(G245,5,LEN(G245)-4),"")</f>
        <v/>
      </c>
      <c r="I245" t="inlineStr">
        <is>
          <t>NYS Community Health Indicator Reports (CHIRS)</t>
        </is>
      </c>
      <c r="K245" t="inlineStr">
        <is>
          <t xml:space="preserve">NYS Medicaid Program </t>
        </is>
      </c>
      <c r="L245" t="inlineStr">
        <is>
          <t>Westchester</t>
        </is>
      </c>
    </row>
    <row r="246">
      <c r="A246" t="inlineStr">
        <is>
          <t>Activate</t>
        </is>
      </c>
      <c r="B246" t="n">
        <v>242</v>
      </c>
      <c r="E246" t="inlineStr">
        <is>
          <t>F310</t>
        </is>
      </c>
      <c r="F246" t="inlineStr">
        <is>
          <t>Dropped</t>
        </is>
      </c>
      <c r="G246" s="9" t="n"/>
      <c r="H246" s="9" t="n"/>
    </row>
    <row r="247">
      <c r="A247" t="inlineStr">
        <is>
          <t>Activate</t>
        </is>
      </c>
      <c r="B247" t="n">
        <v>243</v>
      </c>
      <c r="E247" t="n">
        <v>311</v>
      </c>
      <c r="F247" t="inlineStr">
        <is>
          <t>Percentage Adults with Poor Mental Health for 14 or More Days in the Last Month, 2016, 2018, and 2021</t>
        </is>
      </c>
      <c r="G247" s="9" t="inlineStr">
        <is>
          <t>tbl-adult-poormh-14ormore-percent</t>
        </is>
      </c>
      <c r="H247" s="9">
        <f>IF(LEFT(G247,4)="tbl-","fig-" &amp; MID(G247,5,LEN(G247)-4),"")</f>
        <v/>
      </c>
      <c r="I247" t="inlineStr">
        <is>
          <t xml:space="preserve">NYS Behavioral Risk Factor Surveillance System (BRFSS) </t>
        </is>
      </c>
      <c r="L247" t="inlineStr">
        <is>
          <t>Ulster</t>
        </is>
      </c>
    </row>
    <row r="248">
      <c r="A248" t="inlineStr">
        <is>
          <t>Activate</t>
        </is>
      </c>
      <c r="B248" t="n">
        <v>244</v>
      </c>
      <c r="E248" t="n">
        <v>312</v>
      </c>
      <c r="F248" t="inlineStr">
        <is>
          <t>Percentage of Adults Reporting a Depressive Disorder, 2016, 2018, and 2021</t>
        </is>
      </c>
      <c r="G248" s="9" t="inlineStr">
        <is>
          <t>tbl-adult-depressive-do-percent</t>
        </is>
      </c>
      <c r="H248" s="9">
        <f>IF(LEFT(G248,4)="tbl-","fig-" &amp; MID(G248,5,LEN(G248)-4),"")</f>
        <v/>
      </c>
      <c r="I248" t="inlineStr">
        <is>
          <t xml:space="preserve">NYS Behavioral Risk Factor Surveillance System (BRFSS) </t>
        </is>
      </c>
      <c r="L248" t="inlineStr">
        <is>
          <t>Ulster</t>
        </is>
      </c>
    </row>
    <row r="249">
      <c r="A249" t="inlineStr">
        <is>
          <t>Activate</t>
        </is>
      </c>
      <c r="B249" t="n">
        <v>245</v>
      </c>
      <c r="E249" t="inlineStr">
        <is>
          <t>NEW</t>
        </is>
      </c>
      <c r="F249" t="inlineStr">
        <is>
          <t>Dropped- Why dropped? It is in the NYSPA and I found the chart in the Ulster workbook</t>
        </is>
      </c>
      <c r="G249" s="9" t="n"/>
      <c r="H249" s="9" t="n"/>
      <c r="I249" t="inlineStr">
        <is>
          <t>NYS Opioid Dashboard</t>
        </is>
      </c>
      <c r="K249" t="inlineStr">
        <is>
          <t xml:space="preserve">Vital Statistics </t>
        </is>
      </c>
      <c r="L249" t="inlineStr">
        <is>
          <t>Ulster</t>
        </is>
      </c>
    </row>
    <row r="250">
      <c r="A250" t="inlineStr">
        <is>
          <t>Activate</t>
        </is>
      </c>
      <c r="B250" t="n">
        <v>246</v>
      </c>
      <c r="E250" t="inlineStr">
        <is>
          <t>T 40</t>
        </is>
      </c>
      <c r="F250" t="inlineStr">
        <is>
          <t>Increased Risk of Disease Incidence from Smoking, 2021</t>
        </is>
      </c>
      <c r="G250" s="9" t="inlineStr">
        <is>
          <t>tbl-smoke-risk</t>
        </is>
      </c>
      <c r="H250" s="9">
        <f>IF(LEFT(G250,4)="tbl-","fig-" &amp; MID(G250,5,LEN(G250)-4),"")</f>
        <v/>
      </c>
      <c r="I250" t="inlineStr">
        <is>
          <t>CDC</t>
        </is>
      </c>
      <c r="K250" t="inlineStr">
        <is>
          <t xml:space="preserve">US Department of Health and Human Services </t>
        </is>
      </c>
      <c r="L250" t="inlineStr">
        <is>
          <t>Ulster</t>
        </is>
      </c>
    </row>
    <row r="251">
      <c r="A251" t="inlineStr">
        <is>
          <t>Activate</t>
        </is>
      </c>
      <c r="B251" t="n">
        <v>247</v>
      </c>
      <c r="E251" t="n">
        <v>313</v>
      </c>
      <c r="F251" t="inlineStr">
        <is>
          <t>Need to download</t>
        </is>
      </c>
      <c r="G251" s="9" t="n"/>
      <c r="H251" s="9">
        <f>IF(LEFT(G251,4)="tbl-","fig-" &amp; MID(G251,5,LEN(G251)-4),"")</f>
        <v/>
      </c>
      <c r="I251" t="inlineStr">
        <is>
          <t>NYS Smokers’ Quitline</t>
        </is>
      </c>
      <c r="L251" t="inlineStr">
        <is>
          <t>Ulster</t>
        </is>
      </c>
    </row>
    <row r="252">
      <c r="A252" t="inlineStr">
        <is>
          <t>Activate</t>
        </is>
      </c>
      <c r="B252" t="n">
        <v>248</v>
      </c>
      <c r="E252" t="n">
        <v>314</v>
      </c>
      <c r="F252" t="inlineStr">
        <is>
          <t>Percentage of Adults Who Are Current Smokers, 2016, 2018, and 2021</t>
        </is>
      </c>
      <c r="G252" t="inlineStr">
        <is>
          <t>tbl-adult-currsmoke-percent</t>
        </is>
      </c>
      <c r="H252" s="9">
        <f>IF(LEFT(G252,4)="tbl-","fig-" &amp; MID(G252,5,LEN(G252)-4),"")</f>
        <v/>
      </c>
      <c r="I252" t="inlineStr">
        <is>
          <t xml:space="preserve">NYS Behavioral Risk Factor Surveillance System (BRFSS) </t>
        </is>
      </c>
      <c r="L252" t="inlineStr">
        <is>
          <t>Ulster</t>
        </is>
      </c>
    </row>
    <row r="253">
      <c r="A253" t="inlineStr">
        <is>
          <t>Activate</t>
        </is>
      </c>
      <c r="B253" t="n">
        <v>249</v>
      </c>
      <c r="E253" t="n">
        <v>315</v>
      </c>
      <c r="F253" t="inlineStr">
        <is>
          <t>Percentage of Cigarette Smoking among Adults Who Report Poor Mental Health, 2016, 2018, and 2021</t>
        </is>
      </c>
      <c r="G253" t="inlineStr">
        <is>
          <t>tbl-adult-cigsmoke-poormh-percent</t>
        </is>
      </c>
      <c r="H253" s="9">
        <f>IF(LEFT(G253,4)="tbl-","fig-" &amp; MID(G253,5,LEN(G253)-4),"")</f>
        <v/>
      </c>
      <c r="I253" t="inlineStr">
        <is>
          <t xml:space="preserve">NYS Behavioral Risk Factor Surveillance System (BRFSS) </t>
        </is>
      </c>
      <c r="K253" t="inlineStr">
        <is>
          <t xml:space="preserve">Vital Statistics </t>
        </is>
      </c>
      <c r="L253" t="inlineStr">
        <is>
          <t>Ulster</t>
        </is>
      </c>
    </row>
    <row r="254">
      <c r="A254" t="inlineStr">
        <is>
          <t>Activate</t>
        </is>
      </c>
      <c r="B254" t="n">
        <v>250</v>
      </c>
      <c r="E254" t="n">
        <v>316</v>
      </c>
      <c r="F254" t="inlineStr">
        <is>
          <t>Percentage of Adults Binge Drinking During the Past Month, 2016, 2018, and 2021</t>
        </is>
      </c>
      <c r="G254" t="inlineStr">
        <is>
          <t>tbl-adult-bingedrink-percent</t>
        </is>
      </c>
      <c r="H254" s="9">
        <f>IF(LEFT(G254,4)="tbl-","fig-" &amp; MID(G254,5,LEN(G254)-4),"")</f>
        <v/>
      </c>
      <c r="I254" t="inlineStr">
        <is>
          <t xml:space="preserve">NYS Behavioral Risk Factor Surveillance System (BRFSS) </t>
        </is>
      </c>
      <c r="L254" t="inlineStr">
        <is>
          <t>Ulster</t>
        </is>
      </c>
    </row>
    <row r="255">
      <c r="A255" t="inlineStr">
        <is>
          <t>Activate</t>
        </is>
      </c>
      <c r="B255" t="n">
        <v>251</v>
      </c>
      <c r="E255" t="inlineStr">
        <is>
          <t>NEW</t>
        </is>
      </c>
      <c r="F255" t="inlineStr">
        <is>
          <t>Overdose Deaths Involving Any Drug, Crude Rate per 100,000 Population, 2019–2022</t>
        </is>
      </c>
      <c r="G255" t="inlineStr">
        <is>
          <t>tbl-oddeath-anydrug-crude-rate</t>
        </is>
      </c>
      <c r="H255" s="9">
        <f>IF(LEFT(G255,4)="tbl-","fig-" &amp; MID(G255,5,LEN(G255)-4),"")</f>
        <v/>
      </c>
    </row>
    <row r="256">
      <c r="A256" t="inlineStr">
        <is>
          <t>Activate</t>
        </is>
      </c>
      <c r="B256" t="n">
        <v>252</v>
      </c>
      <c r="E256" t="n">
        <v>317</v>
      </c>
      <c r="F256" t="inlineStr">
        <is>
          <t>?</t>
        </is>
      </c>
      <c r="G256" t="inlineStr">
        <is>
          <t>tbl-edvisits-anyopioidod-aar</t>
        </is>
      </c>
      <c r="H256" s="9" t="n"/>
      <c r="I256" t="inlineStr">
        <is>
          <t>NYS Opioid Data Dashboard</t>
        </is>
      </c>
      <c r="K256" t="inlineStr">
        <is>
          <t xml:space="preserve">NY Statewide Planning and Research Cooperative System </t>
        </is>
      </c>
      <c r="L256" t="inlineStr">
        <is>
          <t>Ulster</t>
        </is>
      </c>
    </row>
    <row r="257">
      <c r="A257" t="inlineStr">
        <is>
          <t>Activate</t>
        </is>
      </c>
      <c r="B257" t="n">
        <v>253</v>
      </c>
      <c r="E257" t="inlineStr">
        <is>
          <t>F318</t>
        </is>
      </c>
      <c r="F257" t="inlineStr">
        <is>
          <t>Dropped</t>
        </is>
      </c>
      <c r="G257" t="inlineStr">
        <is>
          <t>tbl-hospdisch-anyopioidod-aar</t>
        </is>
      </c>
      <c r="H257" s="9" t="n"/>
    </row>
    <row r="258">
      <c r="A258" t="inlineStr">
        <is>
          <t>Activate</t>
        </is>
      </c>
      <c r="B258" t="n">
        <v>254</v>
      </c>
      <c r="E258" t="n">
        <v>319</v>
      </c>
      <c r="F258" t="inlineStr">
        <is>
          <t>All Emergency Department Visits Involving Any Opioid Overdose, Age-Adjusted Rate per 100,000 Population, 2019–2022</t>
        </is>
      </c>
      <c r="G258" t="inlineStr">
        <is>
          <t>tbl-ed-visit-opioid-aar</t>
        </is>
      </c>
      <c r="H258" s="9">
        <f>IF(LEFT(G258,4)="tbl-","fig-" &amp; MID(G258,5,LEN(G258)-4),"")</f>
        <v/>
      </c>
      <c r="I258" t="inlineStr">
        <is>
          <t>NYS Opioid Data Dashboard</t>
        </is>
      </c>
      <c r="K258" t="inlineStr">
        <is>
          <t xml:space="preserve">NY Statewide Planning and Research Cooperative System </t>
        </is>
      </c>
      <c r="L258" t="inlineStr">
        <is>
          <t>Ulster</t>
        </is>
      </c>
    </row>
    <row r="259">
      <c r="A259" t="inlineStr">
        <is>
          <t>Activate</t>
        </is>
      </c>
      <c r="B259" t="n">
        <v>255</v>
      </c>
      <c r="E259" t="inlineStr">
        <is>
          <t>NEW</t>
        </is>
      </c>
      <c r="F259" t="inlineStr">
        <is>
          <t>Hospital Discharges Involving Any Opioid Overdose, Age-Adjusted Rate per 100,000 Population, 2019–2022</t>
        </is>
      </c>
      <c r="G259" s="9" t="inlineStr">
        <is>
          <t>tbl-hospital-dc-opioid-aar</t>
        </is>
      </c>
      <c r="H259" s="9">
        <f>IF(LEFT(G259,4)="tbl-","fig-" &amp; MID(G259,5,LEN(G259)-4),"")</f>
        <v/>
      </c>
    </row>
    <row r="260">
      <c r="A260" t="inlineStr">
        <is>
          <t>Activate</t>
        </is>
      </c>
      <c r="B260" t="n">
        <v>256</v>
      </c>
      <c r="E260" t="inlineStr">
        <is>
          <t>NEW</t>
        </is>
      </c>
      <c r="F260" t="inlineStr">
        <is>
          <t>Individuals Enrolled in Treatment Programs Reporting Any Opioid as a Primary Substance, Crude Rate per 100,000 Population, 2020–2023</t>
        </is>
      </c>
      <c r="G260" s="9" t="inlineStr">
        <is>
          <t>tbl-treat-prog-opioid-crude</t>
        </is>
      </c>
      <c r="H260" s="9">
        <f>IF(LEFT(G260,4)="tbl-","fig-" &amp; MID(G260,5,LEN(G260)-4),"")</f>
        <v/>
      </c>
      <c r="I260" t="inlineStr">
        <is>
          <t xml:space="preserve">Data request from NYS Office of Addiciton Services and Supports Client Data System </t>
        </is>
      </c>
      <c r="K260" t="inlineStr">
        <is>
          <t xml:space="preserve">NYS OASAS Data Warehouse </t>
        </is>
      </c>
      <c r="L260" t="inlineStr">
        <is>
          <t>Ulster</t>
        </is>
      </c>
    </row>
    <row r="261">
      <c r="A261" t="inlineStr">
        <is>
          <t>Activate</t>
        </is>
      </c>
      <c r="B261" t="n">
        <v>257</v>
      </c>
      <c r="E261" t="inlineStr">
        <is>
          <t>NEW</t>
        </is>
      </c>
      <c r="F261" t="inlineStr">
        <is>
          <t>Individuals Enrolled in Treatment Programs Reporting Alcohol as a Primary Substance, Crude Rate per 100,000 Population, 2020–2023</t>
        </is>
      </c>
      <c r="G261" s="9" t="inlineStr">
        <is>
          <t>tbl-treat-prog-alcohol-crude</t>
        </is>
      </c>
      <c r="H261" s="9">
        <f>IF(LEFT(G261,4)="tbl-","fig-" &amp; MID(G261,5,LEN(G261)-4),"")</f>
        <v/>
      </c>
    </row>
    <row r="262">
      <c r="A262" t="inlineStr">
        <is>
          <t>Activate</t>
        </is>
      </c>
      <c r="B262" t="n">
        <v>258</v>
      </c>
      <c r="E262" t="inlineStr">
        <is>
          <t>F320</t>
        </is>
      </c>
      <c r="F262" t="inlineStr">
        <is>
          <t>Dropped</t>
        </is>
      </c>
      <c r="G262" s="9" t="n"/>
      <c r="H262" s="9" t="n"/>
    </row>
    <row r="263">
      <c r="A263" t="inlineStr">
        <is>
          <t>Activate</t>
        </is>
      </c>
      <c r="B263" t="n">
        <v>259</v>
      </c>
      <c r="E263" t="n">
        <v>321</v>
      </c>
      <c r="F263" t="inlineStr">
        <is>
          <t>Overdose Deaths Involving Any Opioid, Crude Rate per 100,000 Population, 2019–2022</t>
        </is>
      </c>
      <c r="G263" s="9" t="inlineStr">
        <is>
          <t>tbl-OD-anyopioid-crude</t>
        </is>
      </c>
      <c r="H263" s="9">
        <f>IF(LEFT(G263,4)="tbl-","fig-" &amp; MID(G263,5,LEN(G263)-4),"")</f>
        <v/>
      </c>
      <c r="I263" t="inlineStr">
        <is>
          <t>NYS Opioid Data Dashboard</t>
        </is>
      </c>
      <c r="K263" t="inlineStr">
        <is>
          <t xml:space="preserve">Vital Statistics of NYS </t>
        </is>
      </c>
      <c r="L263" t="inlineStr">
        <is>
          <t>Ulster</t>
        </is>
      </c>
    </row>
    <row r="264">
      <c r="A264" t="inlineStr">
        <is>
          <t>Activate</t>
        </is>
      </c>
      <c r="B264" t="n">
        <v>260</v>
      </c>
      <c r="E264" t="n">
        <v>322</v>
      </c>
      <c r="F264" t="inlineStr">
        <is>
          <t>Overdose Deaths Involving Opioid Pain Relievers, Heroin, and Synthetic Opioids Other than Methadone, Age-Adjusted Rate per 100,000 Population, 2022</t>
        </is>
      </c>
      <c r="G264" s="9" t="inlineStr">
        <is>
          <t>tbl-OD-multiple-opioid-aar</t>
        </is>
      </c>
      <c r="H264" s="9">
        <f>IF(LEFT(G264,4)="tbl-","fig-" &amp; MID(G264,5,LEN(G264)-4),"")</f>
        <v/>
      </c>
      <c r="I264" t="inlineStr">
        <is>
          <t>NYS Opioid Data Dashboard</t>
        </is>
      </c>
      <c r="K264" t="inlineStr">
        <is>
          <t xml:space="preserve">Vital Statistics </t>
        </is>
      </c>
      <c r="L264" t="inlineStr">
        <is>
          <t>Ulster</t>
        </is>
      </c>
    </row>
    <row r="265">
      <c r="A265" t="inlineStr">
        <is>
          <t>Activate</t>
        </is>
      </c>
      <c r="B265" t="n">
        <v>261</v>
      </c>
      <c r="E265" t="n">
        <v>323</v>
      </c>
      <c r="F265" t="inlineStr">
        <is>
          <t>Overdose Deaths among Adults Involving Any Opioid, Crude Rate per 100,000 Population, 2022</t>
        </is>
      </c>
      <c r="G265" s="9" t="inlineStr">
        <is>
          <t>tbl-18to64-anyop-od-crude</t>
        </is>
      </c>
      <c r="H265" s="9">
        <f>IF(LEFT(G265,4)="tbl-","fig-" &amp; MID(G265,5,LEN(G265)-4),"")</f>
        <v/>
      </c>
      <c r="I265" t="inlineStr">
        <is>
          <t>NYS Opioid Data Dashboard</t>
        </is>
      </c>
      <c r="K265" t="inlineStr">
        <is>
          <t xml:space="preserve">Vital Statistics of NYS </t>
        </is>
      </c>
      <c r="L265" t="inlineStr">
        <is>
          <t>Ulster</t>
        </is>
      </c>
    </row>
    <row r="266">
      <c r="A266" t="inlineStr">
        <is>
          <t>Activate</t>
        </is>
      </c>
      <c r="B266" t="n">
        <v>262</v>
      </c>
      <c r="E266" t="n">
        <v>324</v>
      </c>
      <c r="F266" t="inlineStr">
        <is>
          <t>Overdose Deaths among Adults Involving Heroin, Crude Rate per 100,000 Population, 2022</t>
        </is>
      </c>
      <c r="G266" s="9" t="inlineStr">
        <is>
          <t>tbl-18to64-heroin-od-crude</t>
        </is>
      </c>
      <c r="H266" s="9">
        <f>IF(LEFT(G266,4)="tbl-","fig-" &amp; MID(G266,5,LEN(G266)-4),"")</f>
        <v/>
      </c>
      <c r="I266" t="inlineStr">
        <is>
          <t>NYS Opioid Data Dashboard</t>
        </is>
      </c>
      <c r="K266" t="inlineStr">
        <is>
          <t xml:space="preserve">Vital Statistics of NYS </t>
        </is>
      </c>
      <c r="L266" t="inlineStr">
        <is>
          <t>Ulster</t>
        </is>
      </c>
    </row>
    <row r="267" ht="16" customHeight="1" s="99">
      <c r="A267" t="inlineStr">
        <is>
          <t>Activate</t>
        </is>
      </c>
      <c r="B267" t="n">
        <v>263</v>
      </c>
      <c r="E267" t="n">
        <v>325</v>
      </c>
      <c r="F267" s="50" t="inlineStr">
        <is>
          <t>Overdose Deaths among Adults Involving Opioid Pain Relievers, Crude Rate per 100,000 Population, 2022</t>
        </is>
      </c>
      <c r="G267" s="9" t="inlineStr">
        <is>
          <t>tbl-18to64-opioid-pain-crude</t>
        </is>
      </c>
      <c r="H267" s="9">
        <f>IF(LEFT(G267,4)="tbl-","fig-" &amp; MID(G267,5,LEN(G267)-4),"")</f>
        <v/>
      </c>
      <c r="I267" t="inlineStr">
        <is>
          <t>NYS Opioid Data Dashboard</t>
        </is>
      </c>
      <c r="K267" t="inlineStr">
        <is>
          <t xml:space="preserve">Vital Statistics of NYS </t>
        </is>
      </c>
      <c r="L267" t="inlineStr">
        <is>
          <t>Ulster</t>
        </is>
      </c>
    </row>
    <row r="268">
      <c r="A268" t="inlineStr">
        <is>
          <t>Activate</t>
        </is>
      </c>
      <c r="B268" t="n">
        <v>264</v>
      </c>
      <c r="E268" t="n">
        <v>326</v>
      </c>
      <c r="F268" t="inlineStr">
        <is>
          <t>Opioid Analgesics Prescriptions, Age-Adjusted Rate per 1,000 Population, 2020–2023</t>
        </is>
      </c>
      <c r="G268" s="9" t="inlineStr">
        <is>
          <t>tbl-opioid-analgesic-rx-aar</t>
        </is>
      </c>
      <c r="H268" s="9">
        <f>IF(LEFT(G268,4)="tbl-","fig-" &amp; MID(G268,5,LEN(G268)-4),"")</f>
        <v/>
      </c>
      <c r="I268" t="inlineStr">
        <is>
          <t>NYS Opioid Data Dashboard</t>
        </is>
      </c>
      <c r="K268" t="inlineStr">
        <is>
          <t>NYS Prescription Monitoring Program</t>
        </is>
      </c>
      <c r="L268" t="inlineStr">
        <is>
          <t>Ulster</t>
        </is>
      </c>
    </row>
    <row r="269">
      <c r="A269" t="inlineStr">
        <is>
          <t>Activate</t>
        </is>
      </c>
      <c r="B269" t="n">
        <v>265</v>
      </c>
      <c r="E269" t="n">
        <v>327</v>
      </c>
      <c r="F269" t="inlineStr">
        <is>
          <t>Patients Who Received at Least One Buprenorphine Prescription for Opioid Use Disorder, Age-Adjusted Rate per 100,000 Population, 2020–2023</t>
        </is>
      </c>
      <c r="G269" s="9" t="inlineStr">
        <is>
          <t>tbl-at-least-1-bup-aar</t>
        </is>
      </c>
      <c r="H269" s="9">
        <f>IF(LEFT(G269,4)="tbl-","fig-" &amp; MID(G269,5,LEN(G269)-4),"")</f>
        <v/>
      </c>
      <c r="I269" t="inlineStr">
        <is>
          <t>NYS Opioid Data Dashboard</t>
        </is>
      </c>
      <c r="K269" t="inlineStr">
        <is>
          <t>NYS Prescription Monitoring Program</t>
        </is>
      </c>
      <c r="L269" t="inlineStr">
        <is>
          <t>Ulster</t>
        </is>
      </c>
    </row>
    <row r="270">
      <c r="A270" t="inlineStr">
        <is>
          <t>Activate</t>
        </is>
      </c>
      <c r="B270" t="n">
        <v>266</v>
      </c>
      <c r="E270" t="n">
        <v>328</v>
      </c>
      <c r="F270" t="inlineStr">
        <is>
          <t>Dropped</t>
        </is>
      </c>
      <c r="G270" s="9" t="n"/>
      <c r="H270" s="9" t="n"/>
      <c r="I270" t="inlineStr">
        <is>
          <t>NYS Opioid Data Dashboard</t>
        </is>
      </c>
      <c r="L270" t="inlineStr">
        <is>
          <t>Ulster</t>
        </is>
      </c>
    </row>
    <row r="271">
      <c r="A271" t="inlineStr">
        <is>
          <t>Activate</t>
        </is>
      </c>
      <c r="B271" t="n">
        <v>267</v>
      </c>
      <c r="E271" t="n">
        <v>329</v>
      </c>
      <c r="F271" t="inlineStr">
        <is>
          <t>Suicide Mortality, Crude Rate per 100,000 Total Population Compared to Those 15–19 Years Old, 2020–2022</t>
        </is>
      </c>
      <c r="G271" s="9" t="inlineStr">
        <is>
          <t>tbl-15to19-suicide-mortal-crude</t>
        </is>
      </c>
      <c r="H271" s="9">
        <f>IF(LEFT(G271,4)="tbl-","fig-" &amp; MID(G271,5,LEN(G271)-4),"")</f>
        <v/>
      </c>
      <c r="I271" t="inlineStr">
        <is>
          <t>NYS Community Health Indicator Reports (CHIRS)</t>
        </is>
      </c>
      <c r="K271" t="inlineStr">
        <is>
          <t xml:space="preserve">Vital Statistics of NYS </t>
        </is>
      </c>
      <c r="L271" t="inlineStr">
        <is>
          <t>Ulster</t>
        </is>
      </c>
    </row>
    <row r="272">
      <c r="A272" t="inlineStr">
        <is>
          <t>Activate</t>
        </is>
      </c>
      <c r="B272" t="n">
        <v>268</v>
      </c>
      <c r="E272" t="n">
        <v>330</v>
      </c>
      <c r="F272" t="inlineStr">
        <is>
          <t>Suicide Mortality, Age-Adjusted Rate per 100,000 Population, 2018–2021</t>
        </is>
      </c>
      <c r="G272" s="9" t="inlineStr">
        <is>
          <t>tbl-suicide-mortal-aar</t>
        </is>
      </c>
      <c r="H272" s="9">
        <f>IF(LEFT(G272,4)="tbl-","fig-" &amp; MID(G272,5,LEN(G272)-4),"")</f>
        <v/>
      </c>
      <c r="I272" t="inlineStr">
        <is>
          <t>NYS Community Health Indicator Reports (CHIRS)</t>
        </is>
      </c>
      <c r="K272" t="inlineStr">
        <is>
          <t xml:space="preserve">Vital Statistics of NYS </t>
        </is>
      </c>
      <c r="L272" t="inlineStr">
        <is>
          <t>Ulster</t>
        </is>
      </c>
    </row>
    <row r="273">
      <c r="A273" t="inlineStr">
        <is>
          <t>Activate</t>
        </is>
      </c>
      <c r="B273" t="n">
        <v>269</v>
      </c>
      <c r="E273" t="n">
        <v>331</v>
      </c>
      <c r="F273" t="inlineStr">
        <is>
          <t>Asthma, Gastroenteritis, Otitis Media, and Pneumonia Hospitalizations, Rate per 10,000 Population 0–4 Years Old, 2020–2022</t>
        </is>
      </c>
      <c r="G273" s="9" t="inlineStr">
        <is>
          <t>tbl-0to4-hosp-asthma-gastor-om-pnu-rate</t>
        </is>
      </c>
      <c r="H273" s="9">
        <f>IF(LEFT(G273,4)="tbl-","fig-" &amp; MID(G273,5,LEN(G273)-4),"")</f>
        <v/>
      </c>
      <c r="I273" t="inlineStr">
        <is>
          <t>NYS Community Health Indicator Reports (CHIRS)</t>
        </is>
      </c>
      <c r="K273" t="inlineStr">
        <is>
          <t xml:space="preserve">NY Statewide Planning and Research Cooperative System </t>
        </is>
      </c>
      <c r="L273" t="inlineStr">
        <is>
          <t>Rockland</t>
        </is>
      </c>
    </row>
    <row r="274">
      <c r="A274" t="inlineStr">
        <is>
          <t>Activate</t>
        </is>
      </c>
      <c r="B274" t="n">
        <v>270</v>
      </c>
      <c r="E274" t="n">
        <v>332</v>
      </c>
      <c r="F274" t="inlineStr">
        <is>
          <t>Combined Above</t>
        </is>
      </c>
      <c r="G274" s="9" t="n"/>
      <c r="H274" s="9" t="n"/>
      <c r="I274" t="inlineStr">
        <is>
          <t>NYS Community Health Indicator Reports (CHIRS)</t>
        </is>
      </c>
      <c r="K274" t="inlineStr">
        <is>
          <t xml:space="preserve">NY Statewide Planning and Research Cooperative System </t>
        </is>
      </c>
      <c r="L274" t="inlineStr">
        <is>
          <t>Rockland</t>
        </is>
      </c>
    </row>
    <row r="275">
      <c r="A275" t="inlineStr">
        <is>
          <t>Activate</t>
        </is>
      </c>
      <c r="B275" t="n">
        <v>271</v>
      </c>
      <c r="E275" t="n">
        <v>333</v>
      </c>
      <c r="F275" t="inlineStr">
        <is>
          <t>Combined Above</t>
        </is>
      </c>
      <c r="G275" s="9" t="n"/>
      <c r="H275" s="9" t="n"/>
      <c r="I275" t="inlineStr">
        <is>
          <t>NYSDOH Community Health Indicator Report (CHIRS)</t>
        </is>
      </c>
      <c r="K275" t="inlineStr">
        <is>
          <t>NY Statewide Planning and Research Cooperative System</t>
        </is>
      </c>
      <c r="L275" t="inlineStr">
        <is>
          <t>Rockland</t>
        </is>
      </c>
    </row>
    <row r="276">
      <c r="A276" t="inlineStr">
        <is>
          <t>Activate</t>
        </is>
      </c>
      <c r="B276" t="n">
        <v>272</v>
      </c>
      <c r="E276" t="n">
        <v>334</v>
      </c>
      <c r="F276" t="inlineStr">
        <is>
          <t>Unintentional Injury Mortality, Age-Adjusted Rate per 100,000 Population, 2018–2021</t>
        </is>
      </c>
      <c r="G276" s="9" t="inlineStr">
        <is>
          <t>tbl-unint-injury-mortal-aar</t>
        </is>
      </c>
      <c r="H276" s="9">
        <f>IF(LEFT(G276,4)="tbl-","fig-" &amp; MID(G276,5,LEN(G276)-4),"")</f>
        <v/>
      </c>
      <c r="I276" t="inlineStr">
        <is>
          <t>NYSDOH Community Health Indicator Report (CHIRS)</t>
        </is>
      </c>
      <c r="K276" t="inlineStr">
        <is>
          <t xml:space="preserve">Vital Statistics of NYS </t>
        </is>
      </c>
      <c r="L276" t="inlineStr">
        <is>
          <t>Putnam</t>
        </is>
      </c>
    </row>
    <row r="277">
      <c r="A277" t="inlineStr">
        <is>
          <t>Activate</t>
        </is>
      </c>
      <c r="B277" t="n">
        <v>273</v>
      </c>
      <c r="E277" t="inlineStr">
        <is>
          <t>NEW</t>
        </is>
      </c>
      <c r="F277" t="inlineStr">
        <is>
          <t>Poison Center Calls, Rate per 100,000 Population, 2020–2024</t>
        </is>
      </c>
      <c r="G277" s="9" t="inlineStr">
        <is>
          <t>tbl-poison-control-calls</t>
        </is>
      </c>
      <c r="H277" s="9">
        <f>IF(LEFT(G277,4)="tbl-","fig-" &amp; MID(G277,5,LEN(G277)-4),"")</f>
        <v/>
      </c>
      <c r="I277" t="inlineStr">
        <is>
          <t xml:space="preserve">Upstate NY Poison Center  &amp; NYC Poison Center </t>
        </is>
      </c>
      <c r="L277" t="inlineStr">
        <is>
          <t>Putnam</t>
        </is>
      </c>
    </row>
    <row r="278">
      <c r="A278" t="inlineStr">
        <is>
          <t>Activate</t>
        </is>
      </c>
      <c r="B278" t="n">
        <v>274</v>
      </c>
      <c r="E278" t="inlineStr">
        <is>
          <t>NEW</t>
        </is>
      </c>
      <c r="F278" t="inlineStr">
        <is>
          <t>Poison Center Cannabis Calls, Rate per 100,000 Population, 2020–2024</t>
        </is>
      </c>
      <c r="G278" s="9" t="inlineStr">
        <is>
          <t>tbl-poison-control-cannabis</t>
        </is>
      </c>
      <c r="H278" s="9">
        <f>IF(LEFT(G278,4)="tbl-","fig-" &amp; MID(G278,5,LEN(G278)-4),"")</f>
        <v/>
      </c>
      <c r="I278" t="inlineStr">
        <is>
          <t xml:space="preserve">Upstate NY Poison Center  &amp; NYC Poison Center </t>
        </is>
      </c>
      <c r="L278" t="inlineStr">
        <is>
          <t>Putnam</t>
        </is>
      </c>
    </row>
    <row r="279">
      <c r="A279" t="inlineStr">
        <is>
          <t>Activate</t>
        </is>
      </c>
      <c r="B279" t="n">
        <v>275</v>
      </c>
      <c r="E279" t="n">
        <v>335</v>
      </c>
      <c r="F279" t="inlineStr">
        <is>
          <t>Percentage of Poison Center Calls Involving Children 5 Years Old and Younger, 2020–2024</t>
        </is>
      </c>
      <c r="G279" s="9" t="inlineStr">
        <is>
          <t>tbl-child-under5-poison-control</t>
        </is>
      </c>
      <c r="H279" s="9">
        <f>IF(LEFT(G279,4)="tbl-","fig-" &amp; MID(G279,5,LEN(G279)-4),"")</f>
        <v/>
      </c>
      <c r="I279" t="inlineStr">
        <is>
          <t xml:space="preserve">Upstate NY Poison Center &amp; NYC Poison Center </t>
        </is>
      </c>
      <c r="L279" t="inlineStr">
        <is>
          <t>Putnam</t>
        </is>
      </c>
    </row>
    <row r="280">
      <c r="A280" t="inlineStr">
        <is>
          <t>Activate</t>
        </is>
      </c>
      <c r="B280" t="n">
        <v>276</v>
      </c>
      <c r="E280" t="n">
        <v>336</v>
      </c>
      <c r="F280" t="inlineStr">
        <is>
          <t>Unintentional Injury Mortality, Age-Adjusted Rate per 100,000 Population, 2018–2021</t>
        </is>
      </c>
      <c r="G280" s="9" t="n"/>
      <c r="H280" s="9">
        <f>IF(LEFT(G280,4)="tbl-","fig-" &amp; MID(G280,5,LEN(G280)-4),"")</f>
        <v/>
      </c>
      <c r="I280" t="inlineStr">
        <is>
          <t>NYSDOH Community Health Indicator Report (CHIRS)</t>
        </is>
      </c>
      <c r="K280" t="inlineStr">
        <is>
          <t xml:space="preserve">Vital Statistics of NYS </t>
        </is>
      </c>
      <c r="L280" t="inlineStr">
        <is>
          <t>Putnam</t>
        </is>
      </c>
    </row>
    <row r="281">
      <c r="A281" t="inlineStr">
        <is>
          <t>Activate</t>
        </is>
      </c>
      <c r="B281" t="n">
        <v>277</v>
      </c>
      <c r="E281" t="n">
        <v>337</v>
      </c>
      <c r="F281" t="inlineStr">
        <is>
          <t>Alcohol Related Motor Vehicle Injuries and Deaths, Crude Rate per 100,000 Population, 2018–2021</t>
        </is>
      </c>
      <c r="G281" s="9" t="inlineStr">
        <is>
          <t>tbl-mva-alcohol-injury-death-crude</t>
        </is>
      </c>
      <c r="H281" s="9">
        <f>IF(LEFT(G281,4)="tbl-","fig-" &amp; MID(G281,5,LEN(G281)-4),"")</f>
        <v/>
      </c>
    </row>
    <row r="282">
      <c r="A282" t="inlineStr">
        <is>
          <t>Activate</t>
        </is>
      </c>
      <c r="B282" t="n">
        <v>278</v>
      </c>
      <c r="E282" t="n">
        <v>338</v>
      </c>
      <c r="F282" t="inlineStr">
        <is>
          <t>Motor Vehicle Injury Mortality, Rate per 100,000 Population, 2018–2021</t>
        </is>
      </c>
      <c r="G282" s="9" t="inlineStr">
        <is>
          <t>tbl-mva-mortal-rate</t>
        </is>
      </c>
      <c r="H282" s="9">
        <f>IF(LEFT(G282,4)="tbl-","fig-" &amp; MID(G282,5,LEN(G282)-4),"")</f>
        <v/>
      </c>
      <c r="I282" t="inlineStr">
        <is>
          <t>NYSDOH Community Health Indicator Report (CHIRS)</t>
        </is>
      </c>
      <c r="K282" t="inlineStr">
        <is>
          <t xml:space="preserve">Vital Statistics of NYS </t>
        </is>
      </c>
      <c r="L282" t="inlineStr">
        <is>
          <t>Putnam</t>
        </is>
      </c>
    </row>
    <row r="283">
      <c r="A283" t="inlineStr">
        <is>
          <t>Activate</t>
        </is>
      </c>
      <c r="B283" t="n">
        <v>279</v>
      </c>
      <c r="E283" t="inlineStr">
        <is>
          <t>NEW</t>
        </is>
      </c>
      <c r="F283" t="inlineStr">
        <is>
          <t>Motor Vehicle Related Mortality, Age-Adjusted Rate per 100,000 Population by Race and Ethnicity, 2020–2022</t>
        </is>
      </c>
      <c r="G283" s="9" t="inlineStr">
        <is>
          <t>tbl-mva-mortal-rande-aar</t>
        </is>
      </c>
      <c r="H283" s="9">
        <f>IF(LEFT(G283,4)="tbl-","fig-" &amp; MID(G283,5,LEN(G283)-4),"")</f>
        <v/>
      </c>
      <c r="L283" t="inlineStr">
        <is>
          <t>Putnam</t>
        </is>
      </c>
    </row>
    <row r="284">
      <c r="A284" t="inlineStr">
        <is>
          <t>Activate</t>
        </is>
      </c>
      <c r="B284" t="n">
        <v>280</v>
      </c>
      <c r="E284" t="n">
        <v>339</v>
      </c>
      <c r="F284" t="inlineStr">
        <is>
          <t>Falls Hospitalization, Age-Adjusted Rate per 10,000 Population, 2018–2021</t>
        </is>
      </c>
      <c r="G284" s="9" t="inlineStr">
        <is>
          <t>tbl-falls-hospital-aar</t>
        </is>
      </c>
      <c r="H284" s="9">
        <f>IF(LEFT(G284,4)="tbl-","fig-" &amp; MID(G284,5,LEN(G284)-4),"")</f>
        <v/>
      </c>
    </row>
    <row r="285">
      <c r="A285" t="inlineStr">
        <is>
          <t>Activate</t>
        </is>
      </c>
      <c r="B285" t="n">
        <v>281</v>
      </c>
      <c r="F285" t="inlineStr">
        <is>
          <t>Dropped</t>
        </is>
      </c>
      <c r="G285" s="9" t="n"/>
      <c r="H285" s="9" t="n"/>
      <c r="I285" t="inlineStr">
        <is>
          <t>NYSDOH Community Health Indicator Report (CHIRS)</t>
        </is>
      </c>
      <c r="K285" t="inlineStr">
        <is>
          <t xml:space="preserve">NY Statewide Planning and Research Cooperative System </t>
        </is>
      </c>
      <c r="L285" t="inlineStr">
        <is>
          <t>Putnam</t>
        </is>
      </c>
    </row>
    <row r="286">
      <c r="A286" t="inlineStr">
        <is>
          <t>Activate</t>
        </is>
      </c>
      <c r="B286" t="n">
        <v>282</v>
      </c>
      <c r="E286" t="n">
        <v>340</v>
      </c>
      <c r="F286" t="inlineStr">
        <is>
          <t>Falls Hospitalization, Rate per 10,000 Population 85 Years and Older, 2018–2021</t>
        </is>
      </c>
      <c r="G286" s="9" t="inlineStr">
        <is>
          <t>tbl-85+-falls-hospital</t>
        </is>
      </c>
      <c r="H286" s="9">
        <f>IF(LEFT(G286,4)="tbl-","fig-" &amp; MID(G286,5,LEN(G286)-4),"")</f>
        <v/>
      </c>
      <c r="I286" t="inlineStr">
        <is>
          <t>NYSDOH Community Health Indicator Report (CHIRS)</t>
        </is>
      </c>
      <c r="K286" t="inlineStr">
        <is>
          <t>NY Statewide Planning and  Research Cooperative System</t>
        </is>
      </c>
      <c r="L286" t="inlineStr">
        <is>
          <t>Putnam</t>
        </is>
      </c>
    </row>
    <row r="287" ht="16" customHeight="1" s="99">
      <c r="A287" t="inlineStr">
        <is>
          <t>Activate</t>
        </is>
      </c>
      <c r="B287" t="n">
        <v>283</v>
      </c>
      <c r="E287" t="n">
        <v>341</v>
      </c>
      <c r="F287" t="inlineStr">
        <is>
          <t>Falls Hospitalization, Rate per 10,000 Population 65 Years and Older by Race and Ethnicity, 2020–2022</t>
        </is>
      </c>
      <c r="G287" s="92" t="inlineStr">
        <is>
          <t>tbl-65+-falls-hospital-rande-rate</t>
        </is>
      </c>
      <c r="H287" s="9">
        <f>IF(LEFT(G287,4)="tbl-","fig-" &amp; MID(G287,5,LEN(G287)-4),"")</f>
        <v/>
      </c>
      <c r="I287" t="inlineStr">
        <is>
          <t>NYS County Health Indicators by Race/Ethnicity (CHIRE)</t>
        </is>
      </c>
      <c r="K287" t="inlineStr">
        <is>
          <t xml:space="preserve">NY Statewide Planning and Research Cooperative System </t>
        </is>
      </c>
      <c r="L287" t="inlineStr">
        <is>
          <t>Putnam</t>
        </is>
      </c>
    </row>
    <row r="288">
      <c r="A288" t="inlineStr">
        <is>
          <t>Activate</t>
        </is>
      </c>
      <c r="B288" t="n">
        <v>284</v>
      </c>
      <c r="E288" t="inlineStr">
        <is>
          <t>F342</t>
        </is>
      </c>
      <c r="F288" t="inlineStr">
        <is>
          <t>Dropped</t>
        </is>
      </c>
      <c r="G288" s="9" t="n"/>
      <c r="H288" s="9" t="n"/>
    </row>
    <row r="289">
      <c r="A289" t="inlineStr">
        <is>
          <t>Activate</t>
        </is>
      </c>
      <c r="B289" t="n">
        <v>285</v>
      </c>
      <c r="E289" t="inlineStr">
        <is>
          <t>F343</t>
        </is>
      </c>
      <c r="F289" t="inlineStr">
        <is>
          <t>Dropped</t>
        </is>
      </c>
      <c r="G289" s="9" t="n"/>
      <c r="H289" s="9" t="n"/>
    </row>
    <row r="290">
      <c r="A290" t="inlineStr">
        <is>
          <t>Activate</t>
        </is>
      </c>
      <c r="B290" t="n">
        <v>286</v>
      </c>
      <c r="E290" t="inlineStr">
        <is>
          <t>F344</t>
        </is>
      </c>
      <c r="F290" t="inlineStr">
        <is>
          <t>Dropped</t>
        </is>
      </c>
      <c r="G290" s="9" t="n"/>
      <c r="H290" s="9" t="n"/>
    </row>
    <row r="291">
      <c r="A291" t="inlineStr">
        <is>
          <t>Activate</t>
        </is>
      </c>
      <c r="B291" t="n">
        <v>287</v>
      </c>
      <c r="E291" t="n">
        <v>345</v>
      </c>
      <c r="F291" t="inlineStr">
        <is>
          <t>Homicide Mortality, Age-Adjusted Rate per 100,000 Population, 2018–2021</t>
        </is>
      </c>
      <c r="G291" t="inlineStr">
        <is>
          <t>tbl-mortal-homicide-aar</t>
        </is>
      </c>
      <c r="H291" s="9">
        <f>IF(LEFT(G291,4)="tbl-","fig-" &amp; MID(G291,5,LEN(G291)-4),"")</f>
        <v/>
      </c>
    </row>
    <row r="292">
      <c r="A292" t="inlineStr">
        <is>
          <t>Activate</t>
        </is>
      </c>
      <c r="B292" t="n">
        <v>288</v>
      </c>
      <c r="E292" t="n">
        <v>346</v>
      </c>
      <c r="F292" t="inlineStr">
        <is>
          <t>Assault Hospitalization, Age-Adjusted Rate per 10,000 Population, 2018–2021</t>
        </is>
      </c>
      <c r="G292" t="inlineStr">
        <is>
          <t>tbl-assault-hospital-aar</t>
        </is>
      </c>
      <c r="H292" s="9">
        <f>IF(LEFT(G292,4)="tbl-","fig-" &amp; MID(G292,5,LEN(G292)-4),"")</f>
        <v/>
      </c>
      <c r="I292" t="inlineStr">
        <is>
          <t>NYS Community Health Indicator Reports (CHIRS)</t>
        </is>
      </c>
      <c r="K292" t="inlineStr">
        <is>
          <t xml:space="preserve">NY Statewide Planning and Research Cooperative System </t>
        </is>
      </c>
      <c r="L292" t="inlineStr">
        <is>
          <t>Putnam</t>
        </is>
      </c>
    </row>
    <row r="293">
      <c r="A293" t="inlineStr">
        <is>
          <t>Activate</t>
        </is>
      </c>
      <c r="B293" t="n">
        <v>289</v>
      </c>
      <c r="E293" t="n">
        <v>347</v>
      </c>
      <c r="F293" t="inlineStr">
        <is>
          <t>Domestic Violence Victims Reported, Rate per 100,000 Population, 2020–2023</t>
        </is>
      </c>
      <c r="G293" t="inlineStr">
        <is>
          <t>tbl-dv-victim-rate</t>
        </is>
      </c>
      <c r="H293" s="9">
        <f>IF(LEFT(G293,4)="tbl-","fig-" &amp; MID(G293,5,LEN(G293)-4),"")</f>
        <v/>
      </c>
      <c r="I293" t="inlineStr">
        <is>
          <t>NYS Division of Criminal Justice Services</t>
        </is>
      </c>
      <c r="K293" t="inlineStr">
        <is>
          <t>Domestic Violence Victim Data by County</t>
        </is>
      </c>
      <c r="L293" t="inlineStr">
        <is>
          <t>Putnam</t>
        </is>
      </c>
    </row>
    <row r="294">
      <c r="F294" t="inlineStr">
        <is>
          <t>Dutchess County Resident Prevention Agenda Priority Area Voting, 2025</t>
        </is>
      </c>
      <c r="G294" s="9" t="inlineStr">
        <is>
          <t>tbl-dc-pav</t>
        </is>
      </c>
      <c r="H294" s="9">
        <f>IF(LEFT(G294,4)="tbl-","fig-" &amp; MID(G294,5,LEN(G294)-4),"")</f>
        <v/>
      </c>
    </row>
    <row r="295">
      <c r="F295" t="inlineStr">
        <is>
          <t>Rockland County Community Health Assessment Demographics</t>
        </is>
      </c>
      <c r="G295" s="9" t="inlineStr">
        <is>
          <t>tbl-rccha-demo</t>
        </is>
      </c>
      <c r="H295" s="9">
        <f>IF(LEFT(G295,4)="tbl-","fig-" &amp; MID(G295,5,LEN(G295)-4),"")</f>
        <v/>
      </c>
    </row>
    <row r="296">
      <c r="F296" t="inlineStr">
        <is>
          <t>Respondents by Zip Code</t>
        </is>
      </c>
      <c r="G296" s="9" t="inlineStr">
        <is>
          <t>tbl-resp-zip</t>
        </is>
      </c>
      <c r="H296" s="9">
        <f>IF(LEFT(G296,4)="tbl-","fig-" &amp; MID(G296,5,LEN(G296)-4),"")</f>
        <v/>
      </c>
    </row>
    <row r="297">
      <c r="F297" t="inlineStr">
        <is>
          <t>Respondents' Ratings of Quality of Life in Rockand County</t>
        </is>
      </c>
      <c r="G297" s="9" t="inlineStr">
        <is>
          <t>tbl-resp-qol-rc</t>
        </is>
      </c>
      <c r="H297" s="9">
        <f>IF(LEFT(G297,4)="tbl-","fig-" &amp; MID(G297,5,LEN(G297)-4),"")</f>
        <v/>
      </c>
    </row>
    <row r="298">
      <c r="F298" t="inlineStr">
        <is>
          <t>Top 3 Factors that Make a Positive Contribution to Healthy Living in Rockland County</t>
        </is>
      </c>
      <c r="G298" s="9" t="inlineStr">
        <is>
          <t>tbl-t3-pos-rc</t>
        </is>
      </c>
      <c r="H298" s="9">
        <f>IF(LEFT(G298,4)="tbl-","fig-" &amp; MID(G298,5,LEN(G298)-4),"")</f>
        <v/>
      </c>
    </row>
    <row r="299">
      <c r="F299" t="inlineStr">
        <is>
          <t>Top Selected Areas the Need Improvement</t>
        </is>
      </c>
      <c r="G299" s="9" t="inlineStr">
        <is>
          <t>tbl-top-need-improve</t>
        </is>
      </c>
      <c r="H299" s="9">
        <f>IF(LEFT(G299,4)="tbl-","fig-" &amp; MID(G299,5,LEN(G299)-4),"")</f>
        <v/>
      </c>
    </row>
    <row r="300">
      <c r="F300" t="inlineStr">
        <is>
          <t>Economic Priorities that Need Improvement</t>
        </is>
      </c>
      <c r="G300" s="9" t="inlineStr">
        <is>
          <t>tbl-econ-need-improve</t>
        </is>
      </c>
      <c r="H300" s="9">
        <f>IF(LEFT(G300,4)="tbl-","fig-" &amp; MID(G300,5,LEN(G300)-4),"")</f>
        <v/>
      </c>
    </row>
    <row r="301">
      <c r="F301" t="inlineStr">
        <is>
          <t>Safe and Healthy Communties Priorities that Need Improvement</t>
        </is>
      </c>
      <c r="G301" s="9" t="inlineStr">
        <is>
          <t>tbl-safe-health-need-improve</t>
        </is>
      </c>
      <c r="H301" s="9">
        <f>IF(LEFT(G301,4)="tbl-","fig-" &amp; MID(G301,5,LEN(G301)-4),"")</f>
        <v/>
      </c>
    </row>
    <row r="302">
      <c r="F302" t="inlineStr">
        <is>
          <t>Education Priorities the Need Improvement</t>
        </is>
      </c>
      <c r="G302" s="9" t="inlineStr">
        <is>
          <t>tbl-educat-need-improv</t>
        </is>
      </c>
      <c r="H302" s="9">
        <f>IF(LEFT(G302,4)="tbl-","fig-" &amp; MID(G302,5,LEN(G302)-4),"")</f>
        <v/>
      </c>
    </row>
    <row r="303">
      <c r="F303" t="inlineStr">
        <is>
          <t>Percentage of Food Insecurty, Children 18 Years and Younger, 2020–2023</t>
        </is>
      </c>
      <c r="G303" s="9" t="inlineStr">
        <is>
          <t>tbl-childhood-food-insecurity</t>
        </is>
      </c>
      <c r="H303" s="9">
        <f>IF(LEFT(G303,4)="tbl-","fig-" &amp; MID(G303,5,LEN(G303)-4),"")</f>
        <v/>
      </c>
    </row>
    <row r="304" ht="16" customHeight="1" s="99">
      <c r="F304" t="inlineStr">
        <is>
          <t>Percentage of Adults with Poor Mental Health for 14 or More Days in the Last Month, 2016, 2018, and 2021</t>
        </is>
      </c>
      <c r="G304" s="86" t="inlineStr">
        <is>
          <t>tbl-adult-poormh-14ormore-percent</t>
        </is>
      </c>
      <c r="H304" s="9">
        <f>IF(LEFT(G304,4)="tbl-","fig-" &amp; MID(G304,5,LEN(G304)-4),"")</f>
        <v/>
      </c>
    </row>
    <row r="305">
      <c r="F305" t="inlineStr">
        <is>
          <t>Asthma, Gastroenteritis, Otitis Media, and Pneumonia Hospitalizations, Rate per 10,000 Population Aged 0–4 Years, 2020–2022</t>
        </is>
      </c>
      <c r="G305" s="9" t="inlineStr">
        <is>
          <t>tbl-agop-hosp-0-4</t>
        </is>
      </c>
      <c r="H305" s="9">
        <f>IF(LEFT(G305,4)="tbl-","fig-" &amp; MID(G305,5,LEN(G305)-4),"")</f>
        <v/>
      </c>
    </row>
    <row r="306">
      <c r="F306" s="87" t="inlineStr">
        <is>
          <t>Percentage of Poison Center Calls Involving Children 5 Years Old and Younger, 2020–2024</t>
        </is>
      </c>
      <c r="G306" s="9" t="inlineStr">
        <is>
          <t>tbl-poison-cc-5yo</t>
        </is>
      </c>
      <c r="H306" s="9">
        <f>IF(LEFT(G306,4)="tbl-","fig-" &amp; MID(G306,5,LEN(G306)-4),"")</f>
        <v/>
      </c>
    </row>
    <row r="307">
      <c r="F307" s="87" t="n"/>
      <c r="G307" s="9" t="n"/>
      <c r="H307" s="9" t="n"/>
    </row>
    <row r="308" ht="16" customHeight="1" s="99">
      <c r="F308" s="93" t="inlineStr">
        <is>
          <t>Age-Adjusted Percentage of Adults with Physician Diagnosed High Blood Pressure, 2016 and 2021</t>
        </is>
      </c>
      <c r="G308" s="9" t="inlineStr">
        <is>
          <t>tbl-adult-highbp-mddx-percent</t>
        </is>
      </c>
      <c r="H308" s="94" t="inlineStr">
        <is>
          <t>fig-adult-highbp-mddx-percent</t>
        </is>
      </c>
    </row>
  </sheetData>
  <conditionalFormatting sqref="F2:F127 F130:F175 F177:F264 F267 F269:F270 F273:F278 F280:F303">
    <cfRule type="duplicateValues" priority="1" dxfId="0"/>
  </conditionalFormatting>
  <dataValidations count="2">
    <dataValidation sqref="A2:A308" showDropDown="0" showInputMessage="1" showErrorMessage="1" allowBlank="1" type="list">
      <formula1>"Activate,Deactivate"</formula1>
    </dataValidation>
    <dataValidation sqref="D2:D308" showDropDown="0" showInputMessage="1" showErrorMessage="1" allowBlank="1" type="list">
      <formula1>"Table,Figure"</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theme="0"/>
    <outlinePr summaryBelow="1" summaryRight="1"/>
    <pageSetUpPr/>
  </sheetPr>
  <dimension ref="A1:H60"/>
  <sheetViews>
    <sheetView workbookViewId="0">
      <selection activeCell="D11" sqref="D11"/>
    </sheetView>
  </sheetViews>
  <sheetFormatPr baseColWidth="10" defaultColWidth="8.6640625" defaultRowHeight="15"/>
  <cols>
    <col width="16.1640625" customWidth="1" style="99" min="2" max="2"/>
    <col width="6.33203125" customWidth="1" style="99" min="3" max="3"/>
    <col width="16.1640625" customWidth="1" style="99" min="4" max="5"/>
    <col width="134.6640625" bestFit="1" customWidth="1" style="99" min="6" max="6"/>
    <col width="16.1640625" customWidth="1" style="99" min="7" max="7"/>
    <col width="255.6640625" bestFit="1" customWidth="1" style="99" min="8" max="8"/>
  </cols>
  <sheetData>
    <row r="1">
      <c r="A1" t="inlineStr">
        <is>
          <t>integer</t>
        </is>
      </c>
      <c r="B1" s="101" t="inlineStr">
        <is>
          <t>Y-labels</t>
        </is>
      </c>
      <c r="C1" s="2" t="n"/>
      <c r="D1" s="2" t="inlineStr">
        <is>
          <t>Footnotes</t>
        </is>
      </c>
      <c r="E1" s="2" t="inlineStr">
        <is>
          <t>Sources</t>
        </is>
      </c>
      <c r="F1" s="2" t="inlineStr">
        <is>
          <t>Links</t>
        </is>
      </c>
      <c r="G1" s="2" t="inlineStr">
        <is>
          <t>Dates</t>
        </is>
      </c>
      <c r="H1" s="2" t="inlineStr">
        <is>
          <t>Notes</t>
        </is>
      </c>
    </row>
    <row r="2">
      <c r="A2" t="inlineStr">
        <is>
          <t>number</t>
        </is>
      </c>
      <c r="B2" t="inlineStr">
        <is>
          <t>Case Rate</t>
        </is>
      </c>
      <c r="C2" t="inlineStr">
        <is>
          <t>*</t>
        </is>
      </c>
      <c r="D2" t="inlineStr">
        <is>
          <t>*: BRFSS - Crude rate is unreliable due to large standard error.</t>
        </is>
      </c>
      <c r="E2" s="3" t="inlineStr">
        <is>
          <t>Source: Centers for Disease Control and Prevention</t>
        </is>
      </c>
      <c r="F2" s="4" t="inlineStr">
        <is>
          <t>https://health.data.ny.gov/Health/Behavioral-Risk-Factor-Surveillance-System-BRFSS-H/jsy7-eb4n/data</t>
        </is>
      </c>
      <c r="G2" s="5" t="inlineStr">
        <is>
          <t>July 2025</t>
        </is>
      </c>
      <c r="H2" s="6" t="inlineStr">
        <is>
          <t xml:space="preserve">Note: "Other" includes American Indian or Alaska Native and Native Hawaiian or Other Pacific Islander. </t>
        </is>
      </c>
    </row>
    <row r="3">
      <c r="A3" t="inlineStr">
        <is>
          <t>percent1</t>
        </is>
      </c>
      <c r="B3" t="inlineStr">
        <is>
          <t>Index</t>
        </is>
      </c>
      <c r="C3" t="inlineStr">
        <is>
          <t>*</t>
        </is>
      </c>
      <c r="D3" t="inlineStr">
        <is>
          <t>*: BRFSS - Percentage is unreliable due to large standard error.</t>
        </is>
      </c>
      <c r="E3" s="7" t="inlineStr">
        <is>
          <t>Source: Community Partner Survey Focus Groups</t>
        </is>
      </c>
      <c r="F3" s="4" t="inlineStr">
        <is>
          <t>https://www.cdc.gov/places/</t>
        </is>
      </c>
      <c r="G3" s="5" t="inlineStr">
        <is>
          <t>June 2025</t>
        </is>
      </c>
      <c r="H3" s="6" t="inlineStr">
        <is>
          <t>Note:A community water system is a public water system that serves the same people year-round. Most residences including homes, apartments, and condominiums in cities, towns, and mobile home parks are served by community water systems. This is a measure of the number of residents served by community water systems with optimal fluoride levels per 100 residents served by community water systems.</t>
        </is>
      </c>
    </row>
    <row r="4">
      <c r="A4" t="inlineStr">
        <is>
          <t>percent2</t>
        </is>
      </c>
      <c r="B4" t="inlineStr">
        <is>
          <t>Number of Cases</t>
        </is>
      </c>
      <c r="C4" t="inlineStr">
        <is>
          <t>*</t>
        </is>
      </c>
      <c r="D4" t="inlineStr">
        <is>
          <t>*: Data are unstable due to a margin of error greater than 10%.</t>
        </is>
      </c>
      <c r="E4" s="7" t="inlineStr">
        <is>
          <t>Source: Feeding America</t>
        </is>
      </c>
      <c r="F4" s="4" t="inlineStr">
        <is>
          <t>https://webbi1.health.ny.gov/SASStoredProcess/guest?_program=%2FEBI%2FPHIG%2Fapps%2Fchir_dashboard%2Fchir_dashboard&amp;p=ch&amp;cos=33</t>
        </is>
      </c>
      <c r="G4" s="5" t="inlineStr">
        <is>
          <t>May 2025</t>
        </is>
      </c>
      <c r="H4" s="6" t="inlineStr">
        <is>
          <t>Note: County of residence was assigned based on ZIP Code for cases in which patient county of residence was listed as unknown or missing but a valid NY ZIP Code was present.</t>
        </is>
      </c>
    </row>
    <row r="5">
      <c r="A5" t="inlineStr">
        <is>
          <t>currency</t>
        </is>
      </c>
      <c r="B5" t="inlineStr">
        <is>
          <t>Percent</t>
        </is>
      </c>
      <c r="C5" t="inlineStr">
        <is>
          <t>*</t>
        </is>
      </c>
      <c r="D5" t="inlineStr">
        <is>
          <t>*: Data are unstable due to fewer than 10 events in the numerator.</t>
        </is>
      </c>
      <c r="E5" s="7" t="inlineStr">
        <is>
          <t>Source: Health Resources and Services Administration Data Warehouse</t>
        </is>
      </c>
      <c r="F5" s="4" t="inlineStr">
        <is>
          <t>https://www.health.ny.gov/statistics/community/minority/county/orange.htm</t>
        </is>
      </c>
      <c r="G5" s="5" t="inlineStr">
        <is>
          <t>April 2025</t>
        </is>
      </c>
      <c r="H5" s="6" t="inlineStr">
        <is>
          <t>Note: Feeding America takes the CPS data and analyzes the relationships between food insecurity and its determinants (i.e., unemployment, poverty, disability, homeownership, and median income), as well as the percentage of the population that is Black and the percentage of the population that is Hispanic. Coefficient estimates from this analysis combined with information on the same variables defined at the county and congressional district levels are generated to estimate food insecurity.</t>
        </is>
      </c>
    </row>
    <row r="6">
      <c r="A6" t="inlineStr">
        <is>
          <t>currency2</t>
        </is>
      </c>
      <c r="B6" t="inlineStr">
        <is>
          <t>Rate per 1,000</t>
        </is>
      </c>
      <c r="C6" t="inlineStr">
        <is>
          <t>*</t>
        </is>
      </c>
      <c r="D6" t="inlineStr">
        <is>
          <t>*: Data are unstable due to fewer than 20 events in the numerator.</t>
        </is>
      </c>
      <c r="E6" s="7" t="inlineStr">
        <is>
          <t>Source: NYC Poison Center</t>
        </is>
      </c>
      <c r="F6" s="4" t="inlineStr">
        <is>
          <t>https://www.health.ny.gov/statistics/diseases/communicable/docs/2019_hepc_regional.pdf</t>
        </is>
      </c>
      <c r="G6" s="5" t="inlineStr">
        <is>
          <t>March 2025</t>
        </is>
      </c>
      <c r="H6" s="6" t="inlineStr">
        <is>
          <t>Note: Five-year age-adjusted rates.</t>
        </is>
      </c>
    </row>
    <row r="7">
      <c r="A7" t="inlineStr">
        <is>
          <t>ratio</t>
        </is>
      </c>
      <c r="B7" t="inlineStr">
        <is>
          <t>Rate per 10,000</t>
        </is>
      </c>
      <c r="C7" t="inlineStr">
        <is>
          <t>*</t>
        </is>
      </c>
      <c r="D7" t="inlineStr">
        <is>
          <t>*: The percentage is unstable.</t>
        </is>
      </c>
      <c r="E7" s="7" t="inlineStr">
        <is>
          <t>Source: NYS Board of Elections</t>
        </is>
      </c>
      <c r="F7" s="4" t="inlineStr">
        <is>
          <t>https://www.health.ny.gov/statistics/chac/perinatal/county/2018-2020/orange.htm</t>
        </is>
      </c>
      <c r="G7" s="5" t="inlineStr">
        <is>
          <t>February 2025</t>
        </is>
      </c>
      <c r="H7" s="6" t="inlineStr">
        <is>
          <t>Note: IMU* = Index of Medical Underservice.</t>
        </is>
      </c>
    </row>
    <row r="8">
      <c r="A8" t="inlineStr">
        <is>
          <t>date</t>
        </is>
      </c>
      <c r="B8" t="inlineStr">
        <is>
          <t>Rate per 100,000</t>
        </is>
      </c>
      <c r="C8" t="inlineStr">
        <is>
          <t>*</t>
        </is>
      </c>
      <c r="D8" t="inlineStr">
        <is>
          <t>*: The rate is unstable.</t>
        </is>
      </c>
      <c r="E8" s="7" t="inlineStr">
        <is>
          <t>Source: NYS Cancer Registry and Cancer Statistics</t>
        </is>
      </c>
      <c r="F8" s="4" t="inlineStr">
        <is>
          <t>https://www.criminaljustice.ny.gov/crimnet/ojsa/arrests/index.htm</t>
        </is>
      </c>
      <c r="G8" s="5" t="inlineStr">
        <is>
          <t>January 2025</t>
        </is>
      </c>
      <c r="H8" s="6" t="inlineStr">
        <is>
          <t>Note: Incidence and mortality rates stratified by race/ethnicity are not available. However, trend data for incidence and mortality rates can be found on NYSDOH Community Health Indicator Reports (CHIRS).</t>
        </is>
      </c>
    </row>
    <row r="9">
      <c r="B9" t="inlineStr">
        <is>
          <t>Ratio</t>
        </is>
      </c>
      <c r="C9" t="inlineStr">
        <is>
          <t>+</t>
        </is>
      </c>
      <c r="D9" t="inlineStr">
        <is>
          <t>: The 2019 ED data in NYC may be incomplete and subject to change. Thus, the state rates may be underestimated and subject to change.</t>
        </is>
      </c>
      <c r="E9" s="7" t="inlineStr">
        <is>
          <t xml:space="preserve">Source: NYS Community Health Indicator Reports Dashboard </t>
        </is>
      </c>
      <c r="F9" s="4" t="inlineStr">
        <is>
          <t>https://data.nysed.gov/gradrate.php?year=2022&amp;county=44</t>
        </is>
      </c>
      <c r="G9" s="5" t="inlineStr">
        <is>
          <t>December 2024</t>
        </is>
      </c>
      <c r="H9" s="6" t="inlineStr">
        <is>
          <t>Note: Incidence and mortality rates stratified by race/ethnicity are not shown due to suppressed and/or unstable data in most counties. However, trend data for incidence and mortality rates can be found on NYSDOH Community Health Indicator Reports (CHIRS).</t>
        </is>
      </c>
    </row>
    <row r="10">
      <c r="C10" s="8" t="inlineStr">
        <is>
          <t>Other</t>
        </is>
      </c>
      <c r="D10" s="6" t="inlineStr">
        <is>
          <t>Other (please specify): Some additional responses from participants include access to healthy affordable food, transportation, valuing health as a family priority, affordable housing, lack of chronic disease self-management programs, lack of social support systems, language barriers.</t>
        </is>
      </c>
      <c r="E10" s="7" t="inlineStr">
        <is>
          <t xml:space="preserve">Source: NYS County Health Indicators by Race and Ethnicity </t>
        </is>
      </c>
      <c r="F10" s="4" t="inlineStr">
        <is>
          <t>https://webbi1.health.ny.gov/SASStoredProcess/guest?_program=%2FEBI%2FPHIG%2Fapps%2Fmch_dashboard%2Fmch_dashboard&amp;p=ch&amp;cos=33</t>
        </is>
      </c>
      <c r="G10" s="5" t="inlineStr">
        <is>
          <t>November 2024</t>
        </is>
      </c>
      <c r="H10" s="6" t="inlineStr">
        <is>
          <t>Note: Index of dissimilarity where higher values indicate greater residential segregation between Black and White County residents.</t>
        </is>
      </c>
    </row>
    <row r="11">
      <c r="C11" s="8" t="inlineStr">
        <is>
          <t>Other</t>
        </is>
      </c>
      <c r="D11" s="6" t="inlineStr">
        <is>
          <t>Other (please specify): Some additional responses from participants include finding child care, access to health care providers who are trained in LGBTQIA+ health care needs, mental health services, immigration issues, language and cultural barriers, and financial issues.</t>
        </is>
      </c>
      <c r="E11" s="7" t="inlineStr">
        <is>
          <t>Source: NYS Department of Health Office of Sexual Health and Epidemiology</t>
        </is>
      </c>
      <c r="F11" s="4" t="inlineStr">
        <is>
          <t>https://webbi1.health.ny.gov/SASStoredProcess/guest?_program=%2FEBI%2FPHIG%2Fapps%2Fopioid_dashboard%2Fop_dashboard&amp;p=ch&amp;cos=33</t>
        </is>
      </c>
      <c r="G11" s="5" t="inlineStr">
        <is>
          <t>October 2024</t>
        </is>
      </c>
      <c r="H11" s="6" t="inlineStr">
        <is>
          <t>Note: Mortality rates stratified by race/ethnicity are not available.</t>
        </is>
      </c>
    </row>
    <row r="12">
      <c r="C12" s="8" t="inlineStr">
        <is>
          <t>Other</t>
        </is>
      </c>
      <c r="D12" s="6" t="inlineStr">
        <is>
          <t>Other (please specify): Some additional responses from participants include location of services, lack of financial resources, transportation, affordable housing, and service providers not being aware of biases they bring into marginalized communities.</t>
        </is>
      </c>
      <c r="E12" s="7" t="inlineStr">
        <is>
          <t>Source: NYS Division of Criminal Justice Services</t>
        </is>
      </c>
      <c r="F12" s="4" t="inlineStr">
        <is>
          <t>https://webbi1.health.ny.gov/SASStoredProcess/guest?_program=%2FEBI%2FPHIG%2Fapps%2Fdashboard%2Fpa_dashboard&amp;p=ch&amp;cos=33</t>
        </is>
      </c>
      <c r="G12" s="5" t="inlineStr">
        <is>
          <t>September 2024</t>
        </is>
      </c>
      <c r="H12" s="6" t="inlineStr">
        <is>
          <t>Note: Opioid pain relievers include illicitly produced opioids such as fentanyl.</t>
        </is>
      </c>
    </row>
    <row r="13">
      <c r="C13" s="8" t="inlineStr">
        <is>
          <t>Other</t>
        </is>
      </c>
      <c r="D13" s="6" t="inlineStr">
        <is>
          <t>Other (please specify): Some additional responses from participants include navigating health care access, poverty, affordable transportation, and accessibility and availability of quality services.</t>
        </is>
      </c>
      <c r="E13" s="7" t="inlineStr">
        <is>
          <t>Source: NYS Education Department</t>
        </is>
      </c>
      <c r="F13" s="4" t="inlineStr">
        <is>
          <t>https://www.health.ny.gov/statistics/diseases/communicable/std/docs/sti_surveillance_report_2021.pdf</t>
        </is>
      </c>
      <c r="G13" s="5" t="inlineStr">
        <is>
          <t>August 2024</t>
        </is>
      </c>
      <c r="H13" s="6" t="inlineStr">
        <is>
          <t>Note: Other forms of coverage not shown include Indian Health, CHAMPUS, Other, and Not Stated. Medicaid includes births with Medicaid listed as secondary payer.</t>
        </is>
      </c>
    </row>
    <row r="14">
      <c r="C14" s="8" t="inlineStr">
        <is>
          <t>Other</t>
        </is>
      </c>
      <c r="D14" s="6" t="inlineStr">
        <is>
          <t>Other (please specify): Some additional responses from participants include stigma, language barrier as a large portion of the population being served speaks Spanish, navigating the health system, and places to play and/or exercise.</t>
        </is>
      </c>
      <c r="E14" s="3" t="inlineStr">
        <is>
          <t>Source: NYS Leading Causes of Death Dashboard</t>
        </is>
      </c>
      <c r="F14" s="4" t="inlineStr">
        <is>
          <t>https://statecancerprofiles.cancer.gov/</t>
        </is>
      </c>
      <c r="G14" s="5" t="inlineStr">
        <is>
          <t>July 2024</t>
        </is>
      </c>
      <c r="H14" s="6" t="inlineStr">
        <is>
          <t>Note: Race or races with which the student primarily identifies are indicated by the student or the parent/guardian.</t>
        </is>
      </c>
    </row>
    <row r="15">
      <c r="C15" t="inlineStr">
        <is>
          <t>s</t>
        </is>
      </c>
      <c r="D15" t="inlineStr">
        <is>
          <t xml:space="preserve">s: Data are suppressed due to unreliable or missing data. </t>
        </is>
      </c>
      <c r="E15" s="3" t="inlineStr">
        <is>
          <t>Source: NYS Opioid Data Dashboard</t>
        </is>
      </c>
      <c r="F15" s="4" t="inlineStr">
        <is>
          <t>https://data.census.gov/cedsci/</t>
        </is>
      </c>
      <c r="G15" s="5" t="inlineStr">
        <is>
          <t>June 2024</t>
        </is>
      </c>
      <c r="H15" s="6" t="inlineStr">
        <is>
          <t>Note: Ranks are based on numbers of deaths, then on mortality rates.</t>
        </is>
      </c>
    </row>
    <row r="16">
      <c r="C16" t="inlineStr">
        <is>
          <t>s</t>
        </is>
      </c>
      <c r="D16" t="inlineStr">
        <is>
          <t>s: Data are suppressed due to not meeting reporting criteria.</t>
        </is>
      </c>
      <c r="E16" s="3" t="inlineStr">
        <is>
          <t>Source: NYS Prevention Agenda Tracking Dashboard</t>
        </is>
      </c>
      <c r="F16" s="4" t="inlineStr">
        <is>
          <t>https://www.americashealthrankings.org/</t>
        </is>
      </c>
      <c r="G16" s="5" t="inlineStr">
        <is>
          <t>May 2024</t>
        </is>
      </c>
      <c r="H16" s="6" t="inlineStr">
        <is>
          <t>Note: Respondents who report any one of the six disability types are considered to have a disability in the American Community Survey. The previous Regional CHA utilized data from the NYSDOH Expanded Behavioral Risk Factor Surveillance System (BRFSS). The data change between the BRFSS and the ACS accounts for the drastic changes between the Regional CHAs.</t>
        </is>
      </c>
    </row>
    <row r="17">
      <c r="C17" t="inlineStr">
        <is>
          <t>s</t>
        </is>
      </c>
      <c r="D17" s="9" t="inlineStr">
        <is>
          <t xml:space="preserve">s: Data are suppressed due to lack of preliminary data. </t>
        </is>
      </c>
      <c r="E17" s="3" t="inlineStr">
        <is>
          <t>Source: NYS Smoker's Quitline</t>
        </is>
      </c>
      <c r="F17" s="4" t="inlineStr">
        <is>
          <t>https://ahead.hiv.gov/</t>
        </is>
      </c>
      <c r="G17" s="5" t="inlineStr">
        <is>
          <t>April 2024</t>
        </is>
      </c>
      <c r="H17" s="6" t="inlineStr">
        <is>
          <t>Note: Severely cost burdened is defined as the percent of households that spend 50% or more of their household income on housing. The 2019 County Health Rankings (CHR) used data from 2013-2017 and the 2022 CHR used data from 2016-2020 for this measure.</t>
        </is>
      </c>
    </row>
    <row r="18">
      <c r="C18" t="inlineStr">
        <is>
          <t>s</t>
        </is>
      </c>
      <c r="D18" t="inlineStr">
        <is>
          <t xml:space="preserve">s: Data are suppressed due to not meeting confidentialty criteria. </t>
        </is>
      </c>
      <c r="E18" s="7" t="inlineStr">
        <is>
          <t>Source: NYSDOH Behavioral Risk Factor Surveillance System</t>
        </is>
      </c>
      <c r="F18" s="4" t="inlineStr">
        <is>
          <t>https://wonder.cdc.gov/</t>
        </is>
      </c>
      <c r="G18" s="5" t="inlineStr">
        <is>
          <t>March 2024</t>
        </is>
      </c>
      <c r="H18" s="6" t="inlineStr">
        <is>
          <t>Note: Single-year crude rates.</t>
        </is>
      </c>
    </row>
    <row r="19">
      <c r="C19" t="inlineStr">
        <is>
          <t>s</t>
        </is>
      </c>
      <c r="D19" t="inlineStr">
        <is>
          <t xml:space="preserve">s: Data are suppressed due to small sample size. </t>
        </is>
      </c>
      <c r="E19" s="3" t="inlineStr">
        <is>
          <t>Source: NYSDOH Bureau of Communicable Disease Control</t>
        </is>
      </c>
      <c r="F19" s="4" t="inlineStr">
        <is>
          <t>https://nccd.cdc.gov/Youthonline/App/Results.aspx?LID=XX</t>
        </is>
      </c>
      <c r="G19" s="5" t="inlineStr">
        <is>
          <t>February 2024</t>
        </is>
      </c>
      <c r="H19" s="6" t="inlineStr">
        <is>
          <t>Note: The American Community Survey asks respondents how many automobiles, vans, and trucks of one-ton capacity or less are kept at home for use by members of the household.</t>
        </is>
      </c>
    </row>
    <row r="20">
      <c r="C20" s="2" t="n"/>
      <c r="D20" s="2" t="n"/>
      <c r="E20" s="7" t="inlineStr">
        <is>
          <t>Source: NYSDOH Communicable Disease Annual Reports</t>
        </is>
      </c>
      <c r="F20" s="4" t="inlineStr">
        <is>
          <t>https://www.cdc.gov/injury/wisqars/index.html</t>
        </is>
      </c>
      <c r="G20" s="5" t="inlineStr">
        <is>
          <t>January 2024</t>
        </is>
      </c>
      <c r="H20" s="6" t="inlineStr">
        <is>
          <t>Note: The American Community Survey asks respondents how they usually got to work last week. For respondents who use multiple transportation modes they are restricted to the single method of transportation used for the longest distance.</t>
        </is>
      </c>
    </row>
    <row r="21">
      <c r="C21" s="2" t="n"/>
      <c r="D21" s="2" t="n"/>
      <c r="E21" s="7" t="inlineStr">
        <is>
          <t xml:space="preserve">Source: NYSDOH Communicable Disease Electronic Surveillance System </t>
        </is>
      </c>
      <c r="F21" s="4" t="inlineStr">
        <is>
          <t>https://www.cdc.gov/mmwr/index.html</t>
        </is>
      </c>
      <c r="G21" s="5" t="inlineStr">
        <is>
          <t>December 2023</t>
        </is>
      </c>
      <c r="H21" s="6" t="inlineStr">
        <is>
          <t>Note: The American Community Survey asks respondents if they have ever served on active duty in the US Armed Forces.</t>
        </is>
      </c>
    </row>
    <row r="22">
      <c r="C22" s="2" t="n"/>
      <c r="D22" s="2" t="n"/>
      <c r="E22" s="7" t="inlineStr">
        <is>
          <t>Source: NYSDOH, Wadsworth Center Rabies Laboratory</t>
        </is>
      </c>
      <c r="F22" s="4" t="inlineStr">
        <is>
          <t>https://www.cdc.gov/asthma/asthmadata.htm</t>
        </is>
      </c>
      <c r="G22" s="5" t="inlineStr">
        <is>
          <t>November 2023</t>
        </is>
      </c>
      <c r="H22" s="6" t="inlineStr">
        <is>
          <t>Note: The American Community Survey asks respondents if they have worked in the past week. If the answer is no, they are asked why they are not working. For those who are not working, they are asked whether they plan to return to work, and when they last worked.</t>
        </is>
      </c>
    </row>
    <row r="23">
      <c r="C23" s="2" t="n"/>
      <c r="D23" s="2" t="n"/>
      <c r="E23" s="7" t="inlineStr">
        <is>
          <t>Source: United for ALICE</t>
        </is>
      </c>
      <c r="F23" s="4" t="inlineStr">
        <is>
          <t>https://www.cdc.gov/nceh/</t>
        </is>
      </c>
      <c r="G23" s="5" t="inlineStr">
        <is>
          <t>October 2023</t>
        </is>
      </c>
      <c r="H23" s="6" t="inlineStr">
        <is>
          <t>Note: The American Community Survey asks respondents if they own or rent the house, apartment, or mobile home they live in. If rented, they ask the monthly rent. Cost burdened is defined as the percentage of renter occupied units in which gross rent is 30% or more of household income.</t>
        </is>
      </c>
    </row>
    <row r="24">
      <c r="C24" s="2" t="n"/>
      <c r="D24" s="2" t="n"/>
      <c r="E24" s="7" t="inlineStr">
        <is>
          <t>Source: University of Wisconsin Population Health Institute. County Health Rankings &amp; Roadmaps</t>
        </is>
      </c>
      <c r="F24" s="4" t="inlineStr">
        <is>
          <t>https://www.cdc.gov/nchs/index.htm</t>
        </is>
      </c>
      <c r="G24" s="5" t="inlineStr">
        <is>
          <t>September 2023</t>
        </is>
      </c>
      <c r="H24" s="6" t="inlineStr">
        <is>
          <t>Note: 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t>
        </is>
      </c>
    </row>
    <row r="25">
      <c r="C25" s="2" t="n"/>
      <c r="D25" s="2" t="n"/>
      <c r="E25" s="7" t="inlineStr">
        <is>
          <t>Source: Upstate NY Poison Center</t>
        </is>
      </c>
      <c r="F25" s="4" t="inlineStr">
        <is>
          <t>https://www.cdc.gov/nchs/nhis/shs.htm</t>
        </is>
      </c>
      <c r="G25" s="5" t="inlineStr">
        <is>
          <t>August 2023</t>
        </is>
      </c>
      <c r="H25" s="6" t="inlineStr">
        <is>
          <t>Note: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they are considered to be in poverty.</t>
        </is>
      </c>
    </row>
    <row r="26">
      <c r="C26" s="2" t="n"/>
      <c r="D26" s="2" t="n"/>
      <c r="E26" s="7" t="inlineStr">
        <is>
          <t>Source: US Census Bureau</t>
        </is>
      </c>
      <c r="F26" s="4" t="inlineStr">
        <is>
          <t>https://www.cdc.gov/diabetes/data/index.html</t>
        </is>
      </c>
      <c r="G26" s="5" t="inlineStr">
        <is>
          <t>July 2023</t>
        </is>
      </c>
      <c r="H26" s="10" t="inlineStr">
        <is>
          <t>Note: The American Community Survey asks respondents their income in the past 12 months. Data are provided as a percent of total households in Table S1901. Calculations were made to provide data as a number in Table 28.</t>
        </is>
      </c>
    </row>
    <row r="27">
      <c r="C27" s="2" t="n"/>
      <c r="D27" s="2" t="n"/>
      <c r="E27" s="7" t="inlineStr">
        <is>
          <t>Source: US Census Bureau; American Community Survey</t>
        </is>
      </c>
      <c r="F27" s="4" t="inlineStr">
        <is>
          <t>https://www.cdc.gov/nchhstp/atlas/index.htm</t>
        </is>
      </c>
      <c r="G27" s="5" t="inlineStr">
        <is>
          <t>June 2023</t>
        </is>
      </c>
      <c r="H27" s="6" t="inlineStr">
        <is>
          <t>Note: The American Community Survey asks respondents to report whether they sometimes or always spoke a language other than English at home. People who knew languages other than English but did not use them at home, who only used them elsewhere, or whose usage was limited to a few expressions or slang were excluded.</t>
        </is>
      </c>
    </row>
    <row r="28">
      <c r="C28" s="2" t="n"/>
      <c r="D28" s="2" t="n"/>
      <c r="E28" s="7" t="inlineStr">
        <is>
          <t>Source: Vital Statistics of NYS</t>
        </is>
      </c>
      <c r="F28" s="4" t="inlineStr">
        <is>
          <t>https://www.cdc.gov/std/statistics/2021/default.htm</t>
        </is>
      </c>
      <c r="G28" s="5" t="inlineStr">
        <is>
          <t>May 2023</t>
        </is>
      </c>
      <c r="H28" s="6" t="inlineStr">
        <is>
          <t>Note: The American Community Survey asks respondents what the highest degree or level of school the person has completed.</t>
        </is>
      </c>
    </row>
    <row r="29">
      <c r="C29" s="2" t="n"/>
      <c r="D29" s="2" t="n"/>
      <c r="E29" s="2" t="n"/>
      <c r="F29" s="4" t="inlineStr">
        <is>
          <t>https://www.cdc.gov/vaccines/imz-managers/coverage/teenvaxview/data-reports/index.html</t>
        </is>
      </c>
      <c r="G29" s="5" t="inlineStr">
        <is>
          <t>April 2023</t>
        </is>
      </c>
      <c r="H29" s="6" t="inlineStr">
        <is>
          <t>Note: The American Community Survey includes a question that intends to capture current sex; there are no questions about gender, sexual orientation, or sex at birth. Respondents should respond either "male" or "female" based on how they currently identify their sex.</t>
        </is>
      </c>
    </row>
    <row r="30">
      <c r="C30" s="2" t="n"/>
      <c r="D30" s="2" t="n"/>
      <c r="E30" s="2" t="n"/>
      <c r="F30" s="4" t="inlineStr">
        <is>
          <t>https://gis.cdc.gov/grasp/diabetes/diabetesatlas-surveillance.html</t>
        </is>
      </c>
      <c r="G30" s="5" t="inlineStr">
        <is>
          <t>March 2023</t>
        </is>
      </c>
      <c r="H30" s="6" t="inlineStr">
        <is>
          <t>Note: The American Community Survey utilized industry titles based on the North American Industry Classification System from 2018.</t>
        </is>
      </c>
    </row>
    <row r="31">
      <c r="C31" s="2" t="n"/>
      <c r="D31" s="2" t="n"/>
      <c r="E31" s="2" t="n"/>
      <c r="F31" s="4" t="inlineStr">
        <is>
          <t>https://www.cdc.gov/hepatitis/statistics/SurveillanceRpts.htm</t>
        </is>
      </c>
      <c r="G31" s="5" t="inlineStr">
        <is>
          <t>February 2023</t>
        </is>
      </c>
      <c r="H31" s="10" t="inlineStr">
        <is>
          <t>Note: The Census Bureau collects racial data in accordance with guidelines provide by the US Office of Management and Budget,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t>
        </is>
      </c>
    </row>
    <row r="32">
      <c r="C32" s="2" t="n"/>
      <c r="D32" s="2" t="n"/>
      <c r="E32" s="2" t="n"/>
      <c r="F32" s="4" t="inlineStr">
        <is>
          <t>https://www.ghrconnects.org/indicators</t>
        </is>
      </c>
      <c r="G32" s="5" t="inlineStr">
        <is>
          <t>January 2023</t>
        </is>
      </c>
      <c r="H32" s="10" t="inlineStr">
        <is>
          <t>Note: The Census Bureau collects racial data in accordance with guidelines provided by the US Office of Management and Budget (OMB) and these data are based on self-identification. People who identify with more than one race may choose to provide multiple races in response to the race question. For ethnicity, the OMB standards classify individuals in one of two categories: “Hispanic or Latino” or “Not Hispanic or Latino.” The Census Bureau uses the term “Hispanic or Latino” interchangeably with the term “Hispanic,” and also refer to this concept as “ethnicity.” The American Community Survey asks respondents their income in the past 12 months including joint income. This is for income that is received on a regular basis before payments for taxes, social security, etc. If a family’s total income is less than the official poverty threshold for a family of that size and composition, then they are considered to be in poverty.</t>
        </is>
      </c>
    </row>
    <row r="33">
      <c r="C33" s="2" t="n"/>
      <c r="D33" s="2" t="n"/>
      <c r="E33" s="2" t="n"/>
      <c r="F33" s="4" t="inlineStr">
        <is>
          <t>https://www.kff.org/</t>
        </is>
      </c>
      <c r="G33" s="5" t="inlineStr">
        <is>
          <t>December 2022</t>
        </is>
      </c>
      <c r="H33" s="6" t="inlineStr">
        <is>
          <t>Note: The Census Bureau defines educational attainment as the highest level of education that an individual has completed. This is distinct from the level of schooling that an individual is attending.</t>
        </is>
      </c>
    </row>
    <row r="34">
      <c r="C34" s="2" t="n"/>
      <c r="D34" s="2" t="n"/>
      <c r="E34" s="2" t="n"/>
      <c r="F34" s="4" t="inlineStr">
        <is>
          <t>https://progressreport.cancer.gov/detection</t>
        </is>
      </c>
      <c r="G34" s="5" t="inlineStr">
        <is>
          <t>November 2022</t>
        </is>
      </c>
      <c r="H34" s="6" t="inlineStr">
        <is>
          <t>Note: The most recent data are from 2019.</t>
        </is>
      </c>
    </row>
    <row r="35">
      <c r="C35" s="2" t="n"/>
      <c r="D35" s="2" t="n"/>
      <c r="E35" s="2" t="n"/>
      <c r="F35" s="4" t="inlineStr">
        <is>
          <t>https://statecancerprofiles.cancer.gov/index.html</t>
        </is>
      </c>
      <c r="G35" s="5" t="inlineStr">
        <is>
          <t>October 2022</t>
        </is>
      </c>
      <c r="H35" s="6" t="inlineStr">
        <is>
          <t>Note: The number of cases is determined using sentinel surveillance, which is extrapolated from samples of positive laboratory results to generate estimates of the total number of cases. Sentinel surveillance was conducted in all Mid-Hudson counties in 2017.</t>
        </is>
      </c>
    </row>
    <row r="36">
      <c r="C36" s="2" t="n"/>
      <c r="D36" s="2" t="n"/>
      <c r="E36" s="2" t="n"/>
      <c r="F36" s="4" t="inlineStr">
        <is>
          <t>https://nces.ed.gov/</t>
        </is>
      </c>
      <c r="G36" s="5" t="inlineStr">
        <is>
          <t>September 2022</t>
        </is>
      </c>
      <c r="H36" s="6" t="inlineStr">
        <is>
          <t>Note: The overall violent crime rate of a county is calculated by dividing the total number of violent crimes submitted by police agencies in each county by the county’s population and multiplying the result by 100,000. The US Census Bureau is the source of county population data. Includes all reports received as of May 16, 2022.</t>
        </is>
      </c>
    </row>
    <row r="37">
      <c r="C37" s="2" t="n"/>
      <c r="D37" s="2" t="n"/>
      <c r="E37" s="2" t="n"/>
      <c r="F37" s="4" t="inlineStr">
        <is>
          <t>https://www.niaaa.nih.gov/</t>
        </is>
      </c>
      <c r="G37" s="5" t="inlineStr">
        <is>
          <t>August 2022</t>
        </is>
      </c>
      <c r="H37" s="6" t="inlineStr">
        <is>
          <t>Note: The previous Mid-Hudson Region Community Health Assessment, 2019-2021, reported this data on populations aged 5-17 years.</t>
        </is>
      </c>
    </row>
    <row r="38">
      <c r="C38" s="2" t="n"/>
      <c r="D38" s="2" t="n"/>
      <c r="E38" s="2" t="n"/>
      <c r="F38" s="4" t="inlineStr">
        <is>
          <t>https://data.oecd.org/</t>
        </is>
      </c>
      <c r="G38" s="5" t="inlineStr">
        <is>
          <t>July 2022</t>
        </is>
      </c>
      <c r="H38" s="6" t="inlineStr">
        <is>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is>
      </c>
    </row>
    <row r="39">
      <c r="C39" s="2" t="n"/>
      <c r="D39" s="2" t="n"/>
      <c r="E39" s="2" t="n"/>
      <c r="F39" s="4" t="inlineStr">
        <is>
          <t>https://data.census.gov/cedsci/</t>
        </is>
      </c>
      <c r="G39" s="5" t="inlineStr">
        <is>
          <t>June 2022</t>
        </is>
      </c>
      <c r="H39" s="6" t="inlineStr">
        <is>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t>
        </is>
      </c>
    </row>
    <row r="40">
      <c r="C40" s="2" t="n"/>
      <c r="D40" s="2" t="n"/>
      <c r="E40" s="2" t="n"/>
      <c r="F40" s="4" t="inlineStr">
        <is>
          <t>https://www.bls.gov/cps/data-overview.htm</t>
        </is>
      </c>
      <c r="G40" s="5" t="inlineStr">
        <is>
          <t>May 2022</t>
        </is>
      </c>
      <c r="H40" s="6" t="inlineStr">
        <is>
          <t>Note: The US Census asks respondents if they are currently covered by any type of health insurance or health coverage plans.</t>
        </is>
      </c>
    </row>
    <row r="41">
      <c r="C41" s="2" t="n"/>
      <c r="D41" s="2" t="n"/>
      <c r="E41" s="2" t="n"/>
      <c r="F41" s="4" t="inlineStr">
        <is>
          <t>https://health.gov/healthypeople</t>
        </is>
      </c>
      <c r="G41" s="5" t="inlineStr">
        <is>
          <t>April 2022</t>
        </is>
      </c>
      <c r="H41" s="6" t="inlineStr">
        <is>
          <t>Note: The US Census Bureau gathers data called the Comprehensive Housing Affordability Strategy, and these data are shared with the US Department of Housing and Urban Development for reporting purposes. Incomplete kitchen facilities are defined as a unit which lacks a sink with running water, a stove or range, or a refrigerator. Incomplete plumbing facilities is defined as lacking hot and cold piped water, a flush toilet, or a bathtub/shower. Overcrowding is defined as more than one person per room. Severe cost burden is defined as monthly housing costs, including utilities, that exceed 50% of monthly income. Graph reflects the percentage of households with at least one of these four housing problems.</t>
        </is>
      </c>
    </row>
    <row r="42">
      <c r="C42" s="2" t="n"/>
      <c r="D42" s="2" t="n"/>
      <c r="E42" s="2" t="n"/>
      <c r="F42" s="2" t="n"/>
      <c r="G42" s="5" t="inlineStr">
        <is>
          <t>March 2022</t>
        </is>
      </c>
      <c r="H42" s="6" t="inlineStr">
        <is>
          <t>Note: This is a measure of the average daily density of fine particulate matter. Fine particulate matter is defined as particles of air pollutants with an aerodynamic diameter less than 2.5 micrometers. The Environmental Public Health Tracking Network data come from the US Environmental Protection Agency's Air Quality System.</t>
        </is>
      </c>
    </row>
    <row r="43">
      <c r="C43" s="2" t="n"/>
      <c r="D43" s="2" t="n"/>
      <c r="E43" s="2" t="n"/>
      <c r="F43" s="2" t="n"/>
      <c r="G43" s="5" t="inlineStr">
        <is>
          <t>February 2022</t>
        </is>
      </c>
      <c r="H43" s="6" t="inlineStr">
        <is>
          <t>Note: This is a measure of the percentage of children in a single birth cohort tested at least twice for lead before 36 months of age.</t>
        </is>
      </c>
    </row>
    <row r="44">
      <c r="C44" s="2" t="n"/>
      <c r="D44" s="2" t="n"/>
      <c r="E44" s="2" t="n"/>
      <c r="F44" s="2" t="n"/>
      <c r="G44" s="5" t="inlineStr">
        <is>
          <t>January 2022</t>
        </is>
      </c>
      <c r="H44" s="11" t="inlineStr">
        <is>
          <t>Note: Three-year age-adjusted rates for counties and single-year age-adjusted rates for NYS and NYS excluding NYC are used in both the table and graph above.</t>
        </is>
      </c>
    </row>
    <row r="45">
      <c r="C45" s="2" t="n"/>
      <c r="D45" s="2" t="n"/>
      <c r="E45" s="2" t="n"/>
      <c r="F45" s="2" t="n"/>
      <c r="G45" s="5" t="inlineStr">
        <is>
          <t>December 2021</t>
        </is>
      </c>
      <c r="H45" s="6" t="inlineStr">
        <is>
          <t>Note: Three-year age-adjusted rates.</t>
        </is>
      </c>
    </row>
    <row r="46">
      <c r="C46" s="2" t="n"/>
      <c r="D46" s="2" t="n"/>
      <c r="E46" s="2" t="n"/>
      <c r="F46" s="2" t="n"/>
      <c r="G46" s="5" t="inlineStr">
        <is>
          <t>November 2021</t>
        </is>
      </c>
      <c r="H46" s="6" t="inlineStr">
        <is>
          <t>Note: Three-year averages are used for counties and single-year estimates are used for Mid-Hudson and NYS.</t>
        </is>
      </c>
    </row>
    <row r="47">
      <c r="C47" s="2" t="n"/>
      <c r="D47" s="2" t="n"/>
      <c r="E47" s="2" t="n"/>
      <c r="F47" s="2" t="n"/>
      <c r="G47" s="5" t="inlineStr">
        <is>
          <t>October 2021</t>
        </is>
      </c>
      <c r="H47" s="12" t="inlineStr">
        <is>
          <t>Note: Three-year averages were used for counties, while single-year estimates were used for NYS and NYS excluding NYC.</t>
        </is>
      </c>
    </row>
    <row r="48">
      <c r="C48" s="2" t="n"/>
      <c r="D48" s="2" t="n"/>
      <c r="E48" s="2" t="n"/>
      <c r="F48" s="2" t="n"/>
      <c r="G48" s="5" t="inlineStr">
        <is>
          <t>September 2021</t>
        </is>
      </c>
      <c r="H48" s="6" t="inlineStr">
        <is>
          <t>Note: Three-year averages are used for counties and single-year rates are used for NYS and NYS excluding NYC.</t>
        </is>
      </c>
    </row>
    <row r="49">
      <c r="C49" s="2" t="n"/>
      <c r="D49" s="2" t="n"/>
      <c r="E49" s="2" t="n"/>
      <c r="F49" s="2" t="n"/>
      <c r="G49" s="5" t="inlineStr">
        <is>
          <t>August 2021</t>
        </is>
      </c>
      <c r="H49" s="6" t="inlineStr">
        <is>
          <t>Note: Trend data for incidence and mortality rates can be found on NYS Community Health Indicator Reports (CHIRS).</t>
        </is>
      </c>
    </row>
    <row r="50">
      <c r="C50" s="2" t="n"/>
      <c r="D50" s="2" t="n"/>
      <c r="E50" s="2" t="n"/>
      <c r="F50" s="2" t="n"/>
      <c r="G50" s="5" t="inlineStr">
        <is>
          <t>July 2021</t>
        </is>
      </c>
      <c r="H50" s="6" t="inlineStr">
        <is>
          <t>Note: Two-year crude rates.</t>
        </is>
      </c>
    </row>
    <row r="51">
      <c r="C51" s="2" t="n"/>
      <c r="D51" s="2" t="n"/>
      <c r="E51" s="2" t="n"/>
      <c r="F51" s="2" t="n"/>
      <c r="G51" s="2" t="n"/>
      <c r="H51" s="6" t="inlineStr">
        <is>
          <t>Note: Y-axis does not begin at zero in order to clearly display trend lines.</t>
        </is>
      </c>
    </row>
    <row r="52">
      <c r="C52" s="2" t="n"/>
      <c r="D52" s="2" t="n"/>
      <c r="E52" s="2" t="n"/>
      <c r="F52" s="2" t="n"/>
      <c r="G52" s="2" t="n"/>
      <c r="H52" s="6" t="inlineStr">
        <is>
          <t>Note: Y-axis does not begin at zero in order to clearly display trend lines. Graduates include students who received a local diploma or a local diploma with Regents endorsement (Regents diploma). All students who received a Regents diploma (with or without Advanced Designation or Career and Technical Education endorsement) are included in the number of students with Regents diploma.</t>
        </is>
      </c>
    </row>
    <row r="53">
      <c r="C53" s="2" t="n"/>
      <c r="D53" s="2" t="n"/>
      <c r="E53" s="2" t="n"/>
      <c r="F53" s="2" t="n"/>
      <c r="G53" s="2" t="n"/>
      <c r="H53" s="6" t="inlineStr">
        <is>
          <t>Note: Only the crude rate for 2017-2019 is available for this measure.</t>
        </is>
      </c>
    </row>
    <row r="54">
      <c r="C54" s="2" t="n"/>
      <c r="D54" s="2" t="n"/>
      <c r="E54" s="2" t="n"/>
      <c r="F54" s="2" t="n"/>
      <c r="G54" s="2" t="n"/>
      <c r="H54" s="6" t="inlineStr">
        <is>
          <t>Note: The 2019 ED data in New York City may be incomplete and subject to change. Thus, the state rate may be underestimated and subject to change.</t>
        </is>
      </c>
    </row>
    <row r="55">
      <c r="C55" s="2" t="n"/>
      <c r="D55" s="2" t="n"/>
      <c r="E55" s="2" t="n"/>
      <c r="F55" s="2" t="n"/>
      <c r="G55" s="2" t="n"/>
      <c r="H55" s="6" t="inlineStr">
        <is>
          <t>Note: The rate for 2015 is excluded due to SPARCS data transitioning on October 1, 2015 from ICD-9-CM to ICD-10-CM diagnosis codes. Since ICD-9-CM and ICD-10-CM are not comparable, an annual rate for 2015 cannot be calculated, and data for 2016-and-forward should not be compared with data for 2014-and-prior. On the graph, the distinction is signified by a dotted line for ICD-9-CM years and a solid line for ICD-10-CM years.</t>
        </is>
      </c>
    </row>
    <row r="56">
      <c r="C56" s="2" t="n"/>
      <c r="D56" s="2" t="n"/>
      <c r="E56" s="2" t="n"/>
      <c r="F56" s="2" t="n"/>
      <c r="G56" s="2" t="n"/>
      <c r="H56" s="6" t="inlineStr">
        <is>
          <t>Note: 2021 population estimates not available. Rates determined with 2020 population estimates.</t>
        </is>
      </c>
    </row>
    <row r="57">
      <c r="C57" s="2" t="n"/>
      <c r="D57" s="2" t="n"/>
      <c r="E57" s="2" t="n"/>
      <c r="F57" s="2" t="n"/>
      <c r="G57" s="2" t="n"/>
      <c r="H57" s="6" t="inlineStr">
        <is>
          <t>Note: Data for Westchester provided by NYC Poison Center.</t>
        </is>
      </c>
    </row>
    <row r="58">
      <c r="C58" s="2" t="n"/>
      <c r="D58" s="2" t="n"/>
      <c r="E58" s="2" t="n"/>
      <c r="F58" s="2" t="n"/>
      <c r="G58" s="2" t="n"/>
      <c r="H58" s="6" t="inlineStr">
        <is>
          <t xml:space="preserve">Note: Data totals for 2020 are preliminary at the time of this report. </t>
        </is>
      </c>
    </row>
    <row r="59">
      <c r="C59" s="2" t="n"/>
      <c r="D59" s="2" t="n"/>
      <c r="E59" s="2" t="n"/>
      <c r="F59" s="2" t="n"/>
      <c r="G59" s="2" t="n"/>
      <c r="H59" s="6" t="inlineStr">
        <is>
          <t>Note: Domestic animals include dogs, cats, ferrets, horses, donkeys, mules, cattle, sheep, goats, and pigs.</t>
        </is>
      </c>
    </row>
    <row r="60">
      <c r="C60" s="2" t="n"/>
      <c r="D60" s="2" t="n"/>
      <c r="E60" s="2" t="n"/>
      <c r="F60" s="2" t="n"/>
      <c r="G60" s="2" t="n"/>
      <c r="H60" s="6" t="inlineStr">
        <is>
          <t>Note: Wild animals include bats, bears, bobcats, coyote, deer, fox, opossum, porcupine, rabbit, raccoon, rat, skunk, squirrel, weasel, woodchuck.</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r:id="rId3"/>
    <hyperlink xmlns:r="http://schemas.openxmlformats.org/officeDocument/2006/relationships" ref="F5" r:id="rId4"/>
    <hyperlink xmlns:r="http://schemas.openxmlformats.org/officeDocument/2006/relationships" ref="F6" r:id="rId5"/>
    <hyperlink xmlns:r="http://schemas.openxmlformats.org/officeDocument/2006/relationships" ref="F7" r:id="rId6"/>
    <hyperlink xmlns:r="http://schemas.openxmlformats.org/officeDocument/2006/relationships" ref="F8" r:id="rId7"/>
    <hyperlink xmlns:r="http://schemas.openxmlformats.org/officeDocument/2006/relationships" ref="F9" r:id="rId8"/>
    <hyperlink xmlns:r="http://schemas.openxmlformats.org/officeDocument/2006/relationships" ref="F10" r:id="rId9"/>
    <hyperlink xmlns:r="http://schemas.openxmlformats.org/officeDocument/2006/relationships" ref="F11" r:id="rId10"/>
    <hyperlink xmlns:r="http://schemas.openxmlformats.org/officeDocument/2006/relationships" ref="F12" r:id="rId11"/>
    <hyperlink xmlns:r="http://schemas.openxmlformats.org/officeDocument/2006/relationships" ref="F13" r:id="rId12"/>
    <hyperlink xmlns:r="http://schemas.openxmlformats.org/officeDocument/2006/relationships" ref="F14" r:id="rId13"/>
    <hyperlink xmlns:r="http://schemas.openxmlformats.org/officeDocument/2006/relationships" ref="F15" r:id="rId14"/>
    <hyperlink xmlns:r="http://schemas.openxmlformats.org/officeDocument/2006/relationships" ref="F16" r:id="rId15"/>
    <hyperlink xmlns:r="http://schemas.openxmlformats.org/officeDocument/2006/relationships" ref="F17" r:id="rId16"/>
    <hyperlink xmlns:r="http://schemas.openxmlformats.org/officeDocument/2006/relationships" ref="F18" r:id="rId17"/>
    <hyperlink xmlns:r="http://schemas.openxmlformats.org/officeDocument/2006/relationships" ref="F19" r:id="rId18"/>
    <hyperlink xmlns:r="http://schemas.openxmlformats.org/officeDocument/2006/relationships" ref="F20" r:id="rId19"/>
    <hyperlink xmlns:r="http://schemas.openxmlformats.org/officeDocument/2006/relationships" ref="F21" r:id="rId20"/>
    <hyperlink xmlns:r="http://schemas.openxmlformats.org/officeDocument/2006/relationships" ref="F22" r:id="rId21"/>
    <hyperlink xmlns:r="http://schemas.openxmlformats.org/officeDocument/2006/relationships" ref="F23" r:id="rId22"/>
    <hyperlink xmlns:r="http://schemas.openxmlformats.org/officeDocument/2006/relationships" ref="F24" r:id="rId23"/>
    <hyperlink xmlns:r="http://schemas.openxmlformats.org/officeDocument/2006/relationships" ref="F25" r:id="rId24"/>
    <hyperlink xmlns:r="http://schemas.openxmlformats.org/officeDocument/2006/relationships" ref="F26" r:id="rId25"/>
    <hyperlink xmlns:r="http://schemas.openxmlformats.org/officeDocument/2006/relationships" ref="F27" r:id="rId26"/>
    <hyperlink xmlns:r="http://schemas.openxmlformats.org/officeDocument/2006/relationships" ref="F28" r:id="rId27"/>
    <hyperlink xmlns:r="http://schemas.openxmlformats.org/officeDocument/2006/relationships" ref="F29" r:id="rId28"/>
    <hyperlink xmlns:r="http://schemas.openxmlformats.org/officeDocument/2006/relationships" ref="F30" r:id="rId29"/>
    <hyperlink xmlns:r="http://schemas.openxmlformats.org/officeDocument/2006/relationships" ref="F31" r:id="rId30"/>
    <hyperlink xmlns:r="http://schemas.openxmlformats.org/officeDocument/2006/relationships" ref="F32" r:id="rId31"/>
    <hyperlink xmlns:r="http://schemas.openxmlformats.org/officeDocument/2006/relationships" ref="F33" r:id="rId32"/>
    <hyperlink xmlns:r="http://schemas.openxmlformats.org/officeDocument/2006/relationships" ref="F34" r:id="rId33"/>
    <hyperlink xmlns:r="http://schemas.openxmlformats.org/officeDocument/2006/relationships" ref="F35" r:id="rId34"/>
    <hyperlink xmlns:r="http://schemas.openxmlformats.org/officeDocument/2006/relationships" ref="F36" r:id="rId35"/>
    <hyperlink xmlns:r="http://schemas.openxmlformats.org/officeDocument/2006/relationships" ref="F37" r:id="rId36"/>
    <hyperlink xmlns:r="http://schemas.openxmlformats.org/officeDocument/2006/relationships" ref="F38" r:id="rId37"/>
    <hyperlink xmlns:r="http://schemas.openxmlformats.org/officeDocument/2006/relationships" ref="F39" r:id="rId38"/>
    <hyperlink xmlns:r="http://schemas.openxmlformats.org/officeDocument/2006/relationships" ref="F40" r:id="rId39"/>
    <hyperlink xmlns:r="http://schemas.openxmlformats.org/officeDocument/2006/relationships" ref="F41" r:id="rId40"/>
  </hyperlinks>
  <pageMargins left="0.7" right="0.7" top="0.75" bottom="0.75" header="0.3" footer="0.3"/>
  <pageSetup orientation="portrait"/>
</worksheet>
</file>

<file path=xl/worksheets/sheet3.xml><?xml version="1.0" encoding="utf-8"?>
<worksheet xmlns="http://schemas.openxmlformats.org/spreadsheetml/2006/main">
  <sheetPr>
    <tabColor rgb="FF0070C0"/>
    <outlinePr summaryBelow="1" summaryRight="1"/>
    <pageSetUpPr/>
  </sheetPr>
  <dimension ref="A1:A1"/>
  <sheetViews>
    <sheetView workbookViewId="0">
      <selection activeCell="A1" sqref="A1"/>
    </sheetView>
  </sheetViews>
  <sheetFormatPr baseColWidth="10" defaultColWidth="11.5" defaultRowHeight="15"/>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O57"/>
  <sheetViews>
    <sheetView topLeftCell="A3" workbookViewId="0">
      <selection activeCell="N16" sqref="N16"/>
    </sheetView>
  </sheetViews>
  <sheetFormatPr baseColWidth="10" defaultColWidth="8.6640625" defaultRowHeight="15"/>
  <cols>
    <col width="20" bestFit="1" customWidth="1" style="99" min="1" max="1"/>
    <col width="16.6640625" customWidth="1" style="99" min="2" max="2"/>
    <col width="6.6640625" customWidth="1" style="99" min="5" max="5"/>
    <col width="12.1640625" bestFit="1" customWidth="1" style="99" min="6" max="6"/>
    <col width="13.6640625" bestFit="1" customWidth="1" style="99" min="7" max="7"/>
    <col width="24.33203125" bestFit="1"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104" t="inlineStr">
        <is>
          <t>Population Demographic Characteristics, 2023</t>
        </is>
      </c>
    </row>
    <row r="2">
      <c r="A2" s="97" t="inlineStr">
        <is>
          <t>Table/Figure/Both</t>
        </is>
      </c>
      <c r="B2" t="inlineStr">
        <is>
          <t>Table</t>
        </is>
      </c>
    </row>
    <row r="3" ht="16" customHeight="1" s="99">
      <c r="A3" s="97" t="inlineStr">
        <is>
          <t xml:space="preserve">Object ID  </t>
        </is>
      </c>
      <c r="B3" s="27" t="inlineStr">
        <is>
          <t>tbl-population-demographics</t>
        </is>
      </c>
    </row>
    <row r="4">
      <c r="E4" s="13" t="n"/>
      <c r="F4" s="13" t="n"/>
      <c r="G4" s="16" t="inlineStr">
        <is>
          <t>integer</t>
        </is>
      </c>
      <c r="H4" s="16" t="inlineStr">
        <is>
          <t>percent1</t>
        </is>
      </c>
      <c r="I4" s="16" t="inlineStr">
        <is>
          <t>percent1</t>
        </is>
      </c>
      <c r="J4" s="16" t="n"/>
      <c r="K4" s="16" t="n"/>
      <c r="L4" s="16" t="n"/>
      <c r="M4" s="16" t="n"/>
      <c r="N4" s="16" t="n"/>
      <c r="O4" s="16" t="n"/>
    </row>
    <row r="5">
      <c r="A5" s="98" t="inlineStr">
        <is>
          <t>Table Rules</t>
        </is>
      </c>
      <c r="E5" s="100" t="inlineStr">
        <is>
          <t xml:space="preserve">Enter Data </t>
        </is>
      </c>
      <c r="F5" t="inlineStr">
        <is>
          <t>County</t>
        </is>
      </c>
      <c r="G5" t="inlineStr">
        <is>
          <t>Total Population</t>
        </is>
      </c>
      <c r="H5" t="inlineStr">
        <is>
          <t>Percent of Mid-Hudson Region</t>
        </is>
      </c>
      <c r="I5" t="inlineStr">
        <is>
          <t>Percent of NYS</t>
        </is>
      </c>
    </row>
    <row r="6" ht="15" customHeight="1" s="99">
      <c r="A6" t="inlineStr">
        <is>
          <t>Multilevel Headers</t>
        </is>
      </c>
      <c r="F6" s="1" t="inlineStr">
        <is>
          <t>Dutchess</t>
        </is>
      </c>
      <c r="G6" t="n">
        <v>297144</v>
      </c>
      <c r="H6" s="101" t="n">
        <v>12.4</v>
      </c>
      <c r="I6" s="101" t="n">
        <v>1.5</v>
      </c>
    </row>
    <row r="7" ht="15.75" customHeight="1" s="99">
      <c r="A7" t="inlineStr">
        <is>
          <t>Data Type</t>
        </is>
      </c>
      <c r="F7" s="1" t="inlineStr">
        <is>
          <t>Orange</t>
        </is>
      </c>
      <c r="G7" t="n">
        <v>403840</v>
      </c>
      <c r="H7" s="101" t="n">
        <v>16.9</v>
      </c>
      <c r="I7" s="101" t="n">
        <v>2</v>
      </c>
    </row>
    <row r="8">
      <c r="F8" s="1" t="inlineStr">
        <is>
          <t>Putnam</t>
        </is>
      </c>
      <c r="G8" t="n">
        <v>97988</v>
      </c>
      <c r="H8" s="101" t="n">
        <v>4.1</v>
      </c>
      <c r="I8" s="101" t="n">
        <v>0.5</v>
      </c>
    </row>
    <row r="9">
      <c r="A9" s="98" t="inlineStr">
        <is>
          <t>Figure Rules</t>
        </is>
      </c>
      <c r="F9" s="1" t="inlineStr">
        <is>
          <t>Rockland</t>
        </is>
      </c>
      <c r="G9" t="n">
        <v>338936</v>
      </c>
      <c r="H9" s="101" t="n">
        <v>14.1</v>
      </c>
      <c r="I9" s="101" t="n">
        <v>1.7</v>
      </c>
    </row>
    <row r="10">
      <c r="A10" t="inlineStr">
        <is>
          <t>Figure Type</t>
        </is>
      </c>
      <c r="F10" s="1" t="inlineStr">
        <is>
          <t>Sullivan</t>
        </is>
      </c>
      <c r="G10" t="n">
        <v>79147</v>
      </c>
      <c r="H10" s="101" t="n">
        <v>3.3</v>
      </c>
      <c r="I10" s="101" t="n">
        <v>0.4</v>
      </c>
    </row>
    <row r="11">
      <c r="A11" t="inlineStr">
        <is>
          <t>X Column</t>
        </is>
      </c>
      <c r="F11" s="1" t="inlineStr">
        <is>
          <t>Ulster</t>
        </is>
      </c>
      <c r="G11" t="n">
        <v>182109</v>
      </c>
      <c r="H11" s="101" t="n">
        <v>7.6</v>
      </c>
      <c r="I11" s="101" t="n">
        <v>0.9</v>
      </c>
    </row>
    <row r="12">
      <c r="A12" t="inlineStr">
        <is>
          <t>Y Column</t>
        </is>
      </c>
      <c r="F12" s="1" t="inlineStr">
        <is>
          <t>Westchester</t>
        </is>
      </c>
      <c r="G12" t="n">
        <v>996888</v>
      </c>
      <c r="H12" s="101" t="n">
        <v>41.6</v>
      </c>
      <c r="I12" s="101" t="n">
        <v>5</v>
      </c>
    </row>
    <row r="13">
      <c r="A13" t="inlineStr">
        <is>
          <t>X Axis Title</t>
        </is>
      </c>
      <c r="F13" s="1" t="inlineStr">
        <is>
          <t>Mid-Hudson</t>
        </is>
      </c>
      <c r="G13" t="n">
        <v>2396052</v>
      </c>
      <c r="H13" s="101" t="n">
        <v>100</v>
      </c>
      <c r="I13" s="101" t="n">
        <v>12.1</v>
      </c>
    </row>
    <row r="14">
      <c r="A14" t="inlineStr">
        <is>
          <t>Y Axis Title</t>
        </is>
      </c>
      <c r="F14" s="1" t="inlineStr">
        <is>
          <t>NYS excl NYC</t>
        </is>
      </c>
      <c r="G14" t="n">
        <v>11356117</v>
      </c>
      <c r="H14" s="101" t="inlineStr">
        <is>
          <t>N/A</t>
        </is>
      </c>
      <c r="I14" s="101" t="n">
        <v>57.1</v>
      </c>
    </row>
    <row r="15">
      <c r="A15" t="inlineStr">
        <is>
          <t>Start at Zero</t>
        </is>
      </c>
      <c r="F15" s="15" t="inlineStr">
        <is>
          <t xml:space="preserve">NYS </t>
        </is>
      </c>
      <c r="G15" t="n">
        <v>19872318</v>
      </c>
      <c r="H15" s="101" t="inlineStr">
        <is>
          <t>N/A</t>
        </is>
      </c>
      <c r="I15" s="101" t="n">
        <v>100</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H4:O4" showDropDown="0" showInputMessage="1" showErrorMessage="1" allowBlank="1" type="list">
      <formula1>"integer, number, percent1"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7"/>
  <sheetViews>
    <sheetView workbookViewId="0">
      <selection activeCell="I24" sqref="I24"/>
    </sheetView>
  </sheetViews>
  <sheetFormatPr baseColWidth="10" defaultColWidth="8.6640625" defaultRowHeight="15"/>
  <cols>
    <col width="20" bestFit="1" customWidth="1" style="99" min="1" max="1"/>
    <col width="16.6640625" customWidth="1" style="99" min="2" max="2"/>
    <col width="6.6640625" customWidth="1" style="99" min="5" max="5"/>
    <col width="12" bestFit="1"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28" t="inlineStr">
        <is>
          <t>Name</t>
        </is>
      </c>
      <c r="B1" s="105" t="inlineStr">
        <is>
          <t>Population by Sex, 2023</t>
        </is>
      </c>
    </row>
    <row r="2">
      <c r="A2" s="28" t="inlineStr">
        <is>
          <t>Table/Figure/Both</t>
        </is>
      </c>
      <c r="B2" s="106" t="inlineStr">
        <is>
          <t>Table</t>
        </is>
      </c>
      <c r="C2" s="106" t="n"/>
      <c r="D2" s="106" t="n"/>
      <c r="E2" s="106" t="n"/>
      <c r="F2" s="106" t="n"/>
      <c r="G2" s="106" t="n"/>
      <c r="H2" s="106" t="n"/>
      <c r="I2" s="106" t="n"/>
      <c r="J2" s="106" t="n"/>
      <c r="K2" s="106" t="n"/>
      <c r="L2" s="106" t="n"/>
      <c r="M2" s="106" t="n"/>
      <c r="N2" s="106" t="n"/>
      <c r="O2" s="106" t="n"/>
    </row>
    <row r="3">
      <c r="A3" s="28" t="inlineStr">
        <is>
          <t xml:space="preserve">Object ID  </t>
        </is>
      </c>
      <c r="B3">
        <f>IF($B$1="","",_xlfn.XLOOKUP($B$1,Master!$F$2:$F$308,Master!$G$2:$G$308,""))</f>
        <v/>
      </c>
      <c r="C3" s="106" t="n"/>
      <c r="D3" s="106" t="n"/>
      <c r="E3" s="106" t="n"/>
      <c r="F3" s="106" t="n"/>
      <c r="G3" s="106" t="n"/>
      <c r="H3" s="106" t="n"/>
      <c r="I3" s="106" t="n"/>
      <c r="J3" s="106" t="n"/>
      <c r="K3" s="106" t="n"/>
      <c r="L3" s="106" t="n"/>
      <c r="M3" s="106" t="n"/>
      <c r="N3" s="106" t="n"/>
      <c r="O3" s="106" t="n"/>
    </row>
    <row r="4">
      <c r="A4" s="106" t="n"/>
      <c r="B4" s="106" t="n"/>
      <c r="C4" s="106" t="n"/>
      <c r="D4" s="106" t="n"/>
      <c r="E4" s="29" t="n"/>
      <c r="F4" s="29" t="n"/>
      <c r="G4" s="30" t="inlineStr">
        <is>
          <t>integer</t>
        </is>
      </c>
      <c r="H4" s="30" t="inlineStr">
        <is>
          <t>percent1</t>
        </is>
      </c>
      <c r="I4" s="30" t="inlineStr">
        <is>
          <t>integer</t>
        </is>
      </c>
      <c r="J4" s="30" t="inlineStr">
        <is>
          <t>percent1</t>
        </is>
      </c>
      <c r="K4" s="30" t="n"/>
      <c r="L4" s="30" t="n"/>
      <c r="M4" s="30" t="n"/>
      <c r="N4" s="30" t="n"/>
      <c r="O4" s="30" t="n"/>
    </row>
    <row r="5">
      <c r="A5" s="107" t="inlineStr">
        <is>
          <t>Table Rules</t>
        </is>
      </c>
      <c r="C5" s="106" t="n"/>
      <c r="D5" s="106" t="n"/>
      <c r="E5" s="108" t="inlineStr">
        <is>
          <t xml:space="preserve">Enter Data </t>
        </is>
      </c>
      <c r="F5" s="111" t="inlineStr">
        <is>
          <t>Area</t>
        </is>
      </c>
      <c r="G5" s="110" t="inlineStr">
        <is>
          <t>Male</t>
        </is>
      </c>
      <c r="I5" s="110" t="inlineStr">
        <is>
          <t>Female</t>
        </is>
      </c>
      <c r="K5" s="106" t="n"/>
      <c r="L5" s="106" t="n"/>
      <c r="M5" s="106" t="n"/>
      <c r="N5" s="106" t="n"/>
      <c r="O5" s="106" t="n"/>
    </row>
    <row r="6" ht="15" customHeight="1" s="99">
      <c r="A6" s="106" t="inlineStr">
        <is>
          <t>Multilevel Headers</t>
        </is>
      </c>
      <c r="B6" s="106" t="b">
        <v>1</v>
      </c>
      <c r="C6" s="106" t="n"/>
      <c r="D6" s="106" t="n"/>
      <c r="G6" s="18" t="inlineStr">
        <is>
          <t>Total Population</t>
        </is>
      </c>
      <c r="H6" s="18" t="inlineStr">
        <is>
          <t>%</t>
        </is>
      </c>
      <c r="I6" s="18" t="inlineStr">
        <is>
          <t>Total Population</t>
        </is>
      </c>
      <c r="J6" s="18" t="inlineStr">
        <is>
          <t>%</t>
        </is>
      </c>
      <c r="K6" s="106" t="n"/>
      <c r="L6" s="106" t="n"/>
      <c r="M6" s="106" t="n"/>
      <c r="N6" s="106" t="n"/>
      <c r="O6" s="106" t="n"/>
    </row>
    <row r="7" ht="15.75" customHeight="1" s="99">
      <c r="A7" s="106" t="n"/>
      <c r="B7" s="106" t="n"/>
      <c r="C7" s="106" t="n"/>
      <c r="D7" s="106" t="n"/>
      <c r="F7" s="17" t="inlineStr">
        <is>
          <t>Dutchess</t>
        </is>
      </c>
      <c r="G7" s="19" t="n">
        <v>147902</v>
      </c>
      <c r="H7" s="20" t="n">
        <v>49.8</v>
      </c>
      <c r="I7" s="19" t="n">
        <v>149242</v>
      </c>
      <c r="J7" s="20" t="n">
        <v>50.2</v>
      </c>
      <c r="K7" s="106" t="n"/>
      <c r="L7" s="106" t="n"/>
      <c r="M7" s="106" t="n"/>
      <c r="N7" s="106" t="n"/>
      <c r="O7" s="106" t="n"/>
    </row>
    <row r="8">
      <c r="A8" s="106" t="n"/>
      <c r="B8" s="106" t="n"/>
      <c r="C8" s="106" t="n"/>
      <c r="D8" s="106" t="n"/>
      <c r="F8" s="17" t="inlineStr">
        <is>
          <t>Orange</t>
        </is>
      </c>
      <c r="G8" s="19" t="n">
        <v>201512</v>
      </c>
      <c r="H8" s="20" t="n">
        <v>49.9</v>
      </c>
      <c r="I8" s="19" t="n">
        <v>202328</v>
      </c>
      <c r="J8" s="20" t="n">
        <v>50.1</v>
      </c>
      <c r="K8" s="106" t="n"/>
      <c r="L8" s="106" t="n"/>
      <c r="M8" s="106" t="n"/>
      <c r="N8" s="106" t="n"/>
      <c r="O8" s="106" t="n"/>
    </row>
    <row r="9">
      <c r="A9" s="107" t="inlineStr">
        <is>
          <t>Figure Rules</t>
        </is>
      </c>
      <c r="C9" s="106" t="n"/>
      <c r="D9" s="106" t="n"/>
      <c r="F9" s="17" t="inlineStr">
        <is>
          <t>Putnam</t>
        </is>
      </c>
      <c r="G9" s="19" t="n">
        <v>49503</v>
      </c>
      <c r="H9" s="20" t="n">
        <v>50.5</v>
      </c>
      <c r="I9" s="19" t="n">
        <v>48485</v>
      </c>
      <c r="J9" s="20" t="n">
        <v>49.5</v>
      </c>
      <c r="K9" s="106" t="n"/>
      <c r="L9" s="106" t="n"/>
      <c r="M9" s="106" t="n"/>
      <c r="N9" s="106" t="n"/>
      <c r="O9" s="106" t="n"/>
    </row>
    <row r="10">
      <c r="A10" s="106" t="inlineStr">
        <is>
          <t>Figure Type</t>
        </is>
      </c>
      <c r="B10" s="106" t="n"/>
      <c r="C10" s="106" t="n"/>
      <c r="D10" s="106" t="n"/>
      <c r="F10" s="17" t="inlineStr">
        <is>
          <t>Rockland</t>
        </is>
      </c>
      <c r="G10" s="19" t="n">
        <v>167624</v>
      </c>
      <c r="H10" s="20" t="n">
        <v>49.5</v>
      </c>
      <c r="I10" s="19" t="n">
        <v>171312</v>
      </c>
      <c r="J10" s="20" t="n">
        <v>50.5</v>
      </c>
      <c r="K10" s="106" t="n"/>
      <c r="L10" s="106" t="n"/>
      <c r="M10" s="106" t="n"/>
      <c r="N10" s="106" t="n"/>
      <c r="O10" s="106" t="n"/>
    </row>
    <row r="11">
      <c r="A11" s="106" t="inlineStr">
        <is>
          <t>X Column</t>
        </is>
      </c>
      <c r="B11" s="106" t="n"/>
      <c r="C11" s="106" t="n"/>
      <c r="D11" s="106" t="n"/>
      <c r="F11" s="17" t="inlineStr">
        <is>
          <t>Sullivan</t>
        </is>
      </c>
      <c r="G11" s="19" t="n">
        <v>40993</v>
      </c>
      <c r="H11" s="20" t="n">
        <v>51.8</v>
      </c>
      <c r="I11" s="19" t="n">
        <v>38154</v>
      </c>
      <c r="J11" s="20" t="n">
        <v>48.2</v>
      </c>
      <c r="K11" s="106" t="n"/>
      <c r="L11" s="106" t="n"/>
      <c r="M11" s="106" t="n"/>
      <c r="N11" s="106" t="n"/>
      <c r="O11" s="106" t="n"/>
    </row>
    <row r="12">
      <c r="A12" s="106" t="inlineStr">
        <is>
          <t>Y Column</t>
        </is>
      </c>
      <c r="B12" s="106" t="n"/>
      <c r="C12" s="106" t="n"/>
      <c r="D12" s="106" t="n"/>
      <c r="F12" s="17" t="inlineStr">
        <is>
          <t>Ulster</t>
        </is>
      </c>
      <c r="G12" s="19" t="n">
        <v>90719</v>
      </c>
      <c r="H12" s="20" t="n">
        <v>49.8</v>
      </c>
      <c r="I12" s="19" t="n">
        <v>91390</v>
      </c>
      <c r="J12" s="20" t="n">
        <v>50.2</v>
      </c>
      <c r="K12" s="106" t="n"/>
      <c r="L12" s="106" t="n"/>
      <c r="M12" s="106" t="n"/>
      <c r="N12" s="106" t="n"/>
      <c r="O12" s="106" t="n"/>
    </row>
    <row r="13">
      <c r="A13" s="106" t="inlineStr">
        <is>
          <t>X Axis Title</t>
        </is>
      </c>
      <c r="B13" s="106" t="n"/>
      <c r="C13" s="106" t="n"/>
      <c r="D13" s="106" t="n"/>
      <c r="F13" s="17" t="inlineStr">
        <is>
          <t>Westchester</t>
        </is>
      </c>
      <c r="G13" s="19" t="n">
        <v>485985</v>
      </c>
      <c r="H13" s="20" t="n">
        <v>48.8</v>
      </c>
      <c r="I13" s="19" t="n">
        <v>510903</v>
      </c>
      <c r="J13" s="20" t="n">
        <v>51.2</v>
      </c>
      <c r="K13" s="106" t="n"/>
      <c r="L13" s="106" t="n"/>
      <c r="M13" s="106" t="n"/>
      <c r="N13" s="106" t="n"/>
      <c r="O13" s="106" t="n"/>
    </row>
    <row r="14">
      <c r="A14" s="106" t="inlineStr">
        <is>
          <t>Y Axis Title</t>
        </is>
      </c>
      <c r="B14" s="106" t="n"/>
      <c r="C14" s="106" t="n"/>
      <c r="D14" s="106" t="n"/>
      <c r="F14" s="17" t="inlineStr">
        <is>
          <t>Mid-Hudson</t>
        </is>
      </c>
      <c r="G14" s="19" t="n">
        <v>1184238</v>
      </c>
      <c r="H14" s="20" t="n">
        <v>49.4</v>
      </c>
      <c r="I14" s="19" t="n">
        <v>1211814</v>
      </c>
      <c r="J14" s="20" t="n">
        <v>50.6</v>
      </c>
      <c r="K14" s="106" t="n"/>
      <c r="L14" s="106" t="n"/>
      <c r="M14" s="106" t="n"/>
      <c r="N14" s="106" t="n"/>
      <c r="O14" s="106" t="n"/>
    </row>
    <row r="15">
      <c r="A15" s="106" t="inlineStr">
        <is>
          <t>Start at Zero</t>
        </is>
      </c>
      <c r="B15" s="106" t="n"/>
      <c r="C15" s="106" t="n"/>
      <c r="D15" s="106" t="n"/>
      <c r="F15" s="17" t="inlineStr">
        <is>
          <t>NYS excl NYC</t>
        </is>
      </c>
      <c r="G15" s="19" t="n">
        <v>5614391</v>
      </c>
      <c r="H15" s="20" t="n">
        <v>49.4</v>
      </c>
      <c r="I15" s="19" t="n">
        <v>5741726</v>
      </c>
      <c r="J15" s="20" t="n">
        <v>50.6</v>
      </c>
      <c r="K15" s="106" t="n"/>
      <c r="L15" s="106" t="n"/>
      <c r="M15" s="106" t="n"/>
      <c r="N15" s="106" t="n"/>
      <c r="O15" s="106" t="n"/>
    </row>
    <row r="16">
      <c r="A16" s="106" t="n"/>
      <c r="B16" s="106" t="n"/>
      <c r="C16" s="106" t="n"/>
      <c r="D16" s="106" t="n"/>
      <c r="F16" s="17" t="inlineStr">
        <is>
          <t>NYS</t>
        </is>
      </c>
      <c r="G16" s="19" t="n">
        <v>9702417</v>
      </c>
      <c r="H16" s="20" t="n">
        <v>48.8</v>
      </c>
      <c r="I16" s="19" t="n">
        <v>10169902</v>
      </c>
      <c r="J16" s="20" t="n">
        <v>51.2</v>
      </c>
      <c r="K16" s="106" t="n"/>
      <c r="L16" s="106" t="n"/>
      <c r="M16" s="106" t="n"/>
      <c r="N16" s="106" t="n"/>
      <c r="O16" s="106" t="n"/>
    </row>
    <row r="17">
      <c r="A17" s="106" t="n"/>
      <c r="B17" s="106" t="n"/>
      <c r="C17" s="106" t="n"/>
      <c r="D17" s="106" t="n"/>
      <c r="F17" s="106" t="n"/>
      <c r="G17" s="106" t="n"/>
      <c r="H17" s="106" t="n"/>
      <c r="I17" s="106" t="n"/>
      <c r="J17" s="106" t="n"/>
      <c r="K17" s="106" t="n"/>
      <c r="L17" s="106" t="n"/>
      <c r="M17" s="106" t="n"/>
      <c r="N17" s="106" t="n"/>
      <c r="O17" s="106" t="n"/>
    </row>
    <row r="18">
      <c r="A18" s="107" t="inlineStr">
        <is>
          <t>Source Specifications</t>
        </is>
      </c>
      <c r="C18" s="106" t="n"/>
      <c r="D18" s="106" t="n"/>
      <c r="F18" s="106" t="n"/>
      <c r="G18" s="106" t="n"/>
      <c r="H18" s="106" t="n"/>
      <c r="I18" s="106" t="n"/>
      <c r="J18" s="106" t="n"/>
      <c r="K18" s="106" t="n"/>
      <c r="L18" s="106" t="n"/>
      <c r="M18" s="106" t="n"/>
      <c r="N18" s="106" t="n"/>
      <c r="O18" s="106" t="n"/>
    </row>
    <row r="19">
      <c r="A19" s="106" t="inlineStr">
        <is>
          <t>Table ID</t>
        </is>
      </c>
      <c r="B19" s="106" t="n"/>
      <c r="C19" s="106" t="n"/>
      <c r="D19" s="106" t="n"/>
      <c r="F19" s="106" t="n"/>
      <c r="G19" s="106" t="n"/>
      <c r="H19" s="106" t="n"/>
      <c r="I19" s="106" t="n"/>
      <c r="J19" s="106" t="n"/>
      <c r="K19" s="106" t="n"/>
      <c r="L19" s="106" t="n"/>
      <c r="M19" s="106" t="n"/>
      <c r="N19" s="106" t="n"/>
      <c r="O19" s="106" t="n"/>
    </row>
    <row r="20">
      <c r="A20" s="106" t="inlineStr">
        <is>
          <t>URL</t>
        </is>
      </c>
      <c r="B20" s="106" t="n"/>
      <c r="C20" s="106" t="n"/>
      <c r="D20" s="106" t="n"/>
      <c r="F20" s="106" t="n"/>
      <c r="G20" s="106" t="n"/>
      <c r="H20" s="106" t="n"/>
      <c r="I20" s="106" t="n"/>
      <c r="J20" s="106" t="n"/>
      <c r="K20" s="106" t="n"/>
      <c r="L20" s="106" t="n"/>
      <c r="M20" s="106" t="n"/>
      <c r="N20" s="106" t="n"/>
      <c r="O20" s="106" t="n"/>
    </row>
    <row r="21">
      <c r="A21" s="106" t="inlineStr">
        <is>
          <t>Data Year</t>
        </is>
      </c>
      <c r="B21" s="106" t="n"/>
      <c r="C21" s="106" t="n"/>
      <c r="D21" s="106" t="n"/>
      <c r="F21" s="106" t="n"/>
      <c r="G21" s="106" t="n"/>
      <c r="H21" s="106" t="n"/>
      <c r="I21" s="106" t="n"/>
      <c r="J21" s="106" t="n"/>
      <c r="K21" s="106" t="n"/>
      <c r="L21" s="106" t="n"/>
      <c r="M21" s="106" t="n"/>
      <c r="N21" s="106" t="n"/>
      <c r="O21" s="106" t="n"/>
    </row>
    <row r="22">
      <c r="A22" s="106" t="inlineStr">
        <is>
          <t>Estimate Type</t>
        </is>
      </c>
      <c r="B22" s="106" t="n"/>
      <c r="C22" s="106" t="n"/>
      <c r="D22" s="106" t="n"/>
      <c r="F22" s="106" t="n"/>
      <c r="G22" s="106" t="n"/>
      <c r="H22" s="106" t="n"/>
      <c r="I22" s="106" t="n"/>
      <c r="J22" s="106" t="n"/>
      <c r="K22" s="106" t="n"/>
      <c r="L22" s="106" t="n"/>
      <c r="M22" s="106" t="n"/>
      <c r="N22" s="106" t="n"/>
      <c r="O22" s="106" t="n"/>
    </row>
    <row r="23">
      <c r="A23" s="106" t="inlineStr">
        <is>
          <t>Citation Month</t>
        </is>
      </c>
      <c r="B23" s="106" t="n"/>
      <c r="C23" s="106" t="n"/>
      <c r="D23" s="106" t="n"/>
      <c r="F23" s="106" t="n"/>
      <c r="G23" s="106" t="n"/>
      <c r="H23" s="106" t="n"/>
      <c r="I23" s="106" t="n"/>
      <c r="J23" s="106" t="n"/>
      <c r="K23" s="106" t="n"/>
      <c r="L23" s="106" t="n"/>
      <c r="M23" s="106" t="n"/>
      <c r="N23" s="106" t="n"/>
      <c r="O23" s="106" t="n"/>
    </row>
    <row r="24">
      <c r="A24" s="106" t="inlineStr">
        <is>
          <t>Citation Year</t>
        </is>
      </c>
      <c r="B24" s="106" t="n"/>
      <c r="C24" s="106" t="n"/>
      <c r="D24" s="106" t="n"/>
      <c r="F24" s="106" t="n"/>
      <c r="G24" s="106" t="n"/>
      <c r="H24" s="106" t="n"/>
      <c r="I24" s="106" t="n"/>
      <c r="J24" s="106" t="n"/>
      <c r="K24" s="106" t="n"/>
      <c r="L24" s="106" t="n"/>
      <c r="M24" s="106" t="n"/>
      <c r="N24" s="106" t="n"/>
      <c r="O24" s="106" t="n"/>
    </row>
    <row r="25">
      <c r="A25" s="106" t="inlineStr">
        <is>
          <t>Custom Text</t>
        </is>
      </c>
      <c r="B25" s="106" t="n"/>
      <c r="C25" s="106" t="n"/>
      <c r="D25" s="106" t="n"/>
      <c r="F25" s="106" t="n"/>
      <c r="G25" s="106" t="n"/>
      <c r="H25" s="106" t="n"/>
      <c r="I25" s="106" t="n"/>
      <c r="J25" s="106" t="n"/>
      <c r="K25" s="106" t="n"/>
      <c r="L25" s="106" t="n"/>
      <c r="M25" s="106" t="n"/>
      <c r="N25" s="106" t="n"/>
      <c r="O25" s="106" t="n"/>
    </row>
    <row r="26">
      <c r="A26" s="106" t="n"/>
      <c r="B26" s="106" t="n"/>
      <c r="C26" s="106" t="n"/>
      <c r="D26" s="106" t="n"/>
      <c r="F26" s="106" t="n"/>
      <c r="G26" s="106" t="n"/>
      <c r="H26" s="106" t="n"/>
      <c r="I26" s="106" t="n"/>
      <c r="J26" s="106" t="n"/>
      <c r="K26" s="106" t="n"/>
      <c r="L26" s="106" t="n"/>
      <c r="M26" s="106" t="n"/>
      <c r="N26" s="106" t="n"/>
      <c r="O26" s="106" t="n"/>
    </row>
    <row r="27">
      <c r="A27" s="109" t="inlineStr">
        <is>
          <t>Note Specfications</t>
        </is>
      </c>
      <c r="C27" s="106" t="n"/>
      <c r="D27" s="106" t="n"/>
      <c r="F27" s="106" t="n"/>
      <c r="G27" s="106" t="n"/>
      <c r="H27" s="106" t="n"/>
      <c r="I27" s="106" t="n"/>
      <c r="J27" s="106" t="n"/>
      <c r="K27" s="106" t="n"/>
      <c r="L27" s="106" t="n"/>
      <c r="M27" s="106" t="n"/>
      <c r="N27" s="106" t="n"/>
      <c r="O27" s="106" t="n"/>
    </row>
    <row r="28">
      <c r="A28" s="106" t="n"/>
      <c r="B28" s="106" t="n"/>
      <c r="C28" s="106" t="n"/>
      <c r="D28" s="106" t="n"/>
      <c r="F28" s="106" t="n"/>
      <c r="G28" s="106" t="n"/>
      <c r="H28" s="106" t="n"/>
      <c r="I28" s="106" t="n"/>
      <c r="J28" s="106" t="n"/>
      <c r="K28" s="106" t="n"/>
      <c r="L28" s="106" t="n"/>
      <c r="M28" s="106" t="n"/>
      <c r="N28" s="106" t="n"/>
      <c r="O28" s="106" t="n"/>
    </row>
    <row r="29">
      <c r="A29" s="106" t="n"/>
      <c r="B29" s="106" t="n"/>
      <c r="C29" s="106" t="n"/>
      <c r="D29" s="106" t="n"/>
      <c r="F29" s="106" t="n"/>
      <c r="G29" s="106" t="n"/>
      <c r="H29" s="106" t="n"/>
      <c r="I29" s="106" t="n"/>
      <c r="J29" s="106" t="n"/>
      <c r="K29" s="106" t="n"/>
      <c r="L29" s="106" t="n"/>
      <c r="M29" s="106" t="n"/>
      <c r="N29" s="106" t="n"/>
      <c r="O29" s="106" t="n"/>
    </row>
    <row r="30">
      <c r="A30" s="106" t="n"/>
      <c r="B30" s="106" t="n"/>
      <c r="C30" s="106" t="n"/>
      <c r="D30" s="106" t="n"/>
      <c r="F30" s="106" t="n"/>
      <c r="G30" s="106" t="n"/>
      <c r="H30" s="106" t="n"/>
      <c r="I30" s="106" t="n"/>
      <c r="J30" s="106" t="n"/>
      <c r="K30" s="106" t="n"/>
      <c r="L30" s="106" t="n"/>
      <c r="M30" s="106" t="n"/>
      <c r="N30" s="106" t="n"/>
      <c r="O30" s="106" t="n"/>
    </row>
    <row r="31">
      <c r="A31" s="106" t="n"/>
      <c r="B31" s="106" t="n"/>
      <c r="C31" s="106" t="n"/>
      <c r="D31" s="106" t="n"/>
      <c r="F31" s="106" t="n"/>
      <c r="G31" s="106" t="n"/>
      <c r="H31" s="106" t="n"/>
      <c r="I31" s="106" t="n"/>
      <c r="J31" s="106" t="n"/>
      <c r="K31" s="106" t="n"/>
      <c r="L31" s="106" t="n"/>
      <c r="M31" s="106" t="n"/>
      <c r="N31" s="106" t="n"/>
      <c r="O31" s="106" t="n"/>
    </row>
    <row r="32">
      <c r="A32" s="106" t="n"/>
      <c r="B32" s="106" t="n"/>
      <c r="C32" s="106" t="n"/>
      <c r="D32" s="106" t="n"/>
      <c r="F32" s="106" t="n"/>
      <c r="G32" s="106" t="n"/>
      <c r="H32" s="106" t="n"/>
      <c r="I32" s="106" t="n"/>
      <c r="J32" s="106" t="n"/>
      <c r="K32" s="106" t="n"/>
      <c r="L32" s="106" t="n"/>
      <c r="M32" s="106" t="n"/>
      <c r="N32" s="106" t="n"/>
      <c r="O32" s="106" t="n"/>
    </row>
    <row r="33">
      <c r="A33" s="106" t="n"/>
      <c r="B33" s="106" t="n"/>
      <c r="C33" s="106" t="n"/>
      <c r="D33" s="106" t="n"/>
      <c r="F33" s="106" t="n"/>
      <c r="G33" s="106" t="n"/>
      <c r="H33" s="106" t="n"/>
      <c r="I33" s="106" t="n"/>
      <c r="J33" s="106" t="n"/>
      <c r="K33" s="106" t="n"/>
      <c r="L33" s="106" t="n"/>
      <c r="M33" s="106" t="n"/>
      <c r="N33" s="106" t="n"/>
      <c r="O33" s="106" t="n"/>
    </row>
    <row r="34">
      <c r="A34" s="106" t="n"/>
      <c r="B34" s="106" t="n"/>
      <c r="C34" s="106" t="n"/>
      <c r="D34" s="106" t="n"/>
      <c r="F34" s="106" t="n"/>
      <c r="G34" s="106" t="n"/>
      <c r="H34" s="106" t="n"/>
      <c r="I34" s="106" t="n"/>
      <c r="J34" s="106" t="n"/>
      <c r="K34" s="106" t="n"/>
      <c r="L34" s="106" t="n"/>
      <c r="M34" s="106" t="n"/>
      <c r="N34" s="106" t="n"/>
      <c r="O34" s="106" t="n"/>
    </row>
    <row r="35">
      <c r="A35" s="106" t="n"/>
      <c r="B35" s="106" t="n"/>
      <c r="C35" s="106" t="n"/>
      <c r="D35" s="106" t="n"/>
      <c r="F35" s="106" t="n"/>
      <c r="G35" s="106" t="n"/>
      <c r="H35" s="106" t="n"/>
      <c r="I35" s="106" t="n"/>
      <c r="J35" s="106" t="n"/>
      <c r="K35" s="106" t="n"/>
      <c r="L35" s="106" t="n"/>
      <c r="M35" s="106" t="n"/>
      <c r="N35" s="106" t="n"/>
      <c r="O35" s="106" t="n"/>
    </row>
    <row r="36">
      <c r="A36" s="106" t="n"/>
      <c r="B36" s="106" t="n"/>
      <c r="C36" s="106" t="n"/>
      <c r="D36" s="106" t="n"/>
      <c r="F36" s="106" t="n"/>
      <c r="G36" s="106" t="n"/>
      <c r="H36" s="106" t="n"/>
      <c r="I36" s="106" t="n"/>
      <c r="J36" s="106" t="n"/>
      <c r="K36" s="106" t="n"/>
      <c r="L36" s="106" t="n"/>
      <c r="M36" s="106" t="n"/>
      <c r="N36" s="106" t="n"/>
      <c r="O36" s="106" t="n"/>
    </row>
    <row r="37">
      <c r="A37" s="106" t="n"/>
      <c r="B37" s="106" t="n"/>
      <c r="C37" s="106" t="n"/>
      <c r="D37" s="106" t="n"/>
      <c r="F37" s="106" t="n"/>
      <c r="G37" s="106" t="n"/>
      <c r="H37" s="106" t="n"/>
      <c r="I37" s="106" t="n"/>
      <c r="J37" s="106" t="n"/>
      <c r="K37" s="106" t="n"/>
      <c r="L37" s="106" t="n"/>
      <c r="M37" s="106" t="n"/>
      <c r="N37" s="106" t="n"/>
      <c r="O37" s="106" t="n"/>
    </row>
    <row r="38">
      <c r="A38" s="106" t="n"/>
      <c r="B38" s="106" t="n"/>
      <c r="C38" s="106" t="n"/>
      <c r="D38" s="106" t="n"/>
      <c r="F38" s="106" t="n"/>
      <c r="G38" s="106" t="n"/>
      <c r="H38" s="106" t="n"/>
      <c r="I38" s="106" t="n"/>
      <c r="J38" s="106" t="n"/>
      <c r="K38" s="106" t="n"/>
      <c r="L38" s="106" t="n"/>
      <c r="M38" s="106" t="n"/>
      <c r="N38" s="106" t="n"/>
      <c r="O38" s="106" t="n"/>
    </row>
    <row r="39">
      <c r="A39" s="106" t="n"/>
      <c r="B39" s="106" t="n"/>
      <c r="C39" s="106" t="n"/>
      <c r="D39" s="106" t="n"/>
      <c r="F39" s="106" t="n"/>
      <c r="G39" s="106" t="n"/>
      <c r="H39" s="106" t="n"/>
      <c r="I39" s="106" t="n"/>
      <c r="J39" s="106" t="n"/>
      <c r="K39" s="106" t="n"/>
      <c r="L39" s="106" t="n"/>
      <c r="M39" s="106" t="n"/>
      <c r="N39" s="106" t="n"/>
      <c r="O39" s="106" t="n"/>
    </row>
    <row r="40">
      <c r="A40" s="106" t="n"/>
      <c r="B40" s="106" t="n"/>
      <c r="C40" s="106" t="n"/>
      <c r="D40" s="106" t="n"/>
      <c r="F40" s="106" t="n"/>
      <c r="G40" s="106" t="n"/>
      <c r="H40" s="106" t="n"/>
      <c r="I40" s="106" t="n"/>
      <c r="J40" s="106" t="n"/>
      <c r="K40" s="106" t="n"/>
      <c r="L40" s="106" t="n"/>
      <c r="M40" s="106" t="n"/>
      <c r="N40" s="106" t="n"/>
      <c r="O40" s="106" t="n"/>
    </row>
    <row r="41">
      <c r="A41" s="106" t="n"/>
      <c r="B41" s="106" t="n"/>
      <c r="C41" s="106" t="n"/>
      <c r="D41" s="106" t="n"/>
      <c r="F41" s="106" t="n"/>
      <c r="G41" s="106" t="n"/>
      <c r="H41" s="106" t="n"/>
      <c r="I41" s="106" t="n"/>
      <c r="J41" s="106" t="n"/>
      <c r="K41" s="106" t="n"/>
      <c r="L41" s="106" t="n"/>
      <c r="M41" s="106" t="n"/>
      <c r="N41" s="106" t="n"/>
      <c r="O41" s="106" t="n"/>
    </row>
    <row r="42">
      <c r="A42" s="106" t="n"/>
      <c r="B42" s="106" t="n"/>
      <c r="C42" s="106" t="n"/>
      <c r="D42" s="106" t="n"/>
      <c r="F42" s="106" t="n"/>
      <c r="G42" s="106" t="n"/>
      <c r="H42" s="106" t="n"/>
      <c r="I42" s="106" t="n"/>
      <c r="J42" s="106" t="n"/>
      <c r="K42" s="106" t="n"/>
      <c r="L42" s="106" t="n"/>
      <c r="M42" s="106" t="n"/>
      <c r="N42" s="106" t="n"/>
      <c r="O42" s="106" t="n"/>
    </row>
    <row r="43">
      <c r="A43" s="106" t="n"/>
      <c r="B43" s="106" t="n"/>
      <c r="C43" s="106" t="n"/>
      <c r="D43" s="106" t="n"/>
      <c r="F43" s="106" t="n"/>
      <c r="G43" s="106" t="n"/>
      <c r="H43" s="106" t="n"/>
      <c r="I43" s="106" t="n"/>
      <c r="J43" s="106" t="n"/>
      <c r="K43" s="106" t="n"/>
      <c r="L43" s="106" t="n"/>
      <c r="M43" s="106" t="n"/>
      <c r="N43" s="106" t="n"/>
      <c r="O43" s="106" t="n"/>
    </row>
    <row r="44">
      <c r="A44" s="106" t="n"/>
      <c r="B44" s="106" t="n"/>
      <c r="C44" s="106" t="n"/>
      <c r="D44" s="106" t="n"/>
      <c r="F44" s="106" t="n"/>
      <c r="G44" s="106" t="n"/>
      <c r="H44" s="106" t="n"/>
      <c r="I44" s="106" t="n"/>
      <c r="J44" s="106" t="n"/>
      <c r="K44" s="106" t="n"/>
      <c r="L44" s="106" t="n"/>
      <c r="M44" s="106" t="n"/>
      <c r="N44" s="106" t="n"/>
      <c r="O44" s="106" t="n"/>
    </row>
    <row r="45">
      <c r="A45" s="106" t="n"/>
      <c r="B45" s="106" t="n"/>
      <c r="C45" s="106" t="n"/>
      <c r="D45" s="106" t="n"/>
      <c r="F45" s="106" t="n"/>
      <c r="G45" s="106" t="n"/>
      <c r="H45" s="106" t="n"/>
      <c r="I45" s="106" t="n"/>
      <c r="J45" s="106" t="n"/>
      <c r="K45" s="106" t="n"/>
      <c r="L45" s="106" t="n"/>
      <c r="M45" s="106" t="n"/>
      <c r="N45" s="106" t="n"/>
      <c r="O45" s="106" t="n"/>
    </row>
    <row r="46">
      <c r="A46" s="106" t="n"/>
      <c r="B46" s="106" t="n"/>
      <c r="C46" s="106" t="n"/>
      <c r="D46" s="106" t="n"/>
      <c r="F46" s="106" t="n"/>
      <c r="G46" s="106" t="n"/>
      <c r="H46" s="106" t="n"/>
      <c r="I46" s="106" t="n"/>
      <c r="J46" s="106" t="n"/>
      <c r="K46" s="106" t="n"/>
      <c r="L46" s="106" t="n"/>
      <c r="M46" s="106" t="n"/>
      <c r="N46" s="106" t="n"/>
      <c r="O46" s="106" t="n"/>
    </row>
    <row r="47">
      <c r="A47" s="106" t="n"/>
      <c r="B47" s="106" t="n"/>
      <c r="C47" s="106" t="n"/>
      <c r="D47" s="106" t="n"/>
      <c r="F47" s="106" t="n"/>
      <c r="G47" s="106" t="n"/>
      <c r="H47" s="106" t="n"/>
      <c r="I47" s="106" t="n"/>
      <c r="J47" s="106" t="n"/>
      <c r="K47" s="106" t="n"/>
      <c r="L47" s="106" t="n"/>
      <c r="M47" s="106" t="n"/>
      <c r="N47" s="106" t="n"/>
      <c r="O47" s="106" t="n"/>
    </row>
    <row r="48">
      <c r="A48" s="106" t="n"/>
      <c r="B48" s="106" t="n"/>
      <c r="C48" s="106" t="n"/>
      <c r="D48" s="106" t="n"/>
      <c r="F48" s="106" t="n"/>
      <c r="G48" s="106" t="n"/>
      <c r="H48" s="106" t="n"/>
      <c r="I48" s="106" t="n"/>
      <c r="J48" s="106" t="n"/>
      <c r="K48" s="106" t="n"/>
      <c r="L48" s="106" t="n"/>
      <c r="M48" s="106" t="n"/>
      <c r="N48" s="106" t="n"/>
      <c r="O48" s="106" t="n"/>
    </row>
    <row r="49">
      <c r="A49" s="106" t="n"/>
      <c r="B49" s="106" t="n"/>
      <c r="C49" s="106" t="n"/>
      <c r="D49" s="106" t="n"/>
      <c r="F49" s="106" t="n"/>
      <c r="G49" s="106" t="n"/>
      <c r="H49" s="106" t="n"/>
      <c r="I49" s="106" t="n"/>
      <c r="J49" s="106" t="n"/>
      <c r="K49" s="106" t="n"/>
      <c r="L49" s="106" t="n"/>
      <c r="M49" s="106" t="n"/>
      <c r="N49" s="106" t="n"/>
      <c r="O49" s="106" t="n"/>
    </row>
    <row r="50">
      <c r="A50" s="106" t="n"/>
      <c r="B50" s="106" t="n"/>
      <c r="C50" s="106" t="n"/>
      <c r="D50" s="106" t="n"/>
      <c r="F50" s="106" t="n"/>
      <c r="G50" s="106" t="n"/>
      <c r="H50" s="106" t="n"/>
      <c r="I50" s="106" t="n"/>
      <c r="J50" s="106" t="n"/>
      <c r="K50" s="106" t="n"/>
      <c r="L50" s="106" t="n"/>
      <c r="M50" s="106" t="n"/>
      <c r="N50" s="106" t="n"/>
      <c r="O50" s="106" t="n"/>
    </row>
    <row r="51">
      <c r="A51" s="106" t="n"/>
      <c r="B51" s="106" t="n"/>
      <c r="C51" s="106" t="n"/>
      <c r="D51" s="106" t="n"/>
      <c r="F51" s="106" t="n"/>
      <c r="G51" s="106" t="n"/>
      <c r="H51" s="106" t="n"/>
      <c r="I51" s="106" t="n"/>
      <c r="J51" s="106" t="n"/>
      <c r="K51" s="106" t="n"/>
      <c r="L51" s="106" t="n"/>
      <c r="M51" s="106" t="n"/>
      <c r="N51" s="106" t="n"/>
      <c r="O51" s="106" t="n"/>
    </row>
    <row r="52">
      <c r="A52" s="106" t="n"/>
      <c r="B52" s="106" t="n"/>
      <c r="C52" s="106" t="n"/>
      <c r="D52" s="106" t="n"/>
      <c r="F52" s="106" t="n"/>
      <c r="G52" s="106" t="n"/>
      <c r="H52" s="106" t="n"/>
      <c r="I52" s="106" t="n"/>
      <c r="J52" s="106" t="n"/>
      <c r="K52" s="106" t="n"/>
      <c r="L52" s="106" t="n"/>
      <c r="M52" s="106" t="n"/>
      <c r="N52" s="106" t="n"/>
      <c r="O52" s="106" t="n"/>
    </row>
    <row r="53">
      <c r="A53" s="106" t="n"/>
      <c r="B53" s="106" t="n"/>
      <c r="C53" s="106" t="n"/>
      <c r="D53" s="106" t="n"/>
      <c r="F53" s="106" t="n"/>
      <c r="G53" s="106" t="n"/>
      <c r="H53" s="106" t="n"/>
      <c r="I53" s="106" t="n"/>
      <c r="J53" s="106" t="n"/>
      <c r="K53" s="106" t="n"/>
      <c r="L53" s="106" t="n"/>
      <c r="M53" s="106" t="n"/>
      <c r="N53" s="106" t="n"/>
      <c r="O53" s="106" t="n"/>
    </row>
    <row r="54">
      <c r="A54" s="106" t="n"/>
      <c r="B54" s="106" t="n"/>
      <c r="C54" s="106" t="n"/>
      <c r="D54" s="106" t="n"/>
      <c r="F54" s="106" t="n"/>
      <c r="G54" s="106" t="n"/>
      <c r="H54" s="106" t="n"/>
      <c r="I54" s="106" t="n"/>
      <c r="J54" s="106" t="n"/>
      <c r="K54" s="106" t="n"/>
      <c r="L54" s="106" t="n"/>
      <c r="M54" s="106" t="n"/>
      <c r="N54" s="106" t="n"/>
      <c r="O54" s="106" t="n"/>
    </row>
    <row r="55">
      <c r="A55" s="106" t="n"/>
      <c r="B55" s="106" t="n"/>
      <c r="C55" s="106" t="n"/>
      <c r="D55" s="106" t="n"/>
      <c r="F55" s="106" t="n"/>
      <c r="G55" s="106" t="n"/>
      <c r="H55" s="106" t="n"/>
      <c r="I55" s="106" t="n"/>
      <c r="J55" s="106" t="n"/>
      <c r="K55" s="106" t="n"/>
      <c r="L55" s="106" t="n"/>
      <c r="M55" s="106" t="n"/>
      <c r="N55" s="106" t="n"/>
      <c r="O55" s="106" t="n"/>
    </row>
    <row r="56">
      <c r="A56" s="106" t="n"/>
      <c r="B56" s="106" t="n"/>
      <c r="C56" s="106" t="n"/>
      <c r="D56" s="106" t="n"/>
      <c r="F56" s="106" t="n"/>
      <c r="G56" s="106" t="n"/>
      <c r="H56" s="106" t="n"/>
      <c r="I56" s="106" t="n"/>
      <c r="J56" s="106" t="n"/>
      <c r="K56" s="106" t="n"/>
      <c r="L56" s="106" t="n"/>
      <c r="M56" s="106" t="n"/>
      <c r="N56" s="106" t="n"/>
      <c r="O56" s="106" t="n"/>
    </row>
    <row r="57">
      <c r="A57" s="106" t="n"/>
      <c r="B57" s="106" t="n"/>
      <c r="C57" s="106" t="n"/>
      <c r="D57" s="106" t="n"/>
      <c r="F57" s="106" t="n"/>
      <c r="G57" s="106" t="n"/>
      <c r="H57" s="106" t="n"/>
      <c r="I57" s="106" t="n"/>
      <c r="J57" s="106" t="n"/>
      <c r="K57" s="106" t="n"/>
      <c r="L57" s="106" t="n"/>
      <c r="M57" s="106" t="n"/>
      <c r="N57" s="106" t="n"/>
      <c r="O57" s="106" t="n"/>
    </row>
  </sheetData>
  <mergeCells count="9">
    <mergeCell ref="B1:O1"/>
    <mergeCell ref="E5:E57"/>
    <mergeCell ref="A9:B9"/>
    <mergeCell ref="A5:B5"/>
    <mergeCell ref="G5:H5"/>
    <mergeCell ref="I5:J5"/>
    <mergeCell ref="F5:F6"/>
    <mergeCell ref="A18:B18"/>
    <mergeCell ref="A27:B27"/>
  </mergeCells>
  <dataValidations count="4">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G4:O4" showDropDown="0" showInputMessage="1" showErrorMessage="1" allowBlank="1" type="list">
      <formula1>"integer, number, percent1"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57"/>
  <sheetViews>
    <sheetView workbookViewId="0">
      <selection activeCell="B1" sqref="B1:O1"/>
    </sheetView>
  </sheetViews>
  <sheetFormatPr baseColWidth="10" defaultColWidth="8.6640625" defaultRowHeight="15"/>
  <cols>
    <col width="20" bestFit="1" customWidth="1" style="99" min="1" max="1"/>
    <col width="16.6640625" customWidth="1" style="99" min="2" max="2"/>
    <col width="12.6640625" bestFit="1" customWidth="1" style="99" min="5" max="5"/>
    <col width="10.1640625" bestFit="1" customWidth="1" style="99" min="6" max="6"/>
    <col width="11.6640625" bestFit="1" customWidth="1" style="99" min="7" max="7"/>
    <col width="8.33203125" bestFit="1" customWidth="1" style="99" min="8" max="8"/>
    <col width="11.6640625" bestFit="1" customWidth="1" style="99" min="9" max="9"/>
    <col width="8.33203125" bestFit="1" customWidth="1" style="99" min="10" max="10"/>
    <col width="11.6640625" bestFit="1" customWidth="1" style="99" min="11" max="11"/>
    <col width="8.33203125" bestFit="1" customWidth="1" style="99" min="12" max="12"/>
    <col width="11.6640625" bestFit="1" customWidth="1" style="99" min="13" max="13"/>
    <col width="8.33203125" bestFit="1" customWidth="1" style="99" min="14" max="14"/>
    <col width="11.6640625" bestFit="1" customWidth="1" style="99" min="15" max="15"/>
    <col width="8.33203125" bestFit="1" customWidth="1" style="99" min="16" max="16"/>
    <col width="11.6640625" bestFit="1" customWidth="1" style="99" min="17" max="17"/>
    <col width="8.33203125" bestFit="1" customWidth="1" style="99" min="18" max="18"/>
    <col width="11.6640625" bestFit="1" customWidth="1" style="99" min="19" max="19"/>
    <col width="8.33203125" bestFit="1" customWidth="1" style="99" min="20" max="20"/>
    <col width="11.6640625" bestFit="1" customWidth="1" style="99" min="21" max="21"/>
    <col width="8.33203125" bestFit="1" customWidth="1" style="99" min="22" max="22"/>
    <col width="11.6640625" bestFit="1" customWidth="1" style="99" min="23" max="23"/>
    <col width="8.33203125" bestFit="1" customWidth="1" style="99" min="24" max="24"/>
    <col width="11.6640625" bestFit="1" customWidth="1" style="99" min="25" max="25"/>
    <col width="8.33203125" bestFit="1" customWidth="1" style="99" min="26" max="26"/>
    <col width="11.6640625" bestFit="1" customWidth="1" style="99" min="27" max="27"/>
    <col width="8.33203125" bestFit="1" customWidth="1" style="99" min="28" max="28"/>
  </cols>
  <sheetData>
    <row r="1">
      <c r="A1" s="97" t="inlineStr">
        <is>
          <t>Name</t>
        </is>
      </c>
      <c r="B1" s="104" t="inlineStr">
        <is>
          <t>Population by Age, 2023</t>
        </is>
      </c>
    </row>
    <row r="2">
      <c r="A2" s="97" t="inlineStr">
        <is>
          <t>Table/Figure/Both</t>
        </is>
      </c>
      <c r="B2" t="inlineStr">
        <is>
          <t>Table</t>
        </is>
      </c>
    </row>
    <row r="3">
      <c r="A3" s="97" t="inlineStr">
        <is>
          <t xml:space="preserve">Object ID  </t>
        </is>
      </c>
      <c r="B3">
        <f>IF($B$1="","",_xlfn.XLOOKUP($B$1,Master!$F$2:$F$308,Master!$G$2:$G$308,""))</f>
        <v/>
      </c>
    </row>
    <row r="4">
      <c r="E4" s="13" t="n"/>
      <c r="F4" s="13" t="n"/>
      <c r="G4" s="16" t="inlineStr">
        <is>
          <t>integer</t>
        </is>
      </c>
      <c r="H4" s="16" t="inlineStr">
        <is>
          <t>percent1</t>
        </is>
      </c>
      <c r="I4" s="16" t="inlineStr">
        <is>
          <t>integer</t>
        </is>
      </c>
      <c r="J4" s="16" t="inlineStr">
        <is>
          <t>percent1</t>
        </is>
      </c>
      <c r="K4" s="16" t="inlineStr">
        <is>
          <t>integer</t>
        </is>
      </c>
      <c r="L4" s="16" t="inlineStr">
        <is>
          <t>percent1</t>
        </is>
      </c>
      <c r="M4" s="16" t="inlineStr">
        <is>
          <t>integer</t>
        </is>
      </c>
      <c r="N4" s="16" t="inlineStr">
        <is>
          <t>percent1</t>
        </is>
      </c>
      <c r="O4" s="16" t="inlineStr">
        <is>
          <t>integer</t>
        </is>
      </c>
      <c r="P4" s="16" t="inlineStr">
        <is>
          <t>percent1</t>
        </is>
      </c>
      <c r="Q4" s="16" t="inlineStr">
        <is>
          <t>integer</t>
        </is>
      </c>
      <c r="R4" s="16" t="inlineStr">
        <is>
          <t>percent1</t>
        </is>
      </c>
      <c r="S4" s="16" t="inlineStr">
        <is>
          <t>integer</t>
        </is>
      </c>
      <c r="T4" s="16" t="inlineStr">
        <is>
          <t>percent1</t>
        </is>
      </c>
      <c r="U4" s="16" t="inlineStr">
        <is>
          <t>integer</t>
        </is>
      </c>
      <c r="V4" s="16" t="inlineStr">
        <is>
          <t>percent1</t>
        </is>
      </c>
      <c r="W4" s="16" t="inlineStr">
        <is>
          <t>integer</t>
        </is>
      </c>
      <c r="X4" s="16" t="inlineStr">
        <is>
          <t>percent1</t>
        </is>
      </c>
      <c r="Y4" s="16" t="inlineStr">
        <is>
          <t>integer</t>
        </is>
      </c>
      <c r="Z4" s="16" t="inlineStr">
        <is>
          <t>percent1</t>
        </is>
      </c>
      <c r="AA4" s="16" t="inlineStr">
        <is>
          <t>integer</t>
        </is>
      </c>
      <c r="AB4" s="16" t="inlineStr">
        <is>
          <t>percent1</t>
        </is>
      </c>
    </row>
    <row r="5">
      <c r="A5" s="98" t="inlineStr">
        <is>
          <t>Table Rules</t>
        </is>
      </c>
      <c r="E5" s="100" t="inlineStr">
        <is>
          <t xml:space="preserve">Enter Data </t>
        </is>
      </c>
      <c r="G5" s="112" t="inlineStr">
        <is>
          <t>&lt;5 years</t>
        </is>
      </c>
      <c r="I5" s="112" t="inlineStr">
        <is>
          <t>5-9 years</t>
        </is>
      </c>
      <c r="K5" s="112" t="inlineStr">
        <is>
          <t>10-19 years</t>
        </is>
      </c>
      <c r="M5" s="112" t="inlineStr">
        <is>
          <t>20-29 years</t>
        </is>
      </c>
      <c r="O5" s="112" t="inlineStr">
        <is>
          <t>30-39 years</t>
        </is>
      </c>
      <c r="Q5" s="112" t="inlineStr">
        <is>
          <t>40-49 years</t>
        </is>
      </c>
      <c r="S5" s="112" t="inlineStr">
        <is>
          <t>50-59 years</t>
        </is>
      </c>
      <c r="U5" s="112" t="inlineStr">
        <is>
          <t>60-69 years</t>
        </is>
      </c>
      <c r="W5" s="112" t="inlineStr">
        <is>
          <t>70-79 years</t>
        </is>
      </c>
      <c r="Y5" s="112" t="inlineStr">
        <is>
          <t>&gt;80 years</t>
        </is>
      </c>
      <c r="AA5" s="112" t="inlineStr">
        <is>
          <t>&lt;18 years</t>
        </is>
      </c>
    </row>
    <row r="6">
      <c r="A6" t="inlineStr">
        <is>
          <t>Multilevel Headers</t>
        </is>
      </c>
      <c r="B6" t="b">
        <v>1</v>
      </c>
      <c r="F6" s="22" t="n"/>
      <c r="G6" s="24" t="inlineStr">
        <is>
          <t>Total Population</t>
        </is>
      </c>
      <c r="H6" s="24" t="inlineStr">
        <is>
          <t>%</t>
        </is>
      </c>
      <c r="I6" s="24" t="inlineStr">
        <is>
          <t>Total Population</t>
        </is>
      </c>
      <c r="J6" s="24" t="inlineStr">
        <is>
          <t>%</t>
        </is>
      </c>
      <c r="K6" s="24" t="inlineStr">
        <is>
          <t>Total Population</t>
        </is>
      </c>
      <c r="L6" s="24" t="inlineStr">
        <is>
          <t>%</t>
        </is>
      </c>
      <c r="M6" s="24" t="inlineStr">
        <is>
          <t>Total Population</t>
        </is>
      </c>
      <c r="N6" s="24" t="inlineStr">
        <is>
          <t>%</t>
        </is>
      </c>
      <c r="O6" s="24" t="inlineStr">
        <is>
          <t>Total Population</t>
        </is>
      </c>
      <c r="P6" s="24" t="inlineStr">
        <is>
          <t>%</t>
        </is>
      </c>
      <c r="Q6" s="24" t="inlineStr">
        <is>
          <t>Total Population</t>
        </is>
      </c>
      <c r="R6" s="24" t="inlineStr">
        <is>
          <t>%</t>
        </is>
      </c>
      <c r="S6" s="24" t="inlineStr">
        <is>
          <t>Total Population</t>
        </is>
      </c>
      <c r="T6" s="24" t="inlineStr">
        <is>
          <t>%</t>
        </is>
      </c>
      <c r="U6" s="24" t="inlineStr">
        <is>
          <t>Total Population</t>
        </is>
      </c>
      <c r="V6" s="24" t="inlineStr">
        <is>
          <t>%</t>
        </is>
      </c>
      <c r="W6" s="24" t="inlineStr">
        <is>
          <t>Total Population</t>
        </is>
      </c>
      <c r="X6" s="24" t="inlineStr">
        <is>
          <t>%</t>
        </is>
      </c>
      <c r="Y6" s="24" t="inlineStr">
        <is>
          <t>Total Population</t>
        </is>
      </c>
      <c r="Z6" s="24" t="inlineStr">
        <is>
          <t>%</t>
        </is>
      </c>
      <c r="AA6" s="24" t="inlineStr">
        <is>
          <t>Total Population</t>
        </is>
      </c>
      <c r="AB6" s="24" t="inlineStr">
        <is>
          <t>%</t>
        </is>
      </c>
    </row>
    <row r="7">
      <c r="A7" t="inlineStr">
        <is>
          <t>Data Type</t>
        </is>
      </c>
      <c r="B7" t="inlineStr">
        <is>
          <t>Percent</t>
        </is>
      </c>
      <c r="F7" s="21" t="inlineStr">
        <is>
          <t>Dutchess</t>
        </is>
      </c>
      <c r="G7" s="25" t="n">
        <v>13613</v>
      </c>
      <c r="H7" s="26" t="n">
        <v>4.6</v>
      </c>
      <c r="I7" s="25" t="n">
        <v>14448</v>
      </c>
      <c r="J7" s="26" t="n">
        <v>4.9</v>
      </c>
      <c r="K7" s="25" t="n">
        <v>37031</v>
      </c>
      <c r="L7" s="26" t="n">
        <v>12.5</v>
      </c>
      <c r="M7" s="25" t="n">
        <v>38178</v>
      </c>
      <c r="N7" s="26" t="n">
        <v>12.8</v>
      </c>
      <c r="O7" s="25" t="n">
        <v>35520</v>
      </c>
      <c r="P7" s="26" t="n">
        <v>12</v>
      </c>
      <c r="Q7" s="25" t="n">
        <v>36796</v>
      </c>
      <c r="R7" s="26" t="n">
        <v>12.4</v>
      </c>
      <c r="S7" s="25" t="n">
        <v>43025</v>
      </c>
      <c r="T7" s="26" t="n">
        <v>14.5</v>
      </c>
      <c r="U7" s="25" t="n">
        <v>41707</v>
      </c>
      <c r="V7" s="26" t="n">
        <v>14</v>
      </c>
      <c r="W7" s="25" t="n">
        <v>23935</v>
      </c>
      <c r="X7" s="26" t="n">
        <v>8.1</v>
      </c>
      <c r="Y7" s="25" t="n">
        <v>12891</v>
      </c>
      <c r="Z7" s="26" t="n">
        <v>4.3</v>
      </c>
      <c r="AA7" s="25" t="n">
        <v>55342</v>
      </c>
      <c r="AB7" s="26" t="n">
        <v>18.6</v>
      </c>
    </row>
    <row r="8">
      <c r="F8" s="21" t="inlineStr">
        <is>
          <t>Orange</t>
        </is>
      </c>
      <c r="G8" s="25" t="n">
        <v>27143</v>
      </c>
      <c r="H8" s="26" t="n">
        <v>6.7</v>
      </c>
      <c r="I8" s="25" t="n">
        <v>27679</v>
      </c>
      <c r="J8" s="26" t="n">
        <v>6.9</v>
      </c>
      <c r="K8" s="25" t="n">
        <v>61718</v>
      </c>
      <c r="L8" s="26" t="n">
        <v>15.3</v>
      </c>
      <c r="M8" s="25" t="n">
        <v>52658</v>
      </c>
      <c r="N8" s="26" t="n">
        <v>13</v>
      </c>
      <c r="O8" s="25" t="n">
        <v>48459</v>
      </c>
      <c r="P8" s="26" t="n">
        <v>12</v>
      </c>
      <c r="Q8" s="25" t="n">
        <v>49782</v>
      </c>
      <c r="R8" s="26" t="n">
        <v>12.3</v>
      </c>
      <c r="S8" s="25" t="n">
        <v>52995</v>
      </c>
      <c r="T8" s="26" t="n">
        <v>13.1</v>
      </c>
      <c r="U8" s="25" t="n">
        <v>45285</v>
      </c>
      <c r="V8" s="26" t="n">
        <v>11.2</v>
      </c>
      <c r="W8" s="25" t="n">
        <v>25081</v>
      </c>
      <c r="X8" s="26" t="n">
        <v>6.2</v>
      </c>
      <c r="Y8" s="25" t="n">
        <v>13040</v>
      </c>
      <c r="Z8" s="26" t="n">
        <v>3.2</v>
      </c>
      <c r="AA8" s="25" t="n">
        <v>103740</v>
      </c>
      <c r="AB8" s="26" t="n">
        <v>25.7</v>
      </c>
    </row>
    <row r="9">
      <c r="A9" s="98" t="inlineStr">
        <is>
          <t>Figure Rules</t>
        </is>
      </c>
      <c r="F9" s="21" t="inlineStr">
        <is>
          <t>Putnam</t>
        </is>
      </c>
      <c r="G9" s="25" t="n">
        <v>4521</v>
      </c>
      <c r="H9" s="26" t="n">
        <v>4.6</v>
      </c>
      <c r="I9" s="25" t="n">
        <v>4320</v>
      </c>
      <c r="J9" s="26" t="n">
        <v>4.4</v>
      </c>
      <c r="K9" s="25" t="n">
        <v>12426</v>
      </c>
      <c r="L9" s="26" t="n">
        <v>12.7</v>
      </c>
      <c r="M9" s="25" t="n">
        <v>10922</v>
      </c>
      <c r="N9" s="26" t="n">
        <v>11.1</v>
      </c>
      <c r="O9" s="25" t="n">
        <v>11264</v>
      </c>
      <c r="P9" s="26" t="n">
        <v>11.5</v>
      </c>
      <c r="Q9" s="25" t="n">
        <v>13032</v>
      </c>
      <c r="R9" s="26" t="n">
        <v>13.3</v>
      </c>
      <c r="S9" s="25" t="n">
        <v>15538</v>
      </c>
      <c r="T9" s="26" t="n">
        <v>15.9</v>
      </c>
      <c r="U9" s="25" t="n">
        <v>13386</v>
      </c>
      <c r="V9" s="26" t="n">
        <v>13.7</v>
      </c>
      <c r="W9" s="25" t="n">
        <v>8739</v>
      </c>
      <c r="X9" s="26" t="n">
        <v>8.9</v>
      </c>
      <c r="Y9" s="25" t="n">
        <v>3840</v>
      </c>
      <c r="Z9" s="26" t="n">
        <v>3.9</v>
      </c>
      <c r="AA9" s="25" t="n">
        <v>19180</v>
      </c>
      <c r="AB9" s="26" t="n">
        <v>19.6</v>
      </c>
    </row>
    <row r="10">
      <c r="A10" t="inlineStr">
        <is>
          <t>Figure Type</t>
        </is>
      </c>
      <c r="F10" s="21" t="inlineStr">
        <is>
          <t>Rockland</t>
        </is>
      </c>
      <c r="G10" s="25" t="n">
        <v>28957</v>
      </c>
      <c r="H10" s="26" t="n">
        <v>8.5</v>
      </c>
      <c r="I10" s="25" t="n">
        <v>27051</v>
      </c>
      <c r="J10" s="26" t="n">
        <v>8</v>
      </c>
      <c r="K10" s="25" t="n">
        <v>52692</v>
      </c>
      <c r="L10" s="26" t="n">
        <v>15.5</v>
      </c>
      <c r="M10" s="25" t="n">
        <v>41742</v>
      </c>
      <c r="N10" s="26" t="n">
        <v>12.3</v>
      </c>
      <c r="O10" s="25" t="n">
        <v>38885</v>
      </c>
      <c r="P10" s="26" t="n">
        <v>11.5</v>
      </c>
      <c r="Q10" s="25" t="n">
        <v>36560</v>
      </c>
      <c r="R10" s="26" t="n">
        <v>10.8</v>
      </c>
      <c r="S10" s="25" t="n">
        <v>40115</v>
      </c>
      <c r="T10" s="26" t="n">
        <v>11.8</v>
      </c>
      <c r="U10" s="25" t="n">
        <v>35529</v>
      </c>
      <c r="V10" s="26" t="n">
        <v>10.5</v>
      </c>
      <c r="W10" s="25" t="n">
        <v>23713</v>
      </c>
      <c r="X10" s="26" t="n">
        <v>7</v>
      </c>
      <c r="Y10" s="25" t="n">
        <v>13692</v>
      </c>
      <c r="Z10" s="26" t="n">
        <v>4</v>
      </c>
      <c r="AA10" s="25" t="n">
        <v>99733</v>
      </c>
      <c r="AB10" s="26" t="n">
        <v>29.4</v>
      </c>
    </row>
    <row r="11">
      <c r="A11" t="inlineStr">
        <is>
          <t>X Column</t>
        </is>
      </c>
      <c r="F11" s="21" t="inlineStr">
        <is>
          <t>Sullivan</t>
        </is>
      </c>
      <c r="G11" s="25" t="n">
        <v>4656</v>
      </c>
      <c r="H11" s="26" t="n">
        <v>5.9</v>
      </c>
      <c r="I11" s="25" t="n">
        <v>4969</v>
      </c>
      <c r="J11" s="26" t="n">
        <v>6.3</v>
      </c>
      <c r="K11" s="25" t="n">
        <v>9343</v>
      </c>
      <c r="L11" s="26" t="n">
        <v>11.8</v>
      </c>
      <c r="M11" s="25" t="n">
        <v>9032</v>
      </c>
      <c r="N11" s="26" t="n">
        <v>11.4</v>
      </c>
      <c r="O11" s="25" t="n">
        <v>9668</v>
      </c>
      <c r="P11" s="26" t="n">
        <v>12.2</v>
      </c>
      <c r="Q11" s="25" t="n">
        <v>9486</v>
      </c>
      <c r="R11" s="26" t="n">
        <v>12</v>
      </c>
      <c r="S11" s="25" t="n">
        <v>11009</v>
      </c>
      <c r="T11" s="26" t="n">
        <v>13.9</v>
      </c>
      <c r="U11" s="25" t="n">
        <v>10980</v>
      </c>
      <c r="V11" s="26" t="n">
        <v>13.9</v>
      </c>
      <c r="W11" s="25" t="n">
        <v>7087</v>
      </c>
      <c r="X11" s="26" t="n">
        <v>9</v>
      </c>
      <c r="Y11" s="25" t="n">
        <v>2917</v>
      </c>
      <c r="Z11" s="26" t="n">
        <v>3.7</v>
      </c>
      <c r="AA11" s="25" t="n">
        <v>16947</v>
      </c>
      <c r="AB11" s="26" t="n">
        <v>21.4</v>
      </c>
    </row>
    <row r="12">
      <c r="A12" t="inlineStr">
        <is>
          <t>Y Column</t>
        </is>
      </c>
      <c r="F12" s="21" t="inlineStr">
        <is>
          <t>Ulster</t>
        </is>
      </c>
      <c r="G12" s="25" t="n">
        <v>7926</v>
      </c>
      <c r="H12" s="26" t="n">
        <v>4.4</v>
      </c>
      <c r="I12" s="25" t="n">
        <v>8802</v>
      </c>
      <c r="J12" s="26" t="n">
        <v>4.8</v>
      </c>
      <c r="K12" s="25" t="n">
        <v>19831</v>
      </c>
      <c r="L12" s="26" t="n">
        <v>10.9</v>
      </c>
      <c r="M12" s="25" t="n">
        <v>22175</v>
      </c>
      <c r="N12" s="26" t="n">
        <v>12.2</v>
      </c>
      <c r="O12" s="25" t="n">
        <v>23060</v>
      </c>
      <c r="P12" s="26" t="n">
        <v>12.7</v>
      </c>
      <c r="Q12" s="25" t="n">
        <v>22177</v>
      </c>
      <c r="R12" s="26" t="n">
        <v>12.2</v>
      </c>
      <c r="S12" s="25" t="n">
        <v>26342</v>
      </c>
      <c r="T12" s="26" t="n">
        <v>14.5</v>
      </c>
      <c r="U12" s="25" t="n">
        <v>26250</v>
      </c>
      <c r="V12" s="26" t="n">
        <v>14.4</v>
      </c>
      <c r="W12" s="25" t="n">
        <v>16546</v>
      </c>
      <c r="X12" s="26" t="n">
        <v>9.1</v>
      </c>
      <c r="Y12" s="25" t="n">
        <v>9000</v>
      </c>
      <c r="Z12" s="26" t="n">
        <v>4.9</v>
      </c>
      <c r="AA12" s="25" t="n">
        <v>31636</v>
      </c>
      <c r="AB12" s="26" t="n">
        <v>17.4</v>
      </c>
    </row>
    <row r="13">
      <c r="A13" t="inlineStr">
        <is>
          <t>X Axis Title</t>
        </is>
      </c>
      <c r="F13" s="21" t="inlineStr">
        <is>
          <t>Westchester</t>
        </is>
      </c>
      <c r="G13" s="25" t="n">
        <v>53282</v>
      </c>
      <c r="H13" s="26" t="n">
        <v>5.3</v>
      </c>
      <c r="I13" s="25" t="n">
        <v>57324</v>
      </c>
      <c r="J13" s="26" t="n">
        <v>5.8</v>
      </c>
      <c r="K13" s="25" t="n">
        <v>129780</v>
      </c>
      <c r="L13" s="26" t="n">
        <v>13</v>
      </c>
      <c r="M13" s="25" t="n">
        <v>115269</v>
      </c>
      <c r="N13" s="26" t="n">
        <v>11.6</v>
      </c>
      <c r="O13" s="25" t="n">
        <v>121312</v>
      </c>
      <c r="P13" s="26" t="n">
        <v>12.2</v>
      </c>
      <c r="Q13" s="25" t="n">
        <v>133617</v>
      </c>
      <c r="R13" s="26" t="n">
        <v>13.4</v>
      </c>
      <c r="S13" s="25" t="n">
        <v>141210</v>
      </c>
      <c r="T13" s="26" t="n">
        <v>14.2</v>
      </c>
      <c r="U13" s="25" t="n">
        <v>121875</v>
      </c>
      <c r="V13" s="26" t="n">
        <v>12.2</v>
      </c>
      <c r="W13" s="25" t="n">
        <v>74727</v>
      </c>
      <c r="X13" s="26" t="n">
        <v>7.5</v>
      </c>
      <c r="Y13" s="25" t="n">
        <v>48492</v>
      </c>
      <c r="Z13" s="26" t="n">
        <v>4.9</v>
      </c>
      <c r="AA13" s="25" t="n">
        <v>214739</v>
      </c>
      <c r="AB13" s="26" t="n">
        <v>21.5</v>
      </c>
    </row>
    <row r="14">
      <c r="A14" t="inlineStr">
        <is>
          <t>Y Axis Title</t>
        </is>
      </c>
      <c r="F14" s="21" t="inlineStr">
        <is>
          <t>Mid-Hudson</t>
        </is>
      </c>
      <c r="G14" s="25" t="n">
        <v>140098</v>
      </c>
      <c r="H14" s="26" t="n">
        <v>5.8</v>
      </c>
      <c r="I14" s="25" t="n">
        <v>144593</v>
      </c>
      <c r="J14" s="26" t="n">
        <v>6</v>
      </c>
      <c r="K14" s="25" t="n">
        <v>322821</v>
      </c>
      <c r="L14" s="26" t="n">
        <v>13.5</v>
      </c>
      <c r="M14" s="25" t="n">
        <v>289976</v>
      </c>
      <c r="N14" s="26" t="n">
        <v>12.1</v>
      </c>
      <c r="O14" s="25" t="n">
        <v>288168</v>
      </c>
      <c r="P14" s="26" t="n">
        <v>12</v>
      </c>
      <c r="Q14" s="25" t="n">
        <v>301450</v>
      </c>
      <c r="R14" s="26" t="n">
        <v>12.6</v>
      </c>
      <c r="S14" s="25" t="n">
        <v>330234</v>
      </c>
      <c r="T14" s="26" t="n">
        <v>13.8</v>
      </c>
      <c r="U14" s="25" t="n">
        <v>295012</v>
      </c>
      <c r="V14" s="26" t="n">
        <v>12.3</v>
      </c>
      <c r="W14" s="25" t="n">
        <v>179828</v>
      </c>
      <c r="X14" s="26" t="n">
        <v>7.5</v>
      </c>
      <c r="Y14" s="25" t="n">
        <v>103872</v>
      </c>
      <c r="Z14" s="26" t="n">
        <v>4.3</v>
      </c>
      <c r="AA14" s="25" t="n">
        <v>541317</v>
      </c>
      <c r="AB14" s="26" t="n">
        <v>22.6</v>
      </c>
    </row>
    <row r="15">
      <c r="A15" t="inlineStr">
        <is>
          <t>Start at Zero</t>
        </is>
      </c>
      <c r="F15" s="21" t="inlineStr">
        <is>
          <t>NYS excl NYC</t>
        </is>
      </c>
      <c r="G15" s="25" t="n">
        <v>604728</v>
      </c>
      <c r="H15" s="26" t="n">
        <v>5.3</v>
      </c>
      <c r="I15" s="25" t="n">
        <v>640751</v>
      </c>
      <c r="J15" s="26" t="n">
        <v>5.6</v>
      </c>
      <c r="K15" s="25" t="n">
        <v>1454784</v>
      </c>
      <c r="L15" s="26" t="n">
        <v>12.8</v>
      </c>
      <c r="M15" s="25" t="n">
        <v>1442397</v>
      </c>
      <c r="N15" s="26" t="n">
        <v>12.7</v>
      </c>
      <c r="O15" s="25" t="n">
        <v>1393651</v>
      </c>
      <c r="P15" s="26" t="n">
        <v>12.3</v>
      </c>
      <c r="Q15" s="25" t="n">
        <v>1343897</v>
      </c>
      <c r="R15" s="26" t="n">
        <v>11.8</v>
      </c>
      <c r="S15" s="25" t="n">
        <v>1566110</v>
      </c>
      <c r="T15" s="26" t="n">
        <v>13.8</v>
      </c>
      <c r="U15" s="25" t="n">
        <v>1485429</v>
      </c>
      <c r="V15" s="26" t="n">
        <v>13.1</v>
      </c>
      <c r="W15" s="25" t="n">
        <v>919800</v>
      </c>
      <c r="X15" s="26" t="n">
        <v>8.1</v>
      </c>
      <c r="Y15" s="25" t="n">
        <v>504570</v>
      </c>
      <c r="Z15" s="26" t="n">
        <v>4.4</v>
      </c>
      <c r="AA15" s="25" t="n">
        <v>2369080</v>
      </c>
      <c r="AB15" s="26" t="n">
        <v>20.9</v>
      </c>
    </row>
    <row r="16">
      <c r="F16" s="21" t="inlineStr">
        <is>
          <t>NYS</t>
        </is>
      </c>
      <c r="G16" s="25" t="n">
        <v>1102961</v>
      </c>
      <c r="H16" s="26" t="n">
        <v>5.6</v>
      </c>
      <c r="I16" s="25" t="n">
        <v>1102946</v>
      </c>
      <c r="J16" s="26" t="n">
        <v>5.6</v>
      </c>
      <c r="K16" s="25" t="n">
        <v>2413200</v>
      </c>
      <c r="L16" s="26" t="n">
        <v>12.1</v>
      </c>
      <c r="M16" s="25" t="n">
        <v>2658703</v>
      </c>
      <c r="N16" s="26" t="n">
        <v>13.4</v>
      </c>
      <c r="O16" s="25" t="n">
        <v>2751639</v>
      </c>
      <c r="P16" s="26" t="n">
        <v>13.8</v>
      </c>
      <c r="Q16" s="25" t="n">
        <v>2422399</v>
      </c>
      <c r="R16" s="26" t="n">
        <v>12.2</v>
      </c>
      <c r="S16" s="25" t="n">
        <v>2638363</v>
      </c>
      <c r="T16" s="26" t="n">
        <v>13.3</v>
      </c>
      <c r="U16" s="25" t="n">
        <v>2425309</v>
      </c>
      <c r="V16" s="26" t="n">
        <v>12.2</v>
      </c>
      <c r="W16" s="25" t="n">
        <v>1511287</v>
      </c>
      <c r="X16" s="26" t="n">
        <v>7.6</v>
      </c>
      <c r="Y16" s="25" t="n">
        <v>845512</v>
      </c>
      <c r="Z16" s="26" t="n">
        <v>4.3</v>
      </c>
      <c r="AA16" s="25" t="n">
        <v>4109277</v>
      </c>
      <c r="AB16" s="26" t="n">
        <v>20.7</v>
      </c>
    </row>
    <row r="17"/>
    <row r="18" ht="19" customHeight="1" s="99">
      <c r="A18" s="98" t="inlineStr">
        <is>
          <t>Source Specifications</t>
        </is>
      </c>
      <c r="F18" s="23" t="n"/>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17">
    <mergeCell ref="B1:O1"/>
    <mergeCell ref="E5:E57"/>
    <mergeCell ref="O5:P5"/>
    <mergeCell ref="S5:T5"/>
    <mergeCell ref="Q5:R5"/>
    <mergeCell ref="A9:B9"/>
    <mergeCell ref="U5:V5"/>
    <mergeCell ref="A5:B5"/>
    <mergeCell ref="G5:H5"/>
    <mergeCell ref="Y5:Z5"/>
    <mergeCell ref="K5:L5"/>
    <mergeCell ref="I5:J5"/>
    <mergeCell ref="AA5:AB5"/>
    <mergeCell ref="M5:N5"/>
    <mergeCell ref="A18:B18"/>
    <mergeCell ref="A27:B27"/>
    <mergeCell ref="W5:X5"/>
  </mergeCells>
  <dataValidations count="4">
    <dataValidation sqref="G4:AB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O57"/>
  <sheetViews>
    <sheetView workbookViewId="0">
      <selection activeCell="H21" sqref="H21"/>
    </sheetView>
  </sheetViews>
  <sheetFormatPr baseColWidth="10" defaultColWidth="8.6640625" defaultRowHeight="15"/>
  <cols>
    <col width="20" bestFit="1" customWidth="1" style="99" min="1" max="1"/>
    <col width="16.6640625" customWidth="1" style="99" min="2" max="2"/>
    <col width="6.6640625" customWidth="1" style="99" min="5" max="5"/>
    <col width="11.164062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104" t="inlineStr">
        <is>
          <t>Population by Ethnicity, 2023</t>
        </is>
      </c>
    </row>
    <row r="2">
      <c r="A2" s="97" t="inlineStr">
        <is>
          <t>Table/Figure/Both</t>
        </is>
      </c>
      <c r="B2" t="inlineStr">
        <is>
          <t>Table</t>
        </is>
      </c>
    </row>
    <row r="3">
      <c r="A3" s="97" t="inlineStr">
        <is>
          <t xml:space="preserve">Object ID  </t>
        </is>
      </c>
      <c r="B3">
        <f>IF($B$1="","",_xlfn.XLOOKUP($B$1,Master!$F$2:$F$308,Master!$G$2:$G$308,""))</f>
        <v/>
      </c>
    </row>
    <row r="4">
      <c r="E4" s="13" t="n"/>
      <c r="F4" s="13" t="n"/>
      <c r="G4" s="16" t="inlineStr">
        <is>
          <t>integer</t>
        </is>
      </c>
      <c r="H4" s="16" t="inlineStr">
        <is>
          <t>percent1</t>
        </is>
      </c>
      <c r="I4" s="16" t="inlineStr">
        <is>
          <t>integer</t>
        </is>
      </c>
      <c r="J4" s="16" t="inlineStr">
        <is>
          <t>percent1</t>
        </is>
      </c>
      <c r="K4" s="16" t="n"/>
      <c r="L4" s="16" t="n"/>
      <c r="M4" s="16" t="n"/>
      <c r="N4" s="16" t="n"/>
      <c r="O4" s="16" t="n"/>
    </row>
    <row r="5">
      <c r="A5" s="98" t="inlineStr">
        <is>
          <t>Table Rules</t>
        </is>
      </c>
      <c r="E5" s="100" t="inlineStr">
        <is>
          <t xml:space="preserve">Enter Data </t>
        </is>
      </c>
      <c r="F5" s="101" t="inlineStr">
        <is>
          <t>Area</t>
        </is>
      </c>
      <c r="G5" s="110" t="inlineStr">
        <is>
          <t>Hispanic</t>
        </is>
      </c>
      <c r="I5" s="110" t="inlineStr">
        <is>
          <t>Non-Hispanic</t>
        </is>
      </c>
    </row>
    <row r="6" ht="15" customHeight="1" s="99">
      <c r="A6" t="inlineStr">
        <is>
          <t>Multilevel Headers</t>
        </is>
      </c>
      <c r="B6" t="b">
        <v>1</v>
      </c>
      <c r="G6" s="18" t="inlineStr">
        <is>
          <t>Total Population</t>
        </is>
      </c>
      <c r="H6" s="18" t="inlineStr">
        <is>
          <t>%</t>
        </is>
      </c>
      <c r="I6" s="18" t="inlineStr">
        <is>
          <t>Total Population</t>
        </is>
      </c>
      <c r="J6" s="18" t="inlineStr">
        <is>
          <t>%</t>
        </is>
      </c>
    </row>
    <row r="7" ht="15.75" customHeight="1" s="99">
      <c r="A7" t="inlineStr">
        <is>
          <t>Data Type</t>
        </is>
      </c>
      <c r="B7" t="inlineStr">
        <is>
          <t>Percent</t>
        </is>
      </c>
      <c r="F7" s="17" t="inlineStr">
        <is>
          <t>Dutchess</t>
        </is>
      </c>
      <c r="G7" s="19" t="n">
        <v>44153</v>
      </c>
      <c r="H7" s="20" t="n">
        <v>14.9</v>
      </c>
      <c r="I7" s="19" t="n">
        <v>252991</v>
      </c>
      <c r="J7" s="20" t="n">
        <v>85.09999999999999</v>
      </c>
    </row>
    <row r="8">
      <c r="F8" s="17" t="inlineStr">
        <is>
          <t>Orange</t>
        </is>
      </c>
      <c r="G8" s="19" t="n">
        <v>93608</v>
      </c>
      <c r="H8" s="20" t="n">
        <v>23.2</v>
      </c>
      <c r="I8" s="19" t="n">
        <v>310232</v>
      </c>
      <c r="J8" s="20" t="n">
        <v>76.8</v>
      </c>
    </row>
    <row r="9">
      <c r="A9" s="98" t="inlineStr">
        <is>
          <t>Figure Rules</t>
        </is>
      </c>
      <c r="F9" s="17" t="inlineStr">
        <is>
          <t>Putnam</t>
        </is>
      </c>
      <c r="G9" s="19" t="n">
        <v>18676</v>
      </c>
      <c r="H9" s="20" t="n">
        <v>19.1</v>
      </c>
      <c r="I9" s="19" t="n">
        <v>79312</v>
      </c>
      <c r="J9" s="20" t="n">
        <v>80.90000000000001</v>
      </c>
    </row>
    <row r="10">
      <c r="A10" t="inlineStr">
        <is>
          <t>Figure Type</t>
        </is>
      </c>
      <c r="F10" s="17" t="inlineStr">
        <is>
          <t>Rockland</t>
        </is>
      </c>
      <c r="G10" s="19" t="n">
        <v>67951</v>
      </c>
      <c r="H10" s="20" t="n">
        <v>20</v>
      </c>
      <c r="I10" s="19" t="n">
        <v>270985</v>
      </c>
      <c r="J10" s="20" t="n">
        <v>80</v>
      </c>
    </row>
    <row r="11">
      <c r="A11" t="inlineStr">
        <is>
          <t>X Column</t>
        </is>
      </c>
      <c r="F11" s="17" t="inlineStr">
        <is>
          <t>Sullivan</t>
        </is>
      </c>
      <c r="G11" s="19" t="n">
        <v>14544</v>
      </c>
      <c r="H11" s="20" t="n">
        <v>18.4</v>
      </c>
      <c r="I11" s="19" t="n">
        <v>64603</v>
      </c>
      <c r="J11" s="20" t="n">
        <v>81.59999999999999</v>
      </c>
    </row>
    <row r="12">
      <c r="A12" t="inlineStr">
        <is>
          <t>Y Column</t>
        </is>
      </c>
      <c r="F12" s="17" t="inlineStr">
        <is>
          <t>Ulster</t>
        </is>
      </c>
      <c r="G12" s="19" t="n">
        <v>21562</v>
      </c>
      <c r="H12" s="20" t="n">
        <v>11.8</v>
      </c>
      <c r="I12" s="19" t="n">
        <v>160547</v>
      </c>
      <c r="J12" s="20" t="n">
        <v>88.2</v>
      </c>
    </row>
    <row r="13">
      <c r="A13" t="inlineStr">
        <is>
          <t>X Axis Title</t>
        </is>
      </c>
      <c r="F13" s="17" t="inlineStr">
        <is>
          <t>Westchester</t>
        </is>
      </c>
      <c r="G13" s="19" t="n">
        <v>269085</v>
      </c>
      <c r="H13" s="20" t="n">
        <v>27</v>
      </c>
      <c r="I13" s="19" t="n">
        <v>727803</v>
      </c>
      <c r="J13" s="20" t="n">
        <v>73</v>
      </c>
    </row>
    <row r="14">
      <c r="A14" t="inlineStr">
        <is>
          <t>Y Axis Title</t>
        </is>
      </c>
      <c r="F14" s="17" t="inlineStr">
        <is>
          <t>Mid-Hudson</t>
        </is>
      </c>
      <c r="G14" s="19" t="n">
        <v>529579</v>
      </c>
      <c r="H14" s="20" t="n">
        <v>22.1</v>
      </c>
      <c r="I14" s="19" t="n">
        <v>1866473</v>
      </c>
      <c r="J14" s="20" t="n">
        <v>77.90000000000001</v>
      </c>
    </row>
    <row r="15">
      <c r="A15" t="inlineStr">
        <is>
          <t>Start at Zero</t>
        </is>
      </c>
      <c r="F15" s="17" t="inlineStr">
        <is>
          <t>NYS excl NYC</t>
        </is>
      </c>
      <c r="G15" s="19" t="n">
        <v>1478113</v>
      </c>
      <c r="H15" s="20" t="n">
        <v>13</v>
      </c>
      <c r="I15" s="19" t="n">
        <v>9878004</v>
      </c>
      <c r="J15" s="20" t="n">
        <v>87</v>
      </c>
    </row>
    <row r="16">
      <c r="F16" s="17" t="inlineStr">
        <is>
          <t>NYS</t>
        </is>
      </c>
      <c r="G16" s="19" t="n">
        <v>3898652</v>
      </c>
      <c r="H16" s="20" t="n">
        <v>19.6</v>
      </c>
      <c r="I16" s="19" t="n">
        <v>15973667</v>
      </c>
      <c r="J16" s="20" t="n">
        <v>80.40000000000001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9">
    <mergeCell ref="B1:O1"/>
    <mergeCell ref="E5:E57"/>
    <mergeCell ref="A9:B9"/>
    <mergeCell ref="A5:B5"/>
    <mergeCell ref="G5:H5"/>
    <mergeCell ref="I5:J5"/>
    <mergeCell ref="F5:F6"/>
    <mergeCell ref="A18:B18"/>
    <mergeCell ref="A27:B27"/>
  </mergeCells>
  <dataValidations count="4">
    <dataValidation sqref="G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57"/>
  <sheetViews>
    <sheetView workbookViewId="0">
      <selection activeCell="R4" sqref="R4"/>
    </sheetView>
  </sheetViews>
  <sheetFormatPr baseColWidth="10" defaultColWidth="8.6640625" defaultRowHeight="15"/>
  <cols>
    <col width="20" bestFit="1" customWidth="1" style="99" min="1" max="1"/>
    <col width="16.6640625" customWidth="1" style="99" min="2" max="2"/>
    <col width="6.6640625" customWidth="1" style="99" min="5" max="5"/>
    <col width="13.6640625"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2" bestFit="1" customWidth="1" style="99" min="13" max="13"/>
    <col width="12.33203125" bestFit="1" customWidth="1" style="99" min="14" max="14"/>
    <col width="11" bestFit="1" customWidth="1" style="99" min="15" max="15"/>
    <col width="10.83203125" customWidth="1" style="99" min="18" max="18"/>
  </cols>
  <sheetData>
    <row r="1">
      <c r="A1" s="97" t="inlineStr">
        <is>
          <t>Name</t>
        </is>
      </c>
      <c r="B1" s="104" t="inlineStr">
        <is>
          <t>Population by Race, 2023</t>
        </is>
      </c>
    </row>
    <row r="2">
      <c r="A2" s="97" t="inlineStr">
        <is>
          <t>Table/Figure/Both</t>
        </is>
      </c>
      <c r="B2" t="inlineStr">
        <is>
          <t>Table</t>
        </is>
      </c>
    </row>
    <row r="3">
      <c r="A3" s="97" t="inlineStr">
        <is>
          <t xml:space="preserve">Object ID  </t>
        </is>
      </c>
      <c r="B3">
        <f>IF($B$1="","",_xlfn.XLOOKUP($B$1,Master!$F$2:$F$308,Master!$G$2:$G$308,""))</f>
        <v/>
      </c>
    </row>
    <row r="4">
      <c r="E4" s="13" t="n"/>
      <c r="F4" s="13" t="n"/>
      <c r="G4" s="16" t="inlineStr">
        <is>
          <t>integer</t>
        </is>
      </c>
      <c r="H4" s="16" t="inlineStr">
        <is>
          <t>percent1</t>
        </is>
      </c>
      <c r="I4" s="16" t="inlineStr">
        <is>
          <t>integer</t>
        </is>
      </c>
      <c r="J4" s="16" t="inlineStr">
        <is>
          <t>percent1</t>
        </is>
      </c>
      <c r="K4" s="16" t="inlineStr">
        <is>
          <t>integer</t>
        </is>
      </c>
      <c r="L4" s="16" t="inlineStr">
        <is>
          <t>percent2</t>
        </is>
      </c>
      <c r="M4" s="16" t="inlineStr">
        <is>
          <t>integer</t>
        </is>
      </c>
      <c r="N4" s="16" t="inlineStr">
        <is>
          <t>percent1</t>
        </is>
      </c>
      <c r="O4" s="16" t="inlineStr">
        <is>
          <t>integer</t>
        </is>
      </c>
      <c r="P4" s="16" t="inlineStr">
        <is>
          <t>percent2</t>
        </is>
      </c>
      <c r="Q4" s="16" t="inlineStr">
        <is>
          <t>integer</t>
        </is>
      </c>
      <c r="R4" s="16" t="inlineStr">
        <is>
          <t>percent2</t>
        </is>
      </c>
      <c r="S4" s="16" t="inlineStr">
        <is>
          <t>integer</t>
        </is>
      </c>
      <c r="T4" s="16" t="inlineStr">
        <is>
          <t>percent1</t>
        </is>
      </c>
      <c r="U4" s="16" t="n"/>
      <c r="V4" s="16" t="n"/>
    </row>
    <row r="5">
      <c r="A5" s="98" t="inlineStr">
        <is>
          <t>Table Rules</t>
        </is>
      </c>
      <c r="E5" s="100" t="inlineStr">
        <is>
          <t xml:space="preserve">Enter Data </t>
        </is>
      </c>
      <c r="F5" s="114" t="inlineStr">
        <is>
          <t>Area</t>
        </is>
      </c>
      <c r="G5" s="113" t="inlineStr">
        <is>
          <t>Non-Hispanic White</t>
        </is>
      </c>
      <c r="I5" s="113" t="inlineStr">
        <is>
          <t>Non-Hispanic Black or African American</t>
        </is>
      </c>
      <c r="K5" s="113" t="inlineStr">
        <is>
          <t>Non-Hispanic American Indian and Alaskan Native</t>
        </is>
      </c>
      <c r="M5" s="113" t="inlineStr">
        <is>
          <t>Non-Hispanic Asian</t>
        </is>
      </c>
      <c r="O5" s="113" t="inlineStr">
        <is>
          <t>Non-Hispanic Native Hawaiian and Other Pacific Islander</t>
        </is>
      </c>
      <c r="Q5" s="113" t="inlineStr">
        <is>
          <t>Non-Hispanic Other</t>
        </is>
      </c>
      <c r="S5" s="113" t="inlineStr">
        <is>
          <t>Non-Hispanic Two or More Races</t>
        </is>
      </c>
    </row>
    <row r="6" ht="15" customHeight="1" s="99">
      <c r="A6" t="inlineStr">
        <is>
          <t>Multilevel Headers</t>
        </is>
      </c>
      <c r="B6" t="b">
        <v>1</v>
      </c>
      <c r="G6" s="31" t="inlineStr">
        <is>
          <t>Total Population</t>
        </is>
      </c>
      <c r="H6" s="31" t="inlineStr">
        <is>
          <t>%</t>
        </is>
      </c>
      <c r="I6" s="31" t="inlineStr">
        <is>
          <t>Total Population</t>
        </is>
      </c>
      <c r="J6" s="31" t="inlineStr">
        <is>
          <t>%</t>
        </is>
      </c>
      <c r="K6" s="31" t="inlineStr">
        <is>
          <t>Total Population</t>
        </is>
      </c>
      <c r="L6" s="31" t="inlineStr">
        <is>
          <t>%</t>
        </is>
      </c>
      <c r="M6" s="31" t="inlineStr">
        <is>
          <t>Total Population</t>
        </is>
      </c>
      <c r="N6" s="31" t="inlineStr">
        <is>
          <t>%</t>
        </is>
      </c>
      <c r="O6" s="31" t="inlineStr">
        <is>
          <t>Total Population</t>
        </is>
      </c>
      <c r="P6" s="31" t="inlineStr">
        <is>
          <t>%</t>
        </is>
      </c>
      <c r="Q6" s="31" t="inlineStr">
        <is>
          <t>Total Population</t>
        </is>
      </c>
      <c r="R6" s="31" t="inlineStr">
        <is>
          <t>%</t>
        </is>
      </c>
      <c r="S6" s="31" t="inlineStr">
        <is>
          <t>Total Population</t>
        </is>
      </c>
      <c r="T6" s="31" t="inlineStr">
        <is>
          <t>%</t>
        </is>
      </c>
    </row>
    <row r="7" ht="15.75" customHeight="1" s="99">
      <c r="F7" s="113" t="inlineStr">
        <is>
          <t>Dutchess</t>
        </is>
      </c>
      <c r="G7" s="32" t="n">
        <v>199670</v>
      </c>
      <c r="H7" s="33" t="n">
        <v>67.2</v>
      </c>
      <c r="I7" s="32" t="n">
        <v>28024</v>
      </c>
      <c r="J7" s="33" t="n">
        <v>9.4</v>
      </c>
      <c r="K7" s="33" t="n">
        <v>222</v>
      </c>
      <c r="L7" s="33" t="n">
        <v>0.07000000000000001</v>
      </c>
      <c r="M7" s="32" t="n">
        <v>10044</v>
      </c>
      <c r="N7" s="33" t="n">
        <v>3.4</v>
      </c>
      <c r="O7" s="33" t="n">
        <v>117</v>
      </c>
      <c r="P7" s="33" t="n">
        <v>0.04</v>
      </c>
      <c r="Q7" s="32" t="n">
        <v>2206</v>
      </c>
      <c r="R7" s="33" t="n">
        <v>0.7</v>
      </c>
      <c r="S7" s="32" t="n">
        <v>12708</v>
      </c>
      <c r="T7" s="33" t="n">
        <v>4.3</v>
      </c>
    </row>
    <row r="8">
      <c r="F8" s="113" t="inlineStr">
        <is>
          <t>Orange</t>
        </is>
      </c>
      <c r="G8" s="32" t="n">
        <v>239186</v>
      </c>
      <c r="H8" s="33" t="n">
        <v>59.2</v>
      </c>
      <c r="I8" s="32" t="n">
        <v>42478</v>
      </c>
      <c r="J8" s="33" t="n">
        <v>10.5</v>
      </c>
      <c r="K8" s="33" t="n">
        <v>438</v>
      </c>
      <c r="L8" s="33" t="n">
        <v>0.11</v>
      </c>
      <c r="M8" s="32" t="n">
        <v>11223</v>
      </c>
      <c r="N8" s="33" t="n">
        <v>2.8</v>
      </c>
      <c r="O8" s="33" t="n">
        <v>26</v>
      </c>
      <c r="P8" s="33" t="n">
        <v>0.01</v>
      </c>
      <c r="Q8" s="32" t="n">
        <v>2563</v>
      </c>
      <c r="R8" s="33" t="n">
        <v>0.6</v>
      </c>
      <c r="S8" s="32" t="n">
        <v>14318</v>
      </c>
      <c r="T8" s="33" t="n">
        <v>3.5</v>
      </c>
    </row>
    <row r="9">
      <c r="A9" s="98" t="inlineStr">
        <is>
          <t>Figure Rules</t>
        </is>
      </c>
      <c r="F9" s="113" t="inlineStr">
        <is>
          <t>Putnam</t>
        </is>
      </c>
      <c r="G9" s="32" t="n">
        <v>70948</v>
      </c>
      <c r="H9" s="33" t="n">
        <v>72.40000000000001</v>
      </c>
      <c r="I9" s="32" t="n">
        <v>2894</v>
      </c>
      <c r="J9" s="33" t="n">
        <v>3</v>
      </c>
      <c r="K9" s="33" t="n">
        <v>81</v>
      </c>
      <c r="L9" s="33" t="n">
        <v>0.08</v>
      </c>
      <c r="M9" s="32" t="n">
        <v>2255</v>
      </c>
      <c r="N9" s="33" t="n">
        <v>2.3</v>
      </c>
      <c r="O9" s="33" t="n">
        <v>24</v>
      </c>
      <c r="P9" s="33" t="n">
        <v>0.02</v>
      </c>
      <c r="Q9" s="33" t="n">
        <v>788</v>
      </c>
      <c r="R9" s="33" t="n">
        <v>0.8</v>
      </c>
      <c r="S9" s="32" t="n">
        <v>2322</v>
      </c>
      <c r="T9" s="33" t="n">
        <v>2.4</v>
      </c>
    </row>
    <row r="10">
      <c r="A10" t="inlineStr">
        <is>
          <t>Figure Type</t>
        </is>
      </c>
      <c r="F10" s="113" t="inlineStr">
        <is>
          <t>Rockland</t>
        </is>
      </c>
      <c r="G10" s="32" t="n">
        <v>205539</v>
      </c>
      <c r="H10" s="33" t="n">
        <v>60.6</v>
      </c>
      <c r="I10" s="32" t="n">
        <v>35626</v>
      </c>
      <c r="J10" s="33" t="n">
        <v>10.5</v>
      </c>
      <c r="K10" s="33" t="n">
        <v>181</v>
      </c>
      <c r="L10" s="33" t="n">
        <v>0.05</v>
      </c>
      <c r="M10" s="32" t="n">
        <v>19772</v>
      </c>
      <c r="N10" s="33" t="n">
        <v>5.8</v>
      </c>
      <c r="O10" s="33" t="n">
        <v>38</v>
      </c>
      <c r="P10" s="33" t="n">
        <v>0.01</v>
      </c>
      <c r="Q10" s="32" t="n">
        <v>1921</v>
      </c>
      <c r="R10" s="33" t="n">
        <v>0.6</v>
      </c>
      <c r="S10" s="32" t="n">
        <v>7908</v>
      </c>
      <c r="T10" s="33" t="n">
        <v>2.3</v>
      </c>
    </row>
    <row r="11">
      <c r="A11" t="inlineStr">
        <is>
          <t>X Column</t>
        </is>
      </c>
      <c r="F11" s="113" t="inlineStr">
        <is>
          <t>Sullivan</t>
        </is>
      </c>
      <c r="G11" s="32" t="n">
        <v>53145</v>
      </c>
      <c r="H11" s="33" t="n">
        <v>67.09999999999999</v>
      </c>
      <c r="I11" s="32" t="n">
        <v>6263</v>
      </c>
      <c r="J11" s="33" t="n">
        <v>7.9</v>
      </c>
      <c r="K11" s="33" t="n">
        <v>120</v>
      </c>
      <c r="L11" s="33" t="n">
        <v>0.15</v>
      </c>
      <c r="M11" s="32" t="n">
        <v>1584</v>
      </c>
      <c r="N11" s="33" t="n">
        <v>2</v>
      </c>
      <c r="O11" s="33" t="n">
        <v>11</v>
      </c>
      <c r="P11" s="33" t="n">
        <v>0.01</v>
      </c>
      <c r="Q11" s="33" t="n">
        <v>533</v>
      </c>
      <c r="R11" s="33" t="n">
        <v>0.7</v>
      </c>
      <c r="S11" s="32" t="n">
        <v>2947</v>
      </c>
      <c r="T11" s="33" t="n">
        <v>3.7</v>
      </c>
    </row>
    <row r="12">
      <c r="A12" t="inlineStr">
        <is>
          <t>Y Column</t>
        </is>
      </c>
      <c r="F12" s="113" t="inlineStr">
        <is>
          <t>Ulster</t>
        </is>
      </c>
      <c r="G12" s="32" t="n">
        <v>133874</v>
      </c>
      <c r="H12" s="33" t="n">
        <v>73.5</v>
      </c>
      <c r="I12" s="32" t="n">
        <v>10347</v>
      </c>
      <c r="J12" s="33" t="n">
        <v>5.7</v>
      </c>
      <c r="K12" s="33" t="n">
        <v>66</v>
      </c>
      <c r="L12" s="33" t="n">
        <v>0.04</v>
      </c>
      <c r="M12" s="32" t="n">
        <v>3675</v>
      </c>
      <c r="N12" s="33" t="n">
        <v>2</v>
      </c>
      <c r="O12" s="33" t="n">
        <v>40</v>
      </c>
      <c r="P12" s="33" t="n">
        <v>0.02</v>
      </c>
      <c r="Q12" s="32" t="n">
        <v>2242</v>
      </c>
      <c r="R12" s="33" t="n">
        <v>1.2</v>
      </c>
      <c r="S12" s="32" t="n">
        <v>10303</v>
      </c>
      <c r="T12" s="33" t="n">
        <v>5.7</v>
      </c>
    </row>
    <row r="13">
      <c r="A13" t="inlineStr">
        <is>
          <t>X Axis Title</t>
        </is>
      </c>
      <c r="F13" s="113" t="inlineStr">
        <is>
          <t>Westchester</t>
        </is>
      </c>
      <c r="G13" s="32" t="n">
        <v>498855</v>
      </c>
      <c r="H13" s="33" t="n">
        <v>50</v>
      </c>
      <c r="I13" s="32" t="n">
        <v>128199</v>
      </c>
      <c r="J13" s="33" t="n">
        <v>12.9</v>
      </c>
      <c r="K13" s="32" t="n">
        <v>1197</v>
      </c>
      <c r="L13" s="33" t="n">
        <v>0.12</v>
      </c>
      <c r="M13" s="32" t="n">
        <v>59912</v>
      </c>
      <c r="N13" s="33" t="n">
        <v>6</v>
      </c>
      <c r="O13" s="33" t="n">
        <v>96</v>
      </c>
      <c r="P13" s="33" t="n">
        <v>0.01</v>
      </c>
      <c r="Q13" s="32" t="n">
        <v>10638</v>
      </c>
      <c r="R13" s="33" t="n">
        <v>1.1</v>
      </c>
      <c r="S13" s="32" t="n">
        <v>28906</v>
      </c>
      <c r="T13" s="33" t="n">
        <v>2.9</v>
      </c>
    </row>
    <row r="14">
      <c r="A14" t="inlineStr">
        <is>
          <t>Y Axis Title</t>
        </is>
      </c>
      <c r="F14" s="113" t="inlineStr">
        <is>
          <t>Mid-Hudson</t>
        </is>
      </c>
      <c r="G14" s="32" t="n">
        <v>1401217</v>
      </c>
      <c r="H14" s="33" t="n">
        <v>58.5</v>
      </c>
      <c r="I14" s="32" t="n">
        <v>253831</v>
      </c>
      <c r="J14" s="33" t="n">
        <v>10.6</v>
      </c>
      <c r="K14" s="32" t="n">
        <v>2305</v>
      </c>
      <c r="L14" s="33" t="n">
        <v>0.1</v>
      </c>
      <c r="M14" s="32" t="n">
        <v>108465</v>
      </c>
      <c r="N14" s="33" t="n">
        <v>4.5</v>
      </c>
      <c r="O14" s="33" t="n">
        <v>352</v>
      </c>
      <c r="P14" s="33" t="n">
        <v>0.01</v>
      </c>
      <c r="Q14" s="32" t="n">
        <v>20891</v>
      </c>
      <c r="R14" s="33" t="n">
        <v>0.9</v>
      </c>
      <c r="S14" s="32" t="n">
        <v>79412</v>
      </c>
      <c r="T14" s="33" t="n">
        <v>3.3</v>
      </c>
    </row>
    <row r="15">
      <c r="A15" t="inlineStr">
        <is>
          <t>Start at Zero</t>
        </is>
      </c>
      <c r="F15" s="113" t="inlineStr">
        <is>
          <t>NYS excl NYC</t>
        </is>
      </c>
      <c r="G15" s="32" t="n">
        <v>7942876</v>
      </c>
      <c r="H15" s="33" t="n">
        <v>69.90000000000001</v>
      </c>
      <c r="I15" s="32" t="n">
        <v>934322</v>
      </c>
      <c r="J15" s="33" t="n">
        <v>8.199999999999999</v>
      </c>
      <c r="K15" s="32" t="n">
        <v>21069</v>
      </c>
      <c r="L15" s="33" t="n">
        <v>0.19</v>
      </c>
      <c r="M15" s="32" t="n">
        <v>518716</v>
      </c>
      <c r="N15" s="33" t="n">
        <v>4.6</v>
      </c>
      <c r="O15" s="32" t="n">
        <v>2610</v>
      </c>
      <c r="P15" s="33" t="n">
        <v>0.02</v>
      </c>
      <c r="Q15" s="32" t="n">
        <v>70553</v>
      </c>
      <c r="R15" s="33" t="n">
        <v>0.6</v>
      </c>
      <c r="S15" s="32" t="n">
        <v>387858</v>
      </c>
      <c r="T15" s="33" t="n">
        <v>3.4</v>
      </c>
    </row>
    <row r="16">
      <c r="F16" s="113" t="inlineStr">
        <is>
          <t>NYS</t>
        </is>
      </c>
      <c r="G16" s="32" t="n">
        <v>10608842</v>
      </c>
      <c r="H16" s="33" t="n">
        <v>53.4</v>
      </c>
      <c r="I16" s="32" t="n">
        <v>2708094</v>
      </c>
      <c r="J16" s="33" t="n">
        <v>13.6</v>
      </c>
      <c r="K16" s="32" t="n">
        <v>37212</v>
      </c>
      <c r="L16" s="33" t="n">
        <v>0.19</v>
      </c>
      <c r="M16" s="32" t="n">
        <v>1754957</v>
      </c>
      <c r="N16" s="33" t="n">
        <v>8.800000000000001</v>
      </c>
      <c r="O16" s="32" t="n">
        <v>6220</v>
      </c>
      <c r="P16" s="33" t="n">
        <v>0.03</v>
      </c>
      <c r="Q16" s="32" t="n">
        <v>178956</v>
      </c>
      <c r="R16" s="33" t="n">
        <v>0.9</v>
      </c>
      <c r="S16" s="32" t="n">
        <v>679386</v>
      </c>
      <c r="T16" s="33" t="n">
        <v>3.4</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14">
    <mergeCell ref="B1:O1"/>
    <mergeCell ref="E5:E57"/>
    <mergeCell ref="O5:P5"/>
    <mergeCell ref="S5:T5"/>
    <mergeCell ref="Q5:R5"/>
    <mergeCell ref="A9:B9"/>
    <mergeCell ref="A5:B5"/>
    <mergeCell ref="G5:H5"/>
    <mergeCell ref="K5:L5"/>
    <mergeCell ref="I5:J5"/>
    <mergeCell ref="M5:N5"/>
    <mergeCell ref="F5:F6"/>
    <mergeCell ref="A18:B18"/>
    <mergeCell ref="A27:B27"/>
  </mergeCells>
  <dataValidations count="4">
    <dataValidation sqref="G4:K4 U4:V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57"/>
  <sheetViews>
    <sheetView workbookViewId="0">
      <selection activeCell="K32" sqref="K32"/>
    </sheetView>
  </sheetViews>
  <sheetFormatPr baseColWidth="10" defaultColWidth="8.6640625" defaultRowHeight="15"/>
  <cols>
    <col width="20" bestFit="1" customWidth="1" style="99" min="1" max="1"/>
    <col width="16.6640625" customWidth="1" style="99" min="2" max="2"/>
    <col width="6.6640625" customWidth="1" style="99" min="5" max="5"/>
    <col width="11.1640625" bestFit="1" customWidth="1" style="99" min="6" max="6"/>
    <col width="12" bestFit="1" customWidth="1" style="99" min="7" max="7"/>
    <col width="13.5" customWidth="1" style="99" min="8" max="8"/>
    <col width="12" bestFit="1" customWidth="1" style="99" min="9" max="9"/>
    <col width="10.6640625" customWidth="1" style="99" min="11" max="11"/>
    <col width="6.6640625" customWidth="1" style="99" min="12" max="12"/>
    <col width="13.1640625" customWidth="1" style="99" min="13" max="13"/>
    <col width="12.33203125" bestFit="1" customWidth="1" style="99" min="14" max="14"/>
    <col width="20.33203125" customWidth="1" style="99" min="15" max="15"/>
    <col width="14" customWidth="1" style="99" min="17" max="17"/>
  </cols>
  <sheetData>
    <row r="1">
      <c r="A1" s="97" t="inlineStr">
        <is>
          <t>Name</t>
        </is>
      </c>
      <c r="B1" s="104" t="inlineStr">
        <is>
          <t>Population by Spoken Language, 2023</t>
        </is>
      </c>
    </row>
    <row r="2">
      <c r="A2" s="97" t="inlineStr">
        <is>
          <t>Table/Figure/Both</t>
        </is>
      </c>
      <c r="B2" t="inlineStr">
        <is>
          <t>Table</t>
        </is>
      </c>
    </row>
    <row r="3">
      <c r="A3" s="97" t="inlineStr">
        <is>
          <t xml:space="preserve">Object ID  </t>
        </is>
      </c>
      <c r="B3">
        <f>IF($B$1="","",_xlfn.XLOOKUP($B$1,Master!$F$2:$F$308,Master!$G$2:$G$308,""))</f>
        <v/>
      </c>
    </row>
    <row r="4">
      <c r="E4" s="13" t="n"/>
      <c r="F4" s="13" t="n"/>
      <c r="G4" s="16" t="inlineStr">
        <is>
          <t>integer</t>
        </is>
      </c>
      <c r="H4" s="16" t="inlineStr">
        <is>
          <t>percent1</t>
        </is>
      </c>
      <c r="I4" s="16" t="inlineStr">
        <is>
          <t>integer</t>
        </is>
      </c>
      <c r="J4" s="16" t="inlineStr">
        <is>
          <t>percent1</t>
        </is>
      </c>
      <c r="K4" s="16" t="inlineStr">
        <is>
          <t>integer</t>
        </is>
      </c>
      <c r="L4" s="16" t="inlineStr">
        <is>
          <t>percent1</t>
        </is>
      </c>
      <c r="M4" s="16" t="inlineStr">
        <is>
          <t>integer</t>
        </is>
      </c>
      <c r="N4" s="16" t="inlineStr">
        <is>
          <t>percent1</t>
        </is>
      </c>
      <c r="O4" s="16" t="inlineStr">
        <is>
          <t>integer</t>
        </is>
      </c>
      <c r="P4" s="16" t="inlineStr">
        <is>
          <t>percent1</t>
        </is>
      </c>
      <c r="Q4" s="16" t="inlineStr">
        <is>
          <t>integer</t>
        </is>
      </c>
      <c r="R4" s="16" t="inlineStr">
        <is>
          <t>percent2</t>
        </is>
      </c>
    </row>
    <row r="5">
      <c r="A5" s="98" t="inlineStr">
        <is>
          <t>Table Rules</t>
        </is>
      </c>
      <c r="E5" s="100" t="inlineStr">
        <is>
          <t xml:space="preserve">Enter Data </t>
        </is>
      </c>
      <c r="F5" s="101" t="inlineStr">
        <is>
          <t>Area</t>
        </is>
      </c>
      <c r="G5" s="115" t="inlineStr">
        <is>
          <t>Only English</t>
        </is>
      </c>
      <c r="I5" s="115" t="inlineStr">
        <is>
          <t>Language other than English</t>
        </is>
      </c>
      <c r="K5" s="115" t="inlineStr">
        <is>
          <t>Spanish</t>
        </is>
      </c>
      <c r="M5" s="115" t="inlineStr">
        <is>
          <t>Other Indo-European languages</t>
        </is>
      </c>
      <c r="O5" s="115" t="inlineStr">
        <is>
          <t>Asian and Pacific Islander languages</t>
        </is>
      </c>
      <c r="Q5" s="115" t="inlineStr">
        <is>
          <t>Other languages</t>
        </is>
      </c>
    </row>
    <row r="6" ht="15" customHeight="1" s="99">
      <c r="A6" t="inlineStr">
        <is>
          <t>Multilevel Headers</t>
        </is>
      </c>
      <c r="B6" t="b">
        <v>1</v>
      </c>
      <c r="G6" s="37" t="inlineStr">
        <is>
          <t>Total Population</t>
        </is>
      </c>
      <c r="H6" s="37" t="inlineStr">
        <is>
          <t>%</t>
        </is>
      </c>
      <c r="I6" s="37" t="inlineStr">
        <is>
          <t>Total Population</t>
        </is>
      </c>
      <c r="J6" s="37" t="inlineStr">
        <is>
          <t>%</t>
        </is>
      </c>
      <c r="K6" s="37" t="inlineStr">
        <is>
          <t>Total Population</t>
        </is>
      </c>
      <c r="L6" s="37" t="inlineStr">
        <is>
          <t>%</t>
        </is>
      </c>
      <c r="M6" s="37" t="inlineStr">
        <is>
          <t>Total Population</t>
        </is>
      </c>
      <c r="N6" s="37" t="inlineStr">
        <is>
          <t>%</t>
        </is>
      </c>
      <c r="O6" s="37" t="inlineStr">
        <is>
          <t>Total Population</t>
        </is>
      </c>
      <c r="P6" s="37" t="inlineStr">
        <is>
          <t>%</t>
        </is>
      </c>
      <c r="Q6" s="37" t="inlineStr">
        <is>
          <t>Total Population</t>
        </is>
      </c>
      <c r="R6" s="37" t="inlineStr">
        <is>
          <t>%</t>
        </is>
      </c>
    </row>
    <row r="7" ht="15.75" customHeight="1" s="99">
      <c r="F7" s="34" t="inlineStr">
        <is>
          <t>Dutchess</t>
        </is>
      </c>
      <c r="G7" s="38" t="n">
        <v>238585</v>
      </c>
      <c r="H7" s="39" t="n">
        <v>84.09999999999999</v>
      </c>
      <c r="I7" s="38" t="n">
        <v>44946</v>
      </c>
      <c r="J7" s="39" t="n">
        <v>15.9</v>
      </c>
      <c r="K7" s="38" t="n">
        <v>26003</v>
      </c>
      <c r="L7" s="39" t="n">
        <v>9.199999999999999</v>
      </c>
      <c r="M7" s="38" t="n">
        <v>10769</v>
      </c>
      <c r="N7" s="39" t="n">
        <v>3.8</v>
      </c>
      <c r="O7" s="38" t="n">
        <v>5267</v>
      </c>
      <c r="P7" s="39" t="n">
        <v>1.9</v>
      </c>
      <c r="Q7" s="38" t="n">
        <v>2907</v>
      </c>
      <c r="R7" s="39" t="n">
        <v>1</v>
      </c>
    </row>
    <row r="8">
      <c r="F8" s="34" t="inlineStr">
        <is>
          <t>Orange</t>
        </is>
      </c>
      <c r="G8" s="38" t="n">
        <v>266545</v>
      </c>
      <c r="H8" s="39" t="n">
        <v>70.8</v>
      </c>
      <c r="I8" s="38" t="n">
        <v>110152</v>
      </c>
      <c r="J8" s="39" t="n">
        <v>29.2</v>
      </c>
      <c r="K8" s="38" t="n">
        <v>55418</v>
      </c>
      <c r="L8" s="39" t="n">
        <v>15</v>
      </c>
      <c r="M8" s="38" t="n">
        <v>45346</v>
      </c>
      <c r="N8" s="39" t="n">
        <v>12</v>
      </c>
      <c r="O8" s="38" t="n">
        <v>6298</v>
      </c>
      <c r="P8" s="39" t="n">
        <v>1.7</v>
      </c>
      <c r="Q8" s="38" t="n">
        <v>3090</v>
      </c>
      <c r="R8" s="39" t="n">
        <v>0.8</v>
      </c>
    </row>
    <row r="9">
      <c r="A9" s="98" t="inlineStr">
        <is>
          <t>Figure Rules</t>
        </is>
      </c>
      <c r="F9" s="34" t="inlineStr">
        <is>
          <t>Putnam</t>
        </is>
      </c>
      <c r="G9" s="38" t="n">
        <v>73860</v>
      </c>
      <c r="H9" s="39" t="n">
        <v>79</v>
      </c>
      <c r="I9" s="38" t="n">
        <v>19607</v>
      </c>
      <c r="J9" s="39" t="n">
        <v>21</v>
      </c>
      <c r="K9" s="38" t="n">
        <v>11733</v>
      </c>
      <c r="L9" s="39" t="n">
        <v>13</v>
      </c>
      <c r="M9" s="38" t="n">
        <v>5687</v>
      </c>
      <c r="N9" s="39" t="n">
        <v>6.1</v>
      </c>
      <c r="O9" s="38" t="n">
        <v>1504</v>
      </c>
      <c r="P9" s="39" t="n">
        <v>1.6</v>
      </c>
      <c r="Q9" s="39" t="n">
        <v>683</v>
      </c>
      <c r="R9" s="39" t="n">
        <v>0.7</v>
      </c>
    </row>
    <row r="10">
      <c r="A10" t="inlineStr">
        <is>
          <t>Figure Type</t>
        </is>
      </c>
      <c r="F10" s="34" t="inlineStr">
        <is>
          <t>Rockland</t>
        </is>
      </c>
      <c r="G10" s="38" t="n">
        <v>174907</v>
      </c>
      <c r="H10" s="39" t="n">
        <v>56.4</v>
      </c>
      <c r="I10" s="38" t="n">
        <v>135072</v>
      </c>
      <c r="J10" s="39" t="n">
        <v>43.6</v>
      </c>
      <c r="K10" s="38" t="n">
        <v>46360</v>
      </c>
      <c r="L10" s="39" t="n">
        <v>15</v>
      </c>
      <c r="M10" s="38" t="n">
        <v>69600</v>
      </c>
      <c r="N10" s="39" t="n">
        <v>22.5</v>
      </c>
      <c r="O10" s="38" t="n">
        <v>12024</v>
      </c>
      <c r="P10" s="39" t="n">
        <v>3.9</v>
      </c>
      <c r="Q10" s="38" t="n">
        <v>7088</v>
      </c>
      <c r="R10" s="39" t="n">
        <v>2.3</v>
      </c>
    </row>
    <row r="11">
      <c r="A11" t="inlineStr">
        <is>
          <t>X Column</t>
        </is>
      </c>
      <c r="F11" s="34" t="inlineStr">
        <is>
          <t>Sullivan</t>
        </is>
      </c>
      <c r="G11" s="38" t="n">
        <v>59484</v>
      </c>
      <c r="H11" s="39" t="n">
        <v>79.90000000000001</v>
      </c>
      <c r="I11" s="38" t="n">
        <v>15007</v>
      </c>
      <c r="J11" s="39" t="n">
        <v>20.1</v>
      </c>
      <c r="K11" s="38" t="n">
        <v>8639</v>
      </c>
      <c r="L11" s="39" t="n">
        <v>12</v>
      </c>
      <c r="M11" s="38" t="n">
        <v>4877</v>
      </c>
      <c r="N11" s="39" t="n">
        <v>6.5</v>
      </c>
      <c r="O11" s="39" t="n">
        <v>819</v>
      </c>
      <c r="P11" s="39" t="n">
        <v>1.1</v>
      </c>
      <c r="Q11" s="39" t="n">
        <v>672</v>
      </c>
      <c r="R11" s="39" t="n">
        <v>0.9</v>
      </c>
    </row>
    <row r="12">
      <c r="A12" t="inlineStr">
        <is>
          <t>Y Column</t>
        </is>
      </c>
      <c r="F12" s="34" t="inlineStr">
        <is>
          <t>Ulster</t>
        </is>
      </c>
      <c r="G12" s="38" t="n">
        <v>152966</v>
      </c>
      <c r="H12" s="39" t="n">
        <v>87.8</v>
      </c>
      <c r="I12" s="38" t="n">
        <v>21217</v>
      </c>
      <c r="J12" s="39" t="n">
        <v>12.2</v>
      </c>
      <c r="K12" s="38" t="n">
        <v>11924</v>
      </c>
      <c r="L12" s="39" t="n">
        <v>6.8</v>
      </c>
      <c r="M12" s="38" t="n">
        <v>5602</v>
      </c>
      <c r="N12" s="39" t="n">
        <v>3.2</v>
      </c>
      <c r="O12" s="38" t="n">
        <v>2679</v>
      </c>
      <c r="P12" s="39" t="n">
        <v>1.5</v>
      </c>
      <c r="Q12" s="38" t="n">
        <v>1012</v>
      </c>
      <c r="R12" s="39" t="n">
        <v>0.6</v>
      </c>
    </row>
    <row r="13">
      <c r="A13" t="inlineStr">
        <is>
          <t>X Axis Title</t>
        </is>
      </c>
      <c r="F13" s="34" t="inlineStr">
        <is>
          <t>Westchester</t>
        </is>
      </c>
      <c r="G13" s="38" t="n">
        <v>619503</v>
      </c>
      <c r="H13" s="39" t="n">
        <v>65.7</v>
      </c>
      <c r="I13" s="38" t="n">
        <v>324103</v>
      </c>
      <c r="J13" s="39" t="n">
        <v>34.3</v>
      </c>
      <c r="K13" s="38" t="n">
        <v>196271</v>
      </c>
      <c r="L13" s="39" t="n">
        <v>21</v>
      </c>
      <c r="M13" s="38" t="n">
        <v>78915</v>
      </c>
      <c r="N13" s="39" t="n">
        <v>8.4</v>
      </c>
      <c r="O13" s="38" t="n">
        <v>32889</v>
      </c>
      <c r="P13" s="39" t="n">
        <v>3.5</v>
      </c>
      <c r="Q13" s="38" t="n">
        <v>16028</v>
      </c>
      <c r="R13" s="39" t="n">
        <v>1.7</v>
      </c>
    </row>
    <row r="14">
      <c r="A14" t="inlineStr">
        <is>
          <t>Y Axis Title</t>
        </is>
      </c>
      <c r="F14" s="34" t="inlineStr">
        <is>
          <t>Mid-Hudson</t>
        </is>
      </c>
      <c r="G14" s="38" t="n">
        <v>1585850</v>
      </c>
      <c r="H14" s="39" t="n">
        <v>54.2</v>
      </c>
      <c r="I14" s="38" t="n">
        <v>670104</v>
      </c>
      <c r="J14" s="39" t="n">
        <v>22.9</v>
      </c>
      <c r="K14" s="38" t="n">
        <v>356348</v>
      </c>
      <c r="L14" s="39" t="n">
        <v>12.2</v>
      </c>
      <c r="M14" s="38" t="n">
        <v>220796</v>
      </c>
      <c r="N14" s="39" t="n">
        <v>7.5</v>
      </c>
      <c r="O14" s="38" t="n">
        <v>61480</v>
      </c>
      <c r="P14" s="39" t="n">
        <v>2.1</v>
      </c>
      <c r="Q14" s="38" t="n">
        <v>31480</v>
      </c>
      <c r="R14" s="39" t="n">
        <v>1.1</v>
      </c>
    </row>
    <row r="15">
      <c r="A15" t="inlineStr">
        <is>
          <t>Start at Zero</t>
        </is>
      </c>
      <c r="F15" s="34" t="inlineStr">
        <is>
          <t>NYS excl NYC</t>
        </is>
      </c>
      <c r="G15" s="38" t="n">
        <v>8808643</v>
      </c>
      <c r="H15" s="39" t="n">
        <v>69.40000000000001</v>
      </c>
      <c r="I15" s="38" t="n">
        <v>1942746</v>
      </c>
      <c r="J15" s="39" t="n">
        <v>15.3</v>
      </c>
      <c r="K15" s="38" t="n">
        <v>940527</v>
      </c>
      <c r="L15" s="39" t="n">
        <v>12.2</v>
      </c>
      <c r="M15" s="38" t="n">
        <v>632717</v>
      </c>
      <c r="N15" s="39" t="n">
        <v>5</v>
      </c>
      <c r="O15" s="38" t="n">
        <v>258104</v>
      </c>
      <c r="P15" s="39" t="n">
        <v>2</v>
      </c>
      <c r="Q15" s="38" t="n">
        <v>111398</v>
      </c>
      <c r="R15" s="39" t="n">
        <v>0.9</v>
      </c>
    </row>
    <row r="16">
      <c r="F16" s="34" t="inlineStr">
        <is>
          <t>NYS</t>
        </is>
      </c>
      <c r="G16" s="38" t="n">
        <v>13017480</v>
      </c>
      <c r="H16" s="39" t="n">
        <v>69.40000000000001</v>
      </c>
      <c r="I16" s="38" t="n">
        <v>5751878</v>
      </c>
      <c r="J16" s="39" t="n">
        <v>30.6</v>
      </c>
      <c r="K16" s="38" t="n">
        <v>2762664</v>
      </c>
      <c r="L16" s="39" t="n">
        <v>15</v>
      </c>
      <c r="M16" s="38" t="n">
        <v>1679571</v>
      </c>
      <c r="N16" s="39" t="n">
        <v>8.9</v>
      </c>
      <c r="O16" s="38" t="n">
        <v>958133</v>
      </c>
      <c r="P16" s="39" t="n">
        <v>5.1</v>
      </c>
      <c r="Q16" s="38" t="n">
        <v>351510</v>
      </c>
      <c r="R16" s="39" t="n">
        <v>1.9</v>
      </c>
    </row>
    <row r="17"/>
    <row r="18" ht="21" customHeight="1" s="99">
      <c r="A18" s="98" t="inlineStr">
        <is>
          <t>Source Specifications</t>
        </is>
      </c>
      <c r="F18" s="36" t="n"/>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13">
    <mergeCell ref="B1:O1"/>
    <mergeCell ref="E5:E57"/>
    <mergeCell ref="O5:P5"/>
    <mergeCell ref="Q5:R5"/>
    <mergeCell ref="A9:B9"/>
    <mergeCell ref="A5:B5"/>
    <mergeCell ref="G5:H5"/>
    <mergeCell ref="K5:L5"/>
    <mergeCell ref="I5:J5"/>
    <mergeCell ref="M5:N5"/>
    <mergeCell ref="F5:F6"/>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Q4" showDropDown="0" showInputMessage="1" showErrorMessage="1" allowBlank="1" type="list">
      <formula1>"integer, number, percent1"</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57"/>
  <sheetViews>
    <sheetView workbookViewId="0">
      <selection activeCell="F6" sqref="F6"/>
    </sheetView>
  </sheetViews>
  <sheetFormatPr baseColWidth="10" defaultColWidth="8.6640625" defaultRowHeight="15"/>
  <cols>
    <col width="20" bestFit="1" customWidth="1" style="99" min="1" max="1"/>
    <col width="16.6640625" customWidth="1" style="99" min="2" max="2"/>
    <col width="6.6640625" customWidth="1" style="99" min="5" max="5"/>
    <col width="11.164062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104" t="inlineStr">
        <is>
          <t>Population 25 Years and Older, 2023</t>
        </is>
      </c>
    </row>
    <row r="2">
      <c r="A2" s="97" t="inlineStr">
        <is>
          <t>Table/Figure/Both</t>
        </is>
      </c>
      <c r="B2" t="inlineStr">
        <is>
          <t>Table</t>
        </is>
      </c>
    </row>
    <row r="3">
      <c r="A3" s="97" t="inlineStr">
        <is>
          <t xml:space="preserve">Object ID  </t>
        </is>
      </c>
      <c r="B3">
        <f>IF($B$1="","",_xlfn.XLOOKUP($B$1,Master!$F$2:$F$308,Master!$G$2:$G$308,""))</f>
        <v/>
      </c>
    </row>
    <row r="4">
      <c r="E4" s="13" t="n"/>
      <c r="F4" s="13" t="n"/>
      <c r="G4" s="16" t="inlineStr">
        <is>
          <t>integer</t>
        </is>
      </c>
      <c r="H4" s="16" t="n"/>
      <c r="I4" s="16" t="n"/>
      <c r="J4" s="16" t="n"/>
      <c r="K4" s="16" t="n"/>
      <c r="L4" s="16" t="n"/>
      <c r="M4" s="16" t="n"/>
      <c r="N4" s="16" t="n"/>
      <c r="O4" s="16" t="n"/>
    </row>
    <row r="5">
      <c r="A5" s="98" t="inlineStr">
        <is>
          <t>Table Rules</t>
        </is>
      </c>
      <c r="E5" s="100" t="inlineStr">
        <is>
          <t xml:space="preserve">Enter Data </t>
        </is>
      </c>
      <c r="F5" t="inlineStr">
        <is>
          <t>Area</t>
        </is>
      </c>
      <c r="G5" s="34" t="inlineStr">
        <is>
          <t>Total Population</t>
        </is>
      </c>
    </row>
    <row r="6" ht="15" customHeight="1" s="99">
      <c r="A6" t="inlineStr">
        <is>
          <t>Multilevel Headers</t>
        </is>
      </c>
      <c r="B6" t="b">
        <v>0</v>
      </c>
      <c r="F6" s="34" t="inlineStr">
        <is>
          <t>Dutchess</t>
        </is>
      </c>
      <c r="G6" s="35" t="n">
        <v>211380</v>
      </c>
    </row>
    <row r="7" ht="15.75" customHeight="1" s="99">
      <c r="F7" s="34" t="inlineStr">
        <is>
          <t>Orange</t>
        </is>
      </c>
      <c r="G7" s="35" t="n">
        <v>258632</v>
      </c>
    </row>
    <row r="8">
      <c r="F8" s="34" t="inlineStr">
        <is>
          <t>Putnam</t>
        </is>
      </c>
      <c r="G8" s="35" t="n">
        <v>71149</v>
      </c>
    </row>
    <row r="9">
      <c r="A9" s="98" t="inlineStr">
        <is>
          <t>Figure Rules</t>
        </is>
      </c>
      <c r="F9" s="34" t="inlineStr">
        <is>
          <t>Rockland</t>
        </is>
      </c>
      <c r="G9" s="35" t="n">
        <v>208594</v>
      </c>
    </row>
    <row r="10">
      <c r="A10" t="inlineStr">
        <is>
          <t>Figure Type</t>
        </is>
      </c>
      <c r="F10" s="34" t="inlineStr">
        <is>
          <t>Sullivan</t>
        </is>
      </c>
      <c r="G10" s="35" t="n">
        <v>55761</v>
      </c>
    </row>
    <row r="11">
      <c r="A11" t="inlineStr">
        <is>
          <t>X Column</t>
        </is>
      </c>
      <c r="F11" s="34" t="inlineStr">
        <is>
          <t>Ulster</t>
        </is>
      </c>
      <c r="G11" s="35" t="n">
        <v>134325</v>
      </c>
    </row>
    <row r="12">
      <c r="A12" t="inlineStr">
        <is>
          <t>Y Column</t>
        </is>
      </c>
      <c r="F12" s="34" t="inlineStr">
        <is>
          <t>Westchester</t>
        </is>
      </c>
      <c r="G12" s="35" t="n">
        <v>697202</v>
      </c>
    </row>
    <row r="13">
      <c r="A13" t="inlineStr">
        <is>
          <t>X Axis Title</t>
        </is>
      </c>
      <c r="F13" s="34" t="inlineStr">
        <is>
          <t>Mid-Hudson</t>
        </is>
      </c>
      <c r="G13" s="35" t="n">
        <v>1637043</v>
      </c>
    </row>
    <row r="14">
      <c r="A14" t="inlineStr">
        <is>
          <t>Y Axis Title</t>
        </is>
      </c>
      <c r="F14" s="34" t="inlineStr">
        <is>
          <t>NYS excl NYC</t>
        </is>
      </c>
      <c r="G14" s="35" t="n">
        <v>7905485</v>
      </c>
    </row>
    <row r="15">
      <c r="A15" t="inlineStr">
        <is>
          <t>Start at Zero</t>
        </is>
      </c>
      <c r="F15" s="34" t="inlineStr">
        <is>
          <t>NYS</t>
        </is>
      </c>
      <c r="G15" s="35" t="n">
        <v>13996138</v>
      </c>
    </row>
    <row r="16"/>
    <row r="17" ht="21" customHeight="1" s="99">
      <c r="F17" s="36" t="n"/>
    </row>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O4" showDropDown="0" showInputMessage="1" showErrorMessage="1" allowBlank="1" type="list">
      <formula1>"integer, number, percent1"</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57"/>
  <sheetViews>
    <sheetView workbookViewId="0">
      <selection activeCell="G23" sqref="G23"/>
    </sheetView>
  </sheetViews>
  <sheetFormatPr baseColWidth="10" defaultColWidth="8.6640625" defaultRowHeight="15"/>
  <cols>
    <col width="20" bestFit="1" customWidth="1" style="99" min="1" max="1"/>
    <col width="16.6640625" customWidth="1" style="99" min="2" max="2"/>
    <col width="6.6640625" customWidth="1" style="99" min="5" max="5"/>
    <col width="14.6640625" customWidth="1" style="99" min="6" max="6"/>
    <col width="9.5" customWidth="1" style="99" min="7" max="7"/>
    <col width="13.5" customWidth="1" style="99" min="8" max="8"/>
    <col width="15.6640625" customWidth="1" style="99" min="9" max="9"/>
    <col width="10.6640625" customWidth="1" style="99" min="11" max="11"/>
    <col width="12.33203125" bestFit="1" customWidth="1" style="99" min="12" max="12"/>
    <col width="12.33203125" bestFit="1" customWidth="1" style="99" min="14" max="14"/>
    <col width="11" bestFit="1" customWidth="1" style="99" min="15" max="15"/>
    <col width="11.5" customWidth="1" style="99" min="18" max="18"/>
    <col width="14" customWidth="1" style="99" min="19" max="19"/>
    <col width="13.6640625" customWidth="1" style="99" min="20" max="20"/>
  </cols>
  <sheetData>
    <row r="1">
      <c r="A1" s="97" t="inlineStr">
        <is>
          <t>Name</t>
        </is>
      </c>
      <c r="B1" s="104" t="inlineStr">
        <is>
          <t>Population by Educational Attainment, 2023</t>
        </is>
      </c>
    </row>
    <row r="2">
      <c r="A2" s="97" t="inlineStr">
        <is>
          <t>Table/Figure/Both</t>
        </is>
      </c>
      <c r="B2" t="inlineStr">
        <is>
          <t>Table</t>
        </is>
      </c>
    </row>
    <row r="3">
      <c r="A3" s="97" t="inlineStr">
        <is>
          <t xml:space="preserve">Object ID  </t>
        </is>
      </c>
      <c r="B3">
        <f>IF($B$1="","",_xlfn.XLOOKUP($B$1,Master!$F$2:$F$308,Master!$G$2:$G$308,""))</f>
        <v/>
      </c>
    </row>
    <row r="4">
      <c r="E4" s="13" t="n"/>
      <c r="F4" s="13" t="n"/>
      <c r="G4" s="16" t="inlineStr">
        <is>
          <t>integer</t>
        </is>
      </c>
      <c r="H4" s="16" t="inlineStr">
        <is>
          <t>percent1</t>
        </is>
      </c>
      <c r="I4" s="16" t="inlineStr">
        <is>
          <t>integer</t>
        </is>
      </c>
      <c r="J4" s="16" t="inlineStr">
        <is>
          <t>percent1</t>
        </is>
      </c>
      <c r="K4" s="16" t="inlineStr">
        <is>
          <t>integer</t>
        </is>
      </c>
      <c r="L4" s="16" t="inlineStr">
        <is>
          <t>percent1</t>
        </is>
      </c>
      <c r="M4" s="16" t="inlineStr">
        <is>
          <t>integer</t>
        </is>
      </c>
      <c r="N4" s="16" t="inlineStr">
        <is>
          <t>percent1</t>
        </is>
      </c>
      <c r="O4" s="16" t="inlineStr">
        <is>
          <t>integer</t>
        </is>
      </c>
      <c r="P4" s="16" t="inlineStr">
        <is>
          <t>percent1</t>
        </is>
      </c>
      <c r="Q4" s="16" t="inlineStr">
        <is>
          <t>integer</t>
        </is>
      </c>
      <c r="R4" s="16" t="inlineStr">
        <is>
          <t>percent1</t>
        </is>
      </c>
      <c r="S4" s="16" t="inlineStr">
        <is>
          <t>integer</t>
        </is>
      </c>
      <c r="T4" s="16" t="inlineStr">
        <is>
          <t>percent1</t>
        </is>
      </c>
    </row>
    <row r="5">
      <c r="A5" s="98" t="inlineStr">
        <is>
          <t>Table Rules</t>
        </is>
      </c>
      <c r="E5" s="100" t="inlineStr">
        <is>
          <t xml:space="preserve">Enter Data </t>
        </is>
      </c>
      <c r="F5" s="101" t="inlineStr">
        <is>
          <t>Area</t>
        </is>
      </c>
      <c r="G5" s="113" t="inlineStr">
        <is>
          <t>Less than 9th grade</t>
        </is>
      </c>
      <c r="I5" s="113" t="inlineStr">
        <is>
          <t>9th to 12th grade, no diploma</t>
        </is>
      </c>
      <c r="K5" s="113" t="inlineStr">
        <is>
          <t>High school graduate or equivalent</t>
        </is>
      </c>
      <c r="M5" s="113" t="inlineStr">
        <is>
          <t>Some college, no degree</t>
        </is>
      </c>
      <c r="O5" s="113" t="inlineStr">
        <is>
          <t>Associate degree</t>
        </is>
      </c>
      <c r="Q5" s="113" t="inlineStr">
        <is>
          <t>Bachelor's degree</t>
        </is>
      </c>
      <c r="S5" s="113" t="inlineStr">
        <is>
          <t>Graduate or professional degree</t>
        </is>
      </c>
    </row>
    <row r="6">
      <c r="A6" t="inlineStr">
        <is>
          <t>Multilevel Headers</t>
        </is>
      </c>
      <c r="B6" t="b">
        <v>1</v>
      </c>
      <c r="G6" s="31" t="inlineStr">
        <is>
          <t>N</t>
        </is>
      </c>
      <c r="H6" s="31" t="inlineStr">
        <is>
          <t>%</t>
        </is>
      </c>
      <c r="I6" s="31" t="inlineStr">
        <is>
          <t>N</t>
        </is>
      </c>
      <c r="J6" s="31" t="inlineStr">
        <is>
          <t>%</t>
        </is>
      </c>
      <c r="K6" s="31" t="inlineStr">
        <is>
          <t>N</t>
        </is>
      </c>
      <c r="L6" s="31" t="inlineStr">
        <is>
          <t>%</t>
        </is>
      </c>
      <c r="M6" s="31" t="inlineStr">
        <is>
          <t>N</t>
        </is>
      </c>
      <c r="N6" s="31" t="inlineStr">
        <is>
          <t>%</t>
        </is>
      </c>
      <c r="O6" s="31" t="inlineStr">
        <is>
          <t>N</t>
        </is>
      </c>
      <c r="P6" s="31" t="inlineStr">
        <is>
          <t>%</t>
        </is>
      </c>
      <c r="Q6" s="31" t="inlineStr">
        <is>
          <t>N</t>
        </is>
      </c>
      <c r="R6" s="31" t="inlineStr">
        <is>
          <t>%</t>
        </is>
      </c>
      <c r="S6" s="31" t="inlineStr">
        <is>
          <t>N</t>
        </is>
      </c>
      <c r="T6" s="31" t="inlineStr">
        <is>
          <t>%</t>
        </is>
      </c>
    </row>
    <row r="7" ht="15.75" customHeight="1" s="99">
      <c r="F7" s="17" t="inlineStr">
        <is>
          <t>Dutchess</t>
        </is>
      </c>
      <c r="G7" s="32" t="n">
        <v>6262</v>
      </c>
      <c r="H7" s="33" t="n">
        <v>3</v>
      </c>
      <c r="I7" s="32" t="n">
        <v>11055</v>
      </c>
      <c r="J7" s="33" t="n">
        <v>5.2</v>
      </c>
      <c r="K7" s="32" t="n">
        <v>52992</v>
      </c>
      <c r="L7" s="33" t="n">
        <v>25.1</v>
      </c>
      <c r="M7" s="32" t="n">
        <v>35689</v>
      </c>
      <c r="N7" s="33" t="n">
        <v>16.9</v>
      </c>
      <c r="O7" s="32" t="n">
        <v>21410</v>
      </c>
      <c r="P7" s="33" t="n">
        <v>10.1</v>
      </c>
      <c r="Q7" s="32" t="n">
        <v>44414</v>
      </c>
      <c r="R7" s="33" t="n">
        <v>21</v>
      </c>
      <c r="S7" s="32" t="n">
        <v>39558</v>
      </c>
      <c r="T7" s="33" t="n">
        <v>18.7</v>
      </c>
    </row>
    <row r="8">
      <c r="F8" s="17" t="inlineStr">
        <is>
          <t>Orange</t>
        </is>
      </c>
      <c r="G8" s="32" t="n">
        <v>10091</v>
      </c>
      <c r="H8" s="33" t="n">
        <v>3.9</v>
      </c>
      <c r="I8" s="32" t="n">
        <v>16609</v>
      </c>
      <c r="J8" s="33" t="n">
        <v>6.4</v>
      </c>
      <c r="K8" s="32" t="n">
        <v>72466</v>
      </c>
      <c r="L8" s="33" t="n">
        <v>28</v>
      </c>
      <c r="M8" s="32" t="n">
        <v>49355</v>
      </c>
      <c r="N8" s="33" t="n">
        <v>19.1</v>
      </c>
      <c r="O8" s="32" t="n">
        <v>26722</v>
      </c>
      <c r="P8" s="33" t="n">
        <v>10.3</v>
      </c>
      <c r="Q8" s="32" t="n">
        <v>46977</v>
      </c>
      <c r="R8" s="33" t="n">
        <v>18.2</v>
      </c>
      <c r="S8" s="32" t="n">
        <v>36412</v>
      </c>
      <c r="T8" s="33" t="n">
        <v>14.1</v>
      </c>
    </row>
    <row r="9">
      <c r="A9" s="98" t="inlineStr">
        <is>
          <t>Figure Rules</t>
        </is>
      </c>
      <c r="F9" s="17" t="inlineStr">
        <is>
          <t>Putnam</t>
        </is>
      </c>
      <c r="G9" s="32" t="n">
        <v>2255</v>
      </c>
      <c r="H9" s="33" t="n">
        <v>3.2</v>
      </c>
      <c r="I9" s="32" t="n">
        <v>2536</v>
      </c>
      <c r="J9" s="33" t="n">
        <v>3.6</v>
      </c>
      <c r="K9" s="32" t="n">
        <v>17647</v>
      </c>
      <c r="L9" s="33" t="n">
        <v>24.8</v>
      </c>
      <c r="M9" s="32" t="n">
        <v>11728</v>
      </c>
      <c r="N9" s="33" t="n">
        <v>16.5</v>
      </c>
      <c r="O9" s="32" t="n">
        <v>6002</v>
      </c>
      <c r="P9" s="33" t="n">
        <v>8.4</v>
      </c>
      <c r="Q9" s="32" t="n">
        <v>17222</v>
      </c>
      <c r="R9" s="33" t="n">
        <v>24.2</v>
      </c>
      <c r="S9" s="32" t="n">
        <v>13759</v>
      </c>
      <c r="T9" s="33" t="n">
        <v>19.3</v>
      </c>
    </row>
    <row r="10">
      <c r="A10" t="inlineStr">
        <is>
          <t>Figure Type</t>
        </is>
      </c>
      <c r="F10" s="17" t="inlineStr">
        <is>
          <t>Rockland</t>
        </is>
      </c>
      <c r="G10" s="32" t="n">
        <v>11800</v>
      </c>
      <c r="H10" s="33" t="n">
        <v>5.7</v>
      </c>
      <c r="I10" s="32" t="n">
        <v>13858</v>
      </c>
      <c r="J10" s="33" t="n">
        <v>6.6</v>
      </c>
      <c r="K10" s="32" t="n">
        <v>45118</v>
      </c>
      <c r="L10" s="33" t="n">
        <v>21.6</v>
      </c>
      <c r="M10" s="32" t="n">
        <v>33790</v>
      </c>
      <c r="N10" s="33" t="n">
        <v>16.2</v>
      </c>
      <c r="O10" s="32" t="n">
        <v>16169</v>
      </c>
      <c r="P10" s="33" t="n">
        <v>7.8</v>
      </c>
      <c r="Q10" s="32" t="n">
        <v>48405</v>
      </c>
      <c r="R10" s="33" t="n">
        <v>23.2</v>
      </c>
      <c r="S10" s="32" t="n">
        <v>39454</v>
      </c>
      <c r="T10" s="33" t="n">
        <v>18.9</v>
      </c>
    </row>
    <row r="11">
      <c r="A11" t="inlineStr">
        <is>
          <t>X Column</t>
        </is>
      </c>
      <c r="F11" s="17" t="inlineStr">
        <is>
          <t>Sullivan</t>
        </is>
      </c>
      <c r="G11" s="32" t="n">
        <v>2755</v>
      </c>
      <c r="H11" s="33" t="n">
        <v>4.9</v>
      </c>
      <c r="I11" s="32" t="n">
        <v>4129</v>
      </c>
      <c r="J11" s="33" t="n">
        <v>7.4</v>
      </c>
      <c r="K11" s="32" t="n">
        <v>16623</v>
      </c>
      <c r="L11" s="33" t="n">
        <v>29.8</v>
      </c>
      <c r="M11" s="32" t="n">
        <v>9973</v>
      </c>
      <c r="N11" s="33" t="n">
        <v>17.9</v>
      </c>
      <c r="O11" s="32" t="n">
        <v>5728</v>
      </c>
      <c r="P11" s="33" t="n">
        <v>10.3</v>
      </c>
      <c r="Q11" s="32" t="n">
        <v>9476</v>
      </c>
      <c r="R11" s="33" t="n">
        <v>17</v>
      </c>
      <c r="S11" s="32" t="n">
        <v>7077</v>
      </c>
      <c r="T11" s="33" t="n">
        <v>12.7</v>
      </c>
    </row>
    <row r="12">
      <c r="A12" t="inlineStr">
        <is>
          <t>Y Column</t>
        </is>
      </c>
      <c r="F12" s="17" t="inlineStr">
        <is>
          <t>Ulster</t>
        </is>
      </c>
      <c r="G12" s="32" t="n">
        <v>3463</v>
      </c>
      <c r="H12" s="33" t="n">
        <v>2.6</v>
      </c>
      <c r="I12" s="32" t="n">
        <v>7622</v>
      </c>
      <c r="J12" s="33" t="n">
        <v>5.7</v>
      </c>
      <c r="K12" s="32" t="n">
        <v>37570</v>
      </c>
      <c r="L12" s="33" t="n">
        <v>28</v>
      </c>
      <c r="M12" s="32" t="n">
        <v>22968</v>
      </c>
      <c r="N12" s="33" t="n">
        <v>17.1</v>
      </c>
      <c r="O12" s="32" t="n">
        <v>12934</v>
      </c>
      <c r="P12" s="33" t="n">
        <v>9.6</v>
      </c>
      <c r="Q12" s="32" t="n">
        <v>27094</v>
      </c>
      <c r="R12" s="33" t="n">
        <v>20.2</v>
      </c>
      <c r="S12" s="32" t="n">
        <v>22674</v>
      </c>
      <c r="T12" s="33" t="n">
        <v>16.9</v>
      </c>
    </row>
    <row r="13">
      <c r="A13" t="inlineStr">
        <is>
          <t>X Axis Title</t>
        </is>
      </c>
      <c r="F13" s="17" t="inlineStr">
        <is>
          <t>Westchester</t>
        </is>
      </c>
      <c r="G13" s="32" t="n">
        <v>37761</v>
      </c>
      <c r="H13" s="33" t="n">
        <v>5.4</v>
      </c>
      <c r="I13" s="32" t="n">
        <v>36459</v>
      </c>
      <c r="J13" s="33" t="n">
        <v>5.2</v>
      </c>
      <c r="K13" s="32" t="n">
        <v>124954</v>
      </c>
      <c r="L13" s="33" t="n">
        <v>17.9</v>
      </c>
      <c r="M13" s="32" t="n">
        <v>87534</v>
      </c>
      <c r="N13" s="33" t="n">
        <v>12.6</v>
      </c>
      <c r="O13" s="32" t="n">
        <v>44393</v>
      </c>
      <c r="P13" s="33" t="n">
        <v>6.4</v>
      </c>
      <c r="Q13" s="32" t="n">
        <v>181482</v>
      </c>
      <c r="R13" s="33" t="n">
        <v>26</v>
      </c>
      <c r="S13" s="32" t="n">
        <v>184619</v>
      </c>
      <c r="T13" s="33" t="n">
        <v>26.5</v>
      </c>
    </row>
    <row r="14">
      <c r="A14" t="inlineStr">
        <is>
          <t>Y Axis Title</t>
        </is>
      </c>
      <c r="F14" s="17" t="inlineStr">
        <is>
          <t>Mid-Hudson</t>
        </is>
      </c>
      <c r="G14" s="32" t="n">
        <v>74387</v>
      </c>
      <c r="H14" s="33" t="n">
        <v>4.5</v>
      </c>
      <c r="I14" s="32" t="n">
        <v>92268</v>
      </c>
      <c r="J14" s="33" t="n">
        <v>5.6</v>
      </c>
      <c r="K14" s="32" t="n">
        <v>367370</v>
      </c>
      <c r="L14" s="33" t="n">
        <v>22.4</v>
      </c>
      <c r="M14" s="32" t="n">
        <v>251037</v>
      </c>
      <c r="N14" s="33" t="n">
        <v>15.3</v>
      </c>
      <c r="O14" s="32" t="n">
        <v>133358</v>
      </c>
      <c r="P14" s="33" t="n">
        <v>8.1</v>
      </c>
      <c r="Q14" s="32" t="n">
        <v>375070</v>
      </c>
      <c r="R14" s="33" t="n">
        <v>22.9</v>
      </c>
      <c r="S14" s="32" t="n">
        <v>343553</v>
      </c>
      <c r="T14" s="33" t="n">
        <v>21</v>
      </c>
    </row>
    <row r="15">
      <c r="A15" t="inlineStr">
        <is>
          <t>Start at Zero</t>
        </is>
      </c>
      <c r="F15" s="17" t="inlineStr">
        <is>
          <t>NYS excl NYC</t>
        </is>
      </c>
      <c r="G15" s="32" t="n">
        <v>300738</v>
      </c>
      <c r="H15" s="33" t="n">
        <v>3.8</v>
      </c>
      <c r="I15" s="32" t="n">
        <v>403754</v>
      </c>
      <c r="J15" s="33" t="n">
        <v>5.1</v>
      </c>
      <c r="K15" s="32" t="n">
        <v>2039454</v>
      </c>
      <c r="L15" s="33" t="n">
        <v>25.8</v>
      </c>
      <c r="M15" s="32" t="n">
        <v>1277348</v>
      </c>
      <c r="N15" s="33" t="n">
        <v>16.2</v>
      </c>
      <c r="O15" s="32" t="n">
        <v>847708</v>
      </c>
      <c r="P15" s="33" t="n">
        <v>10.7</v>
      </c>
      <c r="Q15" s="32" t="n">
        <v>1643943</v>
      </c>
      <c r="R15" s="33" t="n">
        <v>20.8</v>
      </c>
      <c r="S15" s="32" t="n">
        <v>1392540</v>
      </c>
      <c r="T15" s="33" t="n">
        <v>17.6</v>
      </c>
    </row>
    <row r="16">
      <c r="F16" s="17" t="inlineStr">
        <is>
          <t>NYS</t>
        </is>
      </c>
      <c r="G16" s="32" t="n">
        <v>836124</v>
      </c>
      <c r="H16" s="33" t="n">
        <v>6</v>
      </c>
      <c r="I16" s="32" t="n">
        <v>862413</v>
      </c>
      <c r="J16" s="33" t="n">
        <v>6.2</v>
      </c>
      <c r="K16" s="32" t="n">
        <v>3437438</v>
      </c>
      <c r="L16" s="33" t="n">
        <v>24.6</v>
      </c>
      <c r="M16" s="32" t="n">
        <v>2081783</v>
      </c>
      <c r="N16" s="33" t="n">
        <v>14.9</v>
      </c>
      <c r="O16" s="32" t="n">
        <v>1242877</v>
      </c>
      <c r="P16" s="33" t="n">
        <v>8.9</v>
      </c>
      <c r="Q16" s="32" t="n">
        <v>3083769</v>
      </c>
      <c r="R16" s="33" t="n">
        <v>22</v>
      </c>
      <c r="S16" s="32" t="n">
        <v>2451734</v>
      </c>
      <c r="T16" s="33" t="n">
        <v>17.5</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14">
    <mergeCell ref="B1:O1"/>
    <mergeCell ref="E5:E57"/>
    <mergeCell ref="O5:P5"/>
    <mergeCell ref="S5:T5"/>
    <mergeCell ref="Q5:R5"/>
    <mergeCell ref="A9:B9"/>
    <mergeCell ref="A5:B5"/>
    <mergeCell ref="G5:H5"/>
    <mergeCell ref="K5:L5"/>
    <mergeCell ref="I5:J5"/>
    <mergeCell ref="M5:N5"/>
    <mergeCell ref="F5:F6"/>
    <mergeCell ref="A18:B18"/>
    <mergeCell ref="A27:B27"/>
  </mergeCells>
  <dataValidations count="4">
    <dataValidation sqref="G4:T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11.164062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104" t="inlineStr">
        <is>
          <t>Total Households, 2023</t>
        </is>
      </c>
    </row>
    <row r="2">
      <c r="A2" s="97" t="inlineStr">
        <is>
          <t>Table/Figure/Both</t>
        </is>
      </c>
      <c r="B2" t="inlineStr">
        <is>
          <t>Table</t>
        </is>
      </c>
    </row>
    <row r="3">
      <c r="A3" s="97" t="inlineStr">
        <is>
          <t xml:space="preserve">Object ID  </t>
        </is>
      </c>
      <c r="B3">
        <f>IF($B$1="","",_xlfn.XLOOKUP($B$1,Master!$F$2:$F$308,Master!$G$2:$G$308,""))</f>
        <v/>
      </c>
    </row>
    <row r="4">
      <c r="E4" s="13" t="n"/>
      <c r="F4" s="13" t="n"/>
      <c r="G4" s="16" t="inlineStr">
        <is>
          <t>integer</t>
        </is>
      </c>
      <c r="H4" s="16" t="n"/>
      <c r="I4" s="16" t="n"/>
      <c r="J4" s="16" t="n"/>
      <c r="K4" s="16" t="n"/>
      <c r="L4" s="16" t="n"/>
      <c r="M4" s="16" t="n"/>
      <c r="N4" s="16" t="n"/>
      <c r="O4" s="16" t="n"/>
    </row>
    <row r="5">
      <c r="A5" s="98" t="inlineStr">
        <is>
          <t>Table Rules</t>
        </is>
      </c>
      <c r="E5" s="100" t="inlineStr">
        <is>
          <t xml:space="preserve">Enter Data </t>
        </is>
      </c>
      <c r="G5" s="17" t="inlineStr">
        <is>
          <t>Households</t>
        </is>
      </c>
    </row>
    <row r="6" ht="15" customHeight="1" s="99">
      <c r="A6" t="inlineStr">
        <is>
          <t>Multilevel Headers</t>
        </is>
      </c>
      <c r="B6" t="b">
        <v>0</v>
      </c>
      <c r="F6" s="17" t="inlineStr">
        <is>
          <t>Dutchess</t>
        </is>
      </c>
      <c r="G6" s="19" t="n">
        <v>115184</v>
      </c>
    </row>
    <row r="7" ht="15.75" customHeight="1" s="99">
      <c r="F7" s="17" t="inlineStr">
        <is>
          <t>Orange</t>
        </is>
      </c>
      <c r="G7" s="19" t="n">
        <v>137311</v>
      </c>
    </row>
    <row r="8">
      <c r="F8" s="17" t="inlineStr">
        <is>
          <t>Putnam</t>
        </is>
      </c>
      <c r="G8" s="19" t="n">
        <v>35054</v>
      </c>
    </row>
    <row r="9">
      <c r="A9" s="98" t="inlineStr">
        <is>
          <t>Figure Rules</t>
        </is>
      </c>
      <c r="F9" s="17" t="inlineStr">
        <is>
          <t>Rockland</t>
        </is>
      </c>
      <c r="G9" s="19" t="n">
        <v>103284</v>
      </c>
    </row>
    <row r="10">
      <c r="A10" t="inlineStr">
        <is>
          <t>Figure Type</t>
        </is>
      </c>
      <c r="F10" s="17" t="inlineStr">
        <is>
          <t>Sullivan</t>
        </is>
      </c>
      <c r="G10" s="19" t="n">
        <v>30215</v>
      </c>
    </row>
    <row r="11">
      <c r="A11" t="inlineStr">
        <is>
          <t>X Column</t>
        </is>
      </c>
      <c r="F11" s="17" t="inlineStr">
        <is>
          <t>Ulster</t>
        </is>
      </c>
      <c r="G11" s="19" t="n">
        <v>73105</v>
      </c>
    </row>
    <row r="12">
      <c r="A12" t="inlineStr">
        <is>
          <t>Y Column</t>
        </is>
      </c>
      <c r="F12" s="17" t="inlineStr">
        <is>
          <t>Westchester</t>
        </is>
      </c>
      <c r="G12" s="19" t="n">
        <v>370256</v>
      </c>
    </row>
    <row r="13">
      <c r="A13" t="inlineStr">
        <is>
          <t>X Axis Title</t>
        </is>
      </c>
      <c r="F13" s="17" t="inlineStr">
        <is>
          <t>Mid-Hudson</t>
        </is>
      </c>
      <c r="G13" s="19" t="n">
        <v>864409</v>
      </c>
    </row>
    <row r="14">
      <c r="A14" t="inlineStr">
        <is>
          <t>Y Axis Title</t>
        </is>
      </c>
      <c r="F14" s="17" t="inlineStr">
        <is>
          <t>NYS excl NYC</t>
        </is>
      </c>
      <c r="G14" s="19" t="n">
        <v>4355640</v>
      </c>
    </row>
    <row r="15">
      <c r="A15" t="inlineStr">
        <is>
          <t>Start at Zero</t>
        </is>
      </c>
      <c r="F15" s="17" t="inlineStr">
        <is>
          <t>NYS</t>
        </is>
      </c>
      <c r="G15" s="19" t="n">
        <v>7668956</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O4" showDropDown="0" showInputMessage="1" showErrorMessage="1" allowBlank="1" type="list">
      <formula1>"integer, number, percent1"</formula1>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Z57"/>
  <sheetViews>
    <sheetView workbookViewId="0">
      <selection activeCell="F5" sqref="F5:F6"/>
    </sheetView>
  </sheetViews>
  <sheetFormatPr baseColWidth="10" defaultColWidth="8.6640625" defaultRowHeight="15"/>
  <cols>
    <col width="20" bestFit="1" customWidth="1" style="99" min="1" max="1"/>
    <col width="16.6640625" customWidth="1" style="99" min="2" max="2"/>
    <col width="6.6640625" customWidth="1" style="99" min="5" max="5"/>
    <col width="11.1640625" bestFit="1" customWidth="1" style="99" min="6" max="6"/>
    <col width="12" bestFit="1" customWidth="1" style="99" min="7" max="7"/>
    <col width="13.5" customWidth="1" style="99" min="8" max="8"/>
    <col width="12" bestFit="1" customWidth="1" style="99" min="9" max="9"/>
    <col width="12" bestFit="1" customWidth="1" style="99" min="11" max="11"/>
    <col width="12.33203125" bestFit="1" customWidth="1" style="99" min="12" max="12"/>
    <col width="12" bestFit="1" customWidth="1" style="99" min="13" max="13"/>
    <col width="12.33203125" bestFit="1" customWidth="1" style="99" min="14" max="14"/>
    <col width="12" bestFit="1" customWidth="1" style="99" min="15" max="15"/>
    <col width="12" bestFit="1" customWidth="1" style="99" min="17" max="17"/>
    <col width="12" bestFit="1" customWidth="1" style="99" min="19" max="19"/>
    <col width="12" bestFit="1" customWidth="1" style="99" min="21" max="21"/>
    <col width="5.1640625" bestFit="1" customWidth="1" style="99" min="22" max="22"/>
    <col width="12" bestFit="1" customWidth="1" style="99" min="23" max="23"/>
    <col width="12" bestFit="1" customWidth="1" style="99" min="25" max="25"/>
  </cols>
  <sheetData>
    <row r="1">
      <c r="A1" s="97" t="inlineStr">
        <is>
          <t>Name</t>
        </is>
      </c>
      <c r="B1" s="104" t="inlineStr">
        <is>
          <t>Households by Income, 2023</t>
        </is>
      </c>
    </row>
    <row r="2">
      <c r="A2" s="97" t="inlineStr">
        <is>
          <t>Table/Figure/Both</t>
        </is>
      </c>
      <c r="B2" t="inlineStr">
        <is>
          <t>Table</t>
        </is>
      </c>
    </row>
    <row r="3">
      <c r="A3" s="97" t="inlineStr">
        <is>
          <t xml:space="preserve">Object ID  </t>
        </is>
      </c>
      <c r="B3">
        <f>IF($B$1="","",_xlfn.XLOOKUP($B$1,Master!$F$2:$F$308,Master!$G$2:$G$308,""))</f>
        <v/>
      </c>
    </row>
    <row r="4">
      <c r="E4" s="13" t="n"/>
      <c r="F4" s="13" t="n"/>
      <c r="G4" s="16" t="inlineStr">
        <is>
          <t>integer</t>
        </is>
      </c>
      <c r="H4" s="16" t="inlineStr">
        <is>
          <t>percent1</t>
        </is>
      </c>
      <c r="I4" s="16" t="inlineStr">
        <is>
          <t>integer</t>
        </is>
      </c>
      <c r="J4" s="16" t="inlineStr">
        <is>
          <t>percent1</t>
        </is>
      </c>
      <c r="K4" s="16" t="inlineStr">
        <is>
          <t>integer</t>
        </is>
      </c>
      <c r="L4" s="16" t="inlineStr">
        <is>
          <t>percent1</t>
        </is>
      </c>
      <c r="M4" s="16" t="inlineStr">
        <is>
          <t>integer</t>
        </is>
      </c>
      <c r="N4" s="16" t="inlineStr">
        <is>
          <t>percent1</t>
        </is>
      </c>
      <c r="O4" s="16" t="inlineStr">
        <is>
          <t>integer</t>
        </is>
      </c>
      <c r="P4" s="16" t="inlineStr">
        <is>
          <t>percent1</t>
        </is>
      </c>
      <c r="Q4" s="16" t="inlineStr">
        <is>
          <t>integer</t>
        </is>
      </c>
      <c r="R4" s="16" t="inlineStr">
        <is>
          <t>percent1</t>
        </is>
      </c>
      <c r="S4" s="16" t="inlineStr">
        <is>
          <t>integer</t>
        </is>
      </c>
      <c r="T4" s="16" t="inlineStr">
        <is>
          <t>percent1</t>
        </is>
      </c>
      <c r="U4" s="16" t="inlineStr">
        <is>
          <t>integer</t>
        </is>
      </c>
      <c r="V4" s="16" t="inlineStr">
        <is>
          <t>percent1</t>
        </is>
      </c>
      <c r="W4" s="16" t="inlineStr">
        <is>
          <t>integer</t>
        </is>
      </c>
      <c r="X4" s="16" t="inlineStr">
        <is>
          <t>percent1</t>
        </is>
      </c>
      <c r="Y4" s="16" t="inlineStr">
        <is>
          <t>integer</t>
        </is>
      </c>
      <c r="Z4" s="16" t="inlineStr">
        <is>
          <t>percent1</t>
        </is>
      </c>
    </row>
    <row r="5">
      <c r="A5" s="98" t="inlineStr">
        <is>
          <t>Table Rules</t>
        </is>
      </c>
      <c r="E5" s="100" t="inlineStr">
        <is>
          <t xml:space="preserve">Enter Data </t>
        </is>
      </c>
      <c r="F5" s="101" t="inlineStr">
        <is>
          <t>Area</t>
        </is>
      </c>
      <c r="G5" s="110" t="inlineStr">
        <is>
          <t>&lt;$10,000</t>
        </is>
      </c>
      <c r="I5" s="110" t="inlineStr">
        <is>
          <t>$10,000-$14,999</t>
        </is>
      </c>
      <c r="K5" s="110" t="inlineStr">
        <is>
          <t>$15,000-$24,999</t>
        </is>
      </c>
      <c r="M5" s="110" t="inlineStr">
        <is>
          <t>$25,000-$34,999</t>
        </is>
      </c>
      <c r="O5" s="110" t="inlineStr">
        <is>
          <t>$35,000-$49,999</t>
        </is>
      </c>
      <c r="Q5" s="110" t="inlineStr">
        <is>
          <t>$50,000-$74,999</t>
        </is>
      </c>
      <c r="S5" s="110" t="inlineStr">
        <is>
          <t>$75,000-$99,999</t>
        </is>
      </c>
      <c r="U5" s="110" t="inlineStr">
        <is>
          <t>$100,000-$149,999</t>
        </is>
      </c>
      <c r="W5" s="110" t="inlineStr">
        <is>
          <t>$150,000-$199,999</t>
        </is>
      </c>
      <c r="Y5" s="110" t="inlineStr">
        <is>
          <t>&gt;$200,000</t>
        </is>
      </c>
    </row>
    <row r="6" ht="15" customHeight="1" s="99">
      <c r="A6" t="inlineStr">
        <is>
          <t>Multilevel Headers</t>
        </is>
      </c>
      <c r="B6" t="b">
        <v>1</v>
      </c>
      <c r="G6" s="18" t="inlineStr">
        <is>
          <t>Total Population</t>
        </is>
      </c>
      <c r="H6" s="18" t="inlineStr">
        <is>
          <t>%</t>
        </is>
      </c>
      <c r="I6" s="18" t="inlineStr">
        <is>
          <t>Total Population</t>
        </is>
      </c>
      <c r="J6" s="18" t="inlineStr">
        <is>
          <t>%</t>
        </is>
      </c>
      <c r="K6" s="18" t="inlineStr">
        <is>
          <t>Total Population</t>
        </is>
      </c>
      <c r="L6" s="18" t="inlineStr">
        <is>
          <t>%</t>
        </is>
      </c>
      <c r="M6" s="18" t="inlineStr">
        <is>
          <t>Total Population</t>
        </is>
      </c>
      <c r="N6" s="18" t="inlineStr">
        <is>
          <t>%</t>
        </is>
      </c>
      <c r="O6" s="18" t="inlineStr">
        <is>
          <t>Total Population</t>
        </is>
      </c>
      <c r="P6" s="18" t="inlineStr">
        <is>
          <t>%</t>
        </is>
      </c>
      <c r="Q6" s="18" t="inlineStr">
        <is>
          <t>Total Population</t>
        </is>
      </c>
      <c r="R6" s="18" t="inlineStr">
        <is>
          <t>%</t>
        </is>
      </c>
      <c r="S6" s="18" t="inlineStr">
        <is>
          <t>Total Population</t>
        </is>
      </c>
      <c r="T6" s="18" t="inlineStr">
        <is>
          <t>%</t>
        </is>
      </c>
      <c r="U6" s="18" t="inlineStr">
        <is>
          <t>Total Population</t>
        </is>
      </c>
      <c r="V6" s="18" t="inlineStr">
        <is>
          <t>%</t>
        </is>
      </c>
      <c r="W6" s="18" t="inlineStr">
        <is>
          <t>Total Population</t>
        </is>
      </c>
      <c r="X6" s="18" t="inlineStr">
        <is>
          <t>%</t>
        </is>
      </c>
      <c r="Y6" s="18" t="inlineStr">
        <is>
          <t>Total Population</t>
        </is>
      </c>
      <c r="Z6" s="18" t="inlineStr">
        <is>
          <t>%</t>
        </is>
      </c>
    </row>
    <row r="7" ht="15.75" customHeight="1" s="99">
      <c r="F7" s="17" t="inlineStr">
        <is>
          <t>Dutchess</t>
        </is>
      </c>
      <c r="G7" s="19" t="n">
        <v>4723</v>
      </c>
      <c r="H7" s="20" t="n">
        <v>4.1</v>
      </c>
      <c r="I7" s="19" t="n">
        <v>2649</v>
      </c>
      <c r="J7" s="20" t="n">
        <v>2.3</v>
      </c>
      <c r="K7" s="19" t="n">
        <v>5298</v>
      </c>
      <c r="L7" s="20" t="n">
        <v>4.6</v>
      </c>
      <c r="M7" s="19" t="n">
        <v>6105</v>
      </c>
      <c r="N7" s="20" t="n">
        <v>5.3</v>
      </c>
      <c r="O7" s="19" t="n">
        <v>9906</v>
      </c>
      <c r="P7" s="20" t="n">
        <v>8.6</v>
      </c>
      <c r="Q7" s="19" t="n">
        <v>15780</v>
      </c>
      <c r="R7" s="20" t="n">
        <v>13.7</v>
      </c>
      <c r="S7" s="19" t="n">
        <v>14513</v>
      </c>
      <c r="T7" s="20" t="n">
        <v>12.6</v>
      </c>
      <c r="U7" s="19" t="n">
        <v>22346</v>
      </c>
      <c r="V7" s="20" t="n">
        <v>19.4</v>
      </c>
      <c r="W7" s="19" t="n">
        <v>13822</v>
      </c>
      <c r="X7" s="20" t="n">
        <v>12</v>
      </c>
      <c r="Y7" s="19" t="n">
        <v>20042</v>
      </c>
      <c r="Z7" s="20" t="n">
        <v>17.4</v>
      </c>
    </row>
    <row r="8">
      <c r="F8" s="17" t="inlineStr">
        <is>
          <t>Orange</t>
        </is>
      </c>
      <c r="G8" s="19" t="n">
        <v>5492</v>
      </c>
      <c r="H8" s="20" t="n">
        <v>4</v>
      </c>
      <c r="I8" s="19" t="n">
        <v>4119</v>
      </c>
      <c r="J8" s="20" t="n">
        <v>3</v>
      </c>
      <c r="K8" s="19" t="n">
        <v>8651</v>
      </c>
      <c r="L8" s="20" t="n">
        <v>6.3</v>
      </c>
      <c r="M8" s="19" t="n">
        <v>7003</v>
      </c>
      <c r="N8" s="20" t="n">
        <v>5.1</v>
      </c>
      <c r="O8" s="19" t="n">
        <v>10985</v>
      </c>
      <c r="P8" s="20" t="n">
        <v>8</v>
      </c>
      <c r="Q8" s="19" t="n">
        <v>18125</v>
      </c>
      <c r="R8" s="20" t="n">
        <v>13.2</v>
      </c>
      <c r="S8" s="19" t="n">
        <v>16340</v>
      </c>
      <c r="T8" s="20" t="n">
        <v>11.9</v>
      </c>
      <c r="U8" s="19" t="n">
        <v>27188</v>
      </c>
      <c r="V8" s="20" t="n">
        <v>19.8</v>
      </c>
      <c r="W8" s="19" t="n">
        <v>18125</v>
      </c>
      <c r="X8" s="20" t="n">
        <v>13.2</v>
      </c>
      <c r="Y8" s="19" t="n">
        <v>21421</v>
      </c>
      <c r="Z8" s="20" t="n">
        <v>15.6</v>
      </c>
    </row>
    <row r="9">
      <c r="A9" s="98" t="inlineStr">
        <is>
          <t>Figure Rules</t>
        </is>
      </c>
      <c r="F9" s="17" t="inlineStr">
        <is>
          <t>Putnam</t>
        </is>
      </c>
      <c r="G9" s="20" t="n">
        <v>841</v>
      </c>
      <c r="H9" s="20" t="n">
        <v>2.4</v>
      </c>
      <c r="I9" s="20" t="n">
        <v>631</v>
      </c>
      <c r="J9" s="20" t="n">
        <v>1.8</v>
      </c>
      <c r="K9" s="19" t="n">
        <v>1472</v>
      </c>
      <c r="L9" s="20" t="n">
        <v>4.2</v>
      </c>
      <c r="M9" s="19" t="n">
        <v>1402</v>
      </c>
      <c r="N9" s="20" t="n">
        <v>4</v>
      </c>
      <c r="O9" s="19" t="n">
        <v>2033</v>
      </c>
      <c r="P9" s="20" t="n">
        <v>5.8</v>
      </c>
      <c r="Q9" s="19" t="n">
        <v>3926</v>
      </c>
      <c r="R9" s="20" t="n">
        <v>11.2</v>
      </c>
      <c r="S9" s="19" t="n">
        <v>3365</v>
      </c>
      <c r="T9" s="20" t="n">
        <v>9.6</v>
      </c>
      <c r="U9" s="19" t="n">
        <v>7326</v>
      </c>
      <c r="V9" s="20" t="n">
        <v>20.9</v>
      </c>
      <c r="W9" s="19" t="n">
        <v>5503</v>
      </c>
      <c r="X9" s="20" t="n">
        <v>15.7</v>
      </c>
      <c r="Y9" s="19" t="n">
        <v>8553</v>
      </c>
      <c r="Z9" s="20" t="n">
        <v>24.4</v>
      </c>
    </row>
    <row r="10">
      <c r="A10" t="inlineStr">
        <is>
          <t>Figure Type</t>
        </is>
      </c>
      <c r="F10" s="17" t="inlineStr">
        <is>
          <t>Rockland</t>
        </is>
      </c>
      <c r="G10" s="19" t="n">
        <v>3822</v>
      </c>
      <c r="H10" s="20" t="n">
        <v>3.7</v>
      </c>
      <c r="I10" s="19" t="n">
        <v>2169</v>
      </c>
      <c r="J10" s="20" t="n">
        <v>2.1</v>
      </c>
      <c r="K10" s="19" t="n">
        <v>5784</v>
      </c>
      <c r="L10" s="20" t="n">
        <v>5.6</v>
      </c>
      <c r="M10" s="19" t="n">
        <v>5474</v>
      </c>
      <c r="N10" s="20" t="n">
        <v>5.3</v>
      </c>
      <c r="O10" s="19" t="n">
        <v>7746</v>
      </c>
      <c r="P10" s="20" t="n">
        <v>7.5</v>
      </c>
      <c r="Q10" s="19" t="n">
        <v>11878</v>
      </c>
      <c r="R10" s="20" t="n">
        <v>11.5</v>
      </c>
      <c r="S10" s="19" t="n">
        <v>10328</v>
      </c>
      <c r="T10" s="20" t="n">
        <v>10</v>
      </c>
      <c r="U10" s="19" t="n">
        <v>18281</v>
      </c>
      <c r="V10" s="20" t="n">
        <v>17.7</v>
      </c>
      <c r="W10" s="19" t="n">
        <v>12394</v>
      </c>
      <c r="X10" s="20" t="n">
        <v>12</v>
      </c>
      <c r="Y10" s="19" t="n">
        <v>25408</v>
      </c>
      <c r="Z10" s="20" t="n">
        <v>24.6</v>
      </c>
    </row>
    <row r="11">
      <c r="A11" t="inlineStr">
        <is>
          <t>X Column</t>
        </is>
      </c>
      <c r="F11" s="17" t="inlineStr">
        <is>
          <t>Sullivan</t>
        </is>
      </c>
      <c r="G11" s="19" t="n">
        <v>1420</v>
      </c>
      <c r="H11" s="20" t="n">
        <v>4.7</v>
      </c>
      <c r="I11" s="19" t="n">
        <v>1481</v>
      </c>
      <c r="J11" s="20" t="n">
        <v>4.9</v>
      </c>
      <c r="K11" s="19" t="n">
        <v>2327</v>
      </c>
      <c r="L11" s="20" t="n">
        <v>7.7</v>
      </c>
      <c r="M11" s="19" t="n">
        <v>2447</v>
      </c>
      <c r="N11" s="20" t="n">
        <v>8.1</v>
      </c>
      <c r="O11" s="19" t="n">
        <v>3384</v>
      </c>
      <c r="P11" s="20" t="n">
        <v>11.2</v>
      </c>
      <c r="Q11" s="19" t="n">
        <v>5137</v>
      </c>
      <c r="R11" s="20" t="n">
        <v>17</v>
      </c>
      <c r="S11" s="19" t="n">
        <v>3807</v>
      </c>
      <c r="T11" s="20" t="n">
        <v>12.6</v>
      </c>
      <c r="U11" s="19" t="n">
        <v>4442</v>
      </c>
      <c r="V11" s="20" t="n">
        <v>14.7</v>
      </c>
      <c r="W11" s="19" t="n">
        <v>2478</v>
      </c>
      <c r="X11" s="20" t="n">
        <v>8.199999999999999</v>
      </c>
      <c r="Y11" s="19" t="n">
        <v>3293</v>
      </c>
      <c r="Z11" s="20" t="n">
        <v>10.9</v>
      </c>
    </row>
    <row r="12">
      <c r="A12" t="inlineStr">
        <is>
          <t>Y Column</t>
        </is>
      </c>
      <c r="F12" s="17" t="inlineStr">
        <is>
          <t>Ulster</t>
        </is>
      </c>
      <c r="G12" s="19" t="n">
        <v>4021</v>
      </c>
      <c r="H12" s="20" t="n">
        <v>5.5</v>
      </c>
      <c r="I12" s="19" t="n">
        <v>2778</v>
      </c>
      <c r="J12" s="20" t="n">
        <v>3.8</v>
      </c>
      <c r="K12" s="19" t="n">
        <v>4606</v>
      </c>
      <c r="L12" s="20" t="n">
        <v>6.3</v>
      </c>
      <c r="M12" s="19" t="n">
        <v>4752</v>
      </c>
      <c r="N12" s="20" t="n">
        <v>6.5</v>
      </c>
      <c r="O12" s="19" t="n">
        <v>7384</v>
      </c>
      <c r="P12" s="20" t="n">
        <v>10.1</v>
      </c>
      <c r="Q12" s="19" t="n">
        <v>10527</v>
      </c>
      <c r="R12" s="20" t="n">
        <v>14.4</v>
      </c>
      <c r="S12" s="19" t="n">
        <v>8334</v>
      </c>
      <c r="T12" s="20" t="n">
        <v>11.4</v>
      </c>
      <c r="U12" s="19" t="n">
        <v>13378</v>
      </c>
      <c r="V12" s="20" t="n">
        <v>18.3</v>
      </c>
      <c r="W12" s="19" t="n">
        <v>7384</v>
      </c>
      <c r="X12" s="20" t="n">
        <v>10.1</v>
      </c>
      <c r="Y12" s="19" t="n">
        <v>9942</v>
      </c>
      <c r="Z12" s="20" t="n">
        <v>13.6</v>
      </c>
    </row>
    <row r="13">
      <c r="A13" t="inlineStr">
        <is>
          <t>X Axis Title</t>
        </is>
      </c>
      <c r="F13" s="17" t="inlineStr">
        <is>
          <t>Westchester</t>
        </is>
      </c>
      <c r="G13" s="19" t="n">
        <v>17402</v>
      </c>
      <c r="H13" s="20" t="n">
        <v>4.7</v>
      </c>
      <c r="I13" s="19" t="n">
        <v>9997</v>
      </c>
      <c r="J13" s="20" t="n">
        <v>2.7</v>
      </c>
      <c r="K13" s="19" t="n">
        <v>17032</v>
      </c>
      <c r="L13" s="20" t="n">
        <v>4.6</v>
      </c>
      <c r="M13" s="19" t="n">
        <v>15180</v>
      </c>
      <c r="N13" s="20" t="n">
        <v>4.1</v>
      </c>
      <c r="O13" s="19" t="n">
        <v>27029</v>
      </c>
      <c r="P13" s="20" t="n">
        <v>7.3</v>
      </c>
      <c r="Q13" s="19" t="n">
        <v>37766</v>
      </c>
      <c r="R13" s="20" t="n">
        <v>10.2</v>
      </c>
      <c r="S13" s="19" t="n">
        <v>36285</v>
      </c>
      <c r="T13" s="20" t="n">
        <v>9.800000000000001</v>
      </c>
      <c r="U13" s="19" t="n">
        <v>59241</v>
      </c>
      <c r="V13" s="20" t="n">
        <v>16</v>
      </c>
      <c r="W13" s="19" t="n">
        <v>39988</v>
      </c>
      <c r="X13" s="20" t="n">
        <v>10.8</v>
      </c>
      <c r="Y13" s="19" t="n">
        <v>110336</v>
      </c>
      <c r="Z13" s="20" t="n">
        <v>29.8</v>
      </c>
    </row>
    <row r="14">
      <c r="A14" t="inlineStr">
        <is>
          <t>Y Axis Title</t>
        </is>
      </c>
      <c r="F14" s="17" t="inlineStr">
        <is>
          <t>Mid-Hudson</t>
        </is>
      </c>
      <c r="G14" s="19" t="n">
        <v>37721</v>
      </c>
      <c r="H14" s="20" t="n">
        <v>4.4</v>
      </c>
      <c r="I14" s="19" t="n">
        <v>23824</v>
      </c>
      <c r="J14" s="20" t="n">
        <v>2.8</v>
      </c>
      <c r="K14" s="19" t="n">
        <v>45169</v>
      </c>
      <c r="L14" s="20" t="n">
        <v>5.2</v>
      </c>
      <c r="M14" s="19" t="n">
        <v>42364</v>
      </c>
      <c r="N14" s="20" t="n">
        <v>4.9</v>
      </c>
      <c r="O14" s="19" t="n">
        <v>68467</v>
      </c>
      <c r="P14" s="20" t="n">
        <v>7.9</v>
      </c>
      <c r="Q14" s="19" t="n">
        <v>103139</v>
      </c>
      <c r="R14" s="20" t="n">
        <v>11.9</v>
      </c>
      <c r="S14" s="19" t="n">
        <v>92973</v>
      </c>
      <c r="T14" s="20" t="n">
        <v>10.8</v>
      </c>
      <c r="U14" s="19" t="n">
        <v>152202</v>
      </c>
      <c r="V14" s="20" t="n">
        <v>17.6</v>
      </c>
      <c r="W14" s="19" t="n">
        <v>99694</v>
      </c>
      <c r="X14" s="20" t="n">
        <v>11.5</v>
      </c>
      <c r="Y14" s="19" t="n">
        <v>198996</v>
      </c>
      <c r="Z14" s="20" t="n">
        <v>23</v>
      </c>
    </row>
    <row r="15">
      <c r="A15" t="inlineStr">
        <is>
          <t>Start at Zero</t>
        </is>
      </c>
      <c r="F15" s="17" t="inlineStr">
        <is>
          <t>NYS excl NYC</t>
        </is>
      </c>
      <c r="G15" s="19" t="n">
        <v>201885</v>
      </c>
      <c r="H15" s="20" t="n">
        <v>4.6</v>
      </c>
      <c r="I15" s="19" t="n">
        <v>142135</v>
      </c>
      <c r="J15" s="20" t="n">
        <v>3.3</v>
      </c>
      <c r="K15" s="19" t="n">
        <v>266550</v>
      </c>
      <c r="L15" s="20" t="n">
        <v>6.1</v>
      </c>
      <c r="M15" s="19" t="n">
        <v>266736</v>
      </c>
      <c r="N15" s="20" t="n">
        <v>6.1</v>
      </c>
      <c r="O15" s="19" t="n">
        <v>402990</v>
      </c>
      <c r="P15" s="20" t="n">
        <v>9.300000000000001</v>
      </c>
      <c r="Q15" s="19" t="n">
        <v>617645</v>
      </c>
      <c r="R15" s="20" t="n">
        <v>14.2</v>
      </c>
      <c r="S15" s="19" t="n">
        <v>516423</v>
      </c>
      <c r="T15" s="20" t="n">
        <v>11.9</v>
      </c>
      <c r="U15" s="19" t="n">
        <v>781447</v>
      </c>
      <c r="V15" s="20" t="n">
        <v>17.9</v>
      </c>
      <c r="W15" s="19" t="n">
        <v>466426</v>
      </c>
      <c r="X15" s="20" t="n">
        <v>10.7</v>
      </c>
      <c r="Y15" s="19" t="n">
        <v>701072</v>
      </c>
      <c r="Z15" s="20" t="n">
        <v>16.1</v>
      </c>
    </row>
    <row r="16">
      <c r="F16" s="17" t="inlineStr">
        <is>
          <t>NYS</t>
        </is>
      </c>
      <c r="G16" s="19" t="n">
        <v>437130</v>
      </c>
      <c r="H16" s="20" t="n">
        <v>5.7</v>
      </c>
      <c r="I16" s="19" t="n">
        <v>314427</v>
      </c>
      <c r="J16" s="20" t="n">
        <v>4.1</v>
      </c>
      <c r="K16" s="19" t="n">
        <v>498482</v>
      </c>
      <c r="L16" s="20" t="n">
        <v>6.5</v>
      </c>
      <c r="M16" s="19" t="n">
        <v>475475</v>
      </c>
      <c r="N16" s="20" t="n">
        <v>6.2</v>
      </c>
      <c r="O16" s="19" t="n">
        <v>697875</v>
      </c>
      <c r="P16" s="20" t="n">
        <v>9.1</v>
      </c>
      <c r="Q16" s="19" t="n">
        <v>1058316</v>
      </c>
      <c r="R16" s="20" t="n">
        <v>13.8</v>
      </c>
      <c r="S16" s="19" t="n">
        <v>874261</v>
      </c>
      <c r="T16" s="20" t="n">
        <v>11.4</v>
      </c>
      <c r="U16" s="19" t="n">
        <v>1288385</v>
      </c>
      <c r="V16" s="20" t="n">
        <v>16.8</v>
      </c>
      <c r="W16" s="19" t="n">
        <v>774565</v>
      </c>
      <c r="X16" s="20" t="n">
        <v>10.1</v>
      </c>
      <c r="Y16" s="19" t="n">
        <v>1257709</v>
      </c>
      <c r="Z16" s="20" t="n">
        <v>16.4</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17">
    <mergeCell ref="B1:O1"/>
    <mergeCell ref="E5:E57"/>
    <mergeCell ref="O5:P5"/>
    <mergeCell ref="S5:T5"/>
    <mergeCell ref="Q5:R5"/>
    <mergeCell ref="A9:B9"/>
    <mergeCell ref="U5:V5"/>
    <mergeCell ref="A5:B5"/>
    <mergeCell ref="Y5:Z5"/>
    <mergeCell ref="G5:H5"/>
    <mergeCell ref="K5:L5"/>
    <mergeCell ref="I5:J5"/>
    <mergeCell ref="M5:N5"/>
    <mergeCell ref="F5:F6"/>
    <mergeCell ref="A18:B18"/>
    <mergeCell ref="A27:B27"/>
    <mergeCell ref="W5:X5"/>
  </mergeCells>
  <dataValidations count="4">
    <dataValidation sqref="G4:Z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57"/>
  <sheetViews>
    <sheetView workbookViewId="0">
      <selection activeCell="F7" sqref="F7"/>
    </sheetView>
  </sheetViews>
  <sheetFormatPr baseColWidth="10" defaultColWidth="8.6640625" defaultRowHeight="15"/>
  <cols>
    <col width="20" bestFit="1" customWidth="1" style="99" min="1" max="1"/>
    <col width="16.6640625" customWidth="1" style="99" min="2" max="2"/>
    <col width="6.6640625" customWidth="1" style="99" min="5" max="5"/>
    <col width="11.1640625" bestFit="1" customWidth="1" style="99" min="6" max="6"/>
    <col width="28.6640625" bestFit="1"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104" t="inlineStr">
        <is>
          <t>Population by Veteran Status, 2023</t>
        </is>
      </c>
    </row>
    <row r="2">
      <c r="A2" s="97" t="inlineStr">
        <is>
          <t>Table/Figure/Both</t>
        </is>
      </c>
      <c r="B2" t="inlineStr">
        <is>
          <t>Table</t>
        </is>
      </c>
    </row>
    <row r="3">
      <c r="A3" s="97" t="inlineStr">
        <is>
          <t xml:space="preserve">Object ID  </t>
        </is>
      </c>
      <c r="B3">
        <f>IF($B$1="","",_xlfn.XLOOKUP($B$1,Master!$F$2:$F$308,Master!$G$2:$G$308,""))</f>
        <v/>
      </c>
    </row>
    <row r="4">
      <c r="E4" s="13" t="n"/>
      <c r="F4" s="13" t="n"/>
      <c r="G4" s="16" t="inlineStr">
        <is>
          <t>integer</t>
        </is>
      </c>
      <c r="H4" s="16" t="inlineStr">
        <is>
          <t>integer</t>
        </is>
      </c>
      <c r="I4" s="16" t="inlineStr">
        <is>
          <t>percent1</t>
        </is>
      </c>
      <c r="J4" s="16" t="n"/>
      <c r="K4" s="16" t="n"/>
      <c r="L4" s="16" t="n"/>
      <c r="M4" s="16" t="n"/>
      <c r="N4" s="16" t="n"/>
      <c r="O4" s="16" t="n"/>
    </row>
    <row r="5">
      <c r="A5" s="98" t="inlineStr">
        <is>
          <t>Table Rules</t>
        </is>
      </c>
      <c r="E5" s="100" t="inlineStr">
        <is>
          <t xml:space="preserve">Enter Data </t>
        </is>
      </c>
      <c r="F5" s="101" t="inlineStr">
        <is>
          <t>Area</t>
        </is>
      </c>
      <c r="G5" s="113" t="inlineStr">
        <is>
          <t>Civilian Population 18 Years and Older</t>
        </is>
      </c>
      <c r="H5" s="113" t="inlineStr">
        <is>
          <t>Civilian Veterans</t>
        </is>
      </c>
    </row>
    <row r="6" ht="15" customHeight="1" s="99">
      <c r="A6" t="inlineStr">
        <is>
          <t>Multilevel Headers</t>
        </is>
      </c>
      <c r="B6" t="b">
        <v>1</v>
      </c>
      <c r="G6" s="31" t="inlineStr">
        <is>
          <t>Total Population</t>
        </is>
      </c>
      <c r="H6" s="31" t="inlineStr">
        <is>
          <t>Total Population</t>
        </is>
      </c>
      <c r="I6" s="31" t="inlineStr">
        <is>
          <t>%</t>
        </is>
      </c>
    </row>
    <row r="7" ht="15.75" customHeight="1" s="99">
      <c r="F7" s="17" t="inlineStr">
        <is>
          <t>Dutchess</t>
        </is>
      </c>
      <c r="G7" s="32" t="n">
        <v>241517</v>
      </c>
      <c r="H7" s="32" t="n">
        <v>11694</v>
      </c>
      <c r="I7" s="33" t="n">
        <v>4.8</v>
      </c>
    </row>
    <row r="8">
      <c r="F8" s="17" t="inlineStr">
        <is>
          <t>Orange</t>
        </is>
      </c>
      <c r="G8" s="32" t="n">
        <v>296319</v>
      </c>
      <c r="H8" s="32" t="n">
        <v>16695</v>
      </c>
      <c r="I8" s="33" t="n">
        <v>5.6</v>
      </c>
    </row>
    <row r="9">
      <c r="A9" s="98" t="inlineStr">
        <is>
          <t>Figure Rules</t>
        </is>
      </c>
      <c r="F9" s="17" t="inlineStr">
        <is>
          <t>Putnam</t>
        </is>
      </c>
      <c r="G9" s="32" t="n">
        <v>78712</v>
      </c>
      <c r="H9" s="32" t="n">
        <v>3320</v>
      </c>
      <c r="I9" s="33" t="n">
        <v>4.2</v>
      </c>
    </row>
    <row r="10">
      <c r="A10" t="inlineStr">
        <is>
          <t>Figure Type</t>
        </is>
      </c>
      <c r="F10" s="17" t="inlineStr">
        <is>
          <t>Rockland</t>
        </is>
      </c>
      <c r="G10" s="32" t="n">
        <v>239088</v>
      </c>
      <c r="H10" s="32" t="n">
        <v>7130</v>
      </c>
      <c r="I10" s="33" t="n">
        <v>3</v>
      </c>
    </row>
    <row r="11">
      <c r="A11" t="inlineStr">
        <is>
          <t>X Column</t>
        </is>
      </c>
      <c r="F11" s="17" t="inlineStr">
        <is>
          <t>Sullivan</t>
        </is>
      </c>
      <c r="G11" s="32" t="n">
        <v>62181</v>
      </c>
      <c r="H11" s="32" t="n">
        <v>3713</v>
      </c>
      <c r="I11" s="33" t="n">
        <v>6</v>
      </c>
    </row>
    <row r="12">
      <c r="A12" t="inlineStr">
        <is>
          <t>Y Column</t>
        </is>
      </c>
      <c r="F12" s="17" t="inlineStr">
        <is>
          <t>Ulster</t>
        </is>
      </c>
      <c r="G12" s="32" t="n">
        <v>150409</v>
      </c>
      <c r="H12" s="32" t="n">
        <v>6711</v>
      </c>
      <c r="I12" s="33" t="n">
        <v>4.5</v>
      </c>
    </row>
    <row r="13">
      <c r="A13" t="inlineStr">
        <is>
          <t>X Axis Title</t>
        </is>
      </c>
      <c r="F13" s="17" t="inlineStr">
        <is>
          <t>Westchester</t>
        </is>
      </c>
      <c r="G13" s="32" t="n">
        <v>781837</v>
      </c>
      <c r="H13" s="32" t="n">
        <v>23744</v>
      </c>
      <c r="I13" s="33" t="n">
        <v>3</v>
      </c>
    </row>
    <row r="14">
      <c r="A14" t="inlineStr">
        <is>
          <t>Y Axis Title</t>
        </is>
      </c>
      <c r="F14" s="17" t="inlineStr">
        <is>
          <t>Mid-Hudson</t>
        </is>
      </c>
      <c r="G14" s="32" t="n">
        <v>1850063</v>
      </c>
      <c r="H14" s="32" t="n">
        <v>73007</v>
      </c>
      <c r="I14" s="33" t="n">
        <v>3.9</v>
      </c>
    </row>
    <row r="15">
      <c r="A15" t="inlineStr">
        <is>
          <t>Start at Zero</t>
        </is>
      </c>
      <c r="F15" s="17" t="inlineStr">
        <is>
          <t>NYS excl NYC</t>
        </is>
      </c>
      <c r="G15" s="32" t="n">
        <v>8964773</v>
      </c>
      <c r="H15" s="32" t="n">
        <v>478417</v>
      </c>
      <c r="I15" s="33" t="n">
        <v>5.3</v>
      </c>
    </row>
    <row r="16">
      <c r="F16" s="17" t="inlineStr">
        <is>
          <t>NYS</t>
        </is>
      </c>
      <c r="G16" s="32" t="n">
        <v>15737168</v>
      </c>
      <c r="H16" s="32" t="n">
        <v>607728</v>
      </c>
      <c r="I16" s="33" t="n">
        <v>3.9</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5:B5"/>
    <mergeCell ref="H5:I5"/>
    <mergeCell ref="F5:F6"/>
    <mergeCell ref="A18:B18"/>
    <mergeCell ref="A27:B27"/>
  </mergeCells>
  <dataValidations count="4">
    <dataValidation sqref="G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O57"/>
  <sheetViews>
    <sheetView workbookViewId="0">
      <selection activeCell="B1" sqref="B1:O1"/>
    </sheetView>
  </sheetViews>
  <sheetFormatPr baseColWidth="10" defaultColWidth="8.6640625" defaultRowHeight="15"/>
  <cols>
    <col width="20" bestFit="1" customWidth="1" style="99" min="1" max="1"/>
    <col width="16.6640625" customWidth="1" style="99" min="2" max="2"/>
    <col width="6.6640625" customWidth="1" style="99" min="5" max="5"/>
    <col width="19" bestFit="1" customWidth="1" style="99" min="7" max="7"/>
    <col width="13.33203125" bestFit="1" customWidth="1" style="99" min="8" max="8"/>
    <col width="12.33203125" bestFit="1" customWidth="1" style="99" min="9" max="9"/>
    <col width="14.6640625" bestFit="1" customWidth="1" style="99" min="10" max="10"/>
    <col width="16.33203125" bestFit="1" customWidth="1" style="99" min="11" max="11"/>
    <col width="14" bestFit="1" customWidth="1" style="99" min="12" max="12"/>
    <col width="21.5" bestFit="1" customWidth="1" style="99" min="13" max="13"/>
    <col width="12.33203125" bestFit="1" customWidth="1" style="99" min="14" max="14"/>
    <col width="11" bestFit="1" customWidth="1" style="99" min="15" max="15"/>
  </cols>
  <sheetData>
    <row r="1">
      <c r="A1" s="97" t="inlineStr">
        <is>
          <t>Name</t>
        </is>
      </c>
      <c r="B1" s="104" t="inlineStr">
        <is>
          <t>Percentage of Population by Type of Disability, 2023</t>
        </is>
      </c>
    </row>
    <row r="2">
      <c r="A2" s="97" t="inlineStr">
        <is>
          <t>Table/Figure/Both</t>
        </is>
      </c>
      <c r="B2" t="inlineStr">
        <is>
          <t>Table</t>
        </is>
      </c>
    </row>
    <row r="3">
      <c r="A3" s="97" t="inlineStr">
        <is>
          <t xml:space="preserve">Object ID  </t>
        </is>
      </c>
      <c r="B3">
        <f>IF($B$1="","",_xlfn.XLOOKUP($B$1,Master!$F$2:$F$308,Master!$G$2:$G$308,""))</f>
        <v/>
      </c>
    </row>
    <row r="4">
      <c r="E4" s="13" t="n"/>
      <c r="F4" s="13"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n"/>
      <c r="O4" s="16" t="n"/>
    </row>
    <row r="5">
      <c r="A5" s="98" t="inlineStr">
        <is>
          <t>Table Rules</t>
        </is>
      </c>
      <c r="E5" s="100" t="inlineStr">
        <is>
          <t xml:space="preserve">Enter Data </t>
        </is>
      </c>
      <c r="G5" s="17" t="inlineStr">
        <is>
          <t>Total with Any Disability</t>
        </is>
      </c>
      <c r="H5" s="17" t="inlineStr">
        <is>
          <t>Hearing Difficulty</t>
        </is>
      </c>
      <c r="I5" s="17" t="inlineStr">
        <is>
          <t>Vision Difficulty</t>
        </is>
      </c>
      <c r="J5" s="17" t="inlineStr">
        <is>
          <t>Cognitive Difficulty</t>
        </is>
      </c>
      <c r="K5" s="17" t="inlineStr">
        <is>
          <t>Ambulatory Difficulty</t>
        </is>
      </c>
      <c r="L5" s="17" t="inlineStr">
        <is>
          <t>Self-Care Difficulty</t>
        </is>
      </c>
      <c r="M5" s="17" t="inlineStr">
        <is>
          <t>Independent Living Difficulty</t>
        </is>
      </c>
    </row>
    <row r="6" ht="15" customHeight="1" s="99">
      <c r="A6" t="inlineStr">
        <is>
          <t>Multilevel Headers</t>
        </is>
      </c>
      <c r="B6" t="b">
        <v>0</v>
      </c>
      <c r="F6" s="17" t="inlineStr">
        <is>
          <t>Dutchess</t>
        </is>
      </c>
      <c r="G6" s="20" t="n">
        <v>12.2</v>
      </c>
      <c r="H6" s="20" t="n">
        <v>3.5</v>
      </c>
      <c r="I6" s="20" t="n">
        <v>2</v>
      </c>
      <c r="J6" s="20" t="n">
        <v>4.7</v>
      </c>
      <c r="K6" s="20" t="n">
        <v>6.3</v>
      </c>
      <c r="L6" s="20" t="n">
        <v>2.6</v>
      </c>
      <c r="M6" s="20" t="n">
        <v>5.9</v>
      </c>
    </row>
    <row r="7" ht="15.75" customHeight="1" s="99">
      <c r="F7" s="17" t="inlineStr">
        <is>
          <t>Orange</t>
        </is>
      </c>
      <c r="G7" s="20" t="n">
        <v>11.7</v>
      </c>
      <c r="H7" s="20" t="n">
        <v>3.2</v>
      </c>
      <c r="I7" s="20" t="n">
        <v>2.1</v>
      </c>
      <c r="J7" s="20" t="n">
        <v>5.4</v>
      </c>
      <c r="K7" s="20" t="n">
        <v>6.3</v>
      </c>
      <c r="L7" s="20" t="n">
        <v>2.9</v>
      </c>
      <c r="M7" s="20" t="n">
        <v>6.2</v>
      </c>
    </row>
    <row r="8">
      <c r="F8" s="17" t="inlineStr">
        <is>
          <t>Putnam</t>
        </is>
      </c>
      <c r="G8" s="20" t="n">
        <v>9.6</v>
      </c>
      <c r="H8" s="20" t="n">
        <v>2.8</v>
      </c>
      <c r="I8" s="20" t="n">
        <v>1.4</v>
      </c>
      <c r="J8" s="20" t="n">
        <v>3.5</v>
      </c>
      <c r="K8" s="20" t="n">
        <v>5.4</v>
      </c>
      <c r="L8" s="20" t="n">
        <v>2.4</v>
      </c>
      <c r="M8" s="20" t="n">
        <v>4.6</v>
      </c>
    </row>
    <row r="9">
      <c r="A9" s="98" t="inlineStr">
        <is>
          <t>Figure Rules</t>
        </is>
      </c>
      <c r="F9" s="17" t="inlineStr">
        <is>
          <t>Rockland</t>
        </is>
      </c>
      <c r="G9" s="20" t="n">
        <v>8.699999999999999</v>
      </c>
      <c r="H9" s="20" t="n">
        <v>2.7</v>
      </c>
      <c r="I9" s="20" t="n">
        <v>1.4</v>
      </c>
      <c r="J9" s="20" t="n">
        <v>3.4</v>
      </c>
      <c r="K9" s="20" t="n">
        <v>4.4</v>
      </c>
      <c r="L9" s="20" t="n">
        <v>2.2</v>
      </c>
      <c r="M9" s="20" t="n">
        <v>4.5</v>
      </c>
    </row>
    <row r="10">
      <c r="A10" t="inlineStr">
        <is>
          <t>Figure Type</t>
        </is>
      </c>
      <c r="F10" s="17" t="inlineStr">
        <is>
          <t>Sullivan</t>
        </is>
      </c>
      <c r="G10" s="20" t="n">
        <v>15.9</v>
      </c>
      <c r="H10" s="20" t="n">
        <v>4.4</v>
      </c>
      <c r="I10" s="20" t="n">
        <v>3</v>
      </c>
      <c r="J10" s="20" t="n">
        <v>6.4</v>
      </c>
      <c r="K10" s="20" t="n">
        <v>9.1</v>
      </c>
      <c r="L10" s="20" t="n">
        <v>3.7</v>
      </c>
      <c r="M10" s="20" t="n">
        <v>7.2</v>
      </c>
    </row>
    <row r="11">
      <c r="A11" t="inlineStr">
        <is>
          <t>X Column</t>
        </is>
      </c>
      <c r="F11" s="17" t="inlineStr">
        <is>
          <t>Ulster</t>
        </is>
      </c>
      <c r="G11" s="20" t="n">
        <v>14.4</v>
      </c>
      <c r="H11" s="20" t="n">
        <v>4.2</v>
      </c>
      <c r="I11" s="20" t="n">
        <v>2.3</v>
      </c>
      <c r="J11" s="20" t="n">
        <v>5.1</v>
      </c>
      <c r="K11" s="20" t="n">
        <v>7.4</v>
      </c>
      <c r="L11" s="20" t="n">
        <v>3</v>
      </c>
      <c r="M11" s="20" t="n">
        <v>6</v>
      </c>
    </row>
    <row r="12">
      <c r="A12" t="inlineStr">
        <is>
          <t>Y Column</t>
        </is>
      </c>
      <c r="F12" s="17" t="inlineStr">
        <is>
          <t>Westchester</t>
        </is>
      </c>
      <c r="G12" s="20" t="n">
        <v>9.5</v>
      </c>
      <c r="H12" s="20" t="n">
        <v>2.5</v>
      </c>
      <c r="I12" s="20" t="n">
        <v>1.6</v>
      </c>
      <c r="J12" s="20" t="n">
        <v>3.7</v>
      </c>
      <c r="K12" s="20" t="n">
        <v>5.3</v>
      </c>
      <c r="L12" s="20" t="n">
        <v>2.3</v>
      </c>
      <c r="M12" s="20" t="n">
        <v>4.8</v>
      </c>
    </row>
    <row r="13">
      <c r="A13" t="inlineStr">
        <is>
          <t>X Axis Title</t>
        </is>
      </c>
      <c r="F13" s="17" t="inlineStr">
        <is>
          <t>Mid-Hudson</t>
        </is>
      </c>
      <c r="G13" s="20" t="n">
        <v>10.2</v>
      </c>
      <c r="H13" s="20" t="n">
        <v>2.8</v>
      </c>
      <c r="I13" s="20" t="n">
        <v>1.7</v>
      </c>
      <c r="J13" s="20" t="n">
        <v>3.8</v>
      </c>
      <c r="K13" s="20" t="n">
        <v>5.2</v>
      </c>
      <c r="L13" s="20" t="n">
        <v>2.3</v>
      </c>
      <c r="M13" s="20" t="n">
        <v>3.9</v>
      </c>
    </row>
    <row r="14">
      <c r="A14" t="inlineStr">
        <is>
          <t>Y Axis Title</t>
        </is>
      </c>
      <c r="F14" s="17" t="inlineStr">
        <is>
          <t>NYS</t>
        </is>
      </c>
      <c r="G14" s="20" t="n">
        <v>11.6</v>
      </c>
      <c r="H14" s="20" t="n">
        <v>2.8</v>
      </c>
      <c r="I14" s="20" t="n">
        <v>2.1</v>
      </c>
      <c r="J14" s="20" t="n">
        <v>4.5</v>
      </c>
      <c r="K14" s="20" t="n">
        <v>6.6</v>
      </c>
      <c r="L14" s="20" t="n">
        <v>2.7</v>
      </c>
      <c r="M14" s="20" t="n">
        <v>5.7</v>
      </c>
    </row>
    <row r="15">
      <c r="A15" t="inlineStr">
        <is>
          <t>Start at Zero</t>
        </is>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O4" showDropDown="0" showInputMessage="1" showErrorMessage="1" allowBlank="1" type="list">
      <formula1>"integer, number, percent1"</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O57"/>
  <sheetViews>
    <sheetView workbookViewId="0">
      <selection activeCell="B14" sqref="B14"/>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Percentage of Households with No Vehicles Available, 2021–2023</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F5" t="inlineStr">
        <is>
          <t>Year</t>
        </is>
      </c>
      <c r="G5" s="101" t="inlineStr">
        <is>
          <t>Dutchess</t>
        </is>
      </c>
      <c r="H5" s="101" t="inlineStr">
        <is>
          <t>Orange</t>
        </is>
      </c>
      <c r="I5" s="101" t="inlineStr">
        <is>
          <t>Putnam</t>
        </is>
      </c>
      <c r="J5" s="101" t="inlineStr">
        <is>
          <t>Rockland</t>
        </is>
      </c>
      <c r="K5" s="101" t="inlineStr">
        <is>
          <t>Sullivan</t>
        </is>
      </c>
      <c r="L5" s="101" t="inlineStr">
        <is>
          <t>Ulster</t>
        </is>
      </c>
      <c r="M5" s="101" t="inlineStr">
        <is>
          <t>Westchester</t>
        </is>
      </c>
      <c r="N5" s="101" t="inlineStr">
        <is>
          <t>NYS</t>
        </is>
      </c>
    </row>
    <row r="6" ht="15" customHeight="1" s="99">
      <c r="A6" t="inlineStr">
        <is>
          <t>Multilevel Headers</t>
        </is>
      </c>
      <c r="B6" t="b">
        <v>0</v>
      </c>
      <c r="F6" t="inlineStr">
        <is>
          <t>2017–2021</t>
        </is>
      </c>
      <c r="G6" s="101" t="n">
        <v>7.2</v>
      </c>
      <c r="H6" s="101" t="n">
        <v>8.9</v>
      </c>
      <c r="I6" s="101" t="n">
        <v>4.7</v>
      </c>
      <c r="J6" s="101" t="n">
        <v>10.4</v>
      </c>
      <c r="K6" s="101" t="n">
        <v>10.4</v>
      </c>
      <c r="L6" s="101" t="n">
        <v>6.8</v>
      </c>
      <c r="M6" s="101" t="n">
        <v>14.3</v>
      </c>
      <c r="N6" s="101" t="n">
        <v>28.9</v>
      </c>
    </row>
    <row r="7" ht="15.75" customHeight="1" s="99">
      <c r="F7" t="inlineStr">
        <is>
          <t>2018–2022</t>
        </is>
      </c>
      <c r="G7" s="101" t="n">
        <v>7.2</v>
      </c>
      <c r="H7" s="101" t="n">
        <v>8.6</v>
      </c>
      <c r="I7" s="101" t="n">
        <v>4.1</v>
      </c>
      <c r="J7" s="101" t="n">
        <v>9.9</v>
      </c>
      <c r="K7" s="101" t="n">
        <v>9.9</v>
      </c>
      <c r="L7" s="101" t="n">
        <v>7.2</v>
      </c>
      <c r="M7" s="101" t="n">
        <v>14.2</v>
      </c>
      <c r="N7" s="116" t="n">
        <v>29</v>
      </c>
    </row>
    <row r="8">
      <c r="F8" t="inlineStr">
        <is>
          <t>2019–2023</t>
        </is>
      </c>
      <c r="G8" s="116" t="n">
        <v>7</v>
      </c>
      <c r="H8" s="101" t="n">
        <v>8.6</v>
      </c>
      <c r="I8" s="101" t="n">
        <v>4.2</v>
      </c>
      <c r="J8" s="101" t="n">
        <v>9.699999999999999</v>
      </c>
      <c r="K8" s="101" t="n">
        <v>8.800000000000001</v>
      </c>
      <c r="L8" s="101" t="n">
        <v>7.5</v>
      </c>
      <c r="M8" s="101" t="n">
        <v>14.2</v>
      </c>
      <c r="N8" s="116" t="n">
        <v>29</v>
      </c>
    </row>
    <row r="9">
      <c r="A9" s="98" t="inlineStr">
        <is>
          <t>Figure Rules</t>
        </is>
      </c>
    </row>
    <row r="10">
      <c r="A10" t="inlineStr">
        <is>
          <t>Figure Type</t>
        </is>
      </c>
      <c r="B10" t="inlineStr">
        <is>
          <t>Line</t>
        </is>
      </c>
    </row>
    <row r="11">
      <c r="A11" t="inlineStr">
        <is>
          <t>X Column</t>
        </is>
      </c>
      <c r="B11" t="inlineStr">
        <is>
          <t>Year</t>
        </is>
      </c>
    </row>
    <row r="12">
      <c r="A12" t="inlineStr">
        <is>
          <t>Y Column</t>
        </is>
      </c>
      <c r="B12" t="inlineStr">
        <is>
          <t>Percent</t>
        </is>
      </c>
    </row>
    <row r="13">
      <c r="A13" t="inlineStr">
        <is>
          <t>X Axis Title</t>
        </is>
      </c>
      <c r="B13">
        <f>F5</f>
        <v/>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ht="144" customHeight="1" s="99">
      <c r="A20" t="inlineStr">
        <is>
          <t>URL</t>
        </is>
      </c>
      <c r="B20" s="50" t="inlineStr">
        <is>
          <t xml:space="preserve">
https://data.census.gov/table/ACSDP5Y2022.DP04?q=dp04&amp;g=050XX00US36105,36027,36071,36119,36087,36079,36111_04
0XX00US36</t>
        </is>
      </c>
    </row>
    <row r="21">
      <c r="A21" t="inlineStr">
        <is>
          <t>Data Year</t>
        </is>
      </c>
      <c r="B21" t="inlineStr">
        <is>
          <t>2021–2023</t>
        </is>
      </c>
    </row>
    <row r="22">
      <c r="A22" t="inlineStr">
        <is>
          <t>Estimate Type</t>
        </is>
      </c>
    </row>
    <row r="23">
      <c r="A23" t="inlineStr">
        <is>
          <t>Citation Month</t>
        </is>
      </c>
      <c r="B23" t="inlineStr">
        <is>
          <t>April</t>
        </is>
      </c>
    </row>
    <row r="24">
      <c r="A24" t="inlineStr">
        <is>
          <t>Citation Year</t>
        </is>
      </c>
      <c r="B24" t="n">
        <v>2025</v>
      </c>
    </row>
    <row r="25">
      <c r="A25" t="inlineStr">
        <is>
          <t>Custom Text</t>
        </is>
      </c>
    </row>
    <row r="26"/>
    <row r="27">
      <c r="A27" s="101" t="inlineStr">
        <is>
          <t>Note Specifications</t>
        </is>
      </c>
    </row>
    <row r="28">
      <c r="A28" t="inlineStr">
        <is>
          <t>The American Community Survey asks respondents how many automobiles, vans, and trucks of one-ton capacity or less are kept at home for use by members of the household. 2023 ACS includes 2019–2023</t>
        </is>
      </c>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Percentage of Workers by Mode of Transportation to Work, 2023</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3"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G5" s="101" t="inlineStr">
        <is>
          <t>Dutchess</t>
        </is>
      </c>
      <c r="H5" s="101" t="inlineStr">
        <is>
          <t>Orange</t>
        </is>
      </c>
      <c r="I5" s="101" t="inlineStr">
        <is>
          <t>Putnam</t>
        </is>
      </c>
      <c r="J5" s="101" t="inlineStr">
        <is>
          <t>Rockland</t>
        </is>
      </c>
      <c r="K5" s="101" t="inlineStr">
        <is>
          <t>Sullivan</t>
        </is>
      </c>
      <c r="L5" s="101" t="inlineStr">
        <is>
          <t>Ulster</t>
        </is>
      </c>
      <c r="M5" s="101" t="inlineStr">
        <is>
          <t>Westchester</t>
        </is>
      </c>
      <c r="N5" s="101" t="inlineStr">
        <is>
          <t>NYS</t>
        </is>
      </c>
    </row>
    <row r="6" ht="15" customHeight="1" s="99">
      <c r="A6" t="inlineStr">
        <is>
          <t>Multilevel Headers</t>
        </is>
      </c>
      <c r="B6" t="b">
        <v>0</v>
      </c>
      <c r="F6" t="inlineStr">
        <is>
          <t>Drove Alone</t>
        </is>
      </c>
      <c r="G6" t="n">
        <v>71.40000000000001</v>
      </c>
      <c r="H6" t="n">
        <v>69.8</v>
      </c>
      <c r="I6" t="n">
        <v>70.59999999999999</v>
      </c>
      <c r="J6" t="n">
        <v>66.59999999999999</v>
      </c>
      <c r="K6" t="n">
        <v>74.09999999999999</v>
      </c>
      <c r="L6" t="n">
        <v>71.7</v>
      </c>
      <c r="M6" t="n">
        <v>51.9</v>
      </c>
      <c r="N6" s="14" t="n">
        <v>50</v>
      </c>
    </row>
    <row r="7" ht="15.75" customHeight="1" s="99">
      <c r="F7" t="inlineStr">
        <is>
          <t>Carpooled</t>
        </is>
      </c>
      <c r="G7" t="n">
        <v>7.5</v>
      </c>
      <c r="H7" t="n">
        <v>9.6</v>
      </c>
      <c r="I7" t="n">
        <v>7.6</v>
      </c>
      <c r="J7" t="n">
        <v>8.5</v>
      </c>
      <c r="K7" t="n">
        <v>8.800000000000001</v>
      </c>
      <c r="L7" t="n">
        <v>6.7</v>
      </c>
      <c r="M7" t="n">
        <v>7.2</v>
      </c>
      <c r="N7" s="14" t="n">
        <v>6.3</v>
      </c>
    </row>
    <row r="8">
      <c r="F8" t="inlineStr">
        <is>
          <t>Public transportation</t>
        </is>
      </c>
      <c r="G8" s="14" t="n">
        <v>3.7</v>
      </c>
      <c r="H8" t="n">
        <v>4.4</v>
      </c>
      <c r="I8" t="n">
        <v>5.6</v>
      </c>
      <c r="J8" t="n">
        <v>6.2</v>
      </c>
      <c r="K8" t="n">
        <v>1.2</v>
      </c>
      <c r="L8" t="n">
        <v>2.1</v>
      </c>
      <c r="M8" t="n">
        <v>17.8</v>
      </c>
      <c r="N8" s="14" t="n">
        <v>22.4</v>
      </c>
    </row>
    <row r="9">
      <c r="A9" s="98" t="inlineStr">
        <is>
          <t>Figure Rules</t>
        </is>
      </c>
      <c r="F9" t="inlineStr">
        <is>
          <t>Walked</t>
        </is>
      </c>
      <c r="G9" t="n">
        <v>2.3</v>
      </c>
      <c r="H9" t="n">
        <v>3.1</v>
      </c>
      <c r="I9" t="n">
        <v>1.5</v>
      </c>
      <c r="J9" t="n">
        <v>3.1</v>
      </c>
      <c r="K9" t="n">
        <v>2.4</v>
      </c>
      <c r="L9" t="n">
        <v>2.4</v>
      </c>
      <c r="M9" t="n">
        <v>3.7</v>
      </c>
      <c r="N9" t="n">
        <v>5.3</v>
      </c>
    </row>
    <row r="10">
      <c r="A10" t="inlineStr">
        <is>
          <t>Figure Type</t>
        </is>
      </c>
      <c r="B10" t="inlineStr">
        <is>
          <t>Clustered Bar</t>
        </is>
      </c>
      <c r="F10" t="inlineStr">
        <is>
          <t>Taxicab, motorcycle, bicycle, or other means</t>
        </is>
      </c>
      <c r="G10" t="n">
        <v>1.7</v>
      </c>
      <c r="H10" s="14" t="n">
        <v>2</v>
      </c>
      <c r="I10" s="14" t="n">
        <v>1</v>
      </c>
      <c r="J10" t="n">
        <v>2.8</v>
      </c>
      <c r="K10" t="n">
        <v>1.9</v>
      </c>
      <c r="L10" t="n">
        <v>1.8</v>
      </c>
      <c r="M10" t="n">
        <v>2.1</v>
      </c>
      <c r="N10" t="n">
        <v>2.6</v>
      </c>
    </row>
    <row r="11">
      <c r="A11" t="inlineStr">
        <is>
          <t>X Column</t>
        </is>
      </c>
      <c r="B11" t="inlineStr">
        <is>
          <t>Category</t>
        </is>
      </c>
      <c r="F11" t="inlineStr">
        <is>
          <t>Worked from home</t>
        </is>
      </c>
      <c r="G11" t="n">
        <v>13.4</v>
      </c>
      <c r="H11" t="n">
        <v>11.1</v>
      </c>
      <c r="I11" t="n">
        <v>13.7</v>
      </c>
      <c r="J11" t="n">
        <v>12.7</v>
      </c>
      <c r="K11" t="n">
        <v>11.6</v>
      </c>
      <c r="L11" t="n">
        <v>15.3</v>
      </c>
      <c r="M11" t="n">
        <v>17.3</v>
      </c>
      <c r="N11" t="n">
        <v>13.3</v>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c r="B20" t="inlineStr">
        <is>
          <t>https://data.census.gov/table/ACSDT5Y2023.B08141?q=b08141&amp;g=050XX00US36105,36027,36071,36119,36087,36079,3611 1_040XX00US36</t>
        </is>
      </c>
    </row>
    <row r="21">
      <c r="A21" t="inlineStr">
        <is>
          <t>Data Year</t>
        </is>
      </c>
      <c r="B21" t="n">
        <v>2023</v>
      </c>
    </row>
    <row r="22">
      <c r="A22" t="inlineStr">
        <is>
          <t>Estimate Type</t>
        </is>
      </c>
    </row>
    <row r="23">
      <c r="A23" t="inlineStr">
        <is>
          <t>Citation Month</t>
        </is>
      </c>
      <c r="B23" t="inlineStr">
        <is>
          <t>April</t>
        </is>
      </c>
    </row>
    <row r="24">
      <c r="A24" t="inlineStr">
        <is>
          <t>Citation Year</t>
        </is>
      </c>
      <c r="B24" t="n">
        <v>2025</v>
      </c>
    </row>
    <row r="25">
      <c r="A25" t="inlineStr">
        <is>
          <t>Custom Text</t>
        </is>
      </c>
    </row>
    <row r="26"/>
    <row r="27">
      <c r="A27" s="101" t="inlineStr">
        <is>
          <t>Note Specifications</t>
        </is>
      </c>
    </row>
    <row r="28" ht="208" customHeight="1" s="99">
      <c r="A28" s="50" t="inlineStr">
        <is>
          <t>The American Community Survey asks respondents how they usually got to work last week. For respondents who use multiple
transportation modes they are restricted to the single method of transportation used for the longest distance. 2023 ACS includes 2019–2023</t>
        </is>
      </c>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G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Mean Travel Time to Work, 2021–2023</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G5" s="101" t="inlineStr">
        <is>
          <t>Dutchess</t>
        </is>
      </c>
      <c r="H5" s="101" t="inlineStr">
        <is>
          <t>Orange</t>
        </is>
      </c>
      <c r="I5" s="101" t="inlineStr">
        <is>
          <t>Putnam</t>
        </is>
      </c>
      <c r="J5" s="101" t="inlineStr">
        <is>
          <t>Rockland</t>
        </is>
      </c>
      <c r="K5" s="101" t="inlineStr">
        <is>
          <t>Sullivan</t>
        </is>
      </c>
      <c r="L5" s="101" t="inlineStr">
        <is>
          <t>Ulster</t>
        </is>
      </c>
      <c r="M5" s="101" t="inlineStr">
        <is>
          <t>Westchester</t>
        </is>
      </c>
      <c r="N5" s="101" t="inlineStr">
        <is>
          <t>NYS</t>
        </is>
      </c>
    </row>
    <row r="6" ht="15" customHeight="1" s="99">
      <c r="A6" t="inlineStr">
        <is>
          <t>Multilevel Headers</t>
        </is>
      </c>
      <c r="B6" t="b">
        <v>0</v>
      </c>
      <c r="F6" t="inlineStr">
        <is>
          <t>2017–2021</t>
        </is>
      </c>
      <c r="G6" s="116" t="n">
        <v>32</v>
      </c>
      <c r="H6" s="116" t="n">
        <v>34.1</v>
      </c>
      <c r="I6" s="116" t="n">
        <v>39.2</v>
      </c>
      <c r="J6" s="116" t="n">
        <v>31.2</v>
      </c>
      <c r="K6" s="116" t="n">
        <v>28.6</v>
      </c>
      <c r="L6" s="116" t="n">
        <v>28.6</v>
      </c>
      <c r="M6" s="116" t="n">
        <v>34.8</v>
      </c>
      <c r="N6" s="116" t="n">
        <v>33.3</v>
      </c>
    </row>
    <row r="7" ht="15.75" customHeight="1" s="99">
      <c r="F7" t="inlineStr">
        <is>
          <t>2018–2022</t>
        </is>
      </c>
      <c r="G7" s="116" t="n">
        <v>32.3</v>
      </c>
      <c r="H7" s="116" t="n">
        <v>34.1</v>
      </c>
      <c r="I7" s="116" t="n">
        <v>39.9</v>
      </c>
      <c r="J7" s="116" t="n">
        <v>31</v>
      </c>
      <c r="K7" s="116" t="n">
        <v>28.1</v>
      </c>
      <c r="L7" s="116" t="n">
        <v>28.1</v>
      </c>
      <c r="M7" s="116" t="n">
        <v>34.8</v>
      </c>
      <c r="N7" s="116" t="n">
        <v>33.2</v>
      </c>
    </row>
    <row r="8">
      <c r="F8" t="inlineStr">
        <is>
          <t>2019–2023</t>
        </is>
      </c>
      <c r="G8" s="116" t="n">
        <v>31.4</v>
      </c>
      <c r="H8" s="116" t="n">
        <v>34.2</v>
      </c>
      <c r="I8" s="116" t="n">
        <v>39.5</v>
      </c>
      <c r="J8" s="116" t="n">
        <v>30.3</v>
      </c>
      <c r="K8" s="116" t="n">
        <v>27.8</v>
      </c>
      <c r="L8" s="116" t="n">
        <v>27.8</v>
      </c>
      <c r="M8" s="116" t="n">
        <v>34.7</v>
      </c>
      <c r="N8" s="116" t="n">
        <v>32.8</v>
      </c>
    </row>
    <row r="9">
      <c r="A9" s="98" t="inlineStr">
        <is>
          <t>Figure Rules</t>
        </is>
      </c>
    </row>
    <row r="10">
      <c r="A10" t="inlineStr">
        <is>
          <t>Figure Type</t>
        </is>
      </c>
      <c r="B10" t="inlineStr">
        <is>
          <t>Line</t>
        </is>
      </c>
    </row>
    <row r="11">
      <c r="A11" t="inlineStr">
        <is>
          <t>X Column</t>
        </is>
      </c>
      <c r="B11" t="inlineStr">
        <is>
          <t>Period</t>
        </is>
      </c>
    </row>
    <row r="12">
      <c r="A12" t="inlineStr">
        <is>
          <t>Y Column</t>
        </is>
      </c>
      <c r="B12" t="inlineStr">
        <is>
          <t>Minutes</t>
        </is>
      </c>
    </row>
    <row r="13">
      <c r="A13" t="inlineStr">
        <is>
          <t>X Axis Title</t>
        </is>
      </c>
    </row>
    <row r="14">
      <c r="A14" t="inlineStr">
        <is>
          <t>Y Axis Title</t>
        </is>
      </c>
      <c r="B14" t="inlineStr">
        <is>
          <t>Minutes</t>
        </is>
      </c>
    </row>
    <row r="15">
      <c r="A15" t="inlineStr">
        <is>
          <t>Start at Zero</t>
        </is>
      </c>
      <c r="B15" t="b">
        <v>1</v>
      </c>
    </row>
    <row r="16"/>
    <row r="17"/>
    <row r="18">
      <c r="A18" s="98" t="inlineStr">
        <is>
          <t>Source Specifications</t>
        </is>
      </c>
    </row>
    <row r="19">
      <c r="A19" t="inlineStr">
        <is>
          <t>Table ID</t>
        </is>
      </c>
    </row>
    <row r="20">
      <c r="A20" t="inlineStr">
        <is>
          <t>URL</t>
        </is>
      </c>
      <c r="B20" t="inlineStr">
        <is>
          <t>https://data.census.gov/table/ACSDP5Y2023.DP03?q=DP03&amp;g=050XX00US36105,36027,36071,36119,36087,36079,36111_04 0XX00US36</t>
        </is>
      </c>
    </row>
    <row r="21">
      <c r="A21" t="inlineStr">
        <is>
          <t>Data Year</t>
        </is>
      </c>
      <c r="B21" t="inlineStr">
        <is>
          <t>2021–2023</t>
        </is>
      </c>
    </row>
    <row r="22">
      <c r="A22" t="inlineStr">
        <is>
          <t>Estimate Type</t>
        </is>
      </c>
    </row>
    <row r="23">
      <c r="A23" t="inlineStr">
        <is>
          <t>Citation Month</t>
        </is>
      </c>
      <c r="B23" t="inlineStr">
        <is>
          <t>April</t>
        </is>
      </c>
    </row>
    <row r="24">
      <c r="A24" t="inlineStr">
        <is>
          <t>Citation Year</t>
        </is>
      </c>
      <c r="B24" t="n">
        <v>2025</v>
      </c>
    </row>
    <row r="25">
      <c r="A25" t="inlineStr">
        <is>
          <t>Custom Text</t>
        </is>
      </c>
    </row>
    <row r="26"/>
    <row r="27">
      <c r="A27" s="101" t="inlineStr">
        <is>
          <t>Note Specifications</t>
        </is>
      </c>
    </row>
    <row r="28" ht="350" customHeight="1" s="99">
      <c r="A28" s="50" t="inlineStr">
        <is>
          <t>The American Community Survey asks respondents in the workforce how many minutes it usually takes them to get from home to work.
The travel time refers to a one-way trip on a typical day. This includes time spent waiting for public transportation, picking up passengers in
carpools, and time spent in other activities related to getting to work. Sullivan County and Ulster County do have the same data according
to the Census. 2023 ACS includes 2019–2023.</t>
        </is>
      </c>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5">
    <dataValidation sqref="B10" showDropDown="0" showInputMessage="1" showErrorMessage="1" allowBlank="1" type="list">
      <formula1>"Line, Bar, Clustered Bar, Stacked Bar, Horizontal Bar"</formula1>
    </dataValidation>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2 B14" showDropDown="0" showInputMessage="1" showErrorMessage="1" allowBlank="1" type="list">
      <formula1>"Percent, Minutes"</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28.83203125" bestFit="1" customWidth="1" style="99" min="6" max="6"/>
    <col width="26.83203125" bestFit="1" customWidth="1" style="99" min="7" max="7"/>
    <col width="35.33203125" bestFit="1" customWidth="1" style="99" min="8" max="8"/>
    <col width="29.5" bestFit="1" customWidth="1" style="99" min="9" max="9"/>
    <col width="34.6640625" bestFit="1" customWidth="1" style="99" min="10" max="10"/>
    <col width="29.33203125" bestFit="1" customWidth="1" style="99" min="11" max="11"/>
    <col width="22.1640625" bestFit="1" customWidth="1" style="99" min="12" max="12"/>
    <col width="39.5" bestFit="1" customWidth="1" style="99" min="13" max="13"/>
    <col width="25.6640625" bestFit="1" customWidth="1" style="99" min="14" max="14"/>
    <col width="33.5" bestFit="1" customWidth="1" style="99" min="15" max="15"/>
  </cols>
  <sheetData>
    <row r="1">
      <c r="A1" s="97" t="inlineStr">
        <is>
          <t>Name</t>
        </is>
      </c>
      <c r="B1" s="96" t="inlineStr">
        <is>
          <t>Top Rated Issues That Affect Health in Dutchess County (n = 109)</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100" t="inlineStr">
        <is>
          <t xml:space="preserve">Enter Data </t>
        </is>
      </c>
      <c r="F5" s="101" t="inlineStr">
        <is>
          <t>Access to affordable, nutritious food</t>
        </is>
      </c>
      <c r="G5" s="101" t="inlineStr">
        <is>
          <t>Access to mental health providers</t>
        </is>
      </c>
      <c r="H5" s="101" t="inlineStr">
        <is>
          <t>Access to affordable, decent and safe housing</t>
        </is>
      </c>
      <c r="I5" s="101" t="inlineStr">
        <is>
          <t>Access to specialty services/providers</t>
        </is>
      </c>
      <c r="J5" s="101" t="inlineStr">
        <is>
          <t>Access to affordable, reliable transportation</t>
        </is>
      </c>
      <c r="K5" s="101" t="inlineStr">
        <is>
          <t>Access to affordable health insurance</t>
        </is>
      </c>
      <c r="L5" s="101" t="inlineStr">
        <is>
          <t>Access to medical providers</t>
        </is>
      </c>
      <c r="M5" s="101" t="inlineStr">
        <is>
          <t>Access to culturally sensitive health care providers</t>
        </is>
      </c>
      <c r="N5" s="101" t="inlineStr">
        <is>
          <t>Access to high quality education</t>
        </is>
      </c>
      <c r="O5" s="101" t="inlineStr">
        <is>
          <t>Access to clean water and non-polluted air</t>
        </is>
      </c>
    </row>
    <row r="6" ht="15" customHeight="1" s="99">
      <c r="A6" t="inlineStr">
        <is>
          <t>Multilevel Headers</t>
        </is>
      </c>
      <c r="B6" t="b">
        <v>0</v>
      </c>
      <c r="F6" s="116" t="n">
        <v>48.6</v>
      </c>
      <c r="G6" s="116" t="n">
        <v>47.7</v>
      </c>
      <c r="H6" s="116" t="n">
        <v>46.8</v>
      </c>
      <c r="I6" s="116" t="n">
        <v>42.2</v>
      </c>
      <c r="J6" s="116" t="n">
        <v>40.4</v>
      </c>
      <c r="K6" s="116" t="n">
        <v>34.9</v>
      </c>
      <c r="L6" s="116" t="n">
        <v>18.4</v>
      </c>
      <c r="M6" s="116" t="n">
        <v>12</v>
      </c>
      <c r="N6" s="116" t="n">
        <v>8.300000000000001</v>
      </c>
      <c r="O6" s="116" t="n">
        <v>0.9</v>
      </c>
    </row>
    <row r="7" ht="15.75" customHeight="1" s="99">
      <c r="N7" s="14" t="n"/>
    </row>
    <row r="8">
      <c r="G8" s="14" t="n"/>
      <c r="N8" s="14" t="n"/>
    </row>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Top Rated Barriers to Achieving Better Health in Dutchess County (n = 109)</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row>
    <row r="5">
      <c r="A5" s="98" t="inlineStr">
        <is>
          <t>Table Rules</t>
        </is>
      </c>
      <c r="E5" s="100" t="inlineStr">
        <is>
          <t xml:space="preserve">Enter Data </t>
        </is>
      </c>
      <c r="F5" t="inlineStr">
        <is>
          <t>Knowledge of existing resources</t>
        </is>
      </c>
      <c r="G5" t="inlineStr">
        <is>
          <t>Health literacy</t>
        </is>
      </c>
      <c r="H5" t="inlineStr">
        <is>
          <t>Geographic location living in a rural area</t>
        </is>
      </c>
      <c r="I5" t="inlineStr">
        <is>
          <t>Having someone to help them understand their medical condition</t>
        </is>
      </c>
      <c r="J5" t="inlineStr">
        <is>
          <t>Having someone help them understand insurance</t>
        </is>
      </c>
      <c r="K5" t="inlineStr">
        <is>
          <t>Substance Use Disorder (SUD) or Alcohol Use Disorder (AUD)</t>
        </is>
      </c>
      <c r="L5" t="inlineStr">
        <is>
          <t>Other</t>
        </is>
      </c>
      <c r="M5" t="inlineStr">
        <is>
          <t>Geographic location- living in an urban area</t>
        </is>
      </c>
      <c r="N5" t="inlineStr">
        <is>
          <t>Attainment of education</t>
        </is>
      </c>
      <c r="O5" t="inlineStr">
        <is>
          <t>Having a safe place to play and/or exercise</t>
        </is>
      </c>
      <c r="P5" t="inlineStr">
        <is>
          <t>Quality of education</t>
        </is>
      </c>
      <c r="Q5" t="inlineStr">
        <is>
          <t>Cultural customs</t>
        </is>
      </c>
    </row>
    <row r="6" ht="15" customHeight="1" s="99">
      <c r="A6" t="inlineStr">
        <is>
          <t>Multilevel Headers</t>
        </is>
      </c>
      <c r="B6" t="b">
        <v>0</v>
      </c>
      <c r="F6" t="n">
        <v>77.09999999999999</v>
      </c>
      <c r="G6" t="n">
        <v>51.4</v>
      </c>
      <c r="H6" t="n">
        <v>34.9</v>
      </c>
      <c r="I6" t="n">
        <v>32.1</v>
      </c>
      <c r="J6" t="n">
        <v>25.7</v>
      </c>
      <c r="K6" t="n">
        <v>25.7</v>
      </c>
      <c r="L6" t="n">
        <v>17.4</v>
      </c>
      <c r="M6" t="n">
        <v>9.199999999999999</v>
      </c>
      <c r="N6" s="14" t="n">
        <v>7.3</v>
      </c>
      <c r="O6" t="n">
        <v>6.4</v>
      </c>
      <c r="P6" t="n">
        <v>6.4</v>
      </c>
      <c r="Q6" t="n">
        <v>6.4</v>
      </c>
    </row>
    <row r="7" ht="15.75" customHeight="1" s="99">
      <c r="N7" s="14" t="n"/>
    </row>
    <row r="8">
      <c r="G8" s="14" t="n"/>
      <c r="N8" s="14" t="n"/>
    </row>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Q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O57"/>
  <sheetViews>
    <sheetView topLeftCell="A5" workbookViewId="0">
      <selection activeCell="K21" sqref="K21"/>
    </sheetView>
  </sheetViews>
  <sheetFormatPr baseColWidth="10" defaultColWidth="8.6640625" defaultRowHeight="15"/>
  <cols>
    <col width="20" bestFit="1" customWidth="1" style="99" min="1" max="1"/>
    <col width="16.6640625" customWidth="1" style="99" min="2" max="2"/>
    <col width="6.6640625" customWidth="1" style="99" min="5" max="5"/>
    <col width="9.664062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Health Issues in Dutchess County (n = 106)</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ht="15" customHeight="1" s="99">
      <c r="A5" s="98" t="inlineStr">
        <is>
          <t>Table Rules</t>
        </is>
      </c>
      <c r="E5" s="100" t="inlineStr">
        <is>
          <t xml:space="preserve">Enter Data </t>
        </is>
      </c>
      <c r="F5" t="inlineStr">
        <is>
          <t>Likert Scale</t>
        </is>
      </c>
      <c r="G5" s="101" t="inlineStr">
        <is>
          <t>Chronic Disease</t>
        </is>
      </c>
      <c r="H5" s="101" t="inlineStr">
        <is>
          <t>Health Disparities</t>
        </is>
      </c>
      <c r="I5" s="101" t="inlineStr">
        <is>
          <t>Mental Health and Substance Use Issues</t>
        </is>
      </c>
      <c r="J5" s="101" t="inlineStr">
        <is>
          <t>Maternal and Child Health Issues</t>
        </is>
      </c>
      <c r="K5" s="101" t="inlineStr">
        <is>
          <t>Environmental Factors</t>
        </is>
      </c>
      <c r="L5" s="101" t="inlineStr">
        <is>
          <t>Communicable Diseases</t>
        </is>
      </c>
      <c r="M5" s="101" t="n"/>
      <c r="N5" s="101" t="n"/>
    </row>
    <row r="6" ht="15" customHeight="1" s="99">
      <c r="A6" t="inlineStr">
        <is>
          <t>Multilevel Headers</t>
        </is>
      </c>
      <c r="B6" t="b">
        <v>0</v>
      </c>
      <c r="F6" s="118" t="n">
        <v>1</v>
      </c>
      <c r="G6" s="101" t="n">
        <v>6.7</v>
      </c>
      <c r="H6" s="101" t="n">
        <v>3.9</v>
      </c>
      <c r="I6" s="101" t="n">
        <v>4.9</v>
      </c>
      <c r="J6" s="101" t="n">
        <v>22.3</v>
      </c>
      <c r="K6" s="101" t="n">
        <v>17.6</v>
      </c>
      <c r="L6" s="101" t="n">
        <v>21.2</v>
      </c>
      <c r="N6" s="14" t="n"/>
    </row>
    <row r="7" ht="15.75" customHeight="1" s="99">
      <c r="F7" s="118" t="n">
        <v>2</v>
      </c>
      <c r="G7" s="101" t="n">
        <v>3.8</v>
      </c>
      <c r="H7" s="101" t="n">
        <v>8.699999999999999</v>
      </c>
      <c r="I7" s="101" t="n">
        <v>6.9</v>
      </c>
      <c r="J7" s="101" t="n">
        <v>12.6</v>
      </c>
      <c r="K7" s="101" t="n">
        <v>17.7</v>
      </c>
      <c r="L7" s="101" t="n">
        <v>19.2</v>
      </c>
      <c r="N7" s="14" t="n"/>
    </row>
    <row r="8">
      <c r="F8" s="118" t="n">
        <v>3</v>
      </c>
      <c r="G8" s="116" t="n">
        <v>21</v>
      </c>
      <c r="H8" s="101" t="n">
        <v>18.5</v>
      </c>
      <c r="I8" s="101" t="n">
        <v>13.7</v>
      </c>
      <c r="J8" s="101" t="n">
        <v>26.2</v>
      </c>
      <c r="K8" s="101" t="n">
        <v>24.5</v>
      </c>
      <c r="L8" s="101" t="n">
        <v>28.9</v>
      </c>
      <c r="N8" s="14" t="n"/>
    </row>
    <row r="9">
      <c r="A9" s="98" t="inlineStr">
        <is>
          <t>Figure Rules</t>
        </is>
      </c>
      <c r="F9" s="118" t="n">
        <v>4</v>
      </c>
      <c r="G9" s="101" t="n">
        <v>16.2</v>
      </c>
      <c r="H9" s="101" t="n">
        <v>25.2</v>
      </c>
      <c r="I9" s="101" t="n">
        <v>22.6</v>
      </c>
      <c r="J9" s="101" t="n">
        <v>14.6</v>
      </c>
      <c r="K9" s="101" t="n">
        <v>19.6</v>
      </c>
      <c r="L9" s="101" t="n">
        <v>14.4</v>
      </c>
    </row>
    <row r="10">
      <c r="A10" t="inlineStr">
        <is>
          <t>Figure Type</t>
        </is>
      </c>
      <c r="B10" t="inlineStr">
        <is>
          <t>Clustered Bar</t>
        </is>
      </c>
      <c r="F10" s="118" t="n">
        <v>5</v>
      </c>
      <c r="G10" s="101" t="n">
        <v>52.4</v>
      </c>
      <c r="H10" s="116" t="n">
        <v>43.7</v>
      </c>
      <c r="I10" s="116" t="n">
        <v>52</v>
      </c>
      <c r="J10" s="101" t="n">
        <v>24.3</v>
      </c>
      <c r="K10" s="101" t="n">
        <v>19.6</v>
      </c>
      <c r="L10" s="101" t="n">
        <v>14.4</v>
      </c>
    </row>
    <row r="11">
      <c r="A11" t="inlineStr">
        <is>
          <t>X Column</t>
        </is>
      </c>
      <c r="B11" t="inlineStr">
        <is>
          <t>Likert Scale (1 = Very Little Impact and 5 = Highly Impacted)</t>
        </is>
      </c>
    </row>
    <row r="12">
      <c r="A12" t="inlineStr">
        <is>
          <t>Y Column</t>
        </is>
      </c>
    </row>
    <row r="13">
      <c r="A13" t="inlineStr">
        <is>
          <t>X Axis Title</t>
        </is>
      </c>
      <c r="B13"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ht="32" customHeight="1" s="99">
      <c r="A28" s="50" t="inlineStr">
        <is>
          <t>1 is Very Listtle to 5 is highly impacted</t>
        </is>
      </c>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the Social Determinants of Health in Dutchess County (n = 103)</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row>
    <row r="5">
      <c r="A5" s="98" t="inlineStr">
        <is>
          <t>Table Rules</t>
        </is>
      </c>
      <c r="E5" s="100" t="inlineStr">
        <is>
          <t xml:space="preserve">Enter Data </t>
        </is>
      </c>
      <c r="F5" s="101" t="inlineStr">
        <is>
          <t>Economic</t>
        </is>
      </c>
      <c r="G5" s="101" t="inlineStr">
        <is>
          <t>Mental Wellbeing &amp; Substance Use</t>
        </is>
      </c>
      <c r="H5" s="101" t="inlineStr">
        <is>
          <t>Health Insurance Coverage &amp; Access to Care</t>
        </is>
      </c>
      <c r="I5" s="101" t="inlineStr">
        <is>
          <t>Safe &amp; Healthy Communities</t>
        </is>
      </c>
      <c r="J5" s="101" t="inlineStr">
        <is>
          <t>Healthy Children</t>
        </is>
      </c>
      <c r="K5" s="101" t="inlineStr">
        <is>
          <t>Pre K - Grade 12 Student Success &amp; Educational Attainment</t>
        </is>
      </c>
      <c r="M5" s="101" t="n"/>
      <c r="N5" s="101" t="n"/>
    </row>
    <row r="6" ht="15" customHeight="1" s="99">
      <c r="A6" t="inlineStr">
        <is>
          <t>Multilevel Headers</t>
        </is>
      </c>
      <c r="B6" t="b">
        <v>0</v>
      </c>
      <c r="F6" s="101" t="n">
        <v>77.7</v>
      </c>
      <c r="G6" s="101" t="n">
        <v>73.8</v>
      </c>
      <c r="H6" s="116" t="n">
        <v>50</v>
      </c>
      <c r="I6" s="101" t="n">
        <v>48.5</v>
      </c>
      <c r="J6" s="101" t="n">
        <v>28.2</v>
      </c>
      <c r="K6" s="101" t="n">
        <v>25.2</v>
      </c>
      <c r="N6" s="14" t="n"/>
    </row>
    <row r="7" ht="15.75" customHeight="1" s="99">
      <c r="F7" s="101" t="n"/>
      <c r="G7" s="101" t="n"/>
      <c r="H7" s="101" t="n"/>
      <c r="I7" s="101" t="n"/>
      <c r="J7" s="101" t="n"/>
      <c r="K7" s="101" t="n"/>
      <c r="N7" s="14" t="n"/>
    </row>
    <row r="8">
      <c r="F8" s="116" t="n"/>
      <c r="G8" s="101" t="n"/>
      <c r="H8" s="101" t="n"/>
      <c r="I8" s="101" t="n"/>
      <c r="J8" s="101" t="n"/>
      <c r="K8" s="101" t="n"/>
      <c r="N8" s="14" t="n"/>
    </row>
    <row r="9">
      <c r="A9" s="98" t="inlineStr">
        <is>
          <t>Figure Rules</t>
        </is>
      </c>
      <c r="F9" s="101" t="n"/>
      <c r="G9" s="101" t="n"/>
      <c r="H9" s="101" t="n"/>
      <c r="I9" s="101" t="n"/>
      <c r="J9" s="101" t="n"/>
      <c r="K9" s="101" t="n"/>
    </row>
    <row r="10">
      <c r="A10" t="inlineStr">
        <is>
          <t>Figure Type</t>
        </is>
      </c>
      <c r="B10" t="inlineStr">
        <is>
          <t>Bar</t>
        </is>
      </c>
      <c r="F10" s="101" t="n"/>
      <c r="G10" s="116" t="n"/>
      <c r="H10" s="116" t="n"/>
      <c r="I10" s="101" t="n"/>
      <c r="J10" s="101" t="n"/>
      <c r="K10" s="101" t="n"/>
    </row>
    <row r="11">
      <c r="A11" t="inlineStr">
        <is>
          <t>X Column</t>
        </is>
      </c>
      <c r="B11" t="inlineStr">
        <is>
          <t>Category</t>
        </is>
      </c>
      <c r="F11" s="101" t="n"/>
      <c r="G11" s="101" t="n"/>
      <c r="H11" s="101" t="n"/>
      <c r="I11" s="101" t="n"/>
      <c r="J11" s="101" t="n"/>
      <c r="K11" s="101" t="n"/>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O57"/>
  <sheetViews>
    <sheetView workbookViewId="0">
      <selection activeCell="Q14" sqref="Q14"/>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Economic Wellbeing in Dutchess County (n = 103)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3" t="n"/>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100" t="inlineStr">
        <is>
          <t xml:space="preserve">Enter Data </t>
        </is>
      </c>
      <c r="F5" t="inlineStr">
        <is>
          <t>Likert Scale</t>
        </is>
      </c>
      <c r="G5" s="101" t="inlineStr">
        <is>
          <t>Poverty</t>
        </is>
      </c>
      <c r="H5" s="101" t="inlineStr">
        <is>
          <t>Unemployment</t>
        </is>
      </c>
      <c r="I5" s="101" t="inlineStr">
        <is>
          <t>Nutrition Security</t>
        </is>
      </c>
      <c r="J5" s="101" t="inlineStr">
        <is>
          <t xml:space="preserve">Housing Stability &amp; Affordability </t>
        </is>
      </c>
      <c r="K5" s="101" t="n"/>
      <c r="L5" s="101" t="n"/>
      <c r="M5" s="101" t="n"/>
      <c r="N5" s="101" t="n"/>
    </row>
    <row r="6" ht="15" customHeight="1" s="99">
      <c r="A6" t="inlineStr">
        <is>
          <t>Multilevel Headers</t>
        </is>
      </c>
      <c r="B6" t="b">
        <v>0</v>
      </c>
      <c r="F6" s="118" t="n">
        <v>1</v>
      </c>
      <c r="G6" s="116" t="n">
        <v>3.9</v>
      </c>
      <c r="H6" s="116" t="n">
        <v>7</v>
      </c>
      <c r="I6" s="116" t="n">
        <v>5</v>
      </c>
      <c r="J6" s="116" t="n">
        <v>3.6</v>
      </c>
      <c r="N6" s="14" t="n"/>
    </row>
    <row r="7" ht="15.75" customHeight="1" s="99">
      <c r="F7" s="118" t="n">
        <v>2</v>
      </c>
      <c r="G7" s="116" t="n">
        <v>5.8</v>
      </c>
      <c r="H7" s="116" t="n">
        <v>10.2</v>
      </c>
      <c r="I7" s="116" t="n">
        <v>7</v>
      </c>
      <c r="J7" s="116" t="n">
        <v>8.800000000000001</v>
      </c>
      <c r="N7" s="14" t="n"/>
    </row>
    <row r="8">
      <c r="F8" s="118" t="n">
        <v>3</v>
      </c>
      <c r="G8" s="116" t="n">
        <v>24.3</v>
      </c>
      <c r="H8" s="116" t="n">
        <v>26.3</v>
      </c>
      <c r="I8" s="116" t="n">
        <v>28</v>
      </c>
      <c r="J8" s="116" t="n">
        <v>19.5</v>
      </c>
      <c r="N8" s="14" t="n"/>
    </row>
    <row r="9">
      <c r="A9" s="98" t="inlineStr">
        <is>
          <t>Figure Rules</t>
        </is>
      </c>
      <c r="F9" s="118" t="n">
        <v>4</v>
      </c>
      <c r="G9" s="116" t="n">
        <v>12.6</v>
      </c>
      <c r="H9" s="116" t="n">
        <v>29</v>
      </c>
      <c r="I9" s="116" t="n">
        <v>23</v>
      </c>
      <c r="J9" s="116" t="n">
        <v>21.1</v>
      </c>
    </row>
    <row r="10">
      <c r="A10" t="inlineStr">
        <is>
          <t>Figure Type</t>
        </is>
      </c>
      <c r="B10" t="inlineStr">
        <is>
          <t>Clustered Bar</t>
        </is>
      </c>
      <c r="F10" s="118" t="n">
        <v>5</v>
      </c>
      <c r="G10" s="116" t="n">
        <v>53.4</v>
      </c>
      <c r="H10" s="116" t="n">
        <v>27.6</v>
      </c>
      <c r="I10" s="116" t="n">
        <v>37</v>
      </c>
      <c r="J10" s="116" t="n">
        <v>47.1</v>
      </c>
    </row>
    <row r="11">
      <c r="A11" t="inlineStr">
        <is>
          <t>X Column</t>
        </is>
      </c>
      <c r="B11" t="inlineStr">
        <is>
          <t>Likert Scale (1 = Very Little Impact and 5 = Highly Impacted)</t>
        </is>
      </c>
    </row>
    <row r="12">
      <c r="A12" t="inlineStr">
        <is>
          <t>Y Column</t>
        </is>
      </c>
    </row>
    <row r="13">
      <c r="A13" t="inlineStr">
        <is>
          <t>X Axis Title</t>
        </is>
      </c>
      <c r="B13"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G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O57"/>
  <sheetViews>
    <sheetView workbookViewId="0">
      <selection activeCell="H10" sqref="H10"/>
    </sheetView>
  </sheetViews>
  <sheetFormatPr baseColWidth="10" defaultColWidth="8.6640625" defaultRowHeight="15"/>
  <cols>
    <col width="20" bestFit="1" customWidth="1" style="99" min="1" max="1"/>
    <col width="16.6640625" customWidth="1" style="99" min="2" max="2"/>
    <col width="6.6640625" customWidth="1" style="99" min="5" max="5"/>
    <col width="15.8320312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Mental Wellbeing &amp; Substance Use in Dutchess County (n = 101)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100" t="inlineStr">
        <is>
          <t xml:space="preserve">Enter Data </t>
        </is>
      </c>
      <c r="F5" t="inlineStr">
        <is>
          <t>Likert Scale</t>
        </is>
      </c>
      <c r="G5" s="101" t="inlineStr">
        <is>
          <t>Anxiety &amp; Stress</t>
        </is>
      </c>
      <c r="H5" s="101" t="inlineStr">
        <is>
          <t>Suicide</t>
        </is>
      </c>
      <c r="I5" s="101" t="inlineStr">
        <is>
          <t>Depression</t>
        </is>
      </c>
      <c r="J5" s="101" t="inlineStr">
        <is>
          <t>Substance Use</t>
        </is>
      </c>
      <c r="K5" s="101" t="inlineStr">
        <is>
          <t>Adverse Childhood Experiences</t>
        </is>
      </c>
      <c r="L5" s="101" t="inlineStr">
        <is>
          <t>Healthy Eating</t>
        </is>
      </c>
      <c r="M5" s="101" t="n"/>
      <c r="N5" s="101" t="n"/>
    </row>
    <row r="6" ht="15" customHeight="1" s="99">
      <c r="A6" t="inlineStr">
        <is>
          <t>Multilevel Headers</t>
        </is>
      </c>
      <c r="B6" t="b">
        <v>0</v>
      </c>
      <c r="F6" s="118" t="n">
        <v>1</v>
      </c>
      <c r="G6" s="51" t="n">
        <v>0</v>
      </c>
      <c r="H6" s="116" t="n">
        <v>20.4</v>
      </c>
      <c r="I6" s="116" t="n">
        <v>2</v>
      </c>
      <c r="J6" s="116" t="n">
        <v>11.1</v>
      </c>
      <c r="K6" s="116" t="n">
        <v>4</v>
      </c>
      <c r="L6" s="116" t="n">
        <v>5</v>
      </c>
      <c r="N6" s="14" t="n"/>
    </row>
    <row r="7" ht="15.75" customHeight="1" s="99">
      <c r="F7" s="118" t="n">
        <v>2</v>
      </c>
      <c r="G7" s="116" t="n">
        <v>2.6</v>
      </c>
      <c r="H7" s="116" t="n">
        <v>17.4</v>
      </c>
      <c r="I7" s="116" t="n">
        <v>12</v>
      </c>
      <c r="J7" s="116" t="n">
        <v>11.1</v>
      </c>
      <c r="K7" s="116" t="n">
        <v>10.1</v>
      </c>
      <c r="L7" s="116" t="n">
        <v>5.9</v>
      </c>
      <c r="N7" s="14" t="n"/>
    </row>
    <row r="8">
      <c r="F8" s="118" t="n">
        <v>3</v>
      </c>
      <c r="G8" s="116" t="n">
        <v>12.4</v>
      </c>
      <c r="H8" s="116" t="n">
        <v>27.6</v>
      </c>
      <c r="I8" s="116" t="n">
        <v>17</v>
      </c>
      <c r="J8" s="116" t="n">
        <v>23.2</v>
      </c>
      <c r="K8" s="116" t="n">
        <v>24.2</v>
      </c>
      <c r="L8" s="116" t="n">
        <v>23.8</v>
      </c>
      <c r="N8" s="14" t="n"/>
    </row>
    <row r="9">
      <c r="A9" s="98" t="inlineStr">
        <is>
          <t>Figure Rules</t>
        </is>
      </c>
      <c r="F9" s="118" t="n">
        <v>4</v>
      </c>
      <c r="G9" s="116" t="n">
        <v>23.8</v>
      </c>
      <c r="H9" s="116" t="n">
        <v>19.4</v>
      </c>
      <c r="I9" s="116" t="n">
        <v>28</v>
      </c>
      <c r="J9" s="116" t="n">
        <v>15.2</v>
      </c>
      <c r="K9" s="116" t="n">
        <v>28.3</v>
      </c>
      <c r="L9" s="116" t="n">
        <v>27.7</v>
      </c>
    </row>
    <row r="10">
      <c r="A10" t="inlineStr">
        <is>
          <t>Figure Type</t>
        </is>
      </c>
      <c r="B10" t="inlineStr">
        <is>
          <t>Clustered Bar</t>
        </is>
      </c>
      <c r="F10" s="118" t="n">
        <v>5</v>
      </c>
      <c r="G10" s="116" t="n">
        <v>60.9</v>
      </c>
      <c r="H10" s="116" t="n">
        <v>15.3</v>
      </c>
      <c r="I10" s="116" t="n">
        <v>41</v>
      </c>
      <c r="J10" s="116" t="n">
        <v>39.4</v>
      </c>
      <c r="K10" s="116" t="n">
        <v>33.3</v>
      </c>
      <c r="L10" s="116" t="n">
        <v>37.6</v>
      </c>
    </row>
    <row r="11">
      <c r="A11" t="inlineStr">
        <is>
          <t>X Column</t>
        </is>
      </c>
      <c r="B11" s="82" t="inlineStr">
        <is>
          <t>Likert Scale (1 = Very Little Impact and 5 = Highly Impacted)</t>
        </is>
      </c>
    </row>
    <row r="12">
      <c r="A12" t="inlineStr">
        <is>
          <t>Y Column</t>
        </is>
      </c>
      <c r="B12" s="82" t="n"/>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O57"/>
  <sheetViews>
    <sheetView workbookViewId="0">
      <selection activeCell="J20" sqref="J20"/>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Health Insurance Coverage &amp; Access to Care in Dutchess County (n = 100)</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100" t="inlineStr">
        <is>
          <t xml:space="preserve">Enter Data </t>
        </is>
      </c>
      <c r="F5" t="inlineStr">
        <is>
          <t>Likert Scale</t>
        </is>
      </c>
      <c r="G5" s="101" t="inlineStr">
        <is>
          <t>Access To &amp; Use of Prenatal Care</t>
        </is>
      </c>
      <c r="H5" s="101" t="inlineStr">
        <is>
          <t>Prevention of Infant &amp; Maternal Mortality</t>
        </is>
      </c>
      <c r="I5" s="101" t="inlineStr">
        <is>
          <t>Preventive Services for Chronic Disease Prevention &amp; Control</t>
        </is>
      </c>
      <c r="J5" s="101" t="inlineStr">
        <is>
          <t>Oral Health Care</t>
        </is>
      </c>
      <c r="K5" s="101" t="n"/>
      <c r="L5" s="101" t="n"/>
      <c r="M5" s="101" t="n"/>
      <c r="N5" s="101" t="n"/>
    </row>
    <row r="6" ht="15" customHeight="1" s="99">
      <c r="A6" t="inlineStr">
        <is>
          <t>Multilevel Headers</t>
        </is>
      </c>
      <c r="B6" t="b">
        <v>0</v>
      </c>
      <c r="F6" s="118" t="n">
        <v>1</v>
      </c>
      <c r="G6" s="116" t="n">
        <v>27.5</v>
      </c>
      <c r="H6" s="116" t="n">
        <v>29.6</v>
      </c>
      <c r="I6" s="116" t="n">
        <v>3</v>
      </c>
      <c r="J6" s="116" t="n">
        <v>7</v>
      </c>
      <c r="N6" s="14" t="n"/>
    </row>
    <row r="7" ht="15.75" customHeight="1" s="99">
      <c r="F7" s="118" t="n">
        <v>2</v>
      </c>
      <c r="G7" s="116" t="n">
        <v>14.3</v>
      </c>
      <c r="H7" s="116" t="n">
        <v>14.3</v>
      </c>
      <c r="I7" s="116" t="n">
        <v>11.1</v>
      </c>
      <c r="J7" s="116" t="n">
        <v>12</v>
      </c>
      <c r="N7" s="14" t="n"/>
    </row>
    <row r="8">
      <c r="F8" s="118" t="n">
        <v>3</v>
      </c>
      <c r="G8" s="116" t="n">
        <v>24.5</v>
      </c>
      <c r="H8" s="116" t="n">
        <v>26.5</v>
      </c>
      <c r="I8" s="116" t="n">
        <v>18.2</v>
      </c>
      <c r="J8" s="116" t="n">
        <v>19</v>
      </c>
      <c r="N8" s="14" t="n"/>
    </row>
    <row r="9">
      <c r="A9" s="98" t="inlineStr">
        <is>
          <t>Figure Rules</t>
        </is>
      </c>
      <c r="F9" s="118" t="n">
        <v>4</v>
      </c>
      <c r="G9" s="116" t="n">
        <v>13.3</v>
      </c>
      <c r="H9" s="116" t="n">
        <v>11.2</v>
      </c>
      <c r="I9" s="116" t="n">
        <v>22.2</v>
      </c>
      <c r="J9" s="116" t="n">
        <v>23</v>
      </c>
    </row>
    <row r="10">
      <c r="A10" t="inlineStr">
        <is>
          <t>Figure Type</t>
        </is>
      </c>
      <c r="B10" t="inlineStr">
        <is>
          <t>Clustered Bar</t>
        </is>
      </c>
      <c r="F10" s="118" t="n">
        <v>5</v>
      </c>
      <c r="G10" s="116" t="n">
        <v>20.4</v>
      </c>
      <c r="H10" s="116" t="n">
        <v>18.4</v>
      </c>
      <c r="I10" s="116" t="n">
        <v>45.5</v>
      </c>
      <c r="J10" s="116" t="n">
        <v>39</v>
      </c>
    </row>
    <row r="11">
      <c r="A11" t="inlineStr">
        <is>
          <t>X Column</t>
        </is>
      </c>
      <c r="B11" s="82" t="inlineStr">
        <is>
          <t>Likert Scale (1 = Very Little Impact and 5 = Highly Impacted)</t>
        </is>
      </c>
    </row>
    <row r="12">
      <c r="A12" t="inlineStr">
        <is>
          <t>Y Column</t>
        </is>
      </c>
      <c r="B12" s="82" t="n"/>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ht="16" customHeight="1" s="99">
      <c r="A17" t="inlineStr">
        <is>
          <t>Group By</t>
        </is>
      </c>
      <c r="B17" s="80" t="inlineStr">
        <is>
          <t>x_col</t>
        </is>
      </c>
    </row>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34" bestFit="1" customWidth="1" style="99" min="6" max="6"/>
    <col width="31.5" bestFit="1"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Top Rated Issues That Affect Health in Orange County (n = 170)</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100" t="inlineStr">
        <is>
          <t xml:space="preserve">Enter Data </t>
        </is>
      </c>
      <c r="F5" s="101" t="inlineStr">
        <is>
          <t>Access to mental health providers</t>
        </is>
      </c>
      <c r="G5" s="101" t="inlineStr">
        <is>
          <t>Access to affordable, decent and safe housing</t>
        </is>
      </c>
      <c r="H5" s="101" t="inlineStr">
        <is>
          <t>Access to specialty services/providers</t>
        </is>
      </c>
      <c r="I5" s="101" t="inlineStr">
        <is>
          <t>Access to affordable, reliable transportation</t>
        </is>
      </c>
      <c r="J5" s="101" t="inlineStr">
        <is>
          <t>Access to affordable health insurance</t>
        </is>
      </c>
      <c r="K5" s="101" t="inlineStr">
        <is>
          <t>Access to affordable, nutritious food</t>
        </is>
      </c>
      <c r="L5" s="101" t="inlineStr">
        <is>
          <t>Access to medical providers</t>
        </is>
      </c>
      <c r="M5" s="101" t="inlineStr">
        <is>
          <t>Access to culturally sensitive health care providers</t>
        </is>
      </c>
      <c r="N5" s="101" t="inlineStr">
        <is>
          <t>Access to high quality education</t>
        </is>
      </c>
      <c r="O5" s="101" t="inlineStr">
        <is>
          <t>Access to clean water and non-polluted air</t>
        </is>
      </c>
    </row>
    <row r="6" ht="15" customHeight="1" s="99">
      <c r="A6" t="inlineStr">
        <is>
          <t>Multilevel Headers</t>
        </is>
      </c>
      <c r="B6" t="b">
        <v>0</v>
      </c>
      <c r="F6" s="116" t="n">
        <v>58.2</v>
      </c>
      <c r="G6" s="116" t="n">
        <v>42.4</v>
      </c>
      <c r="H6" s="116" t="n">
        <v>40.6</v>
      </c>
      <c r="I6" s="116" t="n">
        <v>37.7</v>
      </c>
      <c r="J6" s="116" t="n">
        <v>36.5</v>
      </c>
      <c r="K6" s="116" t="n">
        <v>34.1</v>
      </c>
      <c r="L6" s="116" t="n">
        <v>30</v>
      </c>
      <c r="M6" s="116" t="n">
        <v>10.6</v>
      </c>
      <c r="N6" s="116" t="n">
        <v>10</v>
      </c>
      <c r="O6" s="51" t="n">
        <v>0</v>
      </c>
    </row>
    <row r="7" ht="15.75" customHeight="1" s="99"/>
    <row r="8"/>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Top Rated Barriers to Achieving Better Health in Orange County (n = 170)</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row>
    <row r="5">
      <c r="A5" s="98" t="inlineStr">
        <is>
          <t>Table Rules</t>
        </is>
      </c>
      <c r="E5" s="100" t="inlineStr">
        <is>
          <t xml:space="preserve">Enter Data </t>
        </is>
      </c>
      <c r="F5" t="inlineStr">
        <is>
          <t>Knowledge of existing resources</t>
        </is>
      </c>
      <c r="G5" t="inlineStr">
        <is>
          <t>Health literacy</t>
        </is>
      </c>
      <c r="H5" t="inlineStr">
        <is>
          <t>Geographic location living in a rural area</t>
        </is>
      </c>
      <c r="I5" t="inlineStr">
        <is>
          <t>Having someone help them understand insurance</t>
        </is>
      </c>
      <c r="J5" t="inlineStr">
        <is>
          <t>Having someone to help them understand their medical condition</t>
        </is>
      </c>
      <c r="K5" t="inlineStr">
        <is>
          <t>Substance Use Disorder (SUD) or Alcohol Use Disorder (AUD)</t>
        </is>
      </c>
      <c r="L5" t="inlineStr">
        <is>
          <t>Other</t>
        </is>
      </c>
      <c r="M5" t="inlineStr">
        <is>
          <t>Cultural customs</t>
        </is>
      </c>
      <c r="N5" t="inlineStr">
        <is>
          <t>Having a safe place to play and/or exercise</t>
        </is>
      </c>
      <c r="O5" t="inlineStr">
        <is>
          <t>Quality of education</t>
        </is>
      </c>
      <c r="P5" t="inlineStr">
        <is>
          <t>Geographic location- living in an urban area</t>
        </is>
      </c>
      <c r="Q5" t="inlineStr">
        <is>
          <t>Attainment of education</t>
        </is>
      </c>
    </row>
    <row r="6" ht="15" customHeight="1" s="99">
      <c r="A6" t="inlineStr">
        <is>
          <t>Multilevel Headers</t>
        </is>
      </c>
      <c r="B6" t="b">
        <v>0</v>
      </c>
      <c r="F6" t="n">
        <v>67.09999999999999</v>
      </c>
      <c r="G6" t="n">
        <v>50.6</v>
      </c>
      <c r="H6" t="n">
        <v>32.4</v>
      </c>
      <c r="I6" t="n">
        <v>31.2</v>
      </c>
      <c r="J6" t="n">
        <v>28.8</v>
      </c>
      <c r="K6" t="n">
        <v>27.7</v>
      </c>
      <c r="L6" t="n">
        <v>21.2</v>
      </c>
      <c r="M6" t="n">
        <v>9.4</v>
      </c>
      <c r="N6" t="n">
        <v>8.199999999999999</v>
      </c>
      <c r="O6" t="n">
        <v>8.199999999999999</v>
      </c>
      <c r="P6" t="n">
        <v>7.7</v>
      </c>
      <c r="Q6" s="14" t="n">
        <v>7.7</v>
      </c>
    </row>
    <row r="7" ht="15.75" customHeight="1" s="99"/>
    <row r="8">
      <c r="G8" s="14" t="n"/>
    </row>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Q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6.6640625" customWidth="1" style="99" min="2" max="2"/>
    <col width="6.6640625" customWidth="1" style="99" min="5" max="5"/>
    <col width="15.8320312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Health Issues in Orange County (n = 163)</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100" t="inlineStr">
        <is>
          <t xml:space="preserve">Enter Data </t>
        </is>
      </c>
      <c r="F5" t="inlineStr">
        <is>
          <t>Likert Scale</t>
        </is>
      </c>
      <c r="G5" s="101" t="inlineStr">
        <is>
          <t>Chronic Disease</t>
        </is>
      </c>
      <c r="H5" s="101" t="inlineStr">
        <is>
          <t>Health Disparities</t>
        </is>
      </c>
      <c r="I5" s="101" t="inlineStr">
        <is>
          <t>Mental Health and Substance Use Issues</t>
        </is>
      </c>
      <c r="J5" s="101" t="inlineStr">
        <is>
          <t>Maternal and Child Health Issues</t>
        </is>
      </c>
      <c r="K5" s="101" t="inlineStr">
        <is>
          <t>Environmental Factors</t>
        </is>
      </c>
      <c r="L5" s="101" t="inlineStr">
        <is>
          <t>Communicable Diseases</t>
        </is>
      </c>
      <c r="M5" s="101" t="n"/>
      <c r="N5" s="101" t="n"/>
    </row>
    <row r="6" ht="15" customHeight="1" s="99">
      <c r="A6" t="inlineStr">
        <is>
          <t>Multilevel Headers</t>
        </is>
      </c>
      <c r="B6" t="b">
        <v>0</v>
      </c>
      <c r="F6" s="118" t="n">
        <v>1</v>
      </c>
      <c r="G6" s="116" t="n">
        <v>3.1</v>
      </c>
      <c r="H6" s="116" t="n">
        <v>4.4</v>
      </c>
      <c r="I6" s="116" t="n">
        <v>3.7</v>
      </c>
      <c r="J6" s="116" t="n">
        <v>16.9</v>
      </c>
      <c r="K6" s="116" t="n">
        <v>16.1</v>
      </c>
      <c r="L6" s="116" t="n">
        <v>19</v>
      </c>
      <c r="N6" s="14" t="n"/>
    </row>
    <row r="7" ht="15.75" customHeight="1" s="99">
      <c r="F7" s="118" t="n">
        <v>2</v>
      </c>
      <c r="G7" s="116" t="n">
        <v>5.6</v>
      </c>
      <c r="H7" s="116" t="n">
        <v>5</v>
      </c>
      <c r="I7" s="116" t="n">
        <v>5</v>
      </c>
      <c r="J7" s="116" t="n">
        <v>10</v>
      </c>
      <c r="K7" s="116" t="n">
        <v>15.4</v>
      </c>
      <c r="L7" s="116" t="n">
        <v>14.7</v>
      </c>
      <c r="N7" s="14" t="n"/>
    </row>
    <row r="8">
      <c r="F8" s="118" t="n">
        <v>3</v>
      </c>
      <c r="G8" s="116" t="n">
        <v>12.4</v>
      </c>
      <c r="H8" s="116" t="n">
        <v>18.9</v>
      </c>
      <c r="I8" s="116" t="n">
        <v>15.5</v>
      </c>
      <c r="J8" s="116" t="n">
        <v>31.3</v>
      </c>
      <c r="K8" s="116" t="n">
        <v>34</v>
      </c>
      <c r="L8" s="116" t="n">
        <v>32.5</v>
      </c>
      <c r="N8" s="14" t="n"/>
    </row>
    <row r="9">
      <c r="A9" s="98" t="inlineStr">
        <is>
          <t>Figure Rules</t>
        </is>
      </c>
      <c r="F9" s="118" t="n">
        <v>4</v>
      </c>
      <c r="G9" s="116" t="n">
        <v>15.5</v>
      </c>
      <c r="H9" s="116" t="n">
        <v>28.3</v>
      </c>
      <c r="I9" s="116" t="n">
        <v>19.9</v>
      </c>
      <c r="J9" s="116" t="n">
        <v>18.8</v>
      </c>
      <c r="K9" s="116" t="n">
        <v>17.9</v>
      </c>
      <c r="L9" s="116" t="n">
        <v>16</v>
      </c>
    </row>
    <row r="10">
      <c r="A10" t="inlineStr">
        <is>
          <t>Figure Type</t>
        </is>
      </c>
      <c r="B10" t="inlineStr">
        <is>
          <t>Clustered Bar</t>
        </is>
      </c>
      <c r="F10" s="118" t="n">
        <v>5</v>
      </c>
      <c r="G10" s="116" t="n">
        <v>63.4</v>
      </c>
      <c r="H10" s="116" t="n">
        <v>43.4</v>
      </c>
      <c r="I10" s="116" t="n">
        <v>55.9</v>
      </c>
      <c r="J10" s="116" t="n">
        <v>23.1</v>
      </c>
      <c r="K10" s="116" t="n">
        <v>16.7</v>
      </c>
      <c r="L10" s="116" t="n">
        <v>17.8</v>
      </c>
    </row>
    <row r="11">
      <c r="A11" t="inlineStr">
        <is>
          <t>X Column</t>
        </is>
      </c>
      <c r="B11" s="82" t="inlineStr">
        <is>
          <t>Likert Scale (1 = Very Little Impact and 5 = Highly Impacted)</t>
        </is>
      </c>
    </row>
    <row r="12">
      <c r="A12" t="inlineStr">
        <is>
          <t>Y Column</t>
        </is>
      </c>
      <c r="B12" s="82" t="n"/>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the Social Determinants of Health in Orange County (n = 160)</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row>
    <row r="5">
      <c r="A5" s="98" t="inlineStr">
        <is>
          <t>Table Rules</t>
        </is>
      </c>
      <c r="E5" s="100" t="inlineStr">
        <is>
          <t xml:space="preserve">Enter Data </t>
        </is>
      </c>
      <c r="F5" s="101" t="inlineStr">
        <is>
          <t>Mental Wellbeing &amp; Substance Use</t>
        </is>
      </c>
      <c r="G5" s="101" t="inlineStr">
        <is>
          <t>Economic</t>
        </is>
      </c>
      <c r="H5" s="101" t="inlineStr">
        <is>
          <t>Health Insurance Coverage &amp; Access to Care</t>
        </is>
      </c>
      <c r="I5" s="101" t="inlineStr">
        <is>
          <t>Safe &amp; Healthy Communities</t>
        </is>
      </c>
      <c r="J5" s="101" t="inlineStr">
        <is>
          <t>Healthy Children</t>
        </is>
      </c>
      <c r="K5" s="101" t="inlineStr">
        <is>
          <t>Pre K - Grade 12 Student Success &amp; Educational Attainment</t>
        </is>
      </c>
      <c r="M5" s="101" t="n"/>
      <c r="N5" s="101" t="n"/>
    </row>
    <row r="6" ht="15" customHeight="1" s="99">
      <c r="A6" t="inlineStr">
        <is>
          <t>Multilevel Headers</t>
        </is>
      </c>
      <c r="B6" t="b">
        <v>0</v>
      </c>
      <c r="F6" s="101" t="n">
        <v>77.5</v>
      </c>
      <c r="G6" s="101" t="n">
        <v>76.90000000000001</v>
      </c>
      <c r="H6" s="116" t="n">
        <v>61.9</v>
      </c>
      <c r="I6" s="101" t="n">
        <v>48.8</v>
      </c>
      <c r="J6" s="101" t="n">
        <v>18.8</v>
      </c>
      <c r="K6" s="101" t="n">
        <v>16.3</v>
      </c>
      <c r="N6" s="14" t="n"/>
    </row>
    <row r="7" ht="15.75" customHeight="1" s="99">
      <c r="F7" s="101" t="n"/>
      <c r="G7" s="101" t="n"/>
      <c r="H7" s="101" t="n"/>
      <c r="I7" s="101" t="n"/>
      <c r="J7" s="101" t="n"/>
      <c r="K7" s="101" t="n"/>
      <c r="N7" s="14" t="n"/>
    </row>
    <row r="8">
      <c r="H8" s="101" t="n"/>
      <c r="I8" s="101" t="n"/>
      <c r="J8" s="101" t="n"/>
      <c r="K8" s="101" t="n"/>
      <c r="N8" s="14" t="n"/>
    </row>
    <row r="9">
      <c r="A9" s="98" t="inlineStr">
        <is>
          <t>Figure Rules</t>
        </is>
      </c>
      <c r="H9" s="101" t="n"/>
      <c r="I9" s="101" t="n"/>
      <c r="J9" s="101" t="n"/>
      <c r="K9" s="101" t="n"/>
    </row>
    <row r="10">
      <c r="A10" t="inlineStr">
        <is>
          <t>Figure Type</t>
        </is>
      </c>
      <c r="B10" t="inlineStr">
        <is>
          <t>Bar</t>
        </is>
      </c>
      <c r="F10" s="101" t="n"/>
      <c r="G10" s="116" t="n"/>
      <c r="H10" s="116" t="n"/>
      <c r="I10" s="101" t="n"/>
      <c r="J10" s="101" t="n"/>
      <c r="K10" s="101" t="n"/>
    </row>
    <row r="11">
      <c r="A11" t="inlineStr">
        <is>
          <t>X Column</t>
        </is>
      </c>
      <c r="B11" t="inlineStr">
        <is>
          <t>Category</t>
        </is>
      </c>
      <c r="F11" s="101" t="n"/>
      <c r="G11" s="101" t="n"/>
      <c r="H11" s="101" t="n"/>
      <c r="I11" s="101" t="n"/>
      <c r="J11" s="101" t="n"/>
      <c r="K11" s="101" t="n"/>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O57"/>
  <sheetViews>
    <sheetView workbookViewId="0">
      <selection activeCell="B11" sqref="B11:B13"/>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Economic Wellbeing in Orange County (n = 159)</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100" t="inlineStr">
        <is>
          <t xml:space="preserve">Enter Data </t>
        </is>
      </c>
      <c r="F5" t="inlineStr">
        <is>
          <t>Likert Scale</t>
        </is>
      </c>
      <c r="G5" s="101" t="inlineStr">
        <is>
          <t>Poverty</t>
        </is>
      </c>
      <c r="H5" s="101" t="inlineStr">
        <is>
          <t>Unemployment</t>
        </is>
      </c>
      <c r="I5" s="101" t="inlineStr">
        <is>
          <t>Nutrition Security</t>
        </is>
      </c>
      <c r="J5" s="101" t="inlineStr">
        <is>
          <t xml:space="preserve">Housing Stability &amp; Affordability </t>
        </is>
      </c>
      <c r="K5" s="101" t="n"/>
      <c r="L5" s="101" t="n"/>
      <c r="M5" s="101" t="n"/>
      <c r="N5" s="101" t="n"/>
    </row>
    <row r="6" ht="15" customHeight="1" s="99">
      <c r="A6" t="inlineStr">
        <is>
          <t>Multilevel Headers</t>
        </is>
      </c>
      <c r="B6" t="b">
        <v>0</v>
      </c>
      <c r="F6" s="118" t="n">
        <v>1</v>
      </c>
      <c r="G6" s="116" t="n">
        <v>1.9</v>
      </c>
      <c r="H6" s="116" t="n">
        <v>5.7</v>
      </c>
      <c r="I6" s="116" t="n">
        <v>3.9</v>
      </c>
      <c r="J6" s="116" t="n">
        <v>2.5</v>
      </c>
      <c r="K6" s="116" t="n"/>
      <c r="N6" s="14" t="n"/>
    </row>
    <row r="7" ht="15.75" customHeight="1" s="99">
      <c r="F7" s="118" t="n">
        <v>2</v>
      </c>
      <c r="G7" s="116" t="n">
        <v>5.7</v>
      </c>
      <c r="H7" s="116" t="n">
        <v>8.9</v>
      </c>
      <c r="I7" s="116" t="n">
        <v>8.300000000000001</v>
      </c>
      <c r="J7" s="116" t="n">
        <v>5.7</v>
      </c>
      <c r="N7" s="14" t="n"/>
    </row>
    <row r="8">
      <c r="F8" s="118" t="n">
        <v>3</v>
      </c>
      <c r="G8" s="116" t="n">
        <v>20.8</v>
      </c>
      <c r="H8" s="116" t="n">
        <v>28.5</v>
      </c>
      <c r="I8" s="116" t="n">
        <v>25.6</v>
      </c>
      <c r="J8" s="116" t="n">
        <v>23.3</v>
      </c>
      <c r="N8" s="14" t="n"/>
    </row>
    <row r="9">
      <c r="A9" s="98" t="inlineStr">
        <is>
          <t>Figure Rules</t>
        </is>
      </c>
      <c r="F9" s="118" t="n">
        <v>4</v>
      </c>
      <c r="G9" s="116" t="n">
        <v>21.4</v>
      </c>
      <c r="H9" s="116" t="n">
        <v>31</v>
      </c>
      <c r="I9" s="116" t="n">
        <v>27.6</v>
      </c>
      <c r="J9" s="116" t="n">
        <v>18.9</v>
      </c>
    </row>
    <row r="10">
      <c r="A10" t="inlineStr">
        <is>
          <t>Figure Type</t>
        </is>
      </c>
      <c r="B10" t="inlineStr">
        <is>
          <t>Clustered Bar</t>
        </is>
      </c>
      <c r="F10" s="118" t="n">
        <v>5</v>
      </c>
      <c r="G10" s="116" t="n">
        <v>50.3</v>
      </c>
      <c r="H10" s="116" t="n">
        <v>26</v>
      </c>
      <c r="I10" s="116" t="n">
        <v>34.6</v>
      </c>
      <c r="J10" s="116" t="n">
        <v>50</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O57"/>
  <sheetViews>
    <sheetView workbookViewId="0">
      <selection activeCell="B12" sqref="B12"/>
    </sheetView>
  </sheetViews>
  <sheetFormatPr baseColWidth="10" defaultColWidth="8.6640625" defaultRowHeight="15"/>
  <cols>
    <col width="20" bestFit="1" customWidth="1" style="99" min="1" max="1"/>
    <col width="16.6640625" customWidth="1" style="99" min="2" max="2"/>
    <col width="6.6640625" customWidth="1" style="99" min="5" max="5"/>
    <col width="9.664062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Mental Wellbeing &amp; Substance Use in Orange County (n = 157)</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100" t="inlineStr">
        <is>
          <t xml:space="preserve">Enter Data </t>
        </is>
      </c>
      <c r="F5" t="inlineStr">
        <is>
          <t>Likert Scale</t>
        </is>
      </c>
      <c r="G5" s="101" t="inlineStr">
        <is>
          <t>Anxiety &amp; Stress</t>
        </is>
      </c>
      <c r="H5" s="101" t="inlineStr">
        <is>
          <t>Suicide</t>
        </is>
      </c>
      <c r="I5" s="101" t="inlineStr">
        <is>
          <t>Depression</t>
        </is>
      </c>
      <c r="J5" s="101" t="inlineStr">
        <is>
          <t>Substance Use</t>
        </is>
      </c>
      <c r="K5" s="101" t="inlineStr">
        <is>
          <t>Adverse Childhood Experiences</t>
        </is>
      </c>
      <c r="L5" s="101" t="inlineStr">
        <is>
          <t>Healthy Eating</t>
        </is>
      </c>
      <c r="M5" s="101" t="n"/>
      <c r="N5" s="101" t="n"/>
    </row>
    <row r="6" ht="15" customHeight="1" s="99">
      <c r="A6" t="inlineStr">
        <is>
          <t>Multilevel Headers</t>
        </is>
      </c>
      <c r="B6" t="b">
        <v>0</v>
      </c>
      <c r="F6" s="118" t="n">
        <v>1</v>
      </c>
      <c r="G6" s="51" t="n">
        <v>0</v>
      </c>
      <c r="H6" s="116" t="n">
        <v>14.3</v>
      </c>
      <c r="I6" s="116" t="n">
        <v>1.3</v>
      </c>
      <c r="J6" s="116" t="n">
        <v>7.7</v>
      </c>
      <c r="K6" s="116" t="n">
        <v>9.699999999999999</v>
      </c>
      <c r="L6" s="116" t="n">
        <v>3.8</v>
      </c>
      <c r="N6" s="14" t="n"/>
    </row>
    <row r="7" ht="15.75" customHeight="1" s="99">
      <c r="F7" s="118" t="n">
        <v>2</v>
      </c>
      <c r="G7" s="116" t="n">
        <v>1.9</v>
      </c>
      <c r="H7" s="116" t="n">
        <v>20.8</v>
      </c>
      <c r="I7" s="116" t="n">
        <v>5.7</v>
      </c>
      <c r="J7" s="116" t="n">
        <v>8.4</v>
      </c>
      <c r="K7" s="116" t="n">
        <v>11.6</v>
      </c>
      <c r="L7" s="116" t="n">
        <v>9.6</v>
      </c>
      <c r="N7" s="14" t="n"/>
    </row>
    <row r="8">
      <c r="F8" s="118" t="n">
        <v>3</v>
      </c>
      <c r="G8" s="116" t="n">
        <v>8.300000000000001</v>
      </c>
      <c r="H8" s="116" t="n">
        <v>26</v>
      </c>
      <c r="I8" s="116" t="n">
        <v>13.4</v>
      </c>
      <c r="J8" s="116" t="n">
        <v>21.3</v>
      </c>
      <c r="K8" s="116" t="n">
        <v>22.6</v>
      </c>
      <c r="L8" s="116" t="n">
        <v>21.7</v>
      </c>
      <c r="N8" s="14" t="n"/>
    </row>
    <row r="9">
      <c r="A9" s="98" t="inlineStr">
        <is>
          <t>Figure Rules</t>
        </is>
      </c>
      <c r="F9" s="118" t="n">
        <v>4</v>
      </c>
      <c r="G9" s="116" t="n">
        <v>26.1</v>
      </c>
      <c r="H9" s="116" t="n">
        <v>23.4</v>
      </c>
      <c r="I9" s="116" t="n">
        <v>31.2</v>
      </c>
      <c r="J9" s="116" t="n">
        <v>24.5</v>
      </c>
      <c r="K9" s="116" t="n">
        <v>28.4</v>
      </c>
      <c r="L9" s="116" t="n">
        <v>27.4</v>
      </c>
    </row>
    <row r="10">
      <c r="A10" t="inlineStr">
        <is>
          <t>Figure Type</t>
        </is>
      </c>
      <c r="B10" t="inlineStr">
        <is>
          <t>Clustered Bar</t>
        </is>
      </c>
      <c r="F10" s="118" t="n">
        <v>5</v>
      </c>
      <c r="G10" s="116" t="n">
        <v>63.7</v>
      </c>
      <c r="H10" s="116" t="n">
        <v>15.6</v>
      </c>
      <c r="I10" s="116" t="n">
        <v>48.4</v>
      </c>
      <c r="J10" s="116" t="n">
        <v>38.1</v>
      </c>
      <c r="K10" s="116" t="n">
        <v>27.7</v>
      </c>
      <c r="L10" s="116" t="n">
        <v>37.6</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Health Insurance Coverage &amp; Access to Care in Orange County (n = 156)</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100" t="inlineStr">
        <is>
          <t xml:space="preserve">Enter Data </t>
        </is>
      </c>
      <c r="F5" t="inlineStr">
        <is>
          <t>Likert Scale</t>
        </is>
      </c>
      <c r="G5" t="inlineStr">
        <is>
          <t>Access To &amp; Use of Prenatal Care</t>
        </is>
      </c>
      <c r="H5" t="inlineStr">
        <is>
          <t>Prevention of Infant &amp; Maternal Mortality</t>
        </is>
      </c>
      <c r="I5" t="inlineStr">
        <is>
          <t>Preventive Services for Chronic Disease Prevention &amp; Control</t>
        </is>
      </c>
      <c r="J5" t="inlineStr">
        <is>
          <t>Oral Health Care</t>
        </is>
      </c>
      <c r="K5" s="101" t="n"/>
      <c r="L5" s="101" t="n"/>
      <c r="M5" s="101" t="n"/>
      <c r="N5" s="101" t="n"/>
    </row>
    <row r="6" ht="15" customHeight="1" s="99">
      <c r="A6" t="inlineStr">
        <is>
          <t>Multilevel Headers</t>
        </is>
      </c>
      <c r="B6" t="b">
        <v>0</v>
      </c>
      <c r="F6" s="118" t="n">
        <v>1</v>
      </c>
      <c r="G6" s="14" t="n">
        <v>18.8</v>
      </c>
      <c r="H6" s="14" t="n">
        <v>21.4</v>
      </c>
      <c r="I6" s="14" t="n">
        <v>3.2</v>
      </c>
      <c r="J6" s="14" t="n">
        <v>8.300000000000001</v>
      </c>
      <c r="N6" s="14" t="n"/>
    </row>
    <row r="7" ht="15.75" customHeight="1" s="99">
      <c r="F7" s="118" t="n">
        <v>2</v>
      </c>
      <c r="G7" s="14" t="n">
        <v>14.3</v>
      </c>
      <c r="H7" s="14" t="n">
        <v>18.8</v>
      </c>
      <c r="I7" s="14" t="n">
        <v>8.4</v>
      </c>
      <c r="J7" s="14" t="n">
        <v>7.1</v>
      </c>
      <c r="N7" s="14" t="n"/>
    </row>
    <row r="8">
      <c r="F8" s="118" t="n">
        <v>3</v>
      </c>
      <c r="G8" s="14" t="n">
        <v>30</v>
      </c>
      <c r="H8" s="14" t="n">
        <v>28.6</v>
      </c>
      <c r="I8" s="14" t="n">
        <v>20.7</v>
      </c>
      <c r="J8" s="14" t="n">
        <v>23.1</v>
      </c>
      <c r="N8" s="14" t="n"/>
    </row>
    <row r="9">
      <c r="A9" s="98" t="inlineStr">
        <is>
          <t>Figure Rules</t>
        </is>
      </c>
      <c r="F9" s="118" t="n">
        <v>4</v>
      </c>
      <c r="G9" s="14" t="n">
        <v>16.9</v>
      </c>
      <c r="H9" s="14" t="n">
        <v>15.6</v>
      </c>
      <c r="I9" s="14" t="n">
        <v>27.7</v>
      </c>
      <c r="J9" s="14" t="n">
        <v>30.8</v>
      </c>
    </row>
    <row r="10">
      <c r="A10" t="inlineStr">
        <is>
          <t>Figure Type</t>
        </is>
      </c>
      <c r="B10" t="inlineStr">
        <is>
          <t>Clustered Bar</t>
        </is>
      </c>
      <c r="F10" s="118" t="n">
        <v>5</v>
      </c>
      <c r="G10" s="14" t="n">
        <v>20.1</v>
      </c>
      <c r="H10" s="14" t="n">
        <v>15.6</v>
      </c>
      <c r="I10" s="14" t="n">
        <v>40</v>
      </c>
      <c r="J10" s="14" t="n">
        <v>30.8</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Z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Biggest Health Problems in Populations Served, Putnam County (n = 128)</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c r="R4" s="16" t="inlineStr">
        <is>
          <t>percent1</t>
        </is>
      </c>
      <c r="S4" s="16" t="inlineStr">
        <is>
          <t>percent1</t>
        </is>
      </c>
      <c r="T4" s="16" t="inlineStr">
        <is>
          <t>percent1</t>
        </is>
      </c>
      <c r="U4" s="16" t="inlineStr">
        <is>
          <t>percent1</t>
        </is>
      </c>
      <c r="V4" s="16" t="inlineStr">
        <is>
          <t>percent1</t>
        </is>
      </c>
      <c r="W4" s="16" t="inlineStr">
        <is>
          <t>percent1</t>
        </is>
      </c>
      <c r="X4" s="16" t="inlineStr">
        <is>
          <t>percent1</t>
        </is>
      </c>
      <c r="Y4" s="16" t="inlineStr">
        <is>
          <t>percent1</t>
        </is>
      </c>
      <c r="Z4" s="16" t="inlineStr">
        <is>
          <t>percent1</t>
        </is>
      </c>
    </row>
    <row r="5">
      <c r="A5" s="98" t="inlineStr">
        <is>
          <t>Table Rules</t>
        </is>
      </c>
      <c r="E5" s="100" t="inlineStr">
        <is>
          <t xml:space="preserve">Enter Data </t>
        </is>
      </c>
      <c r="F5" t="inlineStr">
        <is>
          <t>Preventable injuries</t>
        </is>
      </c>
      <c r="G5" t="inlineStr">
        <is>
          <t>Asthma/lung disease</t>
        </is>
      </c>
      <c r="H5" t="inlineStr">
        <is>
          <t>Environmental hazards</t>
        </is>
      </c>
      <c r="I5" t="inlineStr">
        <is>
          <t>Safety</t>
        </is>
      </c>
      <c r="J5" t="inlineStr">
        <is>
          <t>Pregnancy associated health issues</t>
        </is>
      </c>
      <c r="K5" t="inlineStr">
        <is>
          <t>Communicable diseases and other infections</t>
        </is>
      </c>
      <c r="L5" t="inlineStr">
        <is>
          <t>Violence</t>
        </is>
      </c>
      <c r="M5" t="inlineStr">
        <is>
          <t>Heart Disease and Stroke</t>
        </is>
      </c>
      <c r="N5" t="inlineStr">
        <is>
          <t>Cancer</t>
        </is>
      </c>
      <c r="O5" t="inlineStr">
        <is>
          <t>Falls among the elderly</t>
        </is>
      </c>
      <c r="P5" t="inlineStr">
        <is>
          <t>Cognitive impairment</t>
        </is>
      </c>
      <c r="Q5" t="inlineStr">
        <is>
          <t>Diabetes</t>
        </is>
      </c>
      <c r="R5" t="inlineStr">
        <is>
          <t>Women's health and wellness</t>
        </is>
      </c>
      <c r="S5" t="inlineStr">
        <is>
          <t>Smoking/tobacco/nicotine use</t>
        </is>
      </c>
      <c r="T5" t="inlineStr">
        <is>
          <t>Nutrition/eating habits</t>
        </is>
      </c>
      <c r="U5" t="inlineStr">
        <is>
          <t>Obesity/weight management issues</t>
        </is>
      </c>
      <c r="V5" t="inlineStr">
        <is>
          <t>Child health &amp; wellness</t>
        </is>
      </c>
      <c r="W5" t="inlineStr">
        <is>
          <t>Care for the elderly</t>
        </is>
      </c>
      <c r="X5" t="inlineStr">
        <is>
          <t>Substance Misuse</t>
        </is>
      </c>
      <c r="Y5" t="inlineStr">
        <is>
          <t>Access to Healthcare Providers</t>
        </is>
      </c>
      <c r="Z5" t="inlineStr">
        <is>
          <t>Mental Health</t>
        </is>
      </c>
    </row>
    <row r="6" ht="15" customHeight="1" s="99">
      <c r="A6" t="inlineStr">
        <is>
          <t>Multilevel Headers</t>
        </is>
      </c>
      <c r="B6" t="b">
        <v>0</v>
      </c>
      <c r="F6" s="116" t="n">
        <v>2</v>
      </c>
      <c r="G6" s="116" t="n">
        <v>2</v>
      </c>
      <c r="H6" s="116" t="n">
        <v>3</v>
      </c>
      <c r="I6" s="116" t="n">
        <v>3</v>
      </c>
      <c r="J6" s="116" t="n">
        <v>4</v>
      </c>
      <c r="K6" s="116" t="n">
        <v>5</v>
      </c>
      <c r="L6" s="116" t="n">
        <v>5</v>
      </c>
      <c r="M6" s="116" t="n">
        <v>6</v>
      </c>
      <c r="N6" s="116" t="n">
        <v>7</v>
      </c>
      <c r="O6" s="116" t="n">
        <v>7</v>
      </c>
      <c r="P6" s="116" t="n">
        <v>8</v>
      </c>
      <c r="Q6" s="116" t="n">
        <v>8</v>
      </c>
      <c r="R6" s="116" t="n">
        <v>9</v>
      </c>
      <c r="S6" s="116" t="n">
        <v>11</v>
      </c>
      <c r="T6" s="116" t="n">
        <v>12</v>
      </c>
      <c r="U6" s="116" t="n">
        <v>13</v>
      </c>
      <c r="V6" s="116" t="n">
        <v>16</v>
      </c>
      <c r="W6" s="116" t="n">
        <v>20</v>
      </c>
      <c r="X6" s="116" t="n">
        <v>31</v>
      </c>
      <c r="Y6" s="116" t="n">
        <v>39</v>
      </c>
      <c r="Z6" s="116" t="n">
        <v>68</v>
      </c>
    </row>
    <row r="7" ht="15.75" customHeight="1" s="99">
      <c r="N7" s="14" t="n"/>
    </row>
    <row r="8">
      <c r="G8" s="14" t="n"/>
      <c r="N8" s="14" t="n"/>
    </row>
    <row r="9">
      <c r="A9" s="98" t="inlineStr">
        <is>
          <t>Figure Rules</t>
        </is>
      </c>
    </row>
    <row r="10">
      <c r="A10" t="inlineStr">
        <is>
          <t>Figure Type</t>
        </is>
      </c>
      <c r="B10" t="inlineStr">
        <is>
          <t>Horizontal Bar</t>
        </is>
      </c>
      <c r="H10" s="14" t="n"/>
      <c r="I10" s="14"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Z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W57"/>
  <sheetViews>
    <sheetView workbookViewId="0">
      <selection activeCell="I5" sqref="I5"/>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Most Helpful to Improve Health in Populations Served, Putnam County (n = 128)</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c r="R4" s="16" t="inlineStr">
        <is>
          <t>percent1</t>
        </is>
      </c>
      <c r="S4" s="16" t="inlineStr">
        <is>
          <t>percent1</t>
        </is>
      </c>
      <c r="T4" s="16" t="inlineStr">
        <is>
          <t>percent1</t>
        </is>
      </c>
      <c r="U4" s="16" t="inlineStr">
        <is>
          <t>percent1</t>
        </is>
      </c>
      <c r="V4" s="16" t="inlineStr">
        <is>
          <t>percent1</t>
        </is>
      </c>
      <c r="W4" s="16" t="inlineStr">
        <is>
          <t>percent1</t>
        </is>
      </c>
    </row>
    <row r="5">
      <c r="A5" s="98" t="inlineStr">
        <is>
          <t>Table Rules</t>
        </is>
      </c>
      <c r="E5" s="100" t="inlineStr">
        <is>
          <t xml:space="preserve">Enter Data </t>
        </is>
      </c>
      <c r="F5" t="inlineStr">
        <is>
          <t>Safer workplaces</t>
        </is>
      </c>
      <c r="G5" t="inlineStr">
        <is>
          <t>Safer places to walk/play</t>
        </is>
      </c>
      <c r="H5" t="inlineStr">
        <is>
          <t>Parks and recreation</t>
        </is>
      </c>
      <c r="I5" t="inlineStr">
        <is>
          <t>Breast feeding</t>
        </is>
      </c>
      <c r="J5" t="inlineStr">
        <is>
          <t>Weight management programs</t>
        </is>
      </c>
      <c r="K5" t="inlineStr">
        <is>
          <t>Smoking cessation programs</t>
        </is>
      </c>
      <c r="L5" t="inlineStr">
        <is>
          <t>Health insurance enrollment programs</t>
        </is>
      </c>
      <c r="M5" t="inlineStr">
        <is>
          <t>Clean air and water</t>
        </is>
      </c>
      <c r="N5" t="inlineStr">
        <is>
          <t>Improved childcare options</t>
        </is>
      </c>
      <c r="O5" t="inlineStr">
        <is>
          <t>Health screenings</t>
        </is>
      </c>
      <c r="P5" t="inlineStr">
        <is>
          <t>Investments in schools</t>
        </is>
      </c>
      <c r="Q5" t="inlineStr">
        <is>
          <t>Improved homecare options</t>
        </is>
      </c>
      <c r="R5" t="inlineStr">
        <is>
          <t>Health education</t>
        </is>
      </c>
      <c r="S5" t="inlineStr">
        <is>
          <t>Access to healthier food</t>
        </is>
      </c>
      <c r="T5" t="inlineStr">
        <is>
          <t>Drugs and alcohol rehabilitation services</t>
        </is>
      </c>
      <c r="U5" t="inlineStr">
        <is>
          <t>Affordable Housing</t>
        </is>
      </c>
      <c r="V5" t="inlineStr">
        <is>
          <t>Access to transportation</t>
        </is>
      </c>
      <c r="W5" t="inlineStr">
        <is>
          <t>Mental health services</t>
        </is>
      </c>
    </row>
    <row r="6" ht="15" customHeight="1" s="99">
      <c r="A6" t="inlineStr">
        <is>
          <t>Multilevel Headers</t>
        </is>
      </c>
      <c r="B6" t="b">
        <v>0</v>
      </c>
      <c r="F6" s="49" t="n">
        <v>2</v>
      </c>
      <c r="G6" s="49" t="n">
        <v>2</v>
      </c>
      <c r="H6" s="49" t="n">
        <v>2</v>
      </c>
      <c r="I6" s="49" t="n">
        <v>2</v>
      </c>
      <c r="J6" s="49" t="n">
        <v>4</v>
      </c>
      <c r="K6" s="49" t="n">
        <v>4</v>
      </c>
      <c r="L6" s="49" t="n">
        <v>4</v>
      </c>
      <c r="M6" s="49" t="n">
        <v>4</v>
      </c>
      <c r="N6" s="49" t="n">
        <v>5</v>
      </c>
      <c r="O6" s="49" t="n">
        <v>7</v>
      </c>
      <c r="P6" s="49" t="n">
        <v>8</v>
      </c>
      <c r="Q6" s="49" t="n">
        <v>16</v>
      </c>
      <c r="R6" s="49" t="n">
        <v>18</v>
      </c>
      <c r="S6" s="49" t="n">
        <v>20</v>
      </c>
      <c r="T6" s="49" t="n">
        <v>23.2</v>
      </c>
      <c r="U6" s="49" t="n">
        <v>44</v>
      </c>
      <c r="V6" s="49" t="n">
        <v>45</v>
      </c>
      <c r="W6" s="49" t="n">
        <v>51</v>
      </c>
    </row>
    <row r="7" ht="15.75" customHeight="1" s="99"/>
    <row r="8">
      <c r="H8" s="14" t="n"/>
      <c r="I8" s="14" t="n"/>
    </row>
    <row r="9">
      <c r="A9" s="98" t="inlineStr">
        <is>
          <t>Figure Rules</t>
        </is>
      </c>
    </row>
    <row r="10">
      <c r="A10" t="inlineStr">
        <is>
          <t>Figure Type</t>
        </is>
      </c>
      <c r="B10" t="inlineStr">
        <is>
          <t>Horizontal Bar</t>
        </is>
      </c>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W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B57"/>
  <sheetViews>
    <sheetView workbookViewId="0">
      <selection activeCell="K5" sqref="K5"/>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Most Beneficial Health Screenings or Health Education Topics for Populations Served, Putnam County (n=128)</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c r="R4" s="16" t="inlineStr">
        <is>
          <t>percent1</t>
        </is>
      </c>
      <c r="S4" s="16" t="inlineStr">
        <is>
          <t>percent1</t>
        </is>
      </c>
      <c r="T4" s="16" t="inlineStr">
        <is>
          <t>percent1</t>
        </is>
      </c>
      <c r="U4" s="16" t="inlineStr">
        <is>
          <t>percent1</t>
        </is>
      </c>
      <c r="V4" s="16" t="inlineStr">
        <is>
          <t>percent1</t>
        </is>
      </c>
      <c r="W4" s="16" t="inlineStr">
        <is>
          <t>percent1</t>
        </is>
      </c>
      <c r="X4" s="16" t="inlineStr">
        <is>
          <t>percent1</t>
        </is>
      </c>
      <c r="Y4" s="16" t="inlineStr">
        <is>
          <t>percent1</t>
        </is>
      </c>
      <c r="Z4" s="16" t="inlineStr">
        <is>
          <t>percent1</t>
        </is>
      </c>
      <c r="AA4" s="16" t="inlineStr">
        <is>
          <t>percent1</t>
        </is>
      </c>
      <c r="AB4" s="16" t="inlineStr">
        <is>
          <t>percent1</t>
        </is>
      </c>
    </row>
    <row r="5">
      <c r="A5" s="98" t="inlineStr">
        <is>
          <t>Table Rules</t>
        </is>
      </c>
      <c r="E5" s="100" t="inlineStr">
        <is>
          <t xml:space="preserve">Enter Data </t>
        </is>
      </c>
      <c r="F5" s="101" t="inlineStr">
        <is>
          <t>Hepatitis C virus</t>
        </is>
      </c>
      <c r="G5" s="101" t="inlineStr">
        <is>
          <t>Eating disorders</t>
        </is>
      </c>
      <c r="H5" s="101" t="inlineStr">
        <is>
          <t>Antibiotic resistance</t>
        </is>
      </c>
      <c r="I5" s="101" t="inlineStr">
        <is>
          <t>Pedestrian/cyclist safety</t>
        </is>
      </c>
      <c r="J5" s="101" t="inlineStr">
        <is>
          <t>Cholesterol</t>
        </is>
      </c>
      <c r="K5" s="101" t="inlineStr">
        <is>
          <t>Breastfeeding</t>
        </is>
      </c>
      <c r="L5" t="inlineStr">
        <is>
          <t>Disease outbreak prevention</t>
        </is>
      </c>
      <c r="M5" s="101" t="inlineStr">
        <is>
          <t>Prenatal care</t>
        </is>
      </c>
      <c r="N5" s="101" t="inlineStr">
        <is>
          <t>Emergency preparedness</t>
        </is>
      </c>
      <c r="O5" t="inlineStr">
        <is>
          <t>Heart disease and stroke</t>
        </is>
      </c>
      <c r="P5" t="inlineStr">
        <is>
          <t>Environments to promote physical activity</t>
        </is>
      </c>
      <c r="Q5" t="inlineStr">
        <is>
          <t>Nutrition</t>
        </is>
      </c>
      <c r="R5" t="inlineStr">
        <is>
          <t>Dental Screenings</t>
        </is>
      </c>
      <c r="S5" t="inlineStr">
        <is>
          <t>Exercise/physical activity</t>
        </is>
      </c>
      <c r="T5" t="inlineStr">
        <is>
          <t>Cancer</t>
        </is>
      </c>
      <c r="U5" t="inlineStr">
        <is>
          <t>Fall prevention for the elderly</t>
        </is>
      </c>
      <c r="V5" t="inlineStr">
        <is>
          <t>Blood pressure</t>
        </is>
      </c>
      <c r="W5" t="inlineStr">
        <is>
          <t>Food security</t>
        </is>
      </c>
      <c r="X5" t="inlineStr">
        <is>
          <t>Diabetes/pre-diabetes</t>
        </is>
      </c>
      <c r="Y5" t="inlineStr">
        <is>
          <t>Cognitive impairment</t>
        </is>
      </c>
      <c r="Z5" t="inlineStr">
        <is>
          <t>Drug and alcohol misuse</t>
        </is>
      </c>
      <c r="AA5" t="inlineStr">
        <is>
          <t>Chronic disease management</t>
        </is>
      </c>
      <c r="AB5" t="inlineStr">
        <is>
          <t>Mental health</t>
        </is>
      </c>
    </row>
    <row r="6" ht="15" customHeight="1" s="99">
      <c r="A6" t="inlineStr">
        <is>
          <t>Multilevel Headers</t>
        </is>
      </c>
      <c r="B6" t="b">
        <v>0</v>
      </c>
      <c r="F6" s="116" t="n">
        <v>1</v>
      </c>
      <c r="G6" s="116" t="n">
        <v>1</v>
      </c>
      <c r="H6" s="116" t="n">
        <v>1</v>
      </c>
      <c r="I6" s="116" t="n">
        <v>2</v>
      </c>
      <c r="J6" s="116" t="n">
        <v>3</v>
      </c>
      <c r="K6" s="116" t="n">
        <v>3</v>
      </c>
      <c r="L6" s="14" t="n">
        <v>4</v>
      </c>
      <c r="M6" s="14" t="n">
        <v>5</v>
      </c>
      <c r="N6" s="14" t="n">
        <v>5</v>
      </c>
      <c r="O6" s="14" t="n">
        <v>5</v>
      </c>
      <c r="P6" s="14" t="n">
        <v>6</v>
      </c>
      <c r="Q6" s="14" t="n">
        <v>8</v>
      </c>
      <c r="R6" s="14" t="n">
        <v>9</v>
      </c>
      <c r="S6" s="14" t="n">
        <v>9</v>
      </c>
      <c r="T6" s="14" t="n">
        <v>9</v>
      </c>
      <c r="U6" s="14" t="n">
        <v>11</v>
      </c>
      <c r="V6" s="14" t="n">
        <v>12</v>
      </c>
      <c r="W6" s="14" t="n">
        <v>13</v>
      </c>
      <c r="X6" s="14" t="n">
        <v>14</v>
      </c>
      <c r="Y6" s="14" t="n">
        <v>16</v>
      </c>
      <c r="Z6" s="14" t="n">
        <v>22</v>
      </c>
      <c r="AA6" s="14" t="n">
        <v>25</v>
      </c>
      <c r="AB6" s="14" t="n">
        <v>56</v>
      </c>
    </row>
    <row r="7" ht="15.75" customHeight="1" s="99">
      <c r="F7" s="118" t="n"/>
      <c r="G7" s="101" t="n"/>
      <c r="H7" s="101" t="n"/>
      <c r="I7" s="101" t="n"/>
      <c r="J7" s="101" t="n"/>
      <c r="K7" s="101" t="n"/>
      <c r="L7" s="101" t="n"/>
      <c r="N7" s="14" t="n"/>
    </row>
    <row r="8">
      <c r="F8" s="118" t="n"/>
      <c r="G8" s="116" t="n"/>
      <c r="H8" s="101" t="n"/>
      <c r="I8" s="101" t="n"/>
      <c r="J8" s="101" t="n"/>
      <c r="K8" s="101" t="n"/>
      <c r="L8" s="101" t="n"/>
      <c r="N8" s="14" t="n"/>
    </row>
    <row r="9">
      <c r="A9" s="98" t="inlineStr">
        <is>
          <t>Figure Rules</t>
        </is>
      </c>
      <c r="F9" s="118" t="n"/>
      <c r="G9" s="101" t="n"/>
      <c r="H9" s="101" t="n"/>
      <c r="I9" s="101" t="n"/>
      <c r="J9" s="101" t="n"/>
      <c r="K9" s="101" t="n"/>
      <c r="L9" s="101" t="n"/>
    </row>
    <row r="10">
      <c r="A10" t="inlineStr">
        <is>
          <t>Figure Type</t>
        </is>
      </c>
      <c r="B10" t="inlineStr">
        <is>
          <t>Horizontal Bar</t>
        </is>
      </c>
      <c r="F10" s="118" t="n"/>
      <c r="G10" s="101" t="n"/>
      <c r="H10" s="116" t="n"/>
      <c r="I10" s="116" t="n"/>
      <c r="J10" s="101" t="n"/>
      <c r="K10" s="101" t="n"/>
      <c r="L10" s="101"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AB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Reasons Populations Served Can't Get Needed Healthcare, Putnam County (n = 99)</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row>
    <row r="5">
      <c r="A5" s="98" t="inlineStr">
        <is>
          <t>Table Rules</t>
        </is>
      </c>
      <c r="E5" s="100" t="inlineStr">
        <is>
          <t xml:space="preserve">Enter Data </t>
        </is>
      </c>
      <c r="F5" s="101" t="inlineStr">
        <is>
          <t>Lack of cultural/religious sensitive care</t>
        </is>
      </c>
      <c r="G5" s="101" t="inlineStr">
        <is>
          <t>Language barriers</t>
        </is>
      </c>
      <c r="H5" s="101" t="inlineStr">
        <is>
          <t>Misinformation/limited health literacy</t>
        </is>
      </c>
      <c r="I5" s="101" t="inlineStr">
        <is>
          <t>Don't know how to find provider</t>
        </is>
      </c>
      <c r="J5" s="101" t="inlineStr">
        <is>
          <t>Fear/hesitancy</t>
        </is>
      </c>
      <c r="K5" s="101" t="inlineStr">
        <is>
          <t>Lack of appointment availability</t>
        </is>
      </c>
      <c r="L5" s="101" t="inlineStr">
        <is>
          <t>Lack of transportation</t>
        </is>
      </c>
      <c r="M5" s="101" t="inlineStr">
        <is>
          <t>Cost</t>
        </is>
      </c>
      <c r="N5" s="101" t="n"/>
    </row>
    <row r="6" ht="15" customHeight="1" s="99">
      <c r="A6" t="inlineStr">
        <is>
          <t>Multilevel Headers</t>
        </is>
      </c>
      <c r="B6" t="b">
        <v>0</v>
      </c>
      <c r="F6" s="116" t="n">
        <v>4</v>
      </c>
      <c r="G6" s="116" t="n">
        <v>10</v>
      </c>
      <c r="H6" s="116" t="n">
        <v>15</v>
      </c>
      <c r="I6" s="116" t="n">
        <v>23</v>
      </c>
      <c r="J6" s="116" t="n">
        <v>38</v>
      </c>
      <c r="K6" s="116" t="n">
        <v>40</v>
      </c>
      <c r="L6" s="116" t="n">
        <v>44</v>
      </c>
      <c r="M6" s="116" t="n">
        <v>52</v>
      </c>
      <c r="N6" s="14" t="n"/>
    </row>
    <row r="7" ht="15.75" customHeight="1" s="99">
      <c r="F7" s="101" t="n"/>
      <c r="G7" s="101" t="n"/>
      <c r="H7" s="101" t="n"/>
      <c r="I7" s="101" t="n"/>
      <c r="J7" s="101" t="n"/>
      <c r="K7" s="101" t="n"/>
      <c r="N7" s="14" t="n"/>
    </row>
    <row r="8">
      <c r="F8" s="116" t="n"/>
      <c r="G8" s="101" t="n"/>
      <c r="H8" s="101" t="n"/>
      <c r="I8" s="101" t="n"/>
      <c r="J8" s="101" t="n"/>
      <c r="K8" s="101" t="n"/>
      <c r="N8" s="14" t="n"/>
    </row>
    <row r="9">
      <c r="A9" s="98" t="inlineStr">
        <is>
          <t>Figure Rules</t>
        </is>
      </c>
      <c r="F9" s="101" t="n"/>
      <c r="G9" s="101" t="n"/>
      <c r="H9" s="101" t="n"/>
      <c r="I9" s="101" t="n"/>
      <c r="J9" s="101" t="n"/>
      <c r="K9" s="101" t="n"/>
    </row>
    <row r="10">
      <c r="A10" t="inlineStr">
        <is>
          <t>Figure Type</t>
        </is>
      </c>
      <c r="B10" t="inlineStr">
        <is>
          <t>Horizontal Bar</t>
        </is>
      </c>
      <c r="F10" s="101" t="n"/>
      <c r="G10" s="116" t="n"/>
      <c r="H10" s="116" t="n"/>
      <c r="I10" s="101" t="n"/>
      <c r="J10" s="101" t="n"/>
      <c r="K10" s="101" t="n"/>
    </row>
    <row r="11">
      <c r="A11" t="inlineStr">
        <is>
          <t>X Column</t>
        </is>
      </c>
      <c r="B11" t="inlineStr">
        <is>
          <t>Category</t>
        </is>
      </c>
      <c r="F11" s="101" t="n"/>
      <c r="G11" s="101" t="n"/>
      <c r="H11" s="101" t="n"/>
      <c r="I11" s="101" t="n"/>
      <c r="J11" s="101" t="n"/>
      <c r="K11" s="101" t="n"/>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Trusted Sources of Health Information for Populations Served, Putnam County (n = 128)</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row>
    <row r="5">
      <c r="A5" s="98" t="inlineStr">
        <is>
          <t>Table Rules</t>
        </is>
      </c>
      <c r="E5" s="100" t="inlineStr">
        <is>
          <t xml:space="preserve">Enter Data </t>
        </is>
      </c>
      <c r="F5" t="inlineStr">
        <is>
          <t>Religious organizations</t>
        </is>
      </c>
      <c r="G5" t="inlineStr">
        <is>
          <t>Schools or colleges</t>
        </is>
      </c>
      <c r="H5" t="inlineStr">
        <is>
          <t>Workplace</t>
        </is>
      </c>
      <c r="I5" t="inlineStr">
        <is>
          <t>Online health sites</t>
        </is>
      </c>
      <c r="J5" t="inlineStr">
        <is>
          <t>Hospitals</t>
        </is>
      </c>
      <c r="K5" t="inlineStr">
        <is>
          <t>Health Departments</t>
        </is>
      </c>
      <c r="L5" t="inlineStr">
        <is>
          <t>Family or friends</t>
        </is>
      </c>
      <c r="M5" t="inlineStr">
        <is>
          <t>Doctors/healthcare providers</t>
        </is>
      </c>
      <c r="N5" s="101" t="n"/>
    </row>
    <row r="6" ht="15" customHeight="1" s="99">
      <c r="A6" t="inlineStr">
        <is>
          <t>Multilevel Headers</t>
        </is>
      </c>
      <c r="B6" t="b">
        <v>0</v>
      </c>
      <c r="F6" s="53" t="n">
        <v>10</v>
      </c>
      <c r="G6" s="116" t="n">
        <v>16</v>
      </c>
      <c r="H6" s="116" t="n">
        <v>21</v>
      </c>
      <c r="I6" s="116" t="n">
        <v>28</v>
      </c>
      <c r="J6" s="116" t="n">
        <v>39</v>
      </c>
      <c r="K6" s="116" t="n">
        <v>45</v>
      </c>
      <c r="L6" s="116" t="n">
        <v>48</v>
      </c>
      <c r="M6" s="116" t="n">
        <v>76</v>
      </c>
      <c r="N6" s="14" t="n"/>
    </row>
    <row r="7" ht="15.75" customHeight="1" s="99">
      <c r="F7" s="118" t="n"/>
      <c r="G7" s="116" t="n"/>
      <c r="H7" s="116" t="n"/>
      <c r="I7" s="116" t="n"/>
      <c r="J7" s="116" t="n"/>
      <c r="N7" s="14" t="n"/>
    </row>
    <row r="8">
      <c r="F8" s="118" t="n"/>
      <c r="G8" s="116" t="n"/>
      <c r="H8" s="116" t="n"/>
      <c r="I8" s="116" t="n"/>
      <c r="J8" s="116" t="n"/>
      <c r="N8" s="14" t="n"/>
    </row>
    <row r="9">
      <c r="A9" s="98" t="inlineStr">
        <is>
          <t>Figure Rules</t>
        </is>
      </c>
      <c r="F9" s="118" t="n"/>
      <c r="G9" s="116" t="n"/>
      <c r="H9" s="116" t="n"/>
      <c r="I9" s="116" t="n"/>
      <c r="J9" s="116" t="n"/>
    </row>
    <row r="10">
      <c r="A10" t="inlineStr">
        <is>
          <t>Figure Type</t>
        </is>
      </c>
      <c r="B10" t="inlineStr">
        <is>
          <t>Horizontal Bar</t>
        </is>
      </c>
      <c r="F10" s="118" t="n"/>
      <c r="G10" s="116" t="n"/>
      <c r="H10" s="116" t="n"/>
      <c r="I10" s="116" t="n"/>
      <c r="J10" s="116"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M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Top Rated Issues That Affect Health in Rockland County (n = 135)</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100" t="inlineStr">
        <is>
          <t xml:space="preserve">Enter Data </t>
        </is>
      </c>
      <c r="F5" s="101" t="inlineStr">
        <is>
          <t>Access to mental health providers</t>
        </is>
      </c>
      <c r="G5" s="101" t="inlineStr">
        <is>
          <t>Access to affordable, decent and safe housing</t>
        </is>
      </c>
      <c r="H5" s="101" t="inlineStr">
        <is>
          <t>Access to specialty services/providers</t>
        </is>
      </c>
      <c r="I5" s="101" t="inlineStr">
        <is>
          <t>Access to affordable health insurance</t>
        </is>
      </c>
      <c r="J5" s="101" t="inlineStr">
        <is>
          <t>Access to affordable, reliable transportation</t>
        </is>
      </c>
      <c r="K5" s="101" t="inlineStr">
        <is>
          <t>Access to affordable, nutritious food</t>
        </is>
      </c>
      <c r="L5" s="101" t="inlineStr">
        <is>
          <t>Access to medical providers</t>
        </is>
      </c>
      <c r="M5" s="101" t="inlineStr">
        <is>
          <t>Access to culturally sensitive health care providers</t>
        </is>
      </c>
      <c r="N5" s="101" t="inlineStr">
        <is>
          <t>Access to high quality education</t>
        </is>
      </c>
      <c r="O5" s="101" t="inlineStr">
        <is>
          <t>Access to clean water and non-polluted air</t>
        </is>
      </c>
    </row>
    <row r="6" ht="15" customHeight="1" s="99">
      <c r="A6" t="inlineStr">
        <is>
          <t>Multilevel Headers</t>
        </is>
      </c>
      <c r="B6" t="b">
        <v>0</v>
      </c>
      <c r="F6" s="116" t="n">
        <v>50.4</v>
      </c>
      <c r="G6" s="116" t="n">
        <v>46.7</v>
      </c>
      <c r="H6" s="116" t="n">
        <v>43</v>
      </c>
      <c r="I6" s="116" t="n">
        <v>38.5</v>
      </c>
      <c r="J6" s="116" t="n">
        <v>31.9</v>
      </c>
      <c r="K6" s="116" t="n">
        <v>29.6</v>
      </c>
      <c r="L6" s="116" t="n">
        <v>27.4</v>
      </c>
      <c r="M6" s="116" t="n">
        <v>17</v>
      </c>
      <c r="N6" s="116" t="n">
        <v>14.1</v>
      </c>
      <c r="O6" s="116" t="n">
        <v>1.5</v>
      </c>
    </row>
    <row r="7" ht="15.75" customHeight="1" s="99">
      <c r="N7" s="14" t="n"/>
    </row>
    <row r="8">
      <c r="N8" s="14" t="n"/>
    </row>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Top Rated Barriers to Achieving Better Health in Rockland County (n = 135)</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row>
    <row r="5">
      <c r="A5" s="98" t="inlineStr">
        <is>
          <t>Table Rules</t>
        </is>
      </c>
      <c r="E5" s="100" t="inlineStr">
        <is>
          <t xml:space="preserve">Enter Data </t>
        </is>
      </c>
      <c r="F5" t="inlineStr">
        <is>
          <t>Knowledge of existing resources</t>
        </is>
      </c>
      <c r="G5" t="inlineStr">
        <is>
          <t>Health literacy</t>
        </is>
      </c>
      <c r="H5" t="inlineStr">
        <is>
          <t>Having someone to help them understand their medical condition</t>
        </is>
      </c>
      <c r="I5" t="inlineStr">
        <is>
          <t>Having someone help them understand insurance</t>
        </is>
      </c>
      <c r="J5" t="inlineStr">
        <is>
          <t>Substance Use Disorder (SUD) or Alcohol Use Disorder (AUD)</t>
        </is>
      </c>
      <c r="K5" t="inlineStr">
        <is>
          <t>Other</t>
        </is>
      </c>
      <c r="L5" t="inlineStr">
        <is>
          <t>Cultural customs</t>
        </is>
      </c>
      <c r="M5" t="inlineStr">
        <is>
          <t>Geographic location living in a rural area</t>
        </is>
      </c>
      <c r="N5" t="inlineStr">
        <is>
          <t>Having a safe place to play and/or exercise</t>
        </is>
      </c>
      <c r="O5" t="inlineStr">
        <is>
          <t>Quality of education</t>
        </is>
      </c>
      <c r="P5" t="inlineStr">
        <is>
          <t>Attainment of education</t>
        </is>
      </c>
      <c r="Q5" t="inlineStr">
        <is>
          <t>Geographic location- living in an urban area</t>
        </is>
      </c>
    </row>
    <row r="6" ht="15" customHeight="1" s="99">
      <c r="A6" t="inlineStr">
        <is>
          <t>Multilevel Headers</t>
        </is>
      </c>
      <c r="B6" t="b">
        <v>0</v>
      </c>
      <c r="F6" s="14" t="n">
        <v>66</v>
      </c>
      <c r="G6" t="n">
        <v>59.3</v>
      </c>
      <c r="H6" t="n">
        <v>34.1</v>
      </c>
      <c r="I6" t="n">
        <v>26.7</v>
      </c>
      <c r="J6" t="n">
        <v>23.7</v>
      </c>
      <c r="K6" t="n">
        <v>21.5</v>
      </c>
      <c r="L6" t="n">
        <v>19.3</v>
      </c>
      <c r="M6" t="n">
        <v>18.5</v>
      </c>
      <c r="N6" t="n">
        <v>9.6</v>
      </c>
      <c r="O6" t="n">
        <v>9.6</v>
      </c>
      <c r="P6" s="14" t="n">
        <v>6.7</v>
      </c>
      <c r="Q6" t="n">
        <v>5.2</v>
      </c>
    </row>
    <row r="7" ht="15.75" customHeight="1" s="99">
      <c r="N7" s="14" t="n"/>
    </row>
    <row r="8">
      <c r="G8" s="14" t="n"/>
      <c r="N8" s="14" t="n"/>
    </row>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Q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Health Issues in Rockland County (n = 132)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100" t="inlineStr">
        <is>
          <t xml:space="preserve">Enter Data </t>
        </is>
      </c>
      <c r="F5" t="inlineStr">
        <is>
          <t>Likert Scale</t>
        </is>
      </c>
      <c r="G5" s="101" t="inlineStr">
        <is>
          <t>Chronic Disease</t>
        </is>
      </c>
      <c r="H5" s="101" t="inlineStr">
        <is>
          <t>Health Disparities</t>
        </is>
      </c>
      <c r="I5" s="101" t="inlineStr">
        <is>
          <t>Mental Health and Substance Use Issues</t>
        </is>
      </c>
      <c r="J5" s="101" t="inlineStr">
        <is>
          <t>Maternal and Child Health Issues</t>
        </is>
      </c>
      <c r="K5" s="101" t="inlineStr">
        <is>
          <t>Environmental Factors</t>
        </is>
      </c>
      <c r="L5" s="101" t="inlineStr">
        <is>
          <t>Communicable Diseases</t>
        </is>
      </c>
      <c r="M5" s="101" t="n"/>
      <c r="N5" s="101" t="n"/>
    </row>
    <row r="6" ht="15" customHeight="1" s="99">
      <c r="A6" t="inlineStr">
        <is>
          <t>Multilevel Headers</t>
        </is>
      </c>
      <c r="B6" t="b">
        <v>0</v>
      </c>
      <c r="F6" s="118" t="n">
        <v>1</v>
      </c>
      <c r="G6" s="101" t="n">
        <v>5.4</v>
      </c>
      <c r="H6" s="101" t="n">
        <v>4.7</v>
      </c>
      <c r="I6" s="101" t="n">
        <v>3.1</v>
      </c>
      <c r="J6" s="101" t="n">
        <v>14.6</v>
      </c>
      <c r="K6" s="116" t="n">
        <v>16</v>
      </c>
      <c r="L6" s="101" t="n">
        <v>21.4</v>
      </c>
      <c r="N6" s="14" t="n"/>
    </row>
    <row r="7" ht="15.75" customHeight="1" s="99">
      <c r="F7" s="118" t="n">
        <v>2</v>
      </c>
      <c r="G7" s="101" t="n">
        <v>2.3</v>
      </c>
      <c r="H7" s="101" t="n">
        <v>6.2</v>
      </c>
      <c r="I7" s="101" t="n">
        <v>6.3</v>
      </c>
      <c r="J7" s="101" t="n">
        <v>16.2</v>
      </c>
      <c r="K7" s="101" t="n">
        <v>19.9</v>
      </c>
      <c r="L7" s="54" t="n">
        <v>16</v>
      </c>
      <c r="N7" s="14" t="n"/>
    </row>
    <row r="8">
      <c r="F8" s="118" t="n">
        <v>3</v>
      </c>
      <c r="G8" s="116" t="n">
        <v>16.3</v>
      </c>
      <c r="H8" s="101" t="n">
        <v>22.5</v>
      </c>
      <c r="I8" s="116" t="n">
        <v>18</v>
      </c>
      <c r="J8" s="101" t="n">
        <v>28.5</v>
      </c>
      <c r="K8" s="101" t="n">
        <v>28.2</v>
      </c>
      <c r="L8" s="101" t="n">
        <v>30.5</v>
      </c>
      <c r="N8" s="14" t="n"/>
    </row>
    <row r="9">
      <c r="A9" s="98" t="inlineStr">
        <is>
          <t>Figure Rules</t>
        </is>
      </c>
      <c r="F9" s="118" t="n">
        <v>4</v>
      </c>
      <c r="G9" s="101" t="n">
        <v>21.7</v>
      </c>
      <c r="H9" s="101" t="n">
        <v>27.1</v>
      </c>
      <c r="I9" s="101" t="n">
        <v>24.2</v>
      </c>
      <c r="J9" s="116" t="n">
        <v>20</v>
      </c>
      <c r="K9" s="101" t="n">
        <v>17.6</v>
      </c>
      <c r="L9" s="101" t="n">
        <v>18.3</v>
      </c>
    </row>
    <row r="10">
      <c r="A10" t="inlineStr">
        <is>
          <t>Figure Type</t>
        </is>
      </c>
      <c r="B10" t="inlineStr">
        <is>
          <t>Clustered Bar</t>
        </is>
      </c>
      <c r="F10" s="118" t="n">
        <v>5</v>
      </c>
      <c r="G10" s="101" t="n">
        <v>54.3</v>
      </c>
      <c r="H10" s="116" t="n">
        <v>40</v>
      </c>
      <c r="I10" s="116" t="n">
        <v>48.4</v>
      </c>
      <c r="J10" s="101" t="n">
        <v>20.8</v>
      </c>
      <c r="K10" s="101" t="n">
        <v>18.3</v>
      </c>
      <c r="L10" s="101" t="n">
        <v>13.7</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the Social Determinants of Health in Rockland County (n = 128)</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row>
    <row r="5">
      <c r="A5" s="98" t="inlineStr">
        <is>
          <t>Table Rules</t>
        </is>
      </c>
      <c r="E5" s="100" t="inlineStr">
        <is>
          <t xml:space="preserve">Enter Data </t>
        </is>
      </c>
      <c r="F5" s="101" t="inlineStr">
        <is>
          <t>Economic</t>
        </is>
      </c>
      <c r="G5" s="101" t="inlineStr">
        <is>
          <t>Mental Wellbeing &amp; Substance Use</t>
        </is>
      </c>
      <c r="H5" s="101" t="inlineStr">
        <is>
          <t>Health Insurance Coverage &amp; Access to Care</t>
        </is>
      </c>
      <c r="I5" s="101" t="inlineStr">
        <is>
          <t>Safe &amp; Healthy Communities</t>
        </is>
      </c>
      <c r="J5" s="101" t="inlineStr">
        <is>
          <t>Healthy Children</t>
        </is>
      </c>
      <c r="K5" s="101" t="inlineStr">
        <is>
          <t>Pre K - Grade 12 Student Success &amp; Educational Attainment</t>
        </is>
      </c>
      <c r="M5" s="101" t="n"/>
      <c r="N5" s="101" t="n"/>
    </row>
    <row r="6" ht="15" customHeight="1" s="99">
      <c r="A6" t="inlineStr">
        <is>
          <t>Multilevel Headers</t>
        </is>
      </c>
      <c r="B6" t="b">
        <v>0</v>
      </c>
      <c r="F6" s="101" t="n">
        <v>79.7</v>
      </c>
      <c r="G6" s="101" t="n">
        <v>70.3</v>
      </c>
      <c r="H6" s="116" t="n">
        <v>68.8</v>
      </c>
      <c r="I6" s="101" t="n">
        <v>46.9</v>
      </c>
      <c r="J6" s="101" t="n">
        <v>17.2</v>
      </c>
      <c r="K6" s="101" t="n">
        <v>17.2</v>
      </c>
      <c r="N6" s="14" t="n"/>
    </row>
    <row r="7" ht="15.75" customHeight="1" s="99">
      <c r="F7" s="101" t="n"/>
      <c r="G7" s="101" t="n"/>
      <c r="H7" s="101" t="n"/>
      <c r="I7" s="101" t="n"/>
      <c r="J7" s="101" t="n"/>
      <c r="K7" s="101" t="n"/>
      <c r="N7" s="14" t="n"/>
    </row>
    <row r="8">
      <c r="F8" s="116" t="n"/>
      <c r="G8" s="101" t="n"/>
      <c r="H8" s="101" t="n"/>
      <c r="I8" s="101" t="n"/>
      <c r="J8" s="101" t="n"/>
      <c r="K8" s="101" t="n"/>
      <c r="N8" s="14" t="n"/>
    </row>
    <row r="9">
      <c r="A9" s="98" t="inlineStr">
        <is>
          <t>Figure Rules</t>
        </is>
      </c>
      <c r="F9" s="101" t="n"/>
      <c r="G9" s="101" t="n"/>
      <c r="H9" s="101" t="n"/>
      <c r="I9" s="101" t="n"/>
      <c r="J9" s="101" t="n"/>
      <c r="K9" s="101" t="n"/>
    </row>
    <row r="10">
      <c r="A10" t="inlineStr">
        <is>
          <t>Figure Type</t>
        </is>
      </c>
      <c r="B10" t="inlineStr">
        <is>
          <t>Bar</t>
        </is>
      </c>
      <c r="F10" s="101" t="n"/>
      <c r="G10" s="116" t="n"/>
      <c r="H10" s="116" t="n"/>
      <c r="I10" s="101" t="n"/>
      <c r="J10" s="101" t="n"/>
      <c r="K10" s="101" t="n"/>
    </row>
    <row r="11">
      <c r="A11" t="inlineStr">
        <is>
          <t>X Column</t>
        </is>
      </c>
      <c r="B11" t="inlineStr">
        <is>
          <t>Category</t>
        </is>
      </c>
      <c r="F11" s="101" t="n"/>
      <c r="H11" s="101" t="n"/>
      <c r="I11" s="101" t="n"/>
      <c r="J11" s="101" t="n"/>
      <c r="K11" s="101" t="n"/>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O57"/>
  <sheetViews>
    <sheetView workbookViewId="0">
      <selection activeCell="M40" sqref="M40"/>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Economic Wellbeing in Rockland County (n = 127)</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100" t="inlineStr">
        <is>
          <t xml:space="preserve">Enter Data </t>
        </is>
      </c>
      <c r="F5" t="inlineStr">
        <is>
          <t>Likert Scale</t>
        </is>
      </c>
      <c r="G5" s="101" t="inlineStr">
        <is>
          <t>Poverty</t>
        </is>
      </c>
      <c r="H5" s="101" t="inlineStr">
        <is>
          <t>Unemployment</t>
        </is>
      </c>
      <c r="I5" s="101" t="inlineStr">
        <is>
          <t>Nutrition Security</t>
        </is>
      </c>
      <c r="J5" s="101" t="inlineStr">
        <is>
          <t xml:space="preserve">Housing Stability &amp; Affordability </t>
        </is>
      </c>
      <c r="K5" s="101" t="n"/>
      <c r="L5" s="101" t="n"/>
      <c r="M5" s="101" t="n"/>
      <c r="N5" s="101" t="n"/>
    </row>
    <row r="6" ht="15" customHeight="1" s="99">
      <c r="A6" t="inlineStr">
        <is>
          <t>Multilevel Headers</t>
        </is>
      </c>
      <c r="B6" t="b">
        <v>0</v>
      </c>
      <c r="F6" s="118" t="n">
        <v>1</v>
      </c>
      <c r="G6" s="116" t="n">
        <v>2.4</v>
      </c>
      <c r="H6" s="116" t="n">
        <v>3.3</v>
      </c>
      <c r="I6" s="116" t="n">
        <v>6.4</v>
      </c>
      <c r="J6" s="116" t="n">
        <v>2.4</v>
      </c>
      <c r="N6" s="14" t="n"/>
    </row>
    <row r="7" ht="15.75" customHeight="1" s="99">
      <c r="F7" s="118" t="n">
        <v>2</v>
      </c>
      <c r="G7" s="116" t="n">
        <v>6.3</v>
      </c>
      <c r="H7" s="116" t="n">
        <v>12.2</v>
      </c>
      <c r="I7" s="116" t="n">
        <v>14.4</v>
      </c>
      <c r="J7" s="116" t="n">
        <v>9.5</v>
      </c>
      <c r="N7" s="14" t="n"/>
    </row>
    <row r="8">
      <c r="F8" s="118" t="n">
        <v>3</v>
      </c>
      <c r="G8" s="116" t="n">
        <v>22.1</v>
      </c>
      <c r="H8" s="116" t="n">
        <v>26.8</v>
      </c>
      <c r="I8" s="116" t="n">
        <v>23.2</v>
      </c>
      <c r="J8" s="116" t="n">
        <v>19.8</v>
      </c>
      <c r="N8" s="14" t="n"/>
    </row>
    <row r="9">
      <c r="A9" s="98" t="inlineStr">
        <is>
          <t>Figure Rules</t>
        </is>
      </c>
      <c r="F9" s="118" t="n">
        <v>4</v>
      </c>
      <c r="G9" s="116" t="n">
        <v>21.3</v>
      </c>
      <c r="H9" s="116" t="n">
        <v>30.9</v>
      </c>
      <c r="I9" s="116" t="n">
        <v>28</v>
      </c>
      <c r="J9" s="116" t="n">
        <v>23.8</v>
      </c>
    </row>
    <row r="10">
      <c r="A10" t="inlineStr">
        <is>
          <t>Figure Type</t>
        </is>
      </c>
      <c r="B10" t="inlineStr">
        <is>
          <t>Clustered Bar</t>
        </is>
      </c>
      <c r="F10" s="118" t="n">
        <v>5</v>
      </c>
      <c r="G10" s="116" t="n">
        <v>48</v>
      </c>
      <c r="H10" s="116" t="n">
        <v>26.8</v>
      </c>
      <c r="I10" s="116" t="n">
        <v>28</v>
      </c>
      <c r="J10" s="116" t="n">
        <v>44.4</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O57"/>
  <sheetViews>
    <sheetView workbookViewId="0">
      <selection activeCell="J26" sqref="J26"/>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Mental Wellbeing &amp; Substance Use in Rockland County (n = 125)</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100" t="inlineStr">
        <is>
          <t xml:space="preserve">Enter Data </t>
        </is>
      </c>
      <c r="F5" t="inlineStr">
        <is>
          <t>Likert Scale</t>
        </is>
      </c>
      <c r="G5" s="101" t="inlineStr">
        <is>
          <t>Anxiety &amp; Stress</t>
        </is>
      </c>
      <c r="H5" s="101" t="inlineStr">
        <is>
          <t>Suicide</t>
        </is>
      </c>
      <c r="I5" s="101" t="inlineStr">
        <is>
          <t>Depression</t>
        </is>
      </c>
      <c r="J5" s="101" t="inlineStr">
        <is>
          <t>Substance Use</t>
        </is>
      </c>
      <c r="K5" s="101" t="inlineStr">
        <is>
          <t>Adverse Childhood Experiences</t>
        </is>
      </c>
      <c r="L5" s="101" t="inlineStr">
        <is>
          <t>Healthy Eating</t>
        </is>
      </c>
      <c r="M5" s="101" t="n"/>
      <c r="N5" s="101" t="n"/>
    </row>
    <row r="6" ht="15" customHeight="1" s="99">
      <c r="A6" t="inlineStr">
        <is>
          <t>Multilevel Headers</t>
        </is>
      </c>
      <c r="B6" t="b">
        <v>0</v>
      </c>
      <c r="F6" s="118" t="n">
        <v>1</v>
      </c>
      <c r="G6" s="116" t="n">
        <v>0.8</v>
      </c>
      <c r="H6" s="116" t="n">
        <v>18.7</v>
      </c>
      <c r="I6" s="116" t="n">
        <v>1.6</v>
      </c>
      <c r="J6" s="116" t="n">
        <v>11.4</v>
      </c>
      <c r="K6" s="116" t="n">
        <v>12.2</v>
      </c>
      <c r="L6" s="116" t="n">
        <v>3.2</v>
      </c>
      <c r="N6" s="14" t="n"/>
    </row>
    <row r="7" ht="15.75" customHeight="1" s="99">
      <c r="F7" s="118" t="n">
        <v>2</v>
      </c>
      <c r="G7" s="116" t="n">
        <v>2.4</v>
      </c>
      <c r="H7" s="116" t="n">
        <v>17.9</v>
      </c>
      <c r="I7" s="116" t="n">
        <v>5.7</v>
      </c>
      <c r="J7" s="116" t="n">
        <v>11.4</v>
      </c>
      <c r="K7" s="116" t="n">
        <v>10.6</v>
      </c>
      <c r="L7" s="116" t="n">
        <v>12.1</v>
      </c>
      <c r="N7" s="14" t="n"/>
    </row>
    <row r="8">
      <c r="F8" s="118" t="n">
        <v>3</v>
      </c>
      <c r="G8" s="116" t="n">
        <v>15.2</v>
      </c>
      <c r="H8" s="116" t="n">
        <v>30.9</v>
      </c>
      <c r="I8" s="116" t="n">
        <v>24.4</v>
      </c>
      <c r="J8" s="116" t="n">
        <v>24.4</v>
      </c>
      <c r="K8" s="116" t="n">
        <v>23.6</v>
      </c>
      <c r="L8" s="116" t="n">
        <v>21.8</v>
      </c>
      <c r="N8" s="14" t="n"/>
    </row>
    <row r="9">
      <c r="A9" s="98" t="inlineStr">
        <is>
          <t>Figure Rules</t>
        </is>
      </c>
      <c r="F9" s="118" t="n">
        <v>4</v>
      </c>
      <c r="G9" s="116" t="n">
        <v>20</v>
      </c>
      <c r="H9" s="116" t="n">
        <v>19.5</v>
      </c>
      <c r="I9" s="116" t="n">
        <v>28.5</v>
      </c>
      <c r="J9" s="116" t="n">
        <v>22</v>
      </c>
      <c r="K9" s="116" t="n">
        <v>28.5</v>
      </c>
      <c r="L9" s="116" t="n">
        <v>29</v>
      </c>
    </row>
    <row r="10">
      <c r="A10" t="inlineStr">
        <is>
          <t>Figure Type</t>
        </is>
      </c>
      <c r="B10" t="inlineStr">
        <is>
          <t>Clustered Bar</t>
        </is>
      </c>
      <c r="F10" s="118" t="n">
        <v>5</v>
      </c>
      <c r="G10" s="116" t="n">
        <v>61.6</v>
      </c>
      <c r="H10" s="116" t="n">
        <v>13</v>
      </c>
      <c r="I10" s="116" t="n">
        <v>39.8</v>
      </c>
      <c r="J10" s="116" t="n">
        <v>30.9</v>
      </c>
      <c r="K10" s="116" t="n">
        <v>25.2</v>
      </c>
      <c r="L10" s="116" t="n">
        <v>33.9</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O57"/>
  <sheetViews>
    <sheetView workbookViewId="0">
      <selection activeCell="K19" sqref="K19"/>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Health Insurance Coverage &amp; Access to Care in Rockland County (n = 124)</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100" t="inlineStr">
        <is>
          <t xml:space="preserve">Enter Data </t>
        </is>
      </c>
      <c r="F5" t="inlineStr">
        <is>
          <t>Likert Scale</t>
        </is>
      </c>
      <c r="G5" t="inlineStr">
        <is>
          <t>Access To &amp; Use of Prenatal Care</t>
        </is>
      </c>
      <c r="H5" t="inlineStr">
        <is>
          <t>Prevention of Infant &amp; Maternal Mortality</t>
        </is>
      </c>
      <c r="I5" t="inlineStr">
        <is>
          <t>Preventive Services for Chronic Disease Prevention &amp; Control</t>
        </is>
      </c>
      <c r="J5" t="inlineStr">
        <is>
          <t>Oral Health Care</t>
        </is>
      </c>
      <c r="K5" s="101" t="n"/>
      <c r="L5" s="101" t="n"/>
      <c r="M5" s="101" t="n"/>
      <c r="N5" s="101" t="n"/>
    </row>
    <row r="6" ht="15" customHeight="1" s="99">
      <c r="A6" t="inlineStr">
        <is>
          <t>Multilevel Headers</t>
        </is>
      </c>
      <c r="B6" t="b">
        <v>0</v>
      </c>
      <c r="F6" t="n">
        <v>1</v>
      </c>
      <c r="G6" s="14" t="n">
        <v>23.6</v>
      </c>
      <c r="H6" s="14" t="n">
        <v>27.6</v>
      </c>
      <c r="I6" s="14" t="n">
        <v>8.1</v>
      </c>
      <c r="J6" s="14" t="n">
        <v>9.800000000000001</v>
      </c>
      <c r="N6" s="14" t="n"/>
    </row>
    <row r="7" ht="15.75" customHeight="1" s="99">
      <c r="F7" t="n">
        <v>2</v>
      </c>
      <c r="G7" s="14" t="n">
        <v>15.5</v>
      </c>
      <c r="H7" s="14" t="n">
        <v>17.9</v>
      </c>
      <c r="I7" s="14" t="n">
        <v>7.3</v>
      </c>
      <c r="J7" s="14" t="n">
        <v>7.4</v>
      </c>
      <c r="N7" s="14" t="n"/>
    </row>
    <row r="8">
      <c r="F8" t="n">
        <v>3</v>
      </c>
      <c r="G8" s="14" t="n">
        <v>26.8</v>
      </c>
      <c r="H8" s="14" t="n">
        <v>28.5</v>
      </c>
      <c r="I8" s="14" t="n">
        <v>23.6</v>
      </c>
      <c r="J8" s="14" t="n">
        <v>28.7</v>
      </c>
      <c r="N8" s="14" t="n"/>
    </row>
    <row r="9">
      <c r="A9" s="98" t="inlineStr">
        <is>
          <t>Figure Rules</t>
        </is>
      </c>
      <c r="F9" t="n">
        <v>4</v>
      </c>
      <c r="G9" s="14" t="n">
        <v>16.3</v>
      </c>
      <c r="H9" s="14" t="n">
        <v>11.4</v>
      </c>
      <c r="I9" s="14" t="n">
        <v>25.2</v>
      </c>
      <c r="J9" s="14" t="n">
        <v>22.1</v>
      </c>
    </row>
    <row r="10">
      <c r="A10" t="inlineStr">
        <is>
          <t>Figure Type</t>
        </is>
      </c>
      <c r="B10" t="inlineStr">
        <is>
          <t>Clustered Bar</t>
        </is>
      </c>
      <c r="F10" t="n">
        <v>5</v>
      </c>
      <c r="G10" s="14" t="n">
        <v>17.9</v>
      </c>
      <c r="H10" s="14" t="n">
        <v>14.6</v>
      </c>
      <c r="I10" s="14" t="n">
        <v>35.8</v>
      </c>
      <c r="J10" s="14" t="n">
        <v>32</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Top Rated Issues That Affect Health in Sullivan County (n = 102)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100" t="inlineStr">
        <is>
          <t xml:space="preserve">Enter Data </t>
        </is>
      </c>
      <c r="F5" s="101" t="inlineStr">
        <is>
          <t>Access to mental health providers</t>
        </is>
      </c>
      <c r="G5" s="101" t="inlineStr">
        <is>
          <t>Access to affordable, decent and safe housing</t>
        </is>
      </c>
      <c r="H5" s="101" t="inlineStr">
        <is>
          <t>Access to affordable, reliable transportation</t>
        </is>
      </c>
      <c r="I5" s="101" t="inlineStr">
        <is>
          <t>Access to affordable, nutritious food</t>
        </is>
      </c>
      <c r="J5" s="101" t="inlineStr">
        <is>
          <t>Access to specialty services/providers</t>
        </is>
      </c>
      <c r="K5" s="101" t="inlineStr">
        <is>
          <t>Access to affordable health insurance</t>
        </is>
      </c>
      <c r="L5" s="101" t="inlineStr">
        <is>
          <t>Access to medical providers</t>
        </is>
      </c>
      <c r="M5" s="101" t="inlineStr">
        <is>
          <t>Access to high quality education</t>
        </is>
      </c>
      <c r="N5" s="101" t="inlineStr">
        <is>
          <t>Access to culturally sensitive health care providers</t>
        </is>
      </c>
      <c r="O5" s="101" t="inlineStr">
        <is>
          <t>Access to clean water and non-polluted air</t>
        </is>
      </c>
    </row>
    <row r="6" ht="15" customHeight="1" s="99">
      <c r="A6" t="inlineStr">
        <is>
          <t>Multilevel Headers</t>
        </is>
      </c>
      <c r="B6" t="b">
        <v>0</v>
      </c>
      <c r="F6" s="116" t="n">
        <v>49</v>
      </c>
      <c r="G6" s="116" t="n">
        <v>48</v>
      </c>
      <c r="H6" s="116" t="n">
        <v>45.1</v>
      </c>
      <c r="I6" s="116" t="n">
        <v>40.2</v>
      </c>
      <c r="J6" s="116" t="n">
        <v>38.2</v>
      </c>
      <c r="K6" s="116" t="n">
        <v>32.4</v>
      </c>
      <c r="L6" s="116" t="n">
        <v>23.5</v>
      </c>
      <c r="M6" s="116" t="n">
        <v>14.7</v>
      </c>
      <c r="N6" s="116" t="n">
        <v>8.800000000000001</v>
      </c>
      <c r="O6" s="116" t="n">
        <v>0</v>
      </c>
    </row>
    <row r="7" ht="15.75" customHeight="1" s="99"/>
    <row r="8">
      <c r="G8" s="14" t="n"/>
    </row>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Top Rated Barriers to Achieving Better Health in Sullivan County (n = 102)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row>
    <row r="5">
      <c r="A5" s="98" t="inlineStr">
        <is>
          <t>Table Rules</t>
        </is>
      </c>
      <c r="E5" s="100" t="inlineStr">
        <is>
          <t xml:space="preserve">Enter Data </t>
        </is>
      </c>
      <c r="F5" t="inlineStr">
        <is>
          <t>Knowledge of existing resources</t>
        </is>
      </c>
      <c r="G5" t="inlineStr">
        <is>
          <t>Geographic locationliving in a rural area</t>
        </is>
      </c>
      <c r="H5" t="inlineStr">
        <is>
          <t>Health literacy</t>
        </is>
      </c>
      <c r="I5" t="inlineStr">
        <is>
          <t>Substance Use Disorder (SUD) or Alcohol Use Disorder (AUD)</t>
        </is>
      </c>
      <c r="J5" t="inlineStr">
        <is>
          <t>Having someone to help them understand their medical condition</t>
        </is>
      </c>
      <c r="K5" t="inlineStr">
        <is>
          <t>Having someone help them understand insurance</t>
        </is>
      </c>
      <c r="L5" t="inlineStr">
        <is>
          <t>Other</t>
        </is>
      </c>
      <c r="M5" t="inlineStr">
        <is>
          <t>Quality of education</t>
        </is>
      </c>
      <c r="N5" t="inlineStr">
        <is>
          <t>Having a safe place to play and/or exercise</t>
        </is>
      </c>
      <c r="O5" t="inlineStr">
        <is>
          <t>Attainment of education</t>
        </is>
      </c>
      <c r="P5" t="inlineStr">
        <is>
          <t>Cultural customs</t>
        </is>
      </c>
      <c r="Q5" t="inlineStr">
        <is>
          <t>Geographic location- living in an urban area</t>
        </is>
      </c>
    </row>
    <row r="6" ht="15" customHeight="1" s="99">
      <c r="A6" t="inlineStr">
        <is>
          <t>Multilevel Headers</t>
        </is>
      </c>
      <c r="B6" t="b">
        <v>0</v>
      </c>
      <c r="F6" s="14" t="n">
        <v>62.8</v>
      </c>
      <c r="G6" s="14" t="n">
        <v>48</v>
      </c>
      <c r="H6" s="14" t="n">
        <v>44.1</v>
      </c>
      <c r="I6" s="14" t="n">
        <v>36.3</v>
      </c>
      <c r="J6" s="14" t="n">
        <v>59.4</v>
      </c>
      <c r="K6" s="14" t="n">
        <v>22.6</v>
      </c>
      <c r="L6" s="14" t="n">
        <v>21.6</v>
      </c>
      <c r="M6" s="14" t="n">
        <v>10.8</v>
      </c>
      <c r="N6" s="14" t="n">
        <v>8.800000000000001</v>
      </c>
      <c r="O6" s="14" t="n">
        <v>5.9</v>
      </c>
      <c r="P6" s="14" t="n">
        <v>4.9</v>
      </c>
      <c r="Q6" s="14" t="n">
        <v>4.9</v>
      </c>
    </row>
    <row r="7" ht="15.75" customHeight="1" s="99">
      <c r="N7" s="14" t="n"/>
    </row>
    <row r="8">
      <c r="N8" s="14" t="n"/>
    </row>
    <row r="9">
      <c r="A9" s="98" t="inlineStr">
        <is>
          <t>Figure Rules</t>
        </is>
      </c>
    </row>
    <row r="10">
      <c r="A10" t="inlineStr">
        <is>
          <t>Figure Type</t>
        </is>
      </c>
      <c r="B10" t="inlineStr">
        <is>
          <t>Bar</t>
        </is>
      </c>
      <c r="H10" s="14" t="n"/>
      <c r="I10" s="14" t="n"/>
    </row>
    <row r="11">
      <c r="A11" t="inlineStr">
        <is>
          <t>X Column</t>
        </is>
      </c>
      <c r="B11" t="inlineStr">
        <is>
          <t>Category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Q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O57"/>
  <sheetViews>
    <sheetView workbookViewId="0">
      <selection activeCell="H27" sqref="H27"/>
    </sheetView>
  </sheetViews>
  <sheetFormatPr baseColWidth="10" defaultColWidth="8.6640625" defaultRowHeight="15"/>
  <cols>
    <col width="20" bestFit="1" customWidth="1" style="99" min="1" max="1"/>
    <col width="16.6640625" customWidth="1" style="99" min="2" max="2"/>
    <col width="6.6640625" customWidth="1" style="99" min="5" max="5"/>
    <col width="18.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Health Issues in Sullivan County (n = 98)</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100" t="inlineStr">
        <is>
          <t xml:space="preserve">Enter Data </t>
        </is>
      </c>
      <c r="F5" t="inlineStr">
        <is>
          <t>Likert Scale</t>
        </is>
      </c>
      <c r="G5" s="101" t="inlineStr">
        <is>
          <t>Chronic Disease</t>
        </is>
      </c>
      <c r="H5" s="101" t="inlineStr">
        <is>
          <t>Health Disparities</t>
        </is>
      </c>
      <c r="I5" s="101" t="inlineStr">
        <is>
          <t>Mental Health and Substance Use Issues</t>
        </is>
      </c>
      <c r="J5" s="101" t="inlineStr">
        <is>
          <t>Maternal and Child Health Issues</t>
        </is>
      </c>
      <c r="K5" s="101" t="inlineStr">
        <is>
          <t>Environmental Factors</t>
        </is>
      </c>
      <c r="L5" s="101" t="inlineStr">
        <is>
          <t>Communicable Diseases</t>
        </is>
      </c>
      <c r="M5" s="101" t="n"/>
      <c r="N5" s="101" t="n"/>
    </row>
    <row r="6" ht="15" customHeight="1" s="99">
      <c r="A6" t="inlineStr">
        <is>
          <t>Multilevel Headers</t>
        </is>
      </c>
      <c r="B6" t="b">
        <v>0</v>
      </c>
      <c r="F6" s="118" t="n">
        <v>1</v>
      </c>
      <c r="G6" s="101" t="n">
        <v>5.2</v>
      </c>
      <c r="H6" s="101" t="n">
        <v>3.1</v>
      </c>
      <c r="I6" s="101" t="n">
        <v>4.1</v>
      </c>
      <c r="J6" s="101" t="n">
        <v>9.300000000000001</v>
      </c>
      <c r="K6" s="101" t="n">
        <v>12.4</v>
      </c>
      <c r="L6" s="101" t="n">
        <v>17.4</v>
      </c>
      <c r="N6" s="14" t="n"/>
    </row>
    <row r="7" ht="15.75" customHeight="1" s="99">
      <c r="F7" s="118" t="n">
        <v>2</v>
      </c>
      <c r="G7" s="101" t="n">
        <v>4.1</v>
      </c>
      <c r="H7" s="101" t="n">
        <v>5.2</v>
      </c>
      <c r="I7" s="101" t="n">
        <v>6.2</v>
      </c>
      <c r="J7" s="101" t="n">
        <v>10.3</v>
      </c>
      <c r="K7" s="101" t="n">
        <v>19.6</v>
      </c>
      <c r="L7" s="101" t="n">
        <v>14.3</v>
      </c>
      <c r="N7" s="14" t="n"/>
    </row>
    <row r="8">
      <c r="F8" s="118" t="n">
        <v>3</v>
      </c>
      <c r="G8" s="116" t="n">
        <v>14.4</v>
      </c>
      <c r="H8" s="101" t="n">
        <v>19.8</v>
      </c>
      <c r="I8" s="101" t="n">
        <v>13.4</v>
      </c>
      <c r="J8" s="101" t="n">
        <v>35.1</v>
      </c>
      <c r="K8" s="116" t="n">
        <v>32</v>
      </c>
      <c r="L8" s="116" t="n">
        <v>30</v>
      </c>
      <c r="N8" s="14" t="n"/>
    </row>
    <row r="9">
      <c r="A9" s="98" t="inlineStr">
        <is>
          <t>Figure Rules</t>
        </is>
      </c>
      <c r="F9" s="118" t="n">
        <v>4</v>
      </c>
      <c r="G9" s="101" t="n">
        <v>19.6</v>
      </c>
      <c r="H9" s="101" t="n">
        <v>27.1</v>
      </c>
      <c r="I9" s="101" t="n">
        <v>19.6</v>
      </c>
      <c r="J9" s="101" t="n">
        <v>16.5</v>
      </c>
      <c r="K9" s="101" t="n">
        <v>14.4</v>
      </c>
      <c r="L9" s="101" t="n">
        <v>21.4</v>
      </c>
    </row>
    <row r="10">
      <c r="A10" t="inlineStr">
        <is>
          <t>Figure Type</t>
        </is>
      </c>
      <c r="B10" t="inlineStr">
        <is>
          <t>Clustered Bar</t>
        </is>
      </c>
      <c r="F10" s="118" t="n">
        <v>5</v>
      </c>
      <c r="G10" s="101" t="n">
        <v>56.7</v>
      </c>
      <c r="H10" s="116" t="n">
        <v>44.8</v>
      </c>
      <c r="I10" s="116" t="n">
        <v>56.7</v>
      </c>
      <c r="J10" s="101" t="n">
        <v>28.9</v>
      </c>
      <c r="K10" s="101" t="n">
        <v>21.7</v>
      </c>
      <c r="L10" s="101" t="n">
        <v>17.4</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the Social Determinants of Health in Sullivan County (n = 96)</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row>
    <row r="5">
      <c r="A5" s="98" t="inlineStr">
        <is>
          <t>Table Rules</t>
        </is>
      </c>
      <c r="E5" s="100" t="inlineStr">
        <is>
          <t xml:space="preserve">Enter Data </t>
        </is>
      </c>
      <c r="F5" s="101" t="inlineStr">
        <is>
          <t>Mental Wellbeing &amp; Substance Use</t>
        </is>
      </c>
      <c r="G5" s="101" t="inlineStr">
        <is>
          <t>Economic</t>
        </is>
      </c>
      <c r="H5" s="101" t="inlineStr">
        <is>
          <t>Health Insurance Coverage &amp; Access to Care</t>
        </is>
      </c>
      <c r="I5" s="101" t="inlineStr">
        <is>
          <t>Safe &amp; Healthy Communities</t>
        </is>
      </c>
      <c r="J5" s="101" t="inlineStr">
        <is>
          <t>Healthy Children</t>
        </is>
      </c>
      <c r="K5" s="101" t="inlineStr">
        <is>
          <t>Pre K - Grade 12 Student Success &amp; Educational Attainment</t>
        </is>
      </c>
      <c r="M5" s="101" t="n"/>
      <c r="N5" s="101" t="n"/>
    </row>
    <row r="6" ht="15" customHeight="1" s="99">
      <c r="A6" t="inlineStr">
        <is>
          <t>Multilevel Headers</t>
        </is>
      </c>
      <c r="B6" t="b">
        <v>0</v>
      </c>
      <c r="F6" s="101" t="n">
        <v>83.3</v>
      </c>
      <c r="G6" s="101" t="n">
        <v>80.2</v>
      </c>
      <c r="H6" s="116" t="n">
        <v>56.3</v>
      </c>
      <c r="I6" s="101" t="n">
        <v>44.8</v>
      </c>
      <c r="J6" s="101" t="n">
        <v>20.8</v>
      </c>
      <c r="K6" s="101" t="n">
        <v>14.6</v>
      </c>
      <c r="N6" s="14" t="n"/>
    </row>
    <row r="7" ht="15.75" customHeight="1" s="99">
      <c r="G7" s="101" t="n"/>
      <c r="H7" s="101" t="n"/>
      <c r="I7" s="101" t="n"/>
      <c r="J7" s="101" t="n"/>
      <c r="K7" s="101" t="n"/>
      <c r="N7" s="14" t="n"/>
    </row>
    <row r="8">
      <c r="G8" s="101" t="n"/>
      <c r="H8" s="101" t="n"/>
      <c r="I8" s="101" t="n"/>
      <c r="J8" s="101" t="n"/>
      <c r="K8" s="101" t="n"/>
      <c r="N8" s="14" t="n"/>
    </row>
    <row r="9">
      <c r="A9" s="98" t="inlineStr">
        <is>
          <t>Figure Rules</t>
        </is>
      </c>
      <c r="F9" s="101" t="n"/>
      <c r="G9" s="101" t="n"/>
      <c r="H9" s="101" t="n"/>
      <c r="I9" s="101" t="n"/>
      <c r="J9" s="101" t="n"/>
      <c r="K9" s="101" t="n"/>
    </row>
    <row r="10">
      <c r="A10" t="inlineStr">
        <is>
          <t>Figure Type</t>
        </is>
      </c>
      <c r="B10" t="inlineStr">
        <is>
          <t>Bar</t>
        </is>
      </c>
      <c r="G10" s="116" t="n"/>
      <c r="H10" s="116" t="n"/>
      <c r="I10" s="101" t="n"/>
      <c r="J10" s="101" t="n"/>
      <c r="K10" s="101" t="n"/>
    </row>
    <row r="11">
      <c r="A11" t="inlineStr">
        <is>
          <t>X Column</t>
        </is>
      </c>
      <c r="B11" t="inlineStr">
        <is>
          <t>Category</t>
        </is>
      </c>
      <c r="G11" s="101" t="n"/>
      <c r="H11" s="101" t="n"/>
      <c r="I11" s="101" t="n"/>
      <c r="J11" s="101" t="n"/>
      <c r="K11" s="101" t="n"/>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O57"/>
  <sheetViews>
    <sheetView workbookViewId="0">
      <selection activeCell="B11" sqref="B11:B13"/>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Economic Wellbeing in Sullivan County (n = 95)</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100" t="inlineStr">
        <is>
          <t xml:space="preserve">Enter Data </t>
        </is>
      </c>
      <c r="F5" t="inlineStr">
        <is>
          <t>Likert Scale</t>
        </is>
      </c>
      <c r="G5" s="101" t="inlineStr">
        <is>
          <t>Poverty</t>
        </is>
      </c>
      <c r="H5" s="101" t="inlineStr">
        <is>
          <t>Unemployment</t>
        </is>
      </c>
      <c r="I5" s="101" t="inlineStr">
        <is>
          <t>Nutrition Security</t>
        </is>
      </c>
      <c r="J5" s="101" t="inlineStr">
        <is>
          <t xml:space="preserve">Housing Stability &amp; Affordability </t>
        </is>
      </c>
      <c r="K5" s="101" t="n"/>
      <c r="L5" s="101" t="n"/>
      <c r="M5" s="101" t="n"/>
      <c r="N5" s="101" t="n"/>
    </row>
    <row r="6" ht="15" customHeight="1" s="99">
      <c r="A6" t="inlineStr">
        <is>
          <t>Multilevel Headers</t>
        </is>
      </c>
      <c r="B6" t="b">
        <v>0</v>
      </c>
      <c r="F6" s="118" t="n">
        <v>1</v>
      </c>
      <c r="G6" s="116" t="n">
        <v>1.1</v>
      </c>
      <c r="H6" s="116" t="n">
        <v>4.2</v>
      </c>
      <c r="I6" s="116" t="n">
        <v>2.1</v>
      </c>
      <c r="J6" s="116" t="n">
        <v>2.1</v>
      </c>
      <c r="N6" s="14" t="n"/>
    </row>
    <row r="7" ht="15.75" customHeight="1" s="99">
      <c r="F7" s="118" t="n">
        <v>2</v>
      </c>
      <c r="G7" s="116" t="n">
        <v>5.3</v>
      </c>
      <c r="H7" s="116" t="n">
        <v>7.4</v>
      </c>
      <c r="I7" s="116" t="n">
        <v>5.3</v>
      </c>
      <c r="J7" s="116" t="n">
        <v>6.3</v>
      </c>
      <c r="N7" s="14" t="n"/>
    </row>
    <row r="8">
      <c r="F8" s="118" t="n">
        <v>3</v>
      </c>
      <c r="G8" s="116" t="n">
        <v>20</v>
      </c>
      <c r="H8" s="116" t="n">
        <v>24.2</v>
      </c>
      <c r="I8" s="116" t="n">
        <v>31.9</v>
      </c>
      <c r="J8" s="116" t="n">
        <v>24.2</v>
      </c>
      <c r="N8" s="14" t="n"/>
    </row>
    <row r="9">
      <c r="A9" s="98" t="inlineStr">
        <is>
          <t>Figure Rules</t>
        </is>
      </c>
      <c r="F9" s="118" t="n">
        <v>4</v>
      </c>
      <c r="G9" s="116" t="n">
        <v>16.8</v>
      </c>
      <c r="H9" s="116" t="n">
        <v>34.7</v>
      </c>
      <c r="I9" s="116" t="n">
        <v>24.5</v>
      </c>
      <c r="J9" s="116" t="n">
        <v>16.8</v>
      </c>
    </row>
    <row r="10">
      <c r="A10" t="inlineStr">
        <is>
          <t>Figure Type</t>
        </is>
      </c>
      <c r="B10" t="inlineStr">
        <is>
          <t>Clustered Bar</t>
        </is>
      </c>
      <c r="F10" s="118" t="n">
        <v>5</v>
      </c>
      <c r="G10" s="116" t="n">
        <v>56.8</v>
      </c>
      <c r="H10" s="116" t="n">
        <v>29.5</v>
      </c>
      <c r="I10" s="116" t="n">
        <v>36.2</v>
      </c>
      <c r="J10" s="116" t="n">
        <v>50.5</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O57"/>
  <sheetViews>
    <sheetView workbookViewId="0">
      <selection activeCell="B11" sqref="B11:B13"/>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Mental Wellbeing &amp; Substance Use in Sullivan County (n = 93)</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100" t="inlineStr">
        <is>
          <t xml:space="preserve">Enter Data </t>
        </is>
      </c>
      <c r="F5" t="inlineStr">
        <is>
          <t>Likert Scale</t>
        </is>
      </c>
      <c r="G5" s="101" t="inlineStr">
        <is>
          <t>Anxiety &amp; Stress</t>
        </is>
      </c>
      <c r="H5" s="101" t="inlineStr">
        <is>
          <t>Suicide</t>
        </is>
      </c>
      <c r="I5" s="101" t="inlineStr">
        <is>
          <t>Depression</t>
        </is>
      </c>
      <c r="J5" s="101" t="inlineStr">
        <is>
          <t>Substance Use</t>
        </is>
      </c>
      <c r="K5" s="101" t="inlineStr">
        <is>
          <t>Adverse Childhood Experiences</t>
        </is>
      </c>
      <c r="L5" s="101" t="inlineStr">
        <is>
          <t>Healthy Eating</t>
        </is>
      </c>
      <c r="M5" s="101" t="n"/>
      <c r="N5" s="101" t="n"/>
    </row>
    <row r="6" ht="15" customHeight="1" s="99">
      <c r="A6" t="inlineStr">
        <is>
          <t>Multilevel Headers</t>
        </is>
      </c>
      <c r="B6" t="b">
        <v>0</v>
      </c>
      <c r="F6" s="118" t="n">
        <v>1</v>
      </c>
      <c r="G6" s="51" t="n">
        <v>0</v>
      </c>
      <c r="H6" s="116" t="n">
        <v>10.9</v>
      </c>
      <c r="I6" s="51" t="n">
        <v>0</v>
      </c>
      <c r="J6" s="116" t="n">
        <v>5.5</v>
      </c>
      <c r="K6" s="116" t="n">
        <v>7.6</v>
      </c>
      <c r="L6" s="116" t="n">
        <v>3.2</v>
      </c>
      <c r="N6" s="14" t="n"/>
    </row>
    <row r="7" ht="15.75" customHeight="1" s="99">
      <c r="F7" s="118" t="n">
        <v>2</v>
      </c>
      <c r="G7" s="116" t="n">
        <v>1.1</v>
      </c>
      <c r="H7" s="116" t="n">
        <v>14.1</v>
      </c>
      <c r="I7" s="116" t="n">
        <v>6.5</v>
      </c>
      <c r="J7" s="116" t="n">
        <v>8.800000000000001</v>
      </c>
      <c r="K7" s="116" t="n">
        <v>13</v>
      </c>
      <c r="L7" s="116" t="n">
        <v>7.5</v>
      </c>
      <c r="N7" s="14" t="n"/>
    </row>
    <row r="8">
      <c r="F8" s="118" t="n">
        <v>3</v>
      </c>
      <c r="G8" s="116" t="n">
        <v>10.8</v>
      </c>
      <c r="H8" s="116" t="n">
        <v>32.6</v>
      </c>
      <c r="I8" s="116" t="n">
        <v>17.2</v>
      </c>
      <c r="J8" s="116" t="n">
        <v>22</v>
      </c>
      <c r="K8" s="116" t="n">
        <v>21.7</v>
      </c>
      <c r="L8" s="116" t="n">
        <v>18.3</v>
      </c>
      <c r="N8" s="14" t="n"/>
    </row>
    <row r="9">
      <c r="A9" s="98" t="inlineStr">
        <is>
          <t>Figure Rules</t>
        </is>
      </c>
      <c r="F9" s="118" t="n">
        <v>4</v>
      </c>
      <c r="G9" s="116" t="n">
        <v>20.4</v>
      </c>
      <c r="H9" s="116" t="n">
        <v>27.2</v>
      </c>
      <c r="I9" s="116" t="n">
        <v>31.2</v>
      </c>
      <c r="J9" s="116" t="n">
        <v>24.2</v>
      </c>
      <c r="K9" s="116" t="n">
        <v>24</v>
      </c>
      <c r="L9" s="116" t="n">
        <v>33.3</v>
      </c>
    </row>
    <row r="10">
      <c r="A10" t="inlineStr">
        <is>
          <t>Figure Type</t>
        </is>
      </c>
      <c r="B10" t="inlineStr">
        <is>
          <t>Clustered Bar</t>
        </is>
      </c>
      <c r="F10" s="118" t="n">
        <v>5</v>
      </c>
      <c r="G10" s="116" t="n">
        <v>67.7</v>
      </c>
      <c r="H10" s="116" t="n">
        <v>15.2</v>
      </c>
      <c r="I10" s="116" t="n">
        <v>45.2</v>
      </c>
      <c r="J10" s="116" t="n">
        <v>39.6</v>
      </c>
      <c r="K10" s="116" t="n">
        <v>33.7</v>
      </c>
      <c r="L10" s="116" t="n">
        <v>37.6</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O57"/>
  <sheetViews>
    <sheetView workbookViewId="0">
      <selection activeCell="B11" sqref="B11:B13"/>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Health Insurance Coverage &amp; Access to Care in Sullivan County (n = 92)</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100" t="inlineStr">
        <is>
          <t xml:space="preserve">Enter Data </t>
        </is>
      </c>
      <c r="F5" t="inlineStr">
        <is>
          <t>Likert Scale</t>
        </is>
      </c>
      <c r="G5" t="inlineStr">
        <is>
          <t>Access To &amp; Use of Prenatal Care</t>
        </is>
      </c>
      <c r="H5" t="inlineStr">
        <is>
          <t>Prevention of Infant &amp; Maternal Mortality</t>
        </is>
      </c>
      <c r="I5" t="inlineStr">
        <is>
          <t>Preventive Services for Chronic Disease Prevention &amp; Control</t>
        </is>
      </c>
      <c r="J5" t="inlineStr">
        <is>
          <t>Oral Health Care</t>
        </is>
      </c>
      <c r="K5" s="101" t="n"/>
      <c r="L5" s="101" t="n"/>
      <c r="M5" s="101" t="n"/>
      <c r="N5" s="101" t="n"/>
    </row>
    <row r="6" ht="15" customHeight="1" s="99">
      <c r="A6" t="inlineStr">
        <is>
          <t>Multilevel Headers</t>
        </is>
      </c>
      <c r="B6" t="b">
        <v>0</v>
      </c>
      <c r="F6" t="n">
        <v>1</v>
      </c>
      <c r="G6" s="14" t="n">
        <v>9.800000000000001</v>
      </c>
      <c r="H6" s="14" t="n">
        <v>12</v>
      </c>
      <c r="I6" s="14" t="n">
        <v>1.1</v>
      </c>
      <c r="J6" s="14" t="n">
        <v>5.4</v>
      </c>
      <c r="N6" s="14" t="n"/>
    </row>
    <row r="7" ht="15.75" customHeight="1" s="99">
      <c r="F7" t="n">
        <v>2</v>
      </c>
      <c r="G7" s="14" t="n">
        <v>13</v>
      </c>
      <c r="H7" s="14" t="n">
        <v>19.6</v>
      </c>
      <c r="I7" s="14" t="n">
        <v>8.699999999999999</v>
      </c>
      <c r="J7" s="14" t="n">
        <v>7.6</v>
      </c>
      <c r="N7" s="14" t="n"/>
    </row>
    <row r="8">
      <c r="F8" t="n">
        <v>3</v>
      </c>
      <c r="G8" s="14" t="n">
        <v>35.9</v>
      </c>
      <c r="H8" s="14" t="n">
        <v>31.5</v>
      </c>
      <c r="I8" s="14" t="n">
        <v>20.7</v>
      </c>
      <c r="J8" s="14" t="n">
        <v>23.9</v>
      </c>
      <c r="N8" s="14" t="n"/>
    </row>
    <row r="9">
      <c r="A9" s="98" t="inlineStr">
        <is>
          <t>Figure Rules</t>
        </is>
      </c>
      <c r="F9" t="n">
        <v>4</v>
      </c>
      <c r="G9" s="14" t="n">
        <v>25</v>
      </c>
      <c r="H9" s="14" t="n">
        <v>22.8</v>
      </c>
      <c r="I9" s="14" t="n">
        <v>31.5</v>
      </c>
      <c r="J9" s="14" t="n">
        <v>34.8</v>
      </c>
    </row>
    <row r="10">
      <c r="A10" t="inlineStr">
        <is>
          <t>Figure Type</t>
        </is>
      </c>
      <c r="B10" t="inlineStr">
        <is>
          <t>Clustered Bar</t>
        </is>
      </c>
      <c r="F10" t="n">
        <v>5</v>
      </c>
      <c r="G10" s="14" t="n">
        <v>16.3</v>
      </c>
      <c r="H10" s="14" t="n">
        <v>14.1</v>
      </c>
      <c r="I10" s="14" t="n">
        <v>38</v>
      </c>
      <c r="J10" s="14" t="n">
        <v>28.3</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Top Rated Issues That Affect Health in Ulster County (n = 73)</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100" t="inlineStr">
        <is>
          <t xml:space="preserve">Enter Data </t>
        </is>
      </c>
      <c r="F5" s="101" t="inlineStr">
        <is>
          <t>Access to affordable, decent and safe housing</t>
        </is>
      </c>
      <c r="G5" s="101" t="inlineStr">
        <is>
          <t>Access to mental health providers</t>
        </is>
      </c>
      <c r="H5" s="101" t="inlineStr">
        <is>
          <t>Access to specialty services/providers</t>
        </is>
      </c>
      <c r="I5" t="inlineStr">
        <is>
          <t>Access to affordable, nutritious food</t>
        </is>
      </c>
      <c r="J5" s="101" t="inlineStr">
        <is>
          <t>Access to affordable, reliable transportation</t>
        </is>
      </c>
      <c r="K5" s="101" t="inlineStr">
        <is>
          <t>Access to affordable health insurance</t>
        </is>
      </c>
      <c r="L5" s="101" t="inlineStr">
        <is>
          <t>Access to medical providers</t>
        </is>
      </c>
      <c r="M5" s="101" t="inlineStr">
        <is>
          <t>Access to high quality education</t>
        </is>
      </c>
      <c r="N5" s="101" t="inlineStr">
        <is>
          <t>Access to culturally sensitive health care providers</t>
        </is>
      </c>
      <c r="O5" s="101" t="inlineStr">
        <is>
          <t>Access to clean water and non-polluted air</t>
        </is>
      </c>
    </row>
    <row r="6" ht="15" customHeight="1" s="99">
      <c r="A6" t="inlineStr">
        <is>
          <t>Multilevel Headers</t>
        </is>
      </c>
      <c r="B6" t="b">
        <v>0</v>
      </c>
      <c r="F6" s="116" t="n">
        <v>52.1</v>
      </c>
      <c r="G6" s="116" t="n">
        <v>50.7</v>
      </c>
      <c r="H6" s="116" t="n">
        <v>43.8</v>
      </c>
      <c r="I6" s="116" t="n">
        <v>40</v>
      </c>
      <c r="J6" s="116" t="n">
        <v>37</v>
      </c>
      <c r="K6" s="116" t="n">
        <v>30.1</v>
      </c>
      <c r="L6" s="116" t="n">
        <v>24.7</v>
      </c>
      <c r="M6" s="116" t="n">
        <v>11</v>
      </c>
      <c r="N6" s="116" t="n">
        <v>11</v>
      </c>
      <c r="O6" s="51" t="n">
        <v>0</v>
      </c>
    </row>
    <row r="7" ht="15.75" customHeight="1" s="99">
      <c r="I7" s="101" t="n"/>
    </row>
    <row r="8">
      <c r="G8" s="14" t="n"/>
    </row>
    <row r="9">
      <c r="A9" s="98" t="inlineStr">
        <is>
          <t>Figure Rules</t>
        </is>
      </c>
    </row>
    <row r="10">
      <c r="A10" t="inlineStr">
        <is>
          <t>Figure Type</t>
        </is>
      </c>
      <c r="B10" t="inlineStr">
        <is>
          <t>Clustered Bar</t>
        </is>
      </c>
      <c r="H10" s="14" t="n"/>
      <c r="I10" s="14" t="n"/>
    </row>
    <row r="11">
      <c r="A11" t="inlineStr">
        <is>
          <t>X Column</t>
        </is>
      </c>
      <c r="B11" t="inlineStr">
        <is>
          <t>Category</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Top Rated Barriers to Achieving Better Health in Ulster County (n = 73)</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row>
    <row r="5">
      <c r="A5" s="98" t="inlineStr">
        <is>
          <t>Table Rules</t>
        </is>
      </c>
      <c r="E5" s="100" t="inlineStr">
        <is>
          <t xml:space="preserve">Enter Data </t>
        </is>
      </c>
      <c r="F5" t="inlineStr">
        <is>
          <t>Knowledge of existing resources</t>
        </is>
      </c>
      <c r="G5" t="inlineStr">
        <is>
          <t>Health literacy</t>
        </is>
      </c>
      <c r="H5" t="inlineStr">
        <is>
          <t>Substance Use Disorder (SUD) or Alcohol Use Disorder (AUD)</t>
        </is>
      </c>
      <c r="I5" t="inlineStr">
        <is>
          <t>Having someone to help them understand their medical condition</t>
        </is>
      </c>
      <c r="J5" t="inlineStr">
        <is>
          <t>Geographic location living in a rural area</t>
        </is>
      </c>
      <c r="K5" t="inlineStr">
        <is>
          <t>Having someone help them understand insurance</t>
        </is>
      </c>
      <c r="L5" t="inlineStr">
        <is>
          <t>Other</t>
        </is>
      </c>
      <c r="M5" t="inlineStr">
        <is>
          <t>Quality of education</t>
        </is>
      </c>
      <c r="N5" t="inlineStr">
        <is>
          <t>Having a safe place to play and/or exercise</t>
        </is>
      </c>
      <c r="O5" t="inlineStr">
        <is>
          <t>Geographic location- living in an urban area</t>
        </is>
      </c>
      <c r="P5" t="inlineStr">
        <is>
          <t>Cultural customs</t>
        </is>
      </c>
      <c r="Q5" t="inlineStr">
        <is>
          <t>Attainment of education</t>
        </is>
      </c>
    </row>
    <row r="6" ht="15" customHeight="1" s="99">
      <c r="A6" t="inlineStr">
        <is>
          <t>Multilevel Headers</t>
        </is>
      </c>
      <c r="B6" t="b">
        <v>0</v>
      </c>
      <c r="F6" t="n">
        <v>65.8</v>
      </c>
      <c r="G6" t="n">
        <v>46.6</v>
      </c>
      <c r="H6" t="n">
        <v>38.4</v>
      </c>
      <c r="I6" s="14" t="n">
        <v>37</v>
      </c>
      <c r="J6" t="n">
        <v>35.6</v>
      </c>
      <c r="K6" t="n">
        <v>27.4</v>
      </c>
      <c r="L6" t="n">
        <v>20.6</v>
      </c>
      <c r="M6" t="n">
        <v>9.6</v>
      </c>
      <c r="N6" t="n">
        <v>6.9</v>
      </c>
      <c r="O6" t="n">
        <v>5.5</v>
      </c>
      <c r="P6" t="n">
        <v>4.1</v>
      </c>
      <c r="Q6" s="14" t="n">
        <v>2.7</v>
      </c>
    </row>
    <row r="7" ht="15.75" customHeight="1" s="99">
      <c r="N7" s="14" t="n"/>
    </row>
    <row r="8">
      <c r="G8" s="14" t="n"/>
      <c r="N8" s="14" t="n"/>
    </row>
    <row r="9">
      <c r="A9" s="98" t="inlineStr">
        <is>
          <t>Figure Rules</t>
        </is>
      </c>
    </row>
    <row r="10">
      <c r="A10" t="inlineStr">
        <is>
          <t>Figure Type</t>
        </is>
      </c>
      <c r="B10" t="inlineStr">
        <is>
          <t>Clustered Bar</t>
        </is>
      </c>
      <c r="H10" s="14" t="n"/>
      <c r="I10" s="14" t="n"/>
    </row>
    <row r="11">
      <c r="A11" t="inlineStr">
        <is>
          <t>X Column</t>
        </is>
      </c>
      <c r="B11" t="inlineStr">
        <is>
          <t>Category</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Q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O57"/>
  <sheetViews>
    <sheetView workbookViewId="0">
      <selection activeCell="K32" sqref="K32"/>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Health Issues in Ulster County (n = 73)</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100" t="inlineStr">
        <is>
          <t xml:space="preserve">Enter Data </t>
        </is>
      </c>
      <c r="F5" t="inlineStr">
        <is>
          <t>Likert Scale</t>
        </is>
      </c>
      <c r="G5" s="101" t="inlineStr">
        <is>
          <t>Chronic Disease</t>
        </is>
      </c>
      <c r="H5" s="101" t="inlineStr">
        <is>
          <t>Health Disparities</t>
        </is>
      </c>
      <c r="I5" s="101" t="inlineStr">
        <is>
          <t>Mental Health and Substance Use Issues</t>
        </is>
      </c>
      <c r="J5" s="101" t="inlineStr">
        <is>
          <t>Maternal and Child Health Issues</t>
        </is>
      </c>
      <c r="K5" s="101" t="inlineStr">
        <is>
          <t>Environmental Factors</t>
        </is>
      </c>
      <c r="L5" s="101" t="inlineStr">
        <is>
          <t>Communicable Diseases</t>
        </is>
      </c>
      <c r="M5" s="101" t="n"/>
      <c r="N5" s="101" t="n"/>
    </row>
    <row r="6" ht="15" customHeight="1" s="99">
      <c r="A6" t="inlineStr">
        <is>
          <t>Multilevel Headers</t>
        </is>
      </c>
      <c r="B6" t="b">
        <v>0</v>
      </c>
      <c r="F6" s="118" t="n">
        <v>1</v>
      </c>
      <c r="G6" s="101" t="n">
        <v>2.9</v>
      </c>
      <c r="H6" s="101" t="n">
        <v>2.9</v>
      </c>
      <c r="I6" s="101" t="n">
        <v>2.9</v>
      </c>
      <c r="J6" s="116" t="n">
        <v>13</v>
      </c>
      <c r="K6" s="116" t="n">
        <v>15.7</v>
      </c>
      <c r="L6" s="101" t="n">
        <v>16.9</v>
      </c>
      <c r="N6" s="14" t="n"/>
    </row>
    <row r="7" ht="15.75" customHeight="1" s="99">
      <c r="F7" s="118" t="n">
        <v>2</v>
      </c>
      <c r="G7" s="101" t="n">
        <v>4.3</v>
      </c>
      <c r="H7" s="101" t="n">
        <v>5.7</v>
      </c>
      <c r="I7" s="101" t="n">
        <v>5.7</v>
      </c>
      <c r="J7" s="116" t="n">
        <v>8.699999999999999</v>
      </c>
      <c r="K7" s="116" t="n">
        <v>15.7</v>
      </c>
      <c r="L7" s="101" t="n">
        <v>19.7</v>
      </c>
      <c r="N7" s="14" t="n"/>
    </row>
    <row r="8">
      <c r="F8" s="118" t="n">
        <v>3</v>
      </c>
      <c r="G8" s="116" t="n">
        <v>14.3</v>
      </c>
      <c r="H8" s="116" t="n">
        <v>10</v>
      </c>
      <c r="I8" s="101" t="n">
        <v>14.3</v>
      </c>
      <c r="J8" s="116" t="n">
        <v>34.8</v>
      </c>
      <c r="K8" s="116" t="n">
        <v>30</v>
      </c>
      <c r="L8" s="116" t="n">
        <v>31</v>
      </c>
      <c r="N8" s="14" t="n"/>
    </row>
    <row r="9">
      <c r="A9" s="98" t="inlineStr">
        <is>
          <t>Figure Rules</t>
        </is>
      </c>
      <c r="F9" s="118" t="n">
        <v>4</v>
      </c>
      <c r="G9" s="101" t="n">
        <v>18.6</v>
      </c>
      <c r="H9" s="101" t="n">
        <v>31.4</v>
      </c>
      <c r="I9" s="116" t="n">
        <v>20</v>
      </c>
      <c r="J9" s="116" t="n">
        <v>14.5</v>
      </c>
      <c r="K9" s="116" t="n">
        <v>18.6</v>
      </c>
      <c r="L9" s="101" t="n">
        <v>14.1</v>
      </c>
    </row>
    <row r="10">
      <c r="A10" t="inlineStr">
        <is>
          <t>Figure Type</t>
        </is>
      </c>
      <c r="B10" t="inlineStr">
        <is>
          <t>Clustered Bar</t>
        </is>
      </c>
      <c r="F10" s="118" t="n">
        <v>5</v>
      </c>
      <c r="G10" s="116" t="n">
        <v>60</v>
      </c>
      <c r="H10" s="116" t="n">
        <v>50</v>
      </c>
      <c r="I10" s="116" t="n">
        <v>57.1</v>
      </c>
      <c r="J10" s="116" t="n">
        <v>29</v>
      </c>
      <c r="K10" s="116" t="n">
        <v>20</v>
      </c>
      <c r="L10" s="101" t="n">
        <v>18.3</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the Social Determinants of Health in Ulster County (n = 70)</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row>
    <row r="5">
      <c r="A5" s="98" t="inlineStr">
        <is>
          <t>Table Rules</t>
        </is>
      </c>
      <c r="E5" s="100" t="inlineStr">
        <is>
          <t xml:space="preserve">Enter Data </t>
        </is>
      </c>
      <c r="F5" s="101" t="inlineStr">
        <is>
          <t>Economic</t>
        </is>
      </c>
      <c r="G5" s="101" t="inlineStr">
        <is>
          <t>Mental Wellbeing &amp; Substance Use</t>
        </is>
      </c>
      <c r="H5" s="101" t="inlineStr">
        <is>
          <t>Health Insurance Coverage &amp; Access to Care</t>
        </is>
      </c>
      <c r="I5" s="101" t="inlineStr">
        <is>
          <t>Safe &amp; Healthy Communities</t>
        </is>
      </c>
      <c r="J5" s="101" t="inlineStr">
        <is>
          <t>Healthy Children</t>
        </is>
      </c>
      <c r="K5" s="101" t="inlineStr">
        <is>
          <t>Pre K - Grade 12 Student Success &amp; Educational Attainment</t>
        </is>
      </c>
      <c r="M5" s="101" t="n"/>
      <c r="N5" s="101" t="n"/>
    </row>
    <row r="6" ht="15" customHeight="1" s="99">
      <c r="A6" t="inlineStr">
        <is>
          <t>Multilevel Headers</t>
        </is>
      </c>
      <c r="B6" t="b">
        <v>0</v>
      </c>
      <c r="F6" s="101" t="n">
        <v>84.3</v>
      </c>
      <c r="G6" s="101" t="n">
        <v>78.59999999999999</v>
      </c>
      <c r="H6" s="116" t="n">
        <v>60</v>
      </c>
      <c r="I6" s="101" t="n">
        <v>47.1</v>
      </c>
      <c r="J6" s="101" t="n">
        <v>18.6</v>
      </c>
      <c r="K6" s="101" t="n">
        <v>11.4</v>
      </c>
      <c r="N6" s="14" t="n"/>
    </row>
    <row r="7" ht="15.75" customHeight="1" s="99">
      <c r="F7" s="101" t="n"/>
      <c r="G7" s="101" t="n"/>
      <c r="H7" s="101" t="n"/>
      <c r="I7" s="101" t="n"/>
      <c r="J7" s="101" t="n"/>
      <c r="K7" s="101" t="n"/>
      <c r="N7" s="14" t="n"/>
    </row>
    <row r="8">
      <c r="F8" s="116" t="n"/>
      <c r="H8" s="101" t="n"/>
      <c r="I8" s="101" t="n"/>
      <c r="J8" s="101" t="n"/>
      <c r="K8" s="101" t="n"/>
      <c r="N8" s="14" t="n"/>
    </row>
    <row r="9">
      <c r="A9" s="98" t="inlineStr">
        <is>
          <t>Figure Rules</t>
        </is>
      </c>
      <c r="F9" s="101" t="n"/>
      <c r="H9" s="101" t="n"/>
      <c r="I9" s="101" t="n"/>
      <c r="J9" s="101" t="n"/>
      <c r="K9" s="101" t="n"/>
    </row>
    <row r="10">
      <c r="A10" t="inlineStr">
        <is>
          <t>Figure Type</t>
        </is>
      </c>
      <c r="B10" t="inlineStr">
        <is>
          <t>Clustered Bar</t>
        </is>
      </c>
      <c r="F10" s="101" t="n"/>
      <c r="H10" s="116" t="n"/>
      <c r="I10" s="101" t="n"/>
      <c r="J10" s="101" t="n"/>
      <c r="K10" s="101" t="n"/>
    </row>
    <row r="11">
      <c r="A11" t="inlineStr">
        <is>
          <t>X Column</t>
        </is>
      </c>
      <c r="B11" t="inlineStr">
        <is>
          <t>Category</t>
        </is>
      </c>
      <c r="F11" s="101" t="n"/>
      <c r="H11" s="101" t="n"/>
      <c r="I11" s="101" t="n"/>
      <c r="J11" s="101" t="n"/>
      <c r="K11" s="101" t="n"/>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O57"/>
  <sheetViews>
    <sheetView workbookViewId="0">
      <selection activeCell="B11" sqref="B11:B13"/>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Economic Wellbeing in Ulster County (n = 69)</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100" t="inlineStr">
        <is>
          <t xml:space="preserve">Enter Data </t>
        </is>
      </c>
      <c r="F5" t="inlineStr">
        <is>
          <t>Likert Scale</t>
        </is>
      </c>
      <c r="G5" s="101" t="inlineStr">
        <is>
          <t>Poverty</t>
        </is>
      </c>
      <c r="H5" s="101" t="inlineStr">
        <is>
          <t>Unemployment</t>
        </is>
      </c>
      <c r="I5" s="101" t="inlineStr">
        <is>
          <t>Nutrition Security</t>
        </is>
      </c>
      <c r="J5" s="101" t="inlineStr">
        <is>
          <t xml:space="preserve">Housing Stability &amp; Affordability </t>
        </is>
      </c>
      <c r="K5" s="101" t="n"/>
      <c r="L5" s="101" t="n"/>
      <c r="M5" s="101" t="n"/>
      <c r="N5" s="101" t="n"/>
    </row>
    <row r="6" ht="15" customHeight="1" s="99">
      <c r="A6" t="inlineStr">
        <is>
          <t>Multilevel Headers</t>
        </is>
      </c>
      <c r="B6" t="b">
        <v>0</v>
      </c>
      <c r="F6" s="118" t="n">
        <v>1</v>
      </c>
      <c r="G6" s="116" t="n">
        <v>1.5</v>
      </c>
      <c r="H6" s="116" t="n">
        <v>1.5</v>
      </c>
      <c r="I6" s="116" t="n">
        <v>3</v>
      </c>
      <c r="J6" s="116" t="n">
        <v>2.9</v>
      </c>
      <c r="K6" s="116" t="n"/>
      <c r="N6" s="14" t="n"/>
    </row>
    <row r="7" ht="15.75" customHeight="1" s="99">
      <c r="F7" s="118" t="n">
        <v>2</v>
      </c>
      <c r="G7" s="116" t="n">
        <v>1.5</v>
      </c>
      <c r="H7" s="116" t="n">
        <v>7.4</v>
      </c>
      <c r="I7" s="116" t="n">
        <v>6</v>
      </c>
      <c r="J7" s="116" t="n">
        <v>2.9</v>
      </c>
      <c r="N7" s="14" t="n"/>
    </row>
    <row r="8">
      <c r="F8" s="118" t="n">
        <v>3</v>
      </c>
      <c r="G8" s="116" t="n">
        <v>20.3</v>
      </c>
      <c r="H8" s="116" t="n">
        <v>22.1</v>
      </c>
      <c r="I8" s="116" t="n">
        <v>23.9</v>
      </c>
      <c r="J8" s="116" t="n">
        <v>20.3</v>
      </c>
      <c r="N8" s="14" t="n"/>
    </row>
    <row r="9">
      <c r="A9" s="98" t="inlineStr">
        <is>
          <t>Figure Rules</t>
        </is>
      </c>
      <c r="F9" s="118" t="n">
        <v>4</v>
      </c>
      <c r="G9" s="116" t="n">
        <v>20.3</v>
      </c>
      <c r="H9" s="116" t="n">
        <v>38.2</v>
      </c>
      <c r="I9" s="116" t="n">
        <v>29.9</v>
      </c>
      <c r="J9" s="116" t="n">
        <v>20.3</v>
      </c>
    </row>
    <row r="10">
      <c r="A10" t="inlineStr">
        <is>
          <t>Figure Type</t>
        </is>
      </c>
      <c r="B10" t="inlineStr">
        <is>
          <t>Clustered Bar</t>
        </is>
      </c>
      <c r="F10" s="118" t="n">
        <v>5</v>
      </c>
      <c r="G10" s="116" t="n">
        <v>56.5</v>
      </c>
      <c r="H10" s="116" t="n">
        <v>30.9</v>
      </c>
      <c r="I10" s="116" t="n">
        <v>37.3</v>
      </c>
      <c r="J10" s="116" t="n">
        <v>53.6</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O57"/>
  <sheetViews>
    <sheetView workbookViewId="0">
      <selection activeCell="N44" sqref="N44"/>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Mental Wellbeing &amp; Substance Use in Ulster County (n = 67)</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100" t="inlineStr">
        <is>
          <t xml:space="preserve">Enter Data </t>
        </is>
      </c>
      <c r="F5" t="inlineStr">
        <is>
          <t>Likert Scale</t>
        </is>
      </c>
      <c r="G5" s="101" t="inlineStr">
        <is>
          <t>Anxiety &amp; Stress</t>
        </is>
      </c>
      <c r="H5" s="101" t="inlineStr">
        <is>
          <t>Suicide</t>
        </is>
      </c>
      <c r="I5" s="101" t="inlineStr">
        <is>
          <t>Depression</t>
        </is>
      </c>
      <c r="J5" s="101" t="inlineStr">
        <is>
          <t>Substance Use</t>
        </is>
      </c>
      <c r="K5" s="101" t="inlineStr">
        <is>
          <t>Adverse Childhood Experiences</t>
        </is>
      </c>
      <c r="L5" s="101" t="inlineStr">
        <is>
          <t>Healthy Eating</t>
        </is>
      </c>
      <c r="M5" s="101" t="n"/>
      <c r="N5" s="101" t="n"/>
    </row>
    <row r="6" ht="15" customHeight="1" s="99">
      <c r="A6" t="inlineStr">
        <is>
          <t>Multilevel Headers</t>
        </is>
      </c>
      <c r="B6" t="b">
        <v>0</v>
      </c>
      <c r="F6" s="118" t="n">
        <v>1</v>
      </c>
      <c r="G6" s="51" t="n">
        <v>0</v>
      </c>
      <c r="H6" s="116" t="n">
        <v>12.3</v>
      </c>
      <c r="I6" s="51" t="n">
        <v>0</v>
      </c>
      <c r="J6" s="116" t="n">
        <v>3.1</v>
      </c>
      <c r="K6" s="116" t="n">
        <v>4.6</v>
      </c>
      <c r="L6" s="116" t="n">
        <v>6</v>
      </c>
      <c r="N6" s="14" t="n"/>
    </row>
    <row r="7" ht="15.75" customHeight="1" s="99">
      <c r="F7" s="118" t="n">
        <v>2</v>
      </c>
      <c r="G7" s="116" t="n">
        <v>1.5</v>
      </c>
      <c r="H7" s="116" t="n">
        <v>13.9</v>
      </c>
      <c r="I7" s="116" t="n">
        <v>4.5</v>
      </c>
      <c r="J7" s="116" t="n">
        <v>6.2</v>
      </c>
      <c r="K7" s="116" t="n">
        <v>9.199999999999999</v>
      </c>
      <c r="L7" s="116" t="n">
        <v>9</v>
      </c>
      <c r="N7" s="14" t="n"/>
    </row>
    <row r="8">
      <c r="F8" s="118" t="n">
        <v>3</v>
      </c>
      <c r="G8" s="116" t="n">
        <v>6</v>
      </c>
      <c r="H8" s="116" t="n">
        <v>29.2</v>
      </c>
      <c r="I8" s="116" t="n">
        <v>14.9</v>
      </c>
      <c r="J8" s="116" t="n">
        <v>26.2</v>
      </c>
      <c r="K8" s="116" t="n">
        <v>27.7</v>
      </c>
      <c r="L8" s="116" t="n">
        <v>22.4</v>
      </c>
      <c r="N8" s="14" t="n"/>
    </row>
    <row r="9">
      <c r="A9" s="98" t="inlineStr">
        <is>
          <t>Figure Rules</t>
        </is>
      </c>
      <c r="F9" s="118" t="n">
        <v>4</v>
      </c>
      <c r="G9" s="116" t="n">
        <v>31.3</v>
      </c>
      <c r="H9" s="116" t="n">
        <v>30.8</v>
      </c>
      <c r="I9" s="116" t="n">
        <v>32.8</v>
      </c>
      <c r="J9" s="116" t="n">
        <v>23.1</v>
      </c>
      <c r="K9" s="116" t="n">
        <v>27.7</v>
      </c>
      <c r="L9" s="116" t="n">
        <v>30</v>
      </c>
    </row>
    <row r="10">
      <c r="A10" t="inlineStr">
        <is>
          <t>Figure Type</t>
        </is>
      </c>
      <c r="B10" t="inlineStr">
        <is>
          <t>Clustered Bar</t>
        </is>
      </c>
      <c r="F10" s="118" t="n">
        <v>5</v>
      </c>
      <c r="G10" s="116" t="n">
        <v>61.2</v>
      </c>
      <c r="H10" s="116" t="n">
        <v>13.9</v>
      </c>
      <c r="I10" s="116" t="n">
        <v>47.8</v>
      </c>
      <c r="J10" s="116" t="n">
        <v>41.6</v>
      </c>
      <c r="K10" s="116" t="n">
        <v>30.8</v>
      </c>
      <c r="L10" s="116" t="n">
        <v>32.8</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O57"/>
  <sheetViews>
    <sheetView workbookViewId="0">
      <selection activeCell="L24" sqref="L24"/>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Health Insurance Coverage &amp; Access to Care in Ulster County (n = 66)</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100" t="inlineStr">
        <is>
          <t xml:space="preserve">Enter Data </t>
        </is>
      </c>
      <c r="F5" t="inlineStr">
        <is>
          <t>Likert Scale</t>
        </is>
      </c>
      <c r="G5" t="inlineStr">
        <is>
          <t>Access To &amp; Use of Prenatal Care</t>
        </is>
      </c>
      <c r="H5" t="inlineStr">
        <is>
          <t>Prevention of Infant &amp; Maternal Mortality</t>
        </is>
      </c>
      <c r="I5" t="inlineStr">
        <is>
          <t>Preventive Services for Chronic Disease Prevention &amp; Control</t>
        </is>
      </c>
      <c r="J5" t="inlineStr">
        <is>
          <t>Oral Health Care</t>
        </is>
      </c>
      <c r="K5" s="101" t="n"/>
      <c r="L5" s="101" t="n"/>
      <c r="M5" s="101" t="n"/>
      <c r="N5" s="101" t="n"/>
    </row>
    <row r="6" ht="15" customHeight="1" s="99">
      <c r="A6" t="inlineStr">
        <is>
          <t>Multilevel Headers</t>
        </is>
      </c>
      <c r="B6" t="b">
        <v>0</v>
      </c>
      <c r="F6" s="118" t="n">
        <v>1</v>
      </c>
      <c r="G6" s="14" t="n">
        <v>16.9</v>
      </c>
      <c r="H6" s="14" t="n">
        <v>20</v>
      </c>
      <c r="I6" s="14" t="n">
        <v>3</v>
      </c>
      <c r="J6" s="14" t="n">
        <v>10.6</v>
      </c>
      <c r="N6" s="14" t="n"/>
    </row>
    <row r="7" ht="15.75" customHeight="1" s="99">
      <c r="F7" s="118" t="n">
        <v>2</v>
      </c>
      <c r="G7" s="14" t="n">
        <v>13.9</v>
      </c>
      <c r="H7" s="14" t="n">
        <v>13.9</v>
      </c>
      <c r="I7" s="14" t="n">
        <v>12.1</v>
      </c>
      <c r="J7" s="14" t="n">
        <v>6.1</v>
      </c>
      <c r="N7" s="14" t="n"/>
    </row>
    <row r="8">
      <c r="F8" s="118" t="n">
        <v>3</v>
      </c>
      <c r="G8" s="14" t="n">
        <v>30.8</v>
      </c>
      <c r="H8" s="14" t="n">
        <v>30.8</v>
      </c>
      <c r="I8" s="14" t="n">
        <v>13.6</v>
      </c>
      <c r="J8" s="14" t="n">
        <v>19.7</v>
      </c>
      <c r="N8" s="14" t="n"/>
    </row>
    <row r="9">
      <c r="A9" s="98" t="inlineStr">
        <is>
          <t>Figure Rules</t>
        </is>
      </c>
      <c r="F9" s="118" t="n">
        <v>4</v>
      </c>
      <c r="G9" s="14" t="n">
        <v>20</v>
      </c>
      <c r="H9" s="14" t="n">
        <v>20</v>
      </c>
      <c r="I9" s="14" t="n">
        <v>31.8</v>
      </c>
      <c r="J9" s="14" t="n">
        <v>31.8</v>
      </c>
    </row>
    <row r="10">
      <c r="A10" t="inlineStr">
        <is>
          <t>Figure Type</t>
        </is>
      </c>
      <c r="B10" t="inlineStr">
        <is>
          <t>Clustered Bar</t>
        </is>
      </c>
      <c r="F10" s="118" t="n">
        <v>5</v>
      </c>
      <c r="G10" s="14" t="n">
        <v>18.5</v>
      </c>
      <c r="H10" s="14" t="n">
        <v>15.4</v>
      </c>
      <c r="I10" s="14" t="n">
        <v>39.4</v>
      </c>
      <c r="J10" s="14" t="n">
        <v>31.8</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Top Rated Issues That Affect Health in Westchester County (n = 40)</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100" t="inlineStr">
        <is>
          <t xml:space="preserve">Enter Data </t>
        </is>
      </c>
      <c r="F5" s="101" t="inlineStr">
        <is>
          <t>Access to mental health providers</t>
        </is>
      </c>
      <c r="G5" s="101" t="inlineStr">
        <is>
          <t>Access to specialty services/providers</t>
        </is>
      </c>
      <c r="H5" s="101" t="inlineStr">
        <is>
          <t>Access to affordable, decent and safe housing</t>
        </is>
      </c>
      <c r="I5" s="101" t="inlineStr">
        <is>
          <t>Access to affordable, reliable transportation</t>
        </is>
      </c>
      <c r="J5" s="101" t="inlineStr">
        <is>
          <t>Access to affordable, nutritious food</t>
        </is>
      </c>
      <c r="K5" s="101" t="inlineStr">
        <is>
          <t>Access to medical providers</t>
        </is>
      </c>
      <c r="L5" s="101" t="inlineStr">
        <is>
          <t>Access to affordable health insurance</t>
        </is>
      </c>
      <c r="M5" s="101" t="inlineStr">
        <is>
          <t>Access to culturally sensitive health care providers</t>
        </is>
      </c>
      <c r="N5" s="101" t="inlineStr">
        <is>
          <t>Access to high quality education</t>
        </is>
      </c>
      <c r="O5" s="101" t="inlineStr">
        <is>
          <t>Access to clean water and non-polluted air</t>
        </is>
      </c>
    </row>
    <row r="6" ht="15" customHeight="1" s="99">
      <c r="A6" t="inlineStr">
        <is>
          <t>Multilevel Headers</t>
        </is>
      </c>
      <c r="B6" t="b">
        <v>0</v>
      </c>
      <c r="F6" s="116" t="n">
        <v>57.5</v>
      </c>
      <c r="G6" s="116" t="n">
        <v>50</v>
      </c>
      <c r="H6" s="116" t="n">
        <v>42.5</v>
      </c>
      <c r="I6" s="116" t="n">
        <v>35</v>
      </c>
      <c r="J6" s="116" t="n">
        <v>32.5</v>
      </c>
      <c r="K6" s="116" t="n">
        <v>27.5</v>
      </c>
      <c r="L6" s="116" t="n">
        <v>22.5</v>
      </c>
      <c r="M6" s="116" t="n">
        <v>17.5</v>
      </c>
      <c r="N6" s="116" t="n">
        <v>15</v>
      </c>
      <c r="O6" s="116" t="n">
        <v>0</v>
      </c>
    </row>
    <row r="7" ht="15.75" customHeight="1" s="99">
      <c r="N7" s="14" t="n"/>
    </row>
    <row r="8">
      <c r="G8" s="14" t="n"/>
      <c r="N8" s="14" t="n"/>
    </row>
    <row r="9">
      <c r="A9" s="98" t="inlineStr">
        <is>
          <t>Figure Rules</t>
        </is>
      </c>
    </row>
    <row r="10">
      <c r="A10" t="inlineStr">
        <is>
          <t>Figure Type</t>
        </is>
      </c>
      <c r="B10" t="inlineStr">
        <is>
          <t>Clustered Bar</t>
        </is>
      </c>
      <c r="H10" s="14" t="n"/>
      <c r="I10" s="14" t="n"/>
    </row>
    <row r="11">
      <c r="A11" t="inlineStr">
        <is>
          <t>X Column</t>
        </is>
      </c>
      <c r="B11" t="inlineStr">
        <is>
          <t>Category</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Q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Top Rated Barriers to Achieving Better Health in Westchester County (n = 40)</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row>
    <row r="5">
      <c r="A5" s="98" t="inlineStr">
        <is>
          <t>Table Rules</t>
        </is>
      </c>
      <c r="E5" s="100" t="inlineStr">
        <is>
          <t xml:space="preserve">Enter Data </t>
        </is>
      </c>
      <c r="F5" t="inlineStr">
        <is>
          <t>Knowledge of existing resources</t>
        </is>
      </c>
      <c r="G5" t="inlineStr">
        <is>
          <t>Health literacy</t>
        </is>
      </c>
      <c r="H5" t="inlineStr">
        <is>
          <t>Having someone help them understand insurance</t>
        </is>
      </c>
      <c r="I5" t="inlineStr">
        <is>
          <t>Having someone to help them understand their medical condition</t>
        </is>
      </c>
      <c r="J5" t="inlineStr">
        <is>
          <t>Geographic locationliving in a rural area</t>
        </is>
      </c>
      <c r="K5" t="inlineStr">
        <is>
          <t>Substance Use Disorder (SUD) or Alcohol Use Disorder (AUD)</t>
        </is>
      </c>
      <c r="L5" t="inlineStr">
        <is>
          <t>Other</t>
        </is>
      </c>
      <c r="M5" t="inlineStr">
        <is>
          <t>Quality of education</t>
        </is>
      </c>
      <c r="N5" t="inlineStr">
        <is>
          <t>Cultural customs</t>
        </is>
      </c>
      <c r="O5" t="inlineStr">
        <is>
          <t>Having a safe place to play and/or exercise</t>
        </is>
      </c>
      <c r="P5" t="inlineStr">
        <is>
          <t>Geographic location- living in an urban area</t>
        </is>
      </c>
      <c r="Q5" t="inlineStr">
        <is>
          <t>Attainment of education</t>
        </is>
      </c>
    </row>
    <row r="6" ht="15" customHeight="1" s="99">
      <c r="A6" t="inlineStr">
        <is>
          <t>Multilevel Headers</t>
        </is>
      </c>
      <c r="B6" t="b">
        <v>0</v>
      </c>
      <c r="F6" s="14" t="n">
        <v>62.5</v>
      </c>
      <c r="G6" s="14" t="n">
        <v>50</v>
      </c>
      <c r="H6" s="14" t="n">
        <v>35</v>
      </c>
      <c r="I6" s="14" t="n">
        <v>32.5</v>
      </c>
      <c r="J6" s="14" t="n">
        <v>30</v>
      </c>
      <c r="K6" s="14" t="n">
        <v>27.5</v>
      </c>
      <c r="L6" s="14" t="n">
        <v>25</v>
      </c>
      <c r="M6" s="14" t="n">
        <v>15</v>
      </c>
      <c r="N6" s="14" t="n">
        <v>10</v>
      </c>
      <c r="O6" s="14" t="n">
        <v>7.5</v>
      </c>
      <c r="P6" s="14" t="n">
        <v>5</v>
      </c>
      <c r="Q6" s="14" t="n">
        <v>0</v>
      </c>
    </row>
    <row r="7" ht="15.75" customHeight="1" s="99">
      <c r="N7" s="14" t="n"/>
    </row>
    <row r="8">
      <c r="G8" s="14" t="n"/>
      <c r="N8" s="14" t="n"/>
    </row>
    <row r="9">
      <c r="A9" s="98" t="inlineStr">
        <is>
          <t>Figure Rules</t>
        </is>
      </c>
    </row>
    <row r="10">
      <c r="A10" t="inlineStr">
        <is>
          <t>Figure Type</t>
        </is>
      </c>
      <c r="B10" t="inlineStr">
        <is>
          <t>Clustered Bar</t>
        </is>
      </c>
      <c r="H10" s="14" t="n"/>
      <c r="I10" s="14" t="n"/>
    </row>
    <row r="11">
      <c r="A11" t="inlineStr">
        <is>
          <t>X Column</t>
        </is>
      </c>
      <c r="B11" t="inlineStr">
        <is>
          <t>Category</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Q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O57"/>
  <sheetViews>
    <sheetView workbookViewId="0">
      <selection activeCell="B11" sqref="B11:B13"/>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Health Issues in Westchester County (n = 39)</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100" t="inlineStr">
        <is>
          <t xml:space="preserve">Enter Data </t>
        </is>
      </c>
      <c r="F5" t="inlineStr">
        <is>
          <t>Likert Scale</t>
        </is>
      </c>
      <c r="G5" s="101" t="inlineStr">
        <is>
          <t>Chronic Disease</t>
        </is>
      </c>
      <c r="H5" s="101" t="inlineStr">
        <is>
          <t>Health Disparities</t>
        </is>
      </c>
      <c r="I5" s="101" t="inlineStr">
        <is>
          <t>Mental Health and Substance Use Issues</t>
        </is>
      </c>
      <c r="J5" s="101" t="inlineStr">
        <is>
          <t>Maternal and Child Health Issues</t>
        </is>
      </c>
      <c r="K5" s="101" t="inlineStr">
        <is>
          <t>Environmental Factors</t>
        </is>
      </c>
      <c r="L5" s="101" t="inlineStr">
        <is>
          <t>Communicable Diseases</t>
        </is>
      </c>
      <c r="M5" s="101" t="n"/>
      <c r="N5" s="101" t="n"/>
    </row>
    <row r="6" ht="15" customHeight="1" s="99">
      <c r="A6" t="inlineStr">
        <is>
          <t>Multilevel Headers</t>
        </is>
      </c>
      <c r="B6" t="b">
        <v>0</v>
      </c>
      <c r="F6" s="118" t="n">
        <v>1</v>
      </c>
      <c r="G6" s="101" t="n">
        <v>5.3</v>
      </c>
      <c r="H6" s="101" t="n">
        <v>2.6</v>
      </c>
      <c r="I6" s="101" t="n">
        <v>2.6</v>
      </c>
      <c r="J6" s="101" t="n">
        <v>10.3</v>
      </c>
      <c r="K6" s="101" t="n">
        <v>15.8</v>
      </c>
      <c r="L6" s="101" t="n">
        <v>15.4</v>
      </c>
      <c r="N6" s="14" t="n"/>
    </row>
    <row r="7" ht="15.75" customHeight="1" s="99">
      <c r="F7" s="118" t="n">
        <v>2</v>
      </c>
      <c r="G7" s="101" t="n">
        <v>2.6</v>
      </c>
      <c r="H7" s="101" t="n">
        <v>2.6</v>
      </c>
      <c r="I7" s="101" t="n">
        <v>7.9</v>
      </c>
      <c r="J7" s="101" t="n">
        <v>10.3</v>
      </c>
      <c r="K7" s="101" t="n">
        <v>13.2</v>
      </c>
      <c r="L7" s="116" t="n">
        <v>18</v>
      </c>
      <c r="N7" s="14" t="n"/>
    </row>
    <row r="8">
      <c r="F8" s="118" t="n">
        <v>3</v>
      </c>
      <c r="G8" s="116" t="n">
        <v>18.4</v>
      </c>
      <c r="H8" s="101" t="n">
        <v>18.4</v>
      </c>
      <c r="I8" s="101" t="n">
        <v>7.9</v>
      </c>
      <c r="J8" s="101" t="n">
        <v>38.5</v>
      </c>
      <c r="K8" s="101" t="n">
        <v>34.2</v>
      </c>
      <c r="L8" s="101" t="n">
        <v>38.5</v>
      </c>
      <c r="N8" s="14" t="n"/>
    </row>
    <row r="9">
      <c r="A9" s="98" t="inlineStr">
        <is>
          <t>Figure Rules</t>
        </is>
      </c>
      <c r="F9" s="118" t="n">
        <v>4</v>
      </c>
      <c r="G9" s="101" t="n">
        <v>18.4</v>
      </c>
      <c r="H9" s="101" t="n">
        <v>21.1</v>
      </c>
      <c r="I9" s="101" t="n">
        <v>21.1</v>
      </c>
      <c r="J9" s="101" t="n">
        <v>12.8</v>
      </c>
      <c r="K9" s="101" t="n">
        <v>23.7</v>
      </c>
      <c r="L9" s="101" t="n">
        <v>7.7</v>
      </c>
    </row>
    <row r="10">
      <c r="A10" t="inlineStr">
        <is>
          <t>Figure Type</t>
        </is>
      </c>
      <c r="B10" t="inlineStr">
        <is>
          <t>Clustered Bar</t>
        </is>
      </c>
      <c r="F10" s="118" t="n">
        <v>5</v>
      </c>
      <c r="G10" s="101" t="n">
        <v>55.3</v>
      </c>
      <c r="H10" s="116" t="n">
        <v>55.3</v>
      </c>
      <c r="I10" s="116" t="n">
        <v>60.5</v>
      </c>
      <c r="J10" s="101" t="n">
        <v>28.2</v>
      </c>
      <c r="K10" s="101" t="n">
        <v>13.2</v>
      </c>
      <c r="L10" s="101" t="n">
        <v>20.5</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the Social Determinants of Health in Westchester County (n = 38)</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row>
    <row r="5">
      <c r="A5" s="98" t="inlineStr">
        <is>
          <t>Table Rules</t>
        </is>
      </c>
      <c r="E5" s="100" t="inlineStr">
        <is>
          <t xml:space="preserve">Enter Data </t>
        </is>
      </c>
      <c r="F5" s="101" t="inlineStr">
        <is>
          <t>Mental Wellbeing &amp; Substance Use</t>
        </is>
      </c>
      <c r="G5" s="101" t="inlineStr">
        <is>
          <t>Economic</t>
        </is>
      </c>
      <c r="H5" s="101" t="inlineStr">
        <is>
          <t>Health Insurance Coverage &amp; Access to Care</t>
        </is>
      </c>
      <c r="I5" s="101" t="inlineStr">
        <is>
          <t>Safe &amp; Healthy Communities</t>
        </is>
      </c>
      <c r="J5" s="101" t="inlineStr">
        <is>
          <t>Healthy Children</t>
        </is>
      </c>
      <c r="K5" s="101" t="inlineStr">
        <is>
          <t>Pre K - Grade 12 Student Success &amp; Educational Attainment</t>
        </is>
      </c>
      <c r="M5" s="101" t="n"/>
      <c r="N5" s="101" t="n"/>
    </row>
    <row r="6" ht="15" customHeight="1" s="99">
      <c r="A6" t="inlineStr">
        <is>
          <t>Multilevel Headers</t>
        </is>
      </c>
      <c r="B6" t="b">
        <v>0</v>
      </c>
      <c r="F6" s="101" t="n">
        <v>81.59999999999999</v>
      </c>
      <c r="G6" s="116" t="n">
        <v>79</v>
      </c>
      <c r="H6" s="116" t="n">
        <v>68.40000000000001</v>
      </c>
      <c r="I6" s="101" t="n">
        <v>36.8</v>
      </c>
      <c r="J6" s="101" t="n">
        <v>18.4</v>
      </c>
      <c r="K6" s="101" t="n">
        <v>15.8</v>
      </c>
      <c r="N6" s="14" t="n"/>
    </row>
    <row r="7" ht="15.75" customHeight="1" s="99">
      <c r="G7" s="101" t="n"/>
      <c r="H7" s="101" t="n"/>
      <c r="I7" s="101" t="n"/>
      <c r="J7" s="101" t="n"/>
      <c r="K7" s="101" t="n"/>
      <c r="N7" s="14" t="n"/>
    </row>
    <row r="8">
      <c r="G8" s="101" t="n"/>
      <c r="H8" s="101" t="n"/>
      <c r="I8" s="101" t="n"/>
      <c r="J8" s="101" t="n"/>
      <c r="K8" s="101" t="n"/>
      <c r="N8" s="14" t="n"/>
    </row>
    <row r="9">
      <c r="A9" s="98" t="inlineStr">
        <is>
          <t>Figure Rules</t>
        </is>
      </c>
      <c r="F9" s="101" t="n"/>
      <c r="H9" s="101" t="n"/>
      <c r="I9" s="101" t="n"/>
      <c r="J9" s="101" t="n"/>
      <c r="K9" s="101" t="n"/>
    </row>
    <row r="10">
      <c r="A10" t="inlineStr">
        <is>
          <t>Figure Type</t>
        </is>
      </c>
      <c r="B10" t="inlineStr">
        <is>
          <t>Clustered Bar</t>
        </is>
      </c>
      <c r="F10" s="101" t="n"/>
      <c r="H10" s="116" t="n"/>
      <c r="I10" s="101" t="n"/>
      <c r="J10" s="101" t="n"/>
      <c r="K10" s="101" t="n"/>
    </row>
    <row r="11">
      <c r="A11" t="inlineStr">
        <is>
          <t>X Column</t>
        </is>
      </c>
      <c r="B11" t="inlineStr">
        <is>
          <t>Category</t>
        </is>
      </c>
      <c r="F11" s="101" t="n"/>
      <c r="H11" s="101" t="n"/>
      <c r="I11" s="101" t="n"/>
      <c r="J11" s="101" t="n"/>
      <c r="K11" s="101" t="n"/>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O57"/>
  <sheetViews>
    <sheetView workbookViewId="0">
      <selection activeCell="N34" sqref="N34"/>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Economic Wellbeing in Westchester County (n = 37)</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100" t="inlineStr">
        <is>
          <t xml:space="preserve">Enter Data </t>
        </is>
      </c>
      <c r="F5" t="inlineStr">
        <is>
          <t>Likert Scale</t>
        </is>
      </c>
      <c r="G5" s="101" t="inlineStr">
        <is>
          <t>Poverty</t>
        </is>
      </c>
      <c r="H5" s="101" t="inlineStr">
        <is>
          <t>Unemployment</t>
        </is>
      </c>
      <c r="I5" s="101" t="inlineStr">
        <is>
          <t>Nutrition Security</t>
        </is>
      </c>
      <c r="J5" s="101" t="inlineStr">
        <is>
          <t xml:space="preserve">Housing Stability &amp; Affordability </t>
        </is>
      </c>
      <c r="K5" s="101" t="n"/>
      <c r="L5" s="101" t="n"/>
      <c r="M5" s="101" t="n"/>
      <c r="N5" s="101" t="n"/>
    </row>
    <row r="6" ht="15" customHeight="1" s="99">
      <c r="A6" t="inlineStr">
        <is>
          <t>Multilevel Headers</t>
        </is>
      </c>
      <c r="B6" t="b">
        <v>0</v>
      </c>
      <c r="F6" s="118" t="n">
        <v>1</v>
      </c>
      <c r="G6" s="51" t="n">
        <v>0</v>
      </c>
      <c r="H6" s="116" t="n">
        <v>2.8</v>
      </c>
      <c r="I6" s="51" t="n">
        <v>0</v>
      </c>
      <c r="J6" s="51" t="n">
        <v>0</v>
      </c>
      <c r="N6" s="14" t="n"/>
    </row>
    <row r="7" ht="15.75" customHeight="1" s="99">
      <c r="F7" s="118" t="n">
        <v>2</v>
      </c>
      <c r="G7" s="116" t="n">
        <v>5.4</v>
      </c>
      <c r="H7" s="116" t="n">
        <v>2.8</v>
      </c>
      <c r="I7" s="116" t="n">
        <v>11.1</v>
      </c>
      <c r="J7" s="116" t="n">
        <v>2.7</v>
      </c>
      <c r="N7" s="14" t="n"/>
    </row>
    <row r="8">
      <c r="F8" s="118" t="n">
        <v>3</v>
      </c>
      <c r="G8" s="116" t="n">
        <v>21.6</v>
      </c>
      <c r="H8" s="116" t="n">
        <v>22.2</v>
      </c>
      <c r="I8" s="116" t="n">
        <v>27.8</v>
      </c>
      <c r="J8" s="116" t="n">
        <v>24.3</v>
      </c>
      <c r="N8" s="14" t="n"/>
    </row>
    <row r="9">
      <c r="A9" s="98" t="inlineStr">
        <is>
          <t>Figure Rules</t>
        </is>
      </c>
      <c r="F9" s="118" t="n">
        <v>4</v>
      </c>
      <c r="G9" s="116" t="n">
        <v>16.2</v>
      </c>
      <c r="H9" s="116" t="n">
        <v>50</v>
      </c>
      <c r="I9" s="116" t="n">
        <v>36.1</v>
      </c>
      <c r="J9" s="116" t="n">
        <v>13.5</v>
      </c>
    </row>
    <row r="10">
      <c r="A10" t="inlineStr">
        <is>
          <t>Figure Type</t>
        </is>
      </c>
      <c r="B10" t="inlineStr">
        <is>
          <t>Clustered Bar</t>
        </is>
      </c>
      <c r="F10" s="118" t="n">
        <v>5</v>
      </c>
      <c r="G10" s="116" t="n">
        <v>56.8</v>
      </c>
      <c r="H10" s="116" t="n">
        <v>22.2</v>
      </c>
      <c r="I10" s="116" t="n">
        <v>25</v>
      </c>
      <c r="J10" s="116" t="n">
        <v>59.5</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Specifications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O57"/>
  <sheetViews>
    <sheetView workbookViewId="0">
      <selection activeCell="H23" sqref="H23"/>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Mental Wellbeing &amp; Substance Use in Westchester County (n = 35)</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row>
    <row r="5">
      <c r="A5" s="98" t="inlineStr">
        <is>
          <t>Table Rules</t>
        </is>
      </c>
      <c r="E5" s="100" t="inlineStr">
        <is>
          <t xml:space="preserve">Enter Data </t>
        </is>
      </c>
      <c r="F5" t="inlineStr">
        <is>
          <t>Likert Scale</t>
        </is>
      </c>
      <c r="G5" s="101" t="inlineStr">
        <is>
          <t>Anxiety &amp; Stress</t>
        </is>
      </c>
      <c r="H5" s="101" t="inlineStr">
        <is>
          <t>Suicide</t>
        </is>
      </c>
      <c r="I5" s="101" t="inlineStr">
        <is>
          <t>Depression</t>
        </is>
      </c>
      <c r="J5" s="101" t="inlineStr">
        <is>
          <t>Substance Use</t>
        </is>
      </c>
      <c r="K5" s="101" t="inlineStr">
        <is>
          <t>Adverse Childhood Experiences</t>
        </is>
      </c>
      <c r="L5" s="101" t="inlineStr">
        <is>
          <t>Healthy Eating</t>
        </is>
      </c>
      <c r="M5" s="101" t="n"/>
      <c r="N5" s="101" t="n"/>
    </row>
    <row r="6" ht="15" customHeight="1" s="99">
      <c r="A6" t="inlineStr">
        <is>
          <t>Multilevel Headers</t>
        </is>
      </c>
      <c r="B6" t="b">
        <v>0</v>
      </c>
      <c r="F6" s="118" t="n">
        <v>1</v>
      </c>
      <c r="G6" s="51" t="n">
        <v>0</v>
      </c>
      <c r="H6" s="116" t="n">
        <v>14.3</v>
      </c>
      <c r="I6" s="51" t="n">
        <v>0</v>
      </c>
      <c r="J6" s="116" t="n">
        <v>11.8</v>
      </c>
      <c r="K6" s="116" t="n">
        <v>8.6</v>
      </c>
      <c r="L6" s="116" t="n">
        <v>2.9</v>
      </c>
      <c r="N6" s="14" t="n"/>
    </row>
    <row r="7" ht="15.75" customHeight="1" s="99">
      <c r="F7" s="118" t="n">
        <v>2</v>
      </c>
      <c r="G7" s="116" t="n">
        <v>2.9</v>
      </c>
      <c r="H7" s="116" t="n">
        <v>20</v>
      </c>
      <c r="I7" s="116" t="n">
        <v>5.7</v>
      </c>
      <c r="J7" s="116" t="n">
        <v>5.9</v>
      </c>
      <c r="K7" s="116" t="n">
        <v>11.4</v>
      </c>
      <c r="L7" s="116" t="n">
        <v>11.4</v>
      </c>
      <c r="N7" s="14" t="n"/>
    </row>
    <row r="8">
      <c r="F8" s="118" t="n">
        <v>3</v>
      </c>
      <c r="G8" s="116" t="n">
        <v>2.9</v>
      </c>
      <c r="H8" s="116" t="n">
        <v>25.7</v>
      </c>
      <c r="I8" s="116" t="n">
        <v>11.4</v>
      </c>
      <c r="J8" s="116" t="n">
        <v>17.7</v>
      </c>
      <c r="K8" s="116" t="n">
        <v>17.1</v>
      </c>
      <c r="L8" s="116" t="n">
        <v>22.9</v>
      </c>
      <c r="N8" s="14" t="n"/>
    </row>
    <row r="9">
      <c r="A9" s="98" t="inlineStr">
        <is>
          <t>Figure Rules</t>
        </is>
      </c>
      <c r="F9" s="118" t="n">
        <v>4</v>
      </c>
      <c r="G9" s="116" t="n">
        <v>28.6</v>
      </c>
      <c r="H9" s="116" t="n">
        <v>22.9</v>
      </c>
      <c r="I9" s="116" t="n">
        <v>37.1</v>
      </c>
      <c r="J9" s="116" t="n">
        <v>32.4</v>
      </c>
      <c r="K9" s="116" t="n">
        <v>31.4</v>
      </c>
      <c r="L9" s="116" t="n">
        <v>25.7</v>
      </c>
    </row>
    <row r="10">
      <c r="A10" t="inlineStr">
        <is>
          <t>Figure Type</t>
        </is>
      </c>
      <c r="B10" t="inlineStr">
        <is>
          <t>Clustered Bar</t>
        </is>
      </c>
      <c r="F10" s="118" t="n">
        <v>5</v>
      </c>
      <c r="G10" s="116" t="n">
        <v>65.7</v>
      </c>
      <c r="H10" s="116" t="n">
        <v>17.1</v>
      </c>
      <c r="I10" s="116" t="n">
        <v>45.7</v>
      </c>
      <c r="J10" s="116" t="n">
        <v>32.4</v>
      </c>
      <c r="K10" s="116" t="n">
        <v>31.4</v>
      </c>
      <c r="L10" s="116" t="n">
        <v>37.1</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O57"/>
  <sheetViews>
    <sheetView workbookViewId="0">
      <selection activeCell="V52" sqref="V52"/>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The Impact of Health Insurance Coverage &amp; Access to Care in Westchester County (n = 35)</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81" t="inlineStr">
        <is>
          <t>number</t>
        </is>
      </c>
      <c r="G4" s="16" t="inlineStr">
        <is>
          <t>percent1</t>
        </is>
      </c>
      <c r="H4" s="16" t="inlineStr">
        <is>
          <t>percent1</t>
        </is>
      </c>
      <c r="I4" s="16" t="inlineStr">
        <is>
          <t>percent1</t>
        </is>
      </c>
      <c r="J4" s="16" t="inlineStr">
        <is>
          <t>percent1</t>
        </is>
      </c>
      <c r="K4" s="16" t="n"/>
      <c r="L4" s="16" t="n"/>
      <c r="M4" s="16" t="n"/>
      <c r="N4" s="16" t="n"/>
      <c r="O4" s="16" t="n"/>
    </row>
    <row r="5">
      <c r="A5" s="98" t="inlineStr">
        <is>
          <t>Table Rules</t>
        </is>
      </c>
      <c r="E5" s="100" t="inlineStr">
        <is>
          <t xml:space="preserve">Enter Data </t>
        </is>
      </c>
      <c r="F5" s="82" t="inlineStr">
        <is>
          <t>Likert Scale</t>
        </is>
      </c>
      <c r="G5" t="inlineStr">
        <is>
          <t>Access To &amp; Use of Prenatal Care</t>
        </is>
      </c>
      <c r="H5" t="inlineStr">
        <is>
          <t>Prevention of Infant &amp; Maternal Mortality</t>
        </is>
      </c>
      <c r="I5" t="inlineStr">
        <is>
          <t>Preventive Services for Chronic Disease Prevention &amp; Control</t>
        </is>
      </c>
      <c r="J5" t="inlineStr">
        <is>
          <t>Oral Health Care</t>
        </is>
      </c>
      <c r="K5" s="101" t="n"/>
      <c r="L5" s="101" t="n"/>
      <c r="M5" s="101" t="n"/>
      <c r="N5" s="101" t="n"/>
    </row>
    <row r="6" ht="15" customHeight="1" s="99">
      <c r="A6" t="inlineStr">
        <is>
          <t>Multilevel Headers</t>
        </is>
      </c>
      <c r="B6" t="b">
        <v>0</v>
      </c>
      <c r="F6" s="83" t="n">
        <v>1</v>
      </c>
      <c r="G6" s="14" t="n">
        <v>11.4</v>
      </c>
      <c r="H6" s="14" t="n">
        <v>17.1</v>
      </c>
      <c r="I6" s="14" t="n">
        <v>5.9</v>
      </c>
      <c r="J6" s="14" t="n">
        <v>8.6</v>
      </c>
      <c r="N6" s="14" t="n"/>
    </row>
    <row r="7" ht="15.75" customHeight="1" s="99">
      <c r="F7" s="83" t="n">
        <v>2</v>
      </c>
      <c r="G7" s="14" t="n">
        <v>20</v>
      </c>
      <c r="H7" s="14" t="n">
        <v>20</v>
      </c>
      <c r="I7" s="14" t="n">
        <v>8.800000000000001</v>
      </c>
      <c r="J7" s="14" t="n">
        <v>5.7</v>
      </c>
      <c r="N7" s="14" t="n"/>
    </row>
    <row r="8">
      <c r="F8" s="83" t="n">
        <v>3</v>
      </c>
      <c r="G8" s="14" t="n">
        <v>28.6</v>
      </c>
      <c r="H8" s="14" t="n">
        <v>28.6</v>
      </c>
      <c r="I8" s="14" t="n">
        <v>14.7</v>
      </c>
      <c r="J8" s="14" t="n">
        <v>20</v>
      </c>
      <c r="N8" s="14" t="n"/>
    </row>
    <row r="9">
      <c r="A9" s="98" t="inlineStr">
        <is>
          <t>Figure Rules</t>
        </is>
      </c>
      <c r="F9" s="83" t="n">
        <v>4</v>
      </c>
      <c r="G9" s="14" t="n">
        <v>17.1</v>
      </c>
      <c r="H9" s="14" t="n">
        <v>14.3</v>
      </c>
      <c r="I9" s="14" t="n">
        <v>29.4</v>
      </c>
      <c r="J9" s="14" t="n">
        <v>34.3</v>
      </c>
    </row>
    <row r="10">
      <c r="A10" t="inlineStr">
        <is>
          <t>Figure Type</t>
        </is>
      </c>
      <c r="B10" t="inlineStr">
        <is>
          <t>Clustered Bar</t>
        </is>
      </c>
      <c r="F10" s="83" t="n">
        <v>5</v>
      </c>
      <c r="G10" s="14" t="n">
        <v>22.9</v>
      </c>
      <c r="H10" s="14" t="n">
        <v>20</v>
      </c>
      <c r="I10" s="14" t="n">
        <v>41.2</v>
      </c>
      <c r="J10" s="14" t="n">
        <v>31.4</v>
      </c>
    </row>
    <row r="11">
      <c r="A11" t="inlineStr">
        <is>
          <t>X Column</t>
        </is>
      </c>
      <c r="B11" s="82" t="inlineStr">
        <is>
          <t>Likert Scale (1 = Very Little Impact and 5 = Highly Impacted)</t>
        </is>
      </c>
    </row>
    <row r="12">
      <c r="A12" t="inlineStr">
        <is>
          <t>Y Column</t>
        </is>
      </c>
      <c r="B12" s="82" t="inlineStr">
        <is>
          <t>Percent</t>
        </is>
      </c>
    </row>
    <row r="13">
      <c r="A13" t="inlineStr">
        <is>
          <t>X Axis Title</t>
        </is>
      </c>
      <c r="B13" s="82" t="inlineStr">
        <is>
          <t>Likert Scale (1 = Very Little Impact and 5 = Highly Impacted)</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c r="A28" s="50" t="n"/>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G4:O4" showDropDown="0" showInputMessage="1" showErrorMessage="1" allowBlank="1" type="list">
      <formula1>"integer, number, percent1"</formula1>
    </dataValidation>
    <dataValidation sqref="B10" showDropDown="0" showInputMessage="1" showErrorMessage="1" allowBlank="1" type="list">
      <formula1>"Line, Bar, Clustered Bar, Stacked Bar, Horizontal Bar"</formula1>
    </dataValidation>
  </dataValidations>
  <pageMargins left="0.75" right="0.75" top="1" bottom="1" header="0.5" footer="0.5"/>
</worksheet>
</file>

<file path=xl/worksheets/sheet66.xml><?xml version="1.0" encoding="utf-8"?>
<worksheet xmlns="http://schemas.openxmlformats.org/spreadsheetml/2006/main">
  <sheetPr>
    <tabColor rgb="FF0070C0"/>
    <outlinePr summaryBelow="1" summaryRight="1"/>
    <pageSetUpPr/>
  </sheetPr>
  <dimension ref="A1:A1"/>
  <sheetViews>
    <sheetView workbookViewId="0">
      <selection activeCell="A1" sqref="A1"/>
    </sheetView>
  </sheetViews>
  <sheetFormatPr baseColWidth="10" defaultColWidth="8.83203125" defaultRowHeight="15"/>
  <sheetData/>
  <pageMargins left="0.7" right="0.7" top="0.75" bottom="0.75" header="0.3" footer="0.3"/>
</worksheet>
</file>

<file path=xl/worksheets/sheet67.xml><?xml version="1.0" encoding="utf-8"?>
<worksheet xmlns="http://schemas.openxmlformats.org/spreadsheetml/2006/main">
  <sheetPr>
    <outlinePr summaryBelow="1" summaryRight="1"/>
    <pageSetUpPr/>
  </sheetPr>
  <dimension ref="A1:O57"/>
  <sheetViews>
    <sheetView workbookViewId="0">
      <selection activeCell="B11" sqref="B1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Percentage of Adults Who Participated in Leisure Time Physical Activity in the Past 30 Days, 2016, 2018,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s="101" t="inlineStr">
        <is>
          <t>Sullivan</t>
        </is>
      </c>
      <c r="L5" s="101" t="inlineStr">
        <is>
          <t>Ulster</t>
        </is>
      </c>
      <c r="M5" s="101" t="inlineStr">
        <is>
          <t>Westchester</t>
        </is>
      </c>
      <c r="N5" s="101" t="inlineStr">
        <is>
          <t>NYS excl NYC</t>
        </is>
      </c>
      <c r="O5" t="inlineStr">
        <is>
          <t>NYS</t>
        </is>
      </c>
    </row>
    <row r="6" ht="15" customHeight="1" s="99">
      <c r="A6" t="inlineStr">
        <is>
          <t>Multilevel Headers</t>
        </is>
      </c>
      <c r="B6" t="b">
        <v>0</v>
      </c>
      <c r="F6" t="n">
        <v>2016</v>
      </c>
      <c r="G6" s="14" t="n">
        <v>74.7</v>
      </c>
      <c r="H6" s="14" t="n">
        <v>70.7</v>
      </c>
      <c r="I6" s="14" t="n">
        <v>75</v>
      </c>
      <c r="J6" s="14" t="n">
        <v>73.5</v>
      </c>
      <c r="K6" t="n">
        <v>72.40000000000001</v>
      </c>
      <c r="L6" t="n">
        <v>81.90000000000001</v>
      </c>
      <c r="M6" t="n">
        <v>77.09999999999999</v>
      </c>
      <c r="N6" s="14" t="n">
        <v>75</v>
      </c>
      <c r="O6" t="n">
        <v>74</v>
      </c>
    </row>
    <row r="7" ht="15.75" customHeight="1" s="99">
      <c r="F7" t="n">
        <v>2018</v>
      </c>
      <c r="G7" s="14" t="n">
        <v>80.2</v>
      </c>
      <c r="H7" s="14" t="n">
        <v>70.5</v>
      </c>
      <c r="I7" s="14" t="n">
        <v>83.40000000000001</v>
      </c>
      <c r="J7" s="14" t="n">
        <v>76.90000000000001</v>
      </c>
      <c r="K7" t="n">
        <v>67.90000000000001</v>
      </c>
      <c r="L7" t="n">
        <v>79.90000000000001</v>
      </c>
      <c r="M7" t="n">
        <v>81.59999999999999</v>
      </c>
      <c r="N7" s="14" t="n">
        <v>78.3</v>
      </c>
      <c r="O7" t="n">
        <v>76.40000000000001</v>
      </c>
    </row>
    <row r="8">
      <c r="F8" t="n">
        <v>2021</v>
      </c>
      <c r="G8" s="14" t="n">
        <v>76.8</v>
      </c>
      <c r="H8" s="14" t="n">
        <v>75.5</v>
      </c>
      <c r="I8" s="14" t="n">
        <v>78.7</v>
      </c>
      <c r="J8" s="14" t="n">
        <v>70.59999999999999</v>
      </c>
      <c r="K8" t="n">
        <v>75.7</v>
      </c>
      <c r="L8" t="n">
        <v>82.59999999999999</v>
      </c>
      <c r="M8" t="n">
        <v>78.40000000000001</v>
      </c>
      <c r="N8" s="14" t="n">
        <v>76.3</v>
      </c>
      <c r="O8" t="n">
        <v>74.59999999999999</v>
      </c>
    </row>
    <row r="9">
      <c r="A9" s="98" t="inlineStr">
        <is>
          <t>Figure Rules</t>
        </is>
      </c>
      <c r="G9" s="14" t="n"/>
      <c r="H9" s="14" t="n"/>
      <c r="I9" s="14" t="n"/>
      <c r="J9" s="14" t="n"/>
    </row>
    <row r="10">
      <c r="A10" t="inlineStr">
        <is>
          <t>Figure Type</t>
        </is>
      </c>
      <c r="B10" t="inlineStr">
        <is>
          <t>Line</t>
        </is>
      </c>
      <c r="G10" s="14" t="n"/>
      <c r="H10" s="14" t="n"/>
      <c r="I10" s="14" t="n"/>
      <c r="J10" s="14" t="n"/>
    </row>
    <row r="11">
      <c r="A11" t="inlineStr">
        <is>
          <t>X Column</t>
        </is>
      </c>
      <c r="B11" t="inlineStr">
        <is>
          <t>Year</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c r="B20" t="inlineStr">
        <is>
          <t>https://health.data.ny.gov/Health/Behavioral-Risk-Factor-Surveillance-System-BRFSS-H/jsy7-eb4n/data</t>
        </is>
      </c>
    </row>
    <row r="21">
      <c r="A21" t="inlineStr">
        <is>
          <t>Data Year</t>
        </is>
      </c>
    </row>
    <row r="22">
      <c r="A22" t="inlineStr">
        <is>
          <t>Estimate Type</t>
        </is>
      </c>
    </row>
    <row r="23">
      <c r="A23" t="inlineStr">
        <is>
          <t>Citation Month</t>
        </is>
      </c>
      <c r="B23" t="inlineStr">
        <is>
          <t>May</t>
        </is>
      </c>
    </row>
    <row r="24">
      <c r="A24" t="inlineStr">
        <is>
          <t>Citation Year</t>
        </is>
      </c>
      <c r="B24" t="n">
        <v>2025</v>
      </c>
    </row>
    <row r="25">
      <c r="A25" t="inlineStr">
        <is>
          <t>Custom Text</t>
        </is>
      </c>
    </row>
    <row r="26"/>
    <row r="27">
      <c r="A27" s="101" t="inlineStr">
        <is>
          <t>Note Specfications</t>
        </is>
      </c>
    </row>
    <row r="28">
      <c r="A28" t="inlineStr">
        <is>
          <t>Note: The percentage is age-adjusted. An adult is a person aged 18 years or older. The Behavioral Risk Factor Surveillance System asks respondents “During the past month, other than your regular job, did you participate in any physical activities or exercises such as running, calisthenics, golf, gardening, or walking for exercise?”</t>
        </is>
      </c>
    </row>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O57"/>
  <sheetViews>
    <sheetView workbookViewId="0">
      <selection activeCell="A28" sqref="A28:B28"/>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Percentage of Adults Who Report Consuming Less Than One Fruit and Less Than One Vegetable Daily, 2016, 2018,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s="101" t="inlineStr">
        <is>
          <t>Sullivan</t>
        </is>
      </c>
      <c r="L5" s="101" t="inlineStr">
        <is>
          <t>Ulster</t>
        </is>
      </c>
      <c r="M5" s="101" t="inlineStr">
        <is>
          <t>Westchester</t>
        </is>
      </c>
      <c r="N5" s="101" t="inlineStr">
        <is>
          <t>NYS excl NYC</t>
        </is>
      </c>
      <c r="O5" t="inlineStr">
        <is>
          <t>NYS</t>
        </is>
      </c>
    </row>
    <row r="6" ht="15" customHeight="1" s="99">
      <c r="A6" t="inlineStr">
        <is>
          <t>Multilevel Headers</t>
        </is>
      </c>
      <c r="B6" t="b">
        <v>0</v>
      </c>
      <c r="F6" t="n">
        <v>2016</v>
      </c>
      <c r="G6" s="14" t="n">
        <v>24.2</v>
      </c>
      <c r="H6" s="14" t="n">
        <v>24.5</v>
      </c>
      <c r="I6" s="14" t="n">
        <v>27</v>
      </c>
      <c r="J6" s="14" t="n">
        <v>25.9</v>
      </c>
      <c r="K6" t="n">
        <v>28.7</v>
      </c>
      <c r="L6" t="n">
        <v>22.9</v>
      </c>
      <c r="M6" t="n">
        <v>28.6</v>
      </c>
      <c r="N6" s="14" t="n">
        <v>29</v>
      </c>
      <c r="O6" t="n">
        <v>31.5</v>
      </c>
    </row>
    <row r="7" ht="15.75" customHeight="1" s="99">
      <c r="F7" t="n">
        <v>2018</v>
      </c>
      <c r="G7" s="14" t="n">
        <v>25.4</v>
      </c>
      <c r="H7" s="14" t="n">
        <v>23.3</v>
      </c>
      <c r="I7" s="14" t="n">
        <v>22.9</v>
      </c>
      <c r="J7" s="14" t="n">
        <v>28.5</v>
      </c>
      <c r="K7" t="n">
        <v>23.5</v>
      </c>
      <c r="L7" t="n">
        <v>25.5</v>
      </c>
      <c r="M7" s="14" t="n">
        <v>25</v>
      </c>
      <c r="N7" s="14" t="n">
        <v>26.1</v>
      </c>
      <c r="O7" t="n">
        <v>28.1</v>
      </c>
    </row>
    <row r="8">
      <c r="F8" t="n">
        <v>2021</v>
      </c>
      <c r="G8" s="14" t="inlineStr">
        <is>
          <t>39.2*</t>
        </is>
      </c>
      <c r="H8" s="14" t="n">
        <v>31.9</v>
      </c>
      <c r="I8" s="14" t="n">
        <v>30.1</v>
      </c>
      <c r="J8" s="14" t="n">
        <v>35.1</v>
      </c>
      <c r="K8" t="n">
        <v>30.5</v>
      </c>
      <c r="L8" t="n">
        <v>30.4</v>
      </c>
      <c r="M8" t="n">
        <v>30.5</v>
      </c>
      <c r="N8" s="14" t="n">
        <v>32.6</v>
      </c>
      <c r="O8" t="n">
        <v>34.2</v>
      </c>
    </row>
    <row r="9">
      <c r="A9" s="98" t="inlineStr">
        <is>
          <t>Figure Rules</t>
        </is>
      </c>
      <c r="G9" s="14" t="n"/>
      <c r="H9" s="14" t="n"/>
      <c r="I9" s="14" t="n"/>
      <c r="J9" s="14" t="n"/>
    </row>
    <row r="10">
      <c r="A10" t="inlineStr">
        <is>
          <t>Figure Type</t>
        </is>
      </c>
      <c r="B10" t="inlineStr">
        <is>
          <t>Line</t>
        </is>
      </c>
      <c r="G10" s="14" t="n"/>
      <c r="H10" s="14" t="n"/>
      <c r="I10" s="14" t="n"/>
      <c r="J10" s="14" t="n"/>
    </row>
    <row r="11">
      <c r="A11" t="inlineStr">
        <is>
          <t>X Column</t>
        </is>
      </c>
      <c r="B11" t="inlineStr">
        <is>
          <t>Year</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c r="B20" t="inlineStr">
        <is>
          <t xml:space="preserve">
https://health.data.ny.gov/Health/Behavioral-Risk-Factor-Surveillance-System-BRFSS-H/jsy7-eb4n/data</t>
        </is>
      </c>
    </row>
    <row r="21">
      <c r="A21" t="inlineStr">
        <is>
          <t>Data Year</t>
        </is>
      </c>
    </row>
    <row r="22">
      <c r="A22" t="inlineStr">
        <is>
          <t>Estimate Type</t>
        </is>
      </c>
    </row>
    <row r="23">
      <c r="A23" t="inlineStr">
        <is>
          <t>Citation Month</t>
        </is>
      </c>
      <c r="B23" t="inlineStr">
        <is>
          <t>May</t>
        </is>
      </c>
    </row>
    <row r="24">
      <c r="A24" t="inlineStr">
        <is>
          <t>Citation Year</t>
        </is>
      </c>
      <c r="B24" t="n">
        <v>2025</v>
      </c>
    </row>
    <row r="25">
      <c r="A25" t="inlineStr">
        <is>
          <t>Custom Text</t>
        </is>
      </c>
    </row>
    <row r="26"/>
    <row r="27">
      <c r="A27" s="101" t="inlineStr">
        <is>
          <t>Note Specfications</t>
        </is>
      </c>
    </row>
    <row r="28" ht="300" customHeight="1" s="99">
      <c r="A28" s="102" t="inlineStr">
        <is>
          <t>*: Percentage is unreliable due to large standard error.
Note: The percentage is age-adjusted. An adult is a person aged 18 years or older. The Behavioral Risk Factor Surveillance System asks
respondents “How often do you eat fruits, excluding juice?" and "How often do you eat vegetables or salad (excluding
juices and potatoes)?”</t>
        </is>
      </c>
    </row>
    <row r="29"/>
    <row r="30"/>
    <row r="31"/>
    <row r="32"/>
    <row r="33"/>
    <row r="34"/>
    <row r="35"/>
    <row r="36"/>
    <row r="37"/>
    <row r="38"/>
    <row r="39"/>
    <row r="40"/>
    <row r="41"/>
    <row r="42"/>
    <row r="43"/>
    <row r="44"/>
    <row r="45"/>
    <row r="46"/>
    <row r="47"/>
    <row r="48"/>
    <row r="49"/>
    <row r="50"/>
    <row r="51"/>
    <row r="52"/>
    <row r="53"/>
    <row r="54"/>
    <row r="55"/>
    <row r="56"/>
    <row r="57"/>
  </sheetData>
  <mergeCells count="7">
    <mergeCell ref="B1:O1"/>
    <mergeCell ref="E5:E57"/>
    <mergeCell ref="A9:B9"/>
    <mergeCell ref="A28:B28"/>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O57"/>
  <sheetViews>
    <sheetView workbookViewId="0">
      <selection activeCell="J28" sqref="J28"/>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Percentage of Adults Who Consume One or More Sugary Beverages Daily, 2016, 2018,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s="101" t="inlineStr">
        <is>
          <t>Sullivan</t>
        </is>
      </c>
      <c r="L5" s="101" t="inlineStr">
        <is>
          <t>Ulster</t>
        </is>
      </c>
      <c r="M5" s="101" t="inlineStr">
        <is>
          <t>Westchester</t>
        </is>
      </c>
      <c r="N5" s="101" t="inlineStr">
        <is>
          <t>NYS excl NYC</t>
        </is>
      </c>
      <c r="O5" t="inlineStr">
        <is>
          <t>NYS</t>
        </is>
      </c>
    </row>
    <row r="6" ht="15" customHeight="1" s="99">
      <c r="A6" t="inlineStr">
        <is>
          <t>Multilevel Headers</t>
        </is>
      </c>
      <c r="B6" t="b">
        <v>0</v>
      </c>
      <c r="F6" t="n">
        <v>2016</v>
      </c>
      <c r="G6" s="14" t="n">
        <v>21.9</v>
      </c>
      <c r="H6" s="14" t="n">
        <v>25.5</v>
      </c>
      <c r="I6" s="14" t="n">
        <v>22.9</v>
      </c>
      <c r="J6" s="14" t="n">
        <v>23.1</v>
      </c>
      <c r="K6" s="14" t="n">
        <v>27</v>
      </c>
      <c r="L6" t="n">
        <v>23.6</v>
      </c>
      <c r="M6" t="n">
        <v>18.5</v>
      </c>
      <c r="N6" s="14" t="n">
        <v>24.6</v>
      </c>
      <c r="O6" t="n">
        <v>24.2</v>
      </c>
    </row>
    <row r="7" ht="15.75" customHeight="1" s="99">
      <c r="F7" t="n">
        <v>2018</v>
      </c>
      <c r="G7" s="14" t="n">
        <v>23.5</v>
      </c>
      <c r="H7" s="14" t="n">
        <v>22.5</v>
      </c>
      <c r="I7" s="14" t="n">
        <v>25.6</v>
      </c>
      <c r="J7" s="14" t="n">
        <v>18.1</v>
      </c>
      <c r="K7" t="n">
        <v>31.5</v>
      </c>
      <c r="L7" t="n">
        <v>23.5</v>
      </c>
      <c r="M7" s="14" t="n">
        <v>20.3</v>
      </c>
      <c r="N7" s="14" t="n">
        <v>25.5</v>
      </c>
      <c r="O7" t="n">
        <v>24.7</v>
      </c>
    </row>
    <row r="8">
      <c r="F8" t="n">
        <v>2021</v>
      </c>
      <c r="G8" s="14" t="n">
        <v>24.9</v>
      </c>
      <c r="H8" s="14" t="n">
        <v>21.3</v>
      </c>
      <c r="I8" s="14" t="n">
        <v>17.8</v>
      </c>
      <c r="J8" s="14" t="n">
        <v>21.7</v>
      </c>
      <c r="K8" t="n">
        <v>19.9</v>
      </c>
      <c r="L8" t="n">
        <v>19.4</v>
      </c>
      <c r="M8" t="n">
        <v>11.4</v>
      </c>
      <c r="N8" s="14" t="n">
        <v>20.2</v>
      </c>
      <c r="O8" t="n">
        <v>19.6</v>
      </c>
    </row>
    <row r="9">
      <c r="A9" s="98" t="inlineStr">
        <is>
          <t>Figure Rules</t>
        </is>
      </c>
      <c r="G9" s="14" t="n"/>
      <c r="H9" s="14" t="n"/>
      <c r="I9" s="14" t="n"/>
      <c r="J9" s="14" t="n"/>
    </row>
    <row r="10">
      <c r="A10" t="inlineStr">
        <is>
          <t>Figure Type</t>
        </is>
      </c>
      <c r="B10" t="inlineStr">
        <is>
          <t>Line</t>
        </is>
      </c>
      <c r="G10" s="14" t="n"/>
      <c r="H10" s="14" t="n"/>
      <c r="I10" s="14" t="n"/>
      <c r="J10" s="14" t="n"/>
    </row>
    <row r="11">
      <c r="A11" t="inlineStr">
        <is>
          <t>X Column</t>
        </is>
      </c>
      <c r="B11" t="inlineStr">
        <is>
          <t>Year</t>
        </is>
      </c>
    </row>
    <row r="12">
      <c r="A12" t="inlineStr">
        <is>
          <t>Y Column</t>
        </is>
      </c>
      <c r="B12" t="inlineStr">
        <is>
          <t>Percent</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c r="B20" t="inlineStr">
        <is>
          <t xml:space="preserve">
https://health.data.ny.gov/Health/Behavioral-Risk-Factor-Surveillance-System-BRFSS-H/jsy7-eb4n/data</t>
        </is>
      </c>
    </row>
    <row r="21">
      <c r="A21" t="inlineStr">
        <is>
          <t>Data Year</t>
        </is>
      </c>
    </row>
    <row r="22">
      <c r="A22" t="inlineStr">
        <is>
          <t>Estimate Type</t>
        </is>
      </c>
    </row>
    <row r="23">
      <c r="A23" t="inlineStr">
        <is>
          <t>Citation Month</t>
        </is>
      </c>
      <c r="B23" t="inlineStr">
        <is>
          <t>May</t>
        </is>
      </c>
    </row>
    <row r="24">
      <c r="A24" t="inlineStr">
        <is>
          <t>Citation Year</t>
        </is>
      </c>
      <c r="B24" t="n">
        <v>2025</v>
      </c>
    </row>
    <row r="25">
      <c r="A25" t="inlineStr">
        <is>
          <t>Custom Text</t>
        </is>
      </c>
    </row>
    <row r="26"/>
    <row r="27">
      <c r="A27" s="101" t="inlineStr">
        <is>
          <t>Note Specfications</t>
        </is>
      </c>
    </row>
    <row r="28" ht="300" customHeight="1" s="99">
      <c r="A28" s="102" t="inlineStr">
        <is>
          <t>Note: The percentage is age-adjusted. An adult is a person aged 18 years or older. The Behavioral Risk Factor Surveillance System asks
respondents "During the past 30 days, how often did you drink regular soda or pop that contains sugar? Do not include diet soda or diet
pop." and "During the past 30 days, how often did you drink sugar-sweetened fruit drinks (such as Kool-aid™ and lemonade), sweet tea,
and sports or energy drinks (such as Gatorade™ and Red Bull™)? Do not include 100% fruit juice, diet drinks, or artificially sweetened
drinks."</t>
        </is>
      </c>
    </row>
    <row r="29"/>
    <row r="30"/>
    <row r="31"/>
    <row r="32"/>
    <row r="33"/>
    <row r="34"/>
    <row r="35"/>
    <row r="36"/>
    <row r="37"/>
    <row r="38"/>
    <row r="39"/>
    <row r="40"/>
    <row r="41"/>
    <row r="42"/>
    <row r="43"/>
    <row r="44"/>
    <row r="45"/>
    <row r="46"/>
    <row r="47"/>
    <row r="48"/>
    <row r="49"/>
    <row r="50"/>
    <row r="51"/>
    <row r="52"/>
    <row r="53"/>
    <row r="54"/>
    <row r="55"/>
    <row r="56"/>
    <row r="57"/>
  </sheetData>
  <mergeCells count="7">
    <mergeCell ref="B1:O1"/>
    <mergeCell ref="E5:E57"/>
    <mergeCell ref="A9:B9"/>
    <mergeCell ref="A28:B28"/>
    <mergeCell ref="A5:B5"/>
    <mergeCell ref="A18:B18"/>
    <mergeCell ref="A27:B27"/>
  </mergeCells>
  <dataValidations count="4">
    <dataValidation sqref="F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70.xml><?xml version="1.0" encoding="utf-8"?>
<worksheet xmlns="http://schemas.openxmlformats.org/spreadsheetml/2006/main">
  <sheetPr>
    <tabColor rgb="FF0070C0"/>
    <outlinePr summaryBelow="1" summaryRight="1"/>
    <pageSetUpPr/>
  </sheetPr>
  <dimension ref="A1:A1"/>
  <sheetViews>
    <sheetView workbookViewId="0">
      <selection activeCell="A1" sqref="A1"/>
    </sheetView>
  </sheetViews>
  <sheetFormatPr baseColWidth="10" defaultColWidth="8.83203125" defaultRowHeight="15"/>
  <sheetData/>
  <pageMargins left="0.7" right="0.7" top="0.75" bottom="0.75" header="0.3" footer="0.3"/>
</worksheet>
</file>

<file path=xl/worksheets/sheet71.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23"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 xml:space="preserve">Top Five Leading Causes of Death, by Count and Age-Adjusted Rate per 100,000 Population, 2022 </t>
        </is>
      </c>
    </row>
    <row r="2">
      <c r="A2" s="97" t="inlineStr">
        <is>
          <t>Table/Figure/Both</t>
        </is>
      </c>
      <c r="B2" t="inlineStr">
        <is>
          <t>Table</t>
        </is>
      </c>
    </row>
    <row r="3">
      <c r="A3" s="97" t="inlineStr">
        <is>
          <t xml:space="preserve">Object ID  </t>
        </is>
      </c>
      <c r="B3" t="inlineStr">
        <is>
          <t>tbl-five-lead-death-aar</t>
        </is>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100" t="inlineStr">
        <is>
          <t xml:space="preserve">Enter Data </t>
        </is>
      </c>
      <c r="F5" t="inlineStr">
        <is>
          <t>County</t>
        </is>
      </c>
      <c r="G5" t="inlineStr">
        <is>
          <t>All Deaths</t>
        </is>
      </c>
      <c r="H5" t="inlineStr">
        <is>
          <t>#1 Cause of Death</t>
        </is>
      </c>
      <c r="I5" t="inlineStr">
        <is>
          <t>#2 Cause of Death</t>
        </is>
      </c>
      <c r="J5" t="inlineStr">
        <is>
          <t>#3 Cause of Death</t>
        </is>
      </c>
      <c r="K5" s="101" t="inlineStr">
        <is>
          <t>#4 Cause of Death</t>
        </is>
      </c>
      <c r="L5" s="101" t="inlineStr">
        <is>
          <t>#5 Cause of Death</t>
        </is>
      </c>
      <c r="M5" s="101" t="n"/>
      <c r="N5" s="101" t="n"/>
    </row>
    <row r="6" ht="15" customHeight="1" s="99">
      <c r="A6" t="inlineStr">
        <is>
          <t>Multilevel Headers</t>
        </is>
      </c>
      <c r="B6" t="b">
        <v>1</v>
      </c>
      <c r="F6" s="101" t="inlineStr">
        <is>
          <t>Dutchess</t>
        </is>
      </c>
      <c r="H6" s="14" t="inlineStr">
        <is>
          <t>Heart Disease</t>
        </is>
      </c>
      <c r="I6" s="14" t="inlineStr">
        <is>
          <t>Cancer</t>
        </is>
      </c>
      <c r="J6" s="14" t="inlineStr">
        <is>
          <t>Unintentional Injury</t>
        </is>
      </c>
      <c r="K6" s="14" t="inlineStr">
        <is>
          <t>COVID-19</t>
        </is>
      </c>
      <c r="L6" t="inlineStr">
        <is>
          <t>CLRD</t>
        </is>
      </c>
      <c r="N6" s="14" t="n"/>
    </row>
    <row r="7" ht="15.75" customHeight="1" s="99">
      <c r="F7" s="14" t="inlineStr">
        <is>
          <t>Count:</t>
        </is>
      </c>
      <c r="G7" s="14" t="n">
        <v>2912</v>
      </c>
      <c r="H7" s="14" t="n">
        <v>771</v>
      </c>
      <c r="I7" s="14" t="n">
        <v>554</v>
      </c>
      <c r="J7" s="14" t="n">
        <v>204</v>
      </c>
      <c r="K7" s="14" t="n">
        <v>183</v>
      </c>
      <c r="L7" s="14" t="n">
        <v>109</v>
      </c>
      <c r="M7" s="14" t="n"/>
      <c r="N7" s="14" t="n"/>
    </row>
    <row r="8">
      <c r="F8" s="14" t="inlineStr">
        <is>
          <t>Rate:</t>
        </is>
      </c>
      <c r="G8" s="14" t="n">
        <v>718.7</v>
      </c>
      <c r="H8" s="14" t="n">
        <v>183.8</v>
      </c>
      <c r="I8" s="14" t="n">
        <v>131.6</v>
      </c>
      <c r="J8" s="14" t="n">
        <v>65</v>
      </c>
      <c r="K8" s="14" t="n">
        <v>42.8</v>
      </c>
      <c r="L8" s="14" t="n">
        <v>26.3</v>
      </c>
      <c r="N8" s="14" t="n"/>
    </row>
    <row r="9">
      <c r="A9" s="98" t="inlineStr">
        <is>
          <t>Figure Rules</t>
        </is>
      </c>
      <c r="F9" s="116" t="inlineStr">
        <is>
          <t>Orange</t>
        </is>
      </c>
      <c r="H9" s="14" t="inlineStr">
        <is>
          <t>Heart Disease</t>
        </is>
      </c>
      <c r="I9" s="14" t="inlineStr">
        <is>
          <t>Cancer</t>
        </is>
      </c>
      <c r="J9" s="14" t="inlineStr">
        <is>
          <t>Unintentional Injury</t>
        </is>
      </c>
      <c r="K9" s="14" t="inlineStr">
        <is>
          <t>COVID-19</t>
        </is>
      </c>
      <c r="L9" s="14" t="inlineStr">
        <is>
          <t>CLRD</t>
        </is>
      </c>
    </row>
    <row r="10">
      <c r="A10" t="inlineStr">
        <is>
          <t>Figure Type</t>
        </is>
      </c>
      <c r="F10" s="14" t="inlineStr">
        <is>
          <t>Count:</t>
        </is>
      </c>
      <c r="G10" s="14" t="n">
        <v>3220</v>
      </c>
      <c r="H10" s="14" t="n">
        <v>650</v>
      </c>
      <c r="I10" s="14" t="n">
        <v>609</v>
      </c>
      <c r="J10" s="14" t="n">
        <v>251</v>
      </c>
      <c r="K10" s="14" t="n">
        <v>230</v>
      </c>
      <c r="L10" s="14" t="n">
        <v>124</v>
      </c>
    </row>
    <row r="11">
      <c r="A11" t="inlineStr">
        <is>
          <t>X Column</t>
        </is>
      </c>
      <c r="F11" s="14" t="inlineStr">
        <is>
          <t>Rate:</t>
        </is>
      </c>
      <c r="G11" s="14" t="n">
        <v>744.8</v>
      </c>
      <c r="H11" s="14" t="n">
        <v>150</v>
      </c>
      <c r="I11" s="14" t="n">
        <v>132.5</v>
      </c>
      <c r="J11" s="14" t="n">
        <v>61.7</v>
      </c>
      <c r="K11" s="14" t="n">
        <v>53.2</v>
      </c>
      <c r="L11" s="14" t="n">
        <v>29.3</v>
      </c>
    </row>
    <row r="12">
      <c r="A12" t="inlineStr">
        <is>
          <t>Y Column</t>
        </is>
      </c>
      <c r="F12" s="116" t="inlineStr">
        <is>
          <t>Putnam</t>
        </is>
      </c>
      <c r="H12" s="14" t="inlineStr">
        <is>
          <t>Heart Disease</t>
        </is>
      </c>
      <c r="I12" s="14" t="inlineStr">
        <is>
          <t>Cancer</t>
        </is>
      </c>
      <c r="J12" s="14" t="inlineStr">
        <is>
          <t>Unintentional Injury</t>
        </is>
      </c>
      <c r="K12" s="14" t="inlineStr">
        <is>
          <t>COVID-19</t>
        </is>
      </c>
      <c r="L12" s="14" t="inlineStr">
        <is>
          <t>Cerebrovascular Disease</t>
        </is>
      </c>
    </row>
    <row r="13">
      <c r="A13" t="inlineStr">
        <is>
          <t>X Axis Title</t>
        </is>
      </c>
      <c r="F13" s="14" t="inlineStr">
        <is>
          <t>Count:</t>
        </is>
      </c>
      <c r="G13" s="14" t="n">
        <v>846</v>
      </c>
      <c r="H13" s="14" t="n">
        <v>194</v>
      </c>
      <c r="I13" s="14" t="n">
        <v>169</v>
      </c>
      <c r="J13" s="14" t="n">
        <v>49</v>
      </c>
      <c r="K13" s="14" t="n">
        <v>37</v>
      </c>
      <c r="L13" s="14" t="n">
        <v>31</v>
      </c>
    </row>
    <row r="14">
      <c r="A14" t="inlineStr">
        <is>
          <t>Y Axis Title</t>
        </is>
      </c>
      <c r="F14" s="14" t="inlineStr">
        <is>
          <t>Rate:</t>
        </is>
      </c>
      <c r="G14" s="14" t="n">
        <v>637.1</v>
      </c>
      <c r="H14" s="14" t="n">
        <v>144.7</v>
      </c>
      <c r="I14" s="14" t="n">
        <v>118.6</v>
      </c>
      <c r="J14" s="14" t="n">
        <v>46.2</v>
      </c>
      <c r="K14" s="14" t="n">
        <v>28.9</v>
      </c>
      <c r="L14" s="14" t="n">
        <v>22.7</v>
      </c>
    </row>
    <row r="15">
      <c r="A15" t="inlineStr">
        <is>
          <t>Start at Zero</t>
        </is>
      </c>
      <c r="F15" s="116" t="inlineStr">
        <is>
          <t>Rockland</t>
        </is>
      </c>
      <c r="H15" s="14" t="inlineStr">
        <is>
          <t>Heart Disease</t>
        </is>
      </c>
      <c r="I15" s="14" t="inlineStr">
        <is>
          <t>Cancer</t>
        </is>
      </c>
      <c r="J15" s="14" t="inlineStr">
        <is>
          <t>COVID-19</t>
        </is>
      </c>
      <c r="K15" s="14" t="inlineStr">
        <is>
          <t>Unintentional Injury</t>
        </is>
      </c>
      <c r="L15" s="14" t="inlineStr">
        <is>
          <t>Cerebrovascular Disease</t>
        </is>
      </c>
    </row>
    <row r="16">
      <c r="F16" s="14" t="inlineStr">
        <is>
          <t>Count:</t>
        </is>
      </c>
      <c r="G16" s="14" t="n">
        <v>2347</v>
      </c>
      <c r="H16" s="14" t="n">
        <v>542</v>
      </c>
      <c r="I16" s="14" t="n">
        <v>456</v>
      </c>
      <c r="J16" s="14" t="n">
        <v>194</v>
      </c>
      <c r="K16" s="14" t="n">
        <v>123</v>
      </c>
      <c r="L16" s="14" t="n">
        <v>83</v>
      </c>
    </row>
    <row r="17">
      <c r="F17" s="14" t="inlineStr">
        <is>
          <t>Rate:</t>
        </is>
      </c>
      <c r="G17" s="14" t="n">
        <v>562.4</v>
      </c>
      <c r="H17" s="14" t="n">
        <v>125.1</v>
      </c>
      <c r="I17" s="14" t="n">
        <v>110.9</v>
      </c>
      <c r="J17" s="14" t="n">
        <v>45.5</v>
      </c>
      <c r="K17" s="14" t="n">
        <v>35.1</v>
      </c>
      <c r="L17" s="14" t="n">
        <v>19.3</v>
      </c>
    </row>
    <row r="18">
      <c r="A18" s="98" t="inlineStr">
        <is>
          <t>Source Specifications</t>
        </is>
      </c>
      <c r="F18" s="116" t="inlineStr">
        <is>
          <t>Sullivan</t>
        </is>
      </c>
      <c r="H18" s="14" t="inlineStr">
        <is>
          <t>Heart Disease</t>
        </is>
      </c>
      <c r="I18" s="14" t="inlineStr">
        <is>
          <t>Cancer</t>
        </is>
      </c>
      <c r="J18" s="14" t="inlineStr">
        <is>
          <t>Unintentional Injury</t>
        </is>
      </c>
      <c r="K18" s="14" t="inlineStr">
        <is>
          <t>COVID-19</t>
        </is>
      </c>
      <c r="L18" s="14" t="inlineStr">
        <is>
          <t>CLRD</t>
        </is>
      </c>
    </row>
    <row r="19">
      <c r="A19" t="inlineStr">
        <is>
          <t>Table ID</t>
        </is>
      </c>
      <c r="F19" s="14" t="inlineStr">
        <is>
          <t>Count:</t>
        </is>
      </c>
      <c r="G19" s="14" t="n">
        <v>888</v>
      </c>
      <c r="H19" s="14" t="n">
        <v>195</v>
      </c>
      <c r="I19" s="14" t="n">
        <v>165</v>
      </c>
      <c r="J19" s="14" t="n">
        <v>75</v>
      </c>
      <c r="K19" s="14" t="n">
        <v>62</v>
      </c>
      <c r="L19" s="14" t="n">
        <v>44</v>
      </c>
    </row>
    <row r="20">
      <c r="A20" t="inlineStr">
        <is>
          <t>URL</t>
        </is>
      </c>
      <c r="F20" s="14" t="inlineStr">
        <is>
          <t>Rate:</t>
        </is>
      </c>
      <c r="G20" s="14" t="n">
        <v>908.5</v>
      </c>
      <c r="H20" s="14" t="n">
        <v>199.1</v>
      </c>
      <c r="I20" s="14" t="n">
        <v>153.2</v>
      </c>
      <c r="J20" s="14" t="n">
        <v>94.59999999999999</v>
      </c>
      <c r="K20" s="14" t="n">
        <v>60</v>
      </c>
      <c r="L20" s="14" t="n">
        <v>41.5</v>
      </c>
    </row>
    <row r="21">
      <c r="A21" t="inlineStr">
        <is>
          <t>Data Year</t>
        </is>
      </c>
      <c r="F21" s="116" t="inlineStr">
        <is>
          <t>Ulster</t>
        </is>
      </c>
      <c r="H21" s="14" t="inlineStr">
        <is>
          <t>Heart Disease</t>
        </is>
      </c>
      <c r="I21" s="14" t="inlineStr">
        <is>
          <t>Cancer</t>
        </is>
      </c>
      <c r="J21" s="14" t="inlineStr">
        <is>
          <t>Unintentional Injury</t>
        </is>
      </c>
      <c r="K21" s="14" t="inlineStr">
        <is>
          <t>COVID-19</t>
        </is>
      </c>
      <c r="L21" s="14" t="inlineStr">
        <is>
          <t>CLRD</t>
        </is>
      </c>
    </row>
    <row r="22">
      <c r="A22" t="inlineStr">
        <is>
          <t>Estimate Type</t>
        </is>
      </c>
      <c r="F22" s="14" t="inlineStr">
        <is>
          <t>Count:</t>
        </is>
      </c>
      <c r="G22" s="14" t="n">
        <v>1977</v>
      </c>
      <c r="H22" s="14" t="n">
        <v>512</v>
      </c>
      <c r="I22" s="14" t="n">
        <v>396</v>
      </c>
      <c r="J22" s="14" t="n">
        <v>128</v>
      </c>
      <c r="K22" s="14" t="n">
        <v>93</v>
      </c>
      <c r="L22" s="14" t="n">
        <v>92</v>
      </c>
    </row>
    <row r="23">
      <c r="A23" t="inlineStr">
        <is>
          <t>Citation Month</t>
        </is>
      </c>
      <c r="F23" s="14" t="inlineStr">
        <is>
          <t>Rate:</t>
        </is>
      </c>
      <c r="G23" s="14" t="n">
        <v>745</v>
      </c>
      <c r="H23" s="14" t="n">
        <v>187.6</v>
      </c>
      <c r="I23" s="14" t="n">
        <v>140.5</v>
      </c>
      <c r="J23" s="14" t="n">
        <v>61.6</v>
      </c>
      <c r="K23" s="14" t="n">
        <v>34</v>
      </c>
      <c r="L23" s="14" t="n">
        <v>32</v>
      </c>
    </row>
    <row r="24">
      <c r="A24" t="inlineStr">
        <is>
          <t>Citation Year</t>
        </is>
      </c>
      <c r="F24" s="116" t="inlineStr">
        <is>
          <t>Westchester</t>
        </is>
      </c>
      <c r="H24" s="14" t="inlineStr">
        <is>
          <t>Heart Disease</t>
        </is>
      </c>
      <c r="I24" s="14" t="inlineStr">
        <is>
          <t>Cancer</t>
        </is>
      </c>
      <c r="J24" s="14" t="inlineStr">
        <is>
          <t>COVID-19</t>
        </is>
      </c>
      <c r="K24" s="14" t="inlineStr">
        <is>
          <t>Cerebrovascular Disease</t>
        </is>
      </c>
      <c r="L24" s="14" t="inlineStr">
        <is>
          <t>Unintentional Injury</t>
        </is>
      </c>
    </row>
    <row r="25">
      <c r="A25" t="inlineStr">
        <is>
          <t>Custom Text</t>
        </is>
      </c>
      <c r="F25" s="14" t="inlineStr">
        <is>
          <t>Count:</t>
        </is>
      </c>
      <c r="G25" s="14" t="n">
        <v>7666</v>
      </c>
      <c r="H25" s="14" t="n">
        <v>1915</v>
      </c>
      <c r="I25" s="14" t="n">
        <v>1402</v>
      </c>
      <c r="J25" s="14" t="n">
        <v>511</v>
      </c>
      <c r="K25" s="14" t="n">
        <v>340</v>
      </c>
      <c r="L25" s="14" t="n">
        <v>339</v>
      </c>
    </row>
    <row r="26">
      <c r="F26" s="14" t="inlineStr">
        <is>
          <t>Rate:</t>
        </is>
      </c>
      <c r="G26" s="14" t="n">
        <v>548</v>
      </c>
      <c r="H26" s="14" t="n">
        <v>130.3</v>
      </c>
      <c r="I26" s="14" t="n">
        <v>100.2</v>
      </c>
      <c r="J26" s="14" t="n">
        <v>35.5</v>
      </c>
      <c r="K26" s="14" t="n">
        <v>23.6</v>
      </c>
      <c r="L26" s="14" t="n">
        <v>30.4</v>
      </c>
    </row>
    <row r="27">
      <c r="A27" s="101" t="inlineStr">
        <is>
          <t>Note Specfications</t>
        </is>
      </c>
      <c r="F27" s="116" t="inlineStr">
        <is>
          <t>NYS excl NYC</t>
        </is>
      </c>
      <c r="H27" s="14" t="inlineStr">
        <is>
          <t>Heart Disease</t>
        </is>
      </c>
      <c r="I27" s="14" t="inlineStr">
        <is>
          <t>Cancer</t>
        </is>
      </c>
      <c r="J27" s="14" t="inlineStr">
        <is>
          <t>COVID-19</t>
        </is>
      </c>
      <c r="K27" s="14" t="inlineStr">
        <is>
          <t>Unintentional Injury</t>
        </is>
      </c>
      <c r="L27" s="14" t="inlineStr">
        <is>
          <t>CLRD</t>
        </is>
      </c>
    </row>
    <row r="28">
      <c r="A28" s="102" t="n"/>
      <c r="F28" s="14" t="inlineStr">
        <is>
          <t>Count:</t>
        </is>
      </c>
      <c r="G28" s="14" t="n">
        <v>113504</v>
      </c>
      <c r="H28" s="14" t="n">
        <v>26138</v>
      </c>
      <c r="I28" s="14" t="n">
        <v>21715</v>
      </c>
      <c r="J28" s="14" t="n">
        <v>6607</v>
      </c>
      <c r="K28" s="14" t="n">
        <v>6596</v>
      </c>
      <c r="L28" s="14" t="n">
        <v>4595</v>
      </c>
    </row>
    <row r="29">
      <c r="F29" s="14" t="inlineStr">
        <is>
          <t>Rate:</t>
        </is>
      </c>
      <c r="G29" s="14" t="n">
        <v>744.2</v>
      </c>
      <c r="H29" s="14" t="n">
        <v>165.9</v>
      </c>
      <c r="I29" s="14" t="n">
        <v>137</v>
      </c>
      <c r="J29" s="14" t="n">
        <v>42.3</v>
      </c>
      <c r="K29" s="14" t="n">
        <v>54.1</v>
      </c>
      <c r="L29" s="14" t="n">
        <v>28.7</v>
      </c>
    </row>
    <row r="30">
      <c r="F30" s="116" t="inlineStr">
        <is>
          <t>NYS</t>
        </is>
      </c>
      <c r="H30" s="14" t="inlineStr">
        <is>
          <t>Heart Disease</t>
        </is>
      </c>
      <c r="I30" s="14" t="inlineStr">
        <is>
          <t>Cancer</t>
        </is>
      </c>
      <c r="J30" s="14" t="inlineStr">
        <is>
          <t>COVID-19</t>
        </is>
      </c>
      <c r="K30" s="14" t="inlineStr">
        <is>
          <t>Unintentional Injury</t>
        </is>
      </c>
      <c r="L30" s="14" t="inlineStr">
        <is>
          <t>Cerebrovascular Disease</t>
        </is>
      </c>
    </row>
    <row r="31">
      <c r="F31" s="14" t="inlineStr">
        <is>
          <t>Count:</t>
        </is>
      </c>
      <c r="G31" s="14" t="n">
        <v>173958</v>
      </c>
      <c r="H31" s="14" t="n">
        <v>43029</v>
      </c>
      <c r="I31" s="14" t="n">
        <v>32517</v>
      </c>
      <c r="J31" s="14" t="n">
        <v>11167</v>
      </c>
      <c r="K31" s="14" t="n">
        <v>10811</v>
      </c>
      <c r="L31" s="14" t="n">
        <v>6556</v>
      </c>
    </row>
    <row r="32">
      <c r="F32" s="14" t="inlineStr">
        <is>
          <t>Rate:</t>
        </is>
      </c>
      <c r="G32" s="14" t="n">
        <v>679.5</v>
      </c>
      <c r="H32" s="14" t="n">
        <v>163.1</v>
      </c>
      <c r="I32" s="14" t="n">
        <v>123.4</v>
      </c>
      <c r="J32" s="14" t="n">
        <v>42.6</v>
      </c>
      <c r="K32" s="14" t="n">
        <v>50</v>
      </c>
      <c r="L32" s="14" t="n">
        <v>25.1</v>
      </c>
    </row>
    <row r="33"/>
    <row r="34"/>
    <row r="35"/>
    <row r="36"/>
    <row r="37"/>
    <row r="38"/>
    <row r="39"/>
    <row r="40"/>
    <row r="41"/>
    <row r="42"/>
    <row r="43"/>
    <row r="44"/>
    <row r="45"/>
    <row r="46"/>
    <row r="47"/>
    <row r="48"/>
    <row r="49"/>
    <row r="50"/>
    <row r="51"/>
    <row r="52"/>
    <row r="53"/>
    <row r="54"/>
    <row r="55"/>
    <row r="56"/>
    <row r="57"/>
  </sheetData>
  <mergeCells count="16">
    <mergeCell ref="F21:G21"/>
    <mergeCell ref="B1:O1"/>
    <mergeCell ref="F12:G12"/>
    <mergeCell ref="F30:G30"/>
    <mergeCell ref="F24:G24"/>
    <mergeCell ref="E5:E57"/>
    <mergeCell ref="F15:G15"/>
    <mergeCell ref="A9:B9"/>
    <mergeCell ref="A5:B5"/>
    <mergeCell ref="A28:B28"/>
    <mergeCell ref="F18:G18"/>
    <mergeCell ref="F6:G6"/>
    <mergeCell ref="A18:B18"/>
    <mergeCell ref="A27:B27"/>
    <mergeCell ref="F27:G27"/>
    <mergeCell ref="F9:G9"/>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P57"/>
  <sheetViews>
    <sheetView workbookViewId="0">
      <selection activeCell="B12" sqref="B12"/>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 xml:space="preserve">Percentage of Deaths That are Premature, 2019–2022 </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s="101" t="inlineStr">
        <is>
          <t>Sullivan</t>
        </is>
      </c>
      <c r="L5" s="101" t="inlineStr">
        <is>
          <t>Ulster</t>
        </is>
      </c>
      <c r="M5" s="101" t="inlineStr">
        <is>
          <t>Westchester</t>
        </is>
      </c>
      <c r="N5" s="101" t="inlineStr">
        <is>
          <t>Mid-Hudson</t>
        </is>
      </c>
      <c r="O5" t="inlineStr">
        <is>
          <t>NYS excl NYC</t>
        </is>
      </c>
      <c r="P5" t="inlineStr">
        <is>
          <t>NYS</t>
        </is>
      </c>
    </row>
    <row r="6" ht="15" customHeight="1" s="99">
      <c r="A6" t="inlineStr">
        <is>
          <t>Multilevel Headers</t>
        </is>
      </c>
      <c r="B6" t="b">
        <v>0</v>
      </c>
      <c r="F6" t="n">
        <v>2019</v>
      </c>
      <c r="G6" t="n">
        <v>21.1</v>
      </c>
      <c r="H6" s="14" t="n">
        <v>25.3</v>
      </c>
      <c r="I6" s="14" t="n">
        <v>18.9</v>
      </c>
      <c r="J6" s="14" t="n">
        <v>19.4</v>
      </c>
      <c r="K6" s="14" t="n">
        <v>26.8</v>
      </c>
      <c r="L6" t="n">
        <v>20.5</v>
      </c>
      <c r="M6" t="n">
        <v>18</v>
      </c>
      <c r="N6" s="14" t="n">
        <v>20.4</v>
      </c>
      <c r="O6" t="n">
        <v>21</v>
      </c>
      <c r="P6" t="n">
        <v>22.7</v>
      </c>
    </row>
    <row r="7" ht="15.75" customHeight="1" s="99">
      <c r="F7" t="n">
        <v>2020</v>
      </c>
      <c r="G7" t="n">
        <v>23.5</v>
      </c>
      <c r="H7" s="14" t="n">
        <v>24.5</v>
      </c>
      <c r="I7" s="14" t="n">
        <v>19.7</v>
      </c>
      <c r="J7" s="14" t="n">
        <v>21.4</v>
      </c>
      <c r="K7" t="n">
        <v>27.3</v>
      </c>
      <c r="L7" t="n">
        <v>23</v>
      </c>
      <c r="M7" s="14" t="n">
        <v>19.2</v>
      </c>
      <c r="N7" s="14" t="n">
        <v>21.5</v>
      </c>
      <c r="O7" t="n">
        <v>21.5</v>
      </c>
      <c r="P7" t="n">
        <v>23.3</v>
      </c>
    </row>
    <row r="8">
      <c r="F8" t="n">
        <v>2021</v>
      </c>
      <c r="G8" t="n">
        <v>22.3</v>
      </c>
      <c r="H8" s="14" t="n">
        <v>27.3</v>
      </c>
      <c r="I8" s="14" t="n">
        <v>17.4</v>
      </c>
      <c r="J8" s="14" t="n">
        <v>21.1</v>
      </c>
      <c r="K8" t="n">
        <v>29.7</v>
      </c>
      <c r="L8" t="n">
        <v>22.8</v>
      </c>
      <c r="M8" t="n">
        <v>19.7</v>
      </c>
      <c r="N8" s="14" t="n">
        <v>22.1</v>
      </c>
      <c r="O8" t="n">
        <v>22.7</v>
      </c>
      <c r="P8" t="n">
        <v>24.4</v>
      </c>
    </row>
    <row r="9">
      <c r="A9" s="98" t="inlineStr">
        <is>
          <t>Figure Rules</t>
        </is>
      </c>
      <c r="F9" t="n">
        <v>2022</v>
      </c>
      <c r="G9" t="n">
        <v>22.7</v>
      </c>
      <c r="H9" s="14" t="n">
        <v>25.1</v>
      </c>
      <c r="I9" s="14" t="n">
        <v>20.6</v>
      </c>
      <c r="J9" s="14" t="n">
        <v>18.5</v>
      </c>
      <c r="K9" t="n">
        <v>28.8</v>
      </c>
      <c r="L9" t="n">
        <v>21.9</v>
      </c>
      <c r="M9" t="n">
        <v>18.4</v>
      </c>
      <c r="N9" t="n">
        <v>21</v>
      </c>
      <c r="O9" t="n">
        <v>22</v>
      </c>
      <c r="P9" t="n">
        <v>23.6</v>
      </c>
    </row>
    <row r="10">
      <c r="A10" t="inlineStr">
        <is>
          <t>Figure Type</t>
        </is>
      </c>
      <c r="B10" t="inlineStr">
        <is>
          <t>Line</t>
        </is>
      </c>
      <c r="H10" s="14" t="n"/>
      <c r="I10" s="14" t="n"/>
      <c r="J10" s="14" t="n"/>
    </row>
    <row r="11">
      <c r="A11" t="inlineStr">
        <is>
          <t>X Column</t>
        </is>
      </c>
      <c r="B11" t="inlineStr">
        <is>
          <t>Year</t>
        </is>
      </c>
    </row>
    <row r="12">
      <c r="A12" t="inlineStr">
        <is>
          <t>Y Column</t>
        </is>
      </c>
      <c r="B12" t="inlineStr">
        <is>
          <t>Percent</t>
        </is>
      </c>
    </row>
    <row r="13">
      <c r="A13" t="inlineStr">
        <is>
          <t>X Axis Title</t>
        </is>
      </c>
      <c r="B13" t="inlineStr">
        <is>
          <t>Year</t>
        </is>
      </c>
    </row>
    <row r="14">
      <c r="A14" t="inlineStr">
        <is>
          <t>Y Axis Title</t>
        </is>
      </c>
      <c r="B14" t="inlineStr">
        <is>
          <t>Percent</t>
        </is>
      </c>
    </row>
    <row r="15">
      <c r="A15" t="inlineStr">
        <is>
          <t>Start at Zero</t>
        </is>
      </c>
      <c r="B15" t="b">
        <v>0</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H25" s="52" t="n"/>
      <c r="I25" s="52" t="n"/>
    </row>
    <row r="26"/>
    <row r="27">
      <c r="A27" s="101" t="inlineStr">
        <is>
          <t>Note Specfications</t>
        </is>
      </c>
    </row>
    <row r="28">
      <c r="A28" s="102" t="n"/>
      <c r="H28" s="52" t="n"/>
      <c r="I28" s="52" t="n"/>
      <c r="J28" s="52" t="n"/>
      <c r="K28" s="52" t="n"/>
      <c r="L28" s="52" t="n"/>
    </row>
    <row r="29">
      <c r="A29" s="103" t="inlineStr">
        <is>
          <t>Note: Y-axis does not begin at zero in order to clearly display trend lines. The American Community Survey asks respondents if they have worked in the past week. If the answer is no, they are asked why they are not working. For those who are not working, they are asked whether they plan to return to work, and when they last worked. Labor Force refers to the total number of people who are either employed or unemployed and actively seeking work, plus members of the US Armed Forces.</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A9:B9"/>
    <mergeCell ref="A28:B28"/>
    <mergeCell ref="A5:B5"/>
    <mergeCell ref="A29:D40"/>
    <mergeCell ref="A27:B27"/>
    <mergeCell ref="A18:B18"/>
    <mergeCell ref="E5:E5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P57"/>
  <sheetViews>
    <sheetView workbookViewId="0">
      <selection activeCell="I23" sqref="I23"/>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Premature Deaths, Percentage Difference Between Black Non-Hispanics and White Non-Hispanics, 2019–2022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s="101" t="inlineStr">
        <is>
          <t>Sullivan</t>
        </is>
      </c>
      <c r="L5" s="101" t="inlineStr">
        <is>
          <t>Ulster</t>
        </is>
      </c>
      <c r="M5" s="101" t="inlineStr">
        <is>
          <t>Westchester</t>
        </is>
      </c>
      <c r="N5" s="101" t="inlineStr">
        <is>
          <t>Mid-Hudson</t>
        </is>
      </c>
      <c r="O5" t="inlineStr">
        <is>
          <t>NYS excl NYC</t>
        </is>
      </c>
      <c r="P5" t="inlineStr">
        <is>
          <t>NYS</t>
        </is>
      </c>
    </row>
    <row r="6" ht="15" customHeight="1" s="99">
      <c r="A6" t="inlineStr">
        <is>
          <t>Multilevel Headers</t>
        </is>
      </c>
      <c r="B6" t="b">
        <v>0</v>
      </c>
      <c r="F6" t="n">
        <v>2019</v>
      </c>
      <c r="G6" t="n">
        <v>13.7</v>
      </c>
      <c r="H6" s="14" t="n">
        <v>19.3</v>
      </c>
      <c r="I6" s="14" t="inlineStr">
        <is>
          <t>32.4*</t>
        </is>
      </c>
      <c r="J6" s="14" t="n">
        <v>10.1</v>
      </c>
      <c r="K6" s="14" t="n">
        <v>4.2</v>
      </c>
      <c r="L6" t="n">
        <v>19.8</v>
      </c>
      <c r="M6" t="n">
        <v>19.3</v>
      </c>
      <c r="N6" s="14" t="n">
        <v>15.9</v>
      </c>
      <c r="O6" t="n">
        <v>20.2</v>
      </c>
      <c r="P6" t="n">
        <v>17.7</v>
      </c>
    </row>
    <row r="7" ht="15.75" customHeight="1" s="99">
      <c r="F7" t="n">
        <v>2020</v>
      </c>
      <c r="G7" t="n">
        <v>19.8</v>
      </c>
      <c r="H7" s="14" t="n">
        <v>23.3</v>
      </c>
      <c r="I7" s="14" t="inlineStr">
        <is>
          <t>22.3*</t>
        </is>
      </c>
      <c r="J7" s="14" t="n">
        <v>9.300000000000001</v>
      </c>
      <c r="K7" t="n">
        <v>10.1</v>
      </c>
      <c r="L7" t="n">
        <v>25.7</v>
      </c>
      <c r="M7" s="14" t="n">
        <v>18.9</v>
      </c>
      <c r="N7" s="14" t="n">
        <v>16.8</v>
      </c>
      <c r="O7" t="n">
        <v>19.7</v>
      </c>
      <c r="P7" t="n">
        <v>16.5</v>
      </c>
    </row>
    <row r="8">
      <c r="F8" t="n">
        <v>2021</v>
      </c>
      <c r="G8" t="n">
        <v>21.9</v>
      </c>
      <c r="H8" s="14" t="n">
        <v>15.8</v>
      </c>
      <c r="I8" s="14" t="inlineStr">
        <is>
          <t>1.9*</t>
        </is>
      </c>
      <c r="J8" s="14" t="n">
        <v>16.6</v>
      </c>
      <c r="K8" t="n">
        <v>15.4</v>
      </c>
      <c r="L8" t="n">
        <v>23.4</v>
      </c>
      <c r="M8" t="n">
        <v>21</v>
      </c>
      <c r="N8" s="14" t="n">
        <v>18.5</v>
      </c>
      <c r="O8" t="n">
        <v>22.2</v>
      </c>
      <c r="P8" t="n">
        <v>19.5</v>
      </c>
    </row>
    <row r="9">
      <c r="A9" s="98" t="inlineStr">
        <is>
          <t>Figure Rules</t>
        </is>
      </c>
      <c r="F9" t="n">
        <v>2022</v>
      </c>
      <c r="G9" t="n">
        <v>18.5</v>
      </c>
      <c r="H9" s="14" t="n">
        <v>20.6</v>
      </c>
      <c r="I9" s="14" t="inlineStr">
        <is>
          <t>16.7*</t>
        </is>
      </c>
      <c r="J9" s="14" t="n">
        <v>16.2</v>
      </c>
      <c r="K9" t="n">
        <v>8</v>
      </c>
      <c r="L9" t="n">
        <v>25.3</v>
      </c>
      <c r="M9" t="n">
        <v>20.5</v>
      </c>
      <c r="N9" t="n">
        <v>18.2</v>
      </c>
      <c r="O9" t="n">
        <v>21.7</v>
      </c>
      <c r="P9" t="n">
        <v>19.4</v>
      </c>
    </row>
    <row r="10">
      <c r="A10" t="inlineStr">
        <is>
          <t>Figure Type</t>
        </is>
      </c>
      <c r="B10" t="inlineStr">
        <is>
          <t>Line</t>
        </is>
      </c>
      <c r="H10" s="14" t="n"/>
      <c r="I10" s="14" t="n"/>
      <c r="J10" s="14" t="n"/>
    </row>
    <row r="11">
      <c r="A11" t="inlineStr">
        <is>
          <t>X Column</t>
        </is>
      </c>
      <c r="B11" t="inlineStr">
        <is>
          <t>Year</t>
        </is>
      </c>
    </row>
    <row r="12">
      <c r="A12" t="inlineStr">
        <is>
          <t>Y Column</t>
        </is>
      </c>
      <c r="B12" t="inlineStr">
        <is>
          <t>Percent</t>
        </is>
      </c>
    </row>
    <row r="13">
      <c r="A13" t="inlineStr">
        <is>
          <t>X Axis Title</t>
        </is>
      </c>
      <c r="B13" t="inlineStr">
        <is>
          <t>Year</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Prevention Agenda Tracking Dashboard, March 2025 sourced from Vital Statistics of NYS https://apps.health.ny.gov/public/tabvis/PHIG_Public/pa/</t>
        </is>
      </c>
      <c r="H25" s="52" t="n"/>
      <c r="I25" s="52" t="n"/>
    </row>
    <row r="26"/>
    <row r="27">
      <c r="A27" s="101" t="inlineStr">
        <is>
          <t>Note Specfications</t>
        </is>
      </c>
    </row>
    <row r="28">
      <c r="A28" s="102" t="n"/>
      <c r="H28" s="52" t="n"/>
      <c r="I28" s="52" t="n"/>
      <c r="J28" s="52" t="n"/>
      <c r="K28" s="52" t="n"/>
      <c r="L28" s="52" t="n"/>
    </row>
    <row r="29">
      <c r="A29" s="103" t="inlineStr">
        <is>
          <t xml:space="preserve">*: The rate is unstable.
Note: Premature death includes deaths occurring before the age of 65. The percentage of premature deaths is calculated for both Black
non-Hispanics and White non-Hispanics. Then, the difference is the Black non-Hispanic rate minus the White non-Hispanic rate. </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P57"/>
  <sheetViews>
    <sheetView workbookViewId="0">
      <selection activeCell="G20" sqref="G20"/>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Premature Deaths, Percentage Difference Between Hispanics and White Non-Hispanics, 2019–2022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s="101" t="inlineStr">
        <is>
          <t>Sullivan</t>
        </is>
      </c>
      <c r="L5" s="101" t="inlineStr">
        <is>
          <t>Ulster</t>
        </is>
      </c>
      <c r="M5" s="101" t="inlineStr">
        <is>
          <t>Westchester</t>
        </is>
      </c>
      <c r="N5" s="101" t="inlineStr">
        <is>
          <t>Mid-Hudson</t>
        </is>
      </c>
      <c r="O5" t="inlineStr">
        <is>
          <t>NYS excl NYC</t>
        </is>
      </c>
      <c r="P5" t="inlineStr">
        <is>
          <t>NYS</t>
        </is>
      </c>
    </row>
    <row r="6" ht="15" customHeight="1" s="99">
      <c r="A6" t="inlineStr">
        <is>
          <t>Multilevel Headers</t>
        </is>
      </c>
      <c r="B6" t="b">
        <v>0</v>
      </c>
      <c r="F6" s="63" t="n">
        <v>2019</v>
      </c>
      <c r="G6" s="14" t="n">
        <v>18</v>
      </c>
      <c r="H6" s="14" t="n">
        <v>16.6</v>
      </c>
      <c r="I6" s="14" t="n">
        <v>9.699999999999999</v>
      </c>
      <c r="J6" s="14" t="n">
        <v>22.8</v>
      </c>
      <c r="K6" s="14" t="n">
        <v>14</v>
      </c>
      <c r="L6" s="14" t="n">
        <v>8.9</v>
      </c>
      <c r="M6" s="14" t="n">
        <v>23.4</v>
      </c>
      <c r="N6" s="14" t="n">
        <v>19.3</v>
      </c>
      <c r="O6" s="14" t="n">
        <v>21.1</v>
      </c>
      <c r="P6" s="14" t="n">
        <v>16.4</v>
      </c>
    </row>
    <row r="7" ht="15.75" customHeight="1" s="99">
      <c r="F7" s="63" t="n">
        <v>2020</v>
      </c>
      <c r="G7" s="14" t="n">
        <v>22</v>
      </c>
      <c r="H7" s="14" t="n">
        <v>15.5</v>
      </c>
      <c r="I7" s="14" t="n">
        <v>19.1</v>
      </c>
      <c r="J7" s="14" t="n">
        <v>28.4</v>
      </c>
      <c r="K7" s="14" t="n">
        <v>14.9</v>
      </c>
      <c r="L7" s="14" t="n">
        <v>14.7</v>
      </c>
      <c r="M7" s="14" t="n">
        <v>25.5</v>
      </c>
      <c r="N7" s="14" t="n">
        <v>21.9</v>
      </c>
      <c r="O7" s="14" t="n">
        <v>23.9</v>
      </c>
      <c r="P7" s="14" t="n">
        <v>17.2</v>
      </c>
    </row>
    <row r="8">
      <c r="F8" s="63" t="n">
        <v>2021</v>
      </c>
      <c r="G8" s="14" t="n">
        <v>18.9</v>
      </c>
      <c r="H8" s="14" t="n">
        <v>16.2</v>
      </c>
      <c r="I8" s="14" t="n">
        <v>11.2</v>
      </c>
      <c r="J8" s="14" t="n">
        <v>24.4</v>
      </c>
      <c r="K8" s="14" t="n">
        <v>19.6</v>
      </c>
      <c r="L8" s="14" t="n">
        <v>18.3</v>
      </c>
      <c r="M8" s="14" t="n">
        <v>25.7</v>
      </c>
      <c r="N8" s="14" t="n">
        <v>21.4</v>
      </c>
      <c r="O8" s="14" t="n">
        <v>23.7</v>
      </c>
      <c r="P8" s="14" t="n">
        <v>18</v>
      </c>
    </row>
    <row r="9">
      <c r="A9" s="98" t="inlineStr">
        <is>
          <t>Figure Rules</t>
        </is>
      </c>
      <c r="F9" s="63" t="n">
        <v>2022</v>
      </c>
      <c r="G9" s="14" t="n">
        <v>23.6</v>
      </c>
      <c r="H9" s="14" t="n">
        <v>17.2</v>
      </c>
      <c r="I9" s="14" t="n">
        <v>28.9</v>
      </c>
      <c r="J9" s="14" t="n">
        <v>26.3</v>
      </c>
      <c r="K9" s="14" t="n">
        <v>29.6</v>
      </c>
      <c r="L9" s="14" t="n">
        <v>23.7</v>
      </c>
      <c r="M9" s="14" t="n">
        <v>25.8</v>
      </c>
      <c r="N9" s="14" t="n">
        <v>23.1</v>
      </c>
      <c r="O9" s="14" t="n">
        <v>24.6</v>
      </c>
      <c r="P9" s="14" t="n">
        <v>17.9</v>
      </c>
    </row>
    <row r="10">
      <c r="A10" t="inlineStr">
        <is>
          <t>Figure Type</t>
        </is>
      </c>
      <c r="B10" t="inlineStr">
        <is>
          <t>Line</t>
        </is>
      </c>
      <c r="F10" s="63" t="n"/>
      <c r="H10" s="14" t="n"/>
      <c r="I10" s="14" t="n"/>
      <c r="J10" s="14" t="n"/>
    </row>
    <row r="11">
      <c r="A11" t="inlineStr">
        <is>
          <t>X Column</t>
        </is>
      </c>
      <c r="B11" t="inlineStr">
        <is>
          <t>Year</t>
        </is>
      </c>
      <c r="F11" s="63" t="n"/>
    </row>
    <row r="12">
      <c r="A12" t="inlineStr">
        <is>
          <t>Y Column</t>
        </is>
      </c>
      <c r="B12" t="inlineStr">
        <is>
          <t>Percent</t>
        </is>
      </c>
      <c r="F12" s="63" t="n"/>
    </row>
    <row r="13">
      <c r="A13" t="inlineStr">
        <is>
          <t>X Axis Title</t>
        </is>
      </c>
      <c r="B13" t="inlineStr">
        <is>
          <t>Year</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Prevention Agenda Tracking Dashboard, March 2025 sourced from Vital Statistics of NYS https://apps.health.ny.gov/public/tabvis/PHIG_Public/pa/</t>
        </is>
      </c>
      <c r="H25" s="52" t="n"/>
      <c r="I25" s="52" t="n"/>
    </row>
    <row r="26"/>
    <row r="27">
      <c r="A27" s="101" t="inlineStr">
        <is>
          <t>Note Specfications</t>
        </is>
      </c>
    </row>
    <row r="28">
      <c r="A28" s="102" t="n"/>
      <c r="H28" s="52" t="n"/>
      <c r="I28" s="52" t="n"/>
      <c r="J28" s="52" t="n"/>
      <c r="K28" s="52" t="n"/>
      <c r="L28" s="52" t="n"/>
    </row>
    <row r="29">
      <c r="A29" s="103" t="inlineStr">
        <is>
          <t>Note: Premature death includes deaths occurring before the age of 65. The percentage of premature deaths is calculated for Hispanics and
White non-Hispanics. Then, the difference is the Hispanic rate minus the White non-Hispanic rate.</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P57"/>
  <sheetViews>
    <sheetView workbookViewId="0">
      <selection activeCell="B1" sqref="B1:O1"/>
    </sheetView>
  </sheetViews>
  <sheetFormatPr baseColWidth="10" defaultColWidth="8.6640625" defaultRowHeight="15"/>
  <cols>
    <col width="20" bestFit="1" customWidth="1" style="99" min="1" max="1"/>
    <col width="16.6640625" customWidth="1" style="99" min="2" max="2"/>
    <col width="6.6640625" customWidth="1" style="99" min="5" max="5"/>
    <col width="9.5" bestFit="1"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Chronic Lower Respiratory Disease Hospitalization, Age-Adjusted Rate per 10,000 Population,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s="101" t="inlineStr">
        <is>
          <t>Sullivan</t>
        </is>
      </c>
      <c r="L5" s="101" t="inlineStr">
        <is>
          <t>Ulster</t>
        </is>
      </c>
      <c r="M5" s="101" t="inlineStr">
        <is>
          <t>Westchester</t>
        </is>
      </c>
      <c r="N5" s="101" t="inlineStr">
        <is>
          <t>Mid-Hudson</t>
        </is>
      </c>
      <c r="O5" t="inlineStr">
        <is>
          <t>NYS excl NYC</t>
        </is>
      </c>
      <c r="P5" t="inlineStr">
        <is>
          <t>NYS</t>
        </is>
      </c>
    </row>
    <row r="6" ht="15" customHeight="1" s="99">
      <c r="A6" t="inlineStr">
        <is>
          <t>Multilevel Headers</t>
        </is>
      </c>
      <c r="B6" t="b">
        <v>0</v>
      </c>
      <c r="F6" s="14" t="inlineStr">
        <is>
          <t>2020–2022</t>
        </is>
      </c>
      <c r="G6" s="14" t="n">
        <v>12</v>
      </c>
      <c r="H6" s="14" t="n">
        <v>13.8</v>
      </c>
      <c r="I6" s="14" t="n">
        <v>8.1</v>
      </c>
      <c r="J6" s="14" t="n">
        <v>8.9</v>
      </c>
      <c r="K6" s="14" t="n">
        <v>11.8</v>
      </c>
      <c r="L6" s="14" t="n">
        <v>11.6</v>
      </c>
      <c r="M6" s="14" t="n">
        <v>11.1</v>
      </c>
      <c r="N6" s="14" t="n">
        <v>11.2</v>
      </c>
      <c r="O6" s="14" t="n">
        <v>12</v>
      </c>
      <c r="P6" s="14" t="n">
        <v>14.3</v>
      </c>
    </row>
    <row r="7" ht="15.75" customHeight="1" s="99">
      <c r="F7" s="14" t="n"/>
      <c r="G7" s="14" t="n"/>
      <c r="H7" s="14" t="n"/>
      <c r="I7" s="14" t="n"/>
      <c r="J7" s="14" t="n"/>
      <c r="K7" s="14" t="n"/>
      <c r="L7" s="14" t="n"/>
      <c r="M7" s="14" t="n"/>
      <c r="N7" s="14" t="n"/>
      <c r="O7" s="14" t="n"/>
      <c r="P7" s="14" t="n"/>
    </row>
    <row r="8">
      <c r="F8" s="14" t="n"/>
      <c r="G8" s="14" t="n"/>
      <c r="H8" s="14" t="n"/>
      <c r="I8" s="14" t="n"/>
      <c r="J8" s="14" t="n"/>
      <c r="K8" s="14" t="n"/>
      <c r="L8" s="14" t="n"/>
      <c r="M8" s="14" t="n"/>
      <c r="N8" s="14" t="n"/>
      <c r="O8" s="14" t="n"/>
      <c r="P8" s="14" t="n"/>
    </row>
    <row r="9">
      <c r="A9" s="98" t="inlineStr">
        <is>
          <t>Figure Rules</t>
        </is>
      </c>
      <c r="F9" s="14" t="n"/>
      <c r="G9" s="14" t="n"/>
      <c r="H9" s="14" t="n"/>
      <c r="I9" s="14" t="n"/>
      <c r="J9" s="14" t="n"/>
      <c r="K9" s="14" t="n"/>
      <c r="L9" s="14" t="n"/>
      <c r="M9" s="14" t="n"/>
      <c r="N9" s="14" t="n"/>
      <c r="O9" s="14" t="n"/>
      <c r="P9" s="14" t="n"/>
    </row>
    <row r="10">
      <c r="A10" t="inlineStr">
        <is>
          <t>Figure Type</t>
        </is>
      </c>
      <c r="B10" t="inlineStr">
        <is>
          <t>Bar</t>
        </is>
      </c>
      <c r="H10" s="14" t="n"/>
      <c r="I10" s="14" t="n"/>
      <c r="J10" s="14" t="n"/>
    </row>
    <row r="11">
      <c r="A11" t="inlineStr">
        <is>
          <t>X Column</t>
        </is>
      </c>
      <c r="B11" t="inlineStr">
        <is>
          <t>Year</t>
        </is>
      </c>
    </row>
    <row r="12">
      <c r="A12" t="inlineStr">
        <is>
          <t>Y Column</t>
        </is>
      </c>
      <c r="B12" t="inlineStr">
        <is>
          <t>Rate per 10,000</t>
        </is>
      </c>
    </row>
    <row r="13">
      <c r="A13" t="inlineStr">
        <is>
          <t>X Axis Title</t>
        </is>
      </c>
      <c r="B13" t="inlineStr">
        <is>
          <t>Year</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Community Health Indicator Reports Dashboard, June 2025 sourced from NY Statewide Planning and Research Cooperative System https://apps.health.ny.gov/public/tabvis/PHIG_Public/chirs/reports/#county</t>
        </is>
      </c>
      <c r="H25" s="52" t="n"/>
      <c r="I25" s="52" t="n"/>
    </row>
    <row r="26"/>
    <row r="27">
      <c r="A27" s="101" t="inlineStr">
        <is>
          <t>Note Specfications</t>
        </is>
      </c>
    </row>
    <row r="28">
      <c r="A28" s="102" t="n"/>
      <c r="H28" s="52" t="n"/>
      <c r="I28" s="52" t="n"/>
      <c r="J28" s="52" t="n"/>
      <c r="K28" s="52" t="n"/>
      <c r="L28" s="52" t="n"/>
    </row>
    <row r="29">
      <c r="A29" s="103" t="inlineStr">
        <is>
          <t>Note: The 2018 population estimates are also used to calculate 2019 and 2020 rates. The ICD-10 codes for CLRD are: J40-J47</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P57"/>
  <sheetViews>
    <sheetView workbookViewId="0">
      <selection activeCell="F45" sqref="F45"/>
    </sheetView>
  </sheetViews>
  <sheetFormatPr baseColWidth="10" defaultColWidth="8.6640625" defaultRowHeight="15"/>
  <cols>
    <col width="20" bestFit="1" customWidth="1" style="99" min="1" max="1"/>
    <col width="16.6640625" customWidth="1" style="99" min="2" max="2"/>
    <col width="6.6640625" customWidth="1" style="99" min="5" max="5"/>
    <col width="28.1640625" bestFit="1"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Chronic Lower Respiratory Disease Hospitalization, Age-Adjusted Rate per 10,000 by Race and 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t="inlineStr">
        <is>
          <t>Race and Ethnicity</t>
        </is>
      </c>
      <c r="G5" s="101" t="inlineStr">
        <is>
          <t>Dutchess</t>
        </is>
      </c>
      <c r="H5" s="101" t="inlineStr">
        <is>
          <t>Orange</t>
        </is>
      </c>
      <c r="I5" s="101" t="inlineStr">
        <is>
          <t>Putnam</t>
        </is>
      </c>
      <c r="J5" s="101" t="inlineStr">
        <is>
          <t>Rockland</t>
        </is>
      </c>
      <c r="K5" s="101" t="inlineStr">
        <is>
          <t>Sullivan</t>
        </is>
      </c>
      <c r="L5" s="101" t="inlineStr">
        <is>
          <t>Ulster</t>
        </is>
      </c>
      <c r="M5" s="101" t="inlineStr">
        <is>
          <t>Westchester</t>
        </is>
      </c>
      <c r="N5" s="101" t="inlineStr">
        <is>
          <t>NYS excl NYC</t>
        </is>
      </c>
      <c r="O5" s="101" t="inlineStr">
        <is>
          <t>NYS</t>
        </is>
      </c>
    </row>
    <row r="6" ht="15" customHeight="1" s="99">
      <c r="A6" t="inlineStr">
        <is>
          <t>Multilevel Headers</t>
        </is>
      </c>
      <c r="B6" t="b">
        <v>0</v>
      </c>
      <c r="F6" s="14" t="inlineStr">
        <is>
          <t>Non-Hispanic White</t>
        </is>
      </c>
      <c r="G6" s="116" t="n">
        <v>10.4</v>
      </c>
      <c r="H6" s="116" t="n">
        <v>11.7</v>
      </c>
      <c r="I6" s="116" t="n">
        <v>7.4</v>
      </c>
      <c r="J6" s="116" t="n">
        <v>7.4</v>
      </c>
      <c r="K6" s="116" t="n">
        <v>10.8</v>
      </c>
      <c r="L6" s="116" t="n">
        <v>11</v>
      </c>
      <c r="M6" s="116" t="n">
        <v>6.1</v>
      </c>
      <c r="N6" s="116" t="n">
        <v>9.800000000000001</v>
      </c>
      <c r="O6" s="116" t="n">
        <v>9.1</v>
      </c>
      <c r="P6" s="14" t="n"/>
    </row>
    <row r="7" ht="15.75" customHeight="1" s="99">
      <c r="F7" s="14" t="inlineStr">
        <is>
          <t>Non-Hispanic Black</t>
        </is>
      </c>
      <c r="G7" s="116" t="n">
        <v>9</v>
      </c>
      <c r="H7" s="116" t="n">
        <v>22.5</v>
      </c>
      <c r="I7" s="116" t="n">
        <v>10.8</v>
      </c>
      <c r="J7" s="116" t="n">
        <v>13</v>
      </c>
      <c r="K7" s="116" t="n">
        <v>25.7</v>
      </c>
      <c r="L7" s="116" t="n">
        <v>17.3</v>
      </c>
      <c r="M7" s="116" t="n">
        <v>19</v>
      </c>
      <c r="N7" s="116" t="n">
        <v>24</v>
      </c>
      <c r="O7" s="116" t="n">
        <v>24.5</v>
      </c>
      <c r="P7" s="14" t="n"/>
    </row>
    <row r="8">
      <c r="F8" s="14" t="inlineStr">
        <is>
          <t>Non-Hispanic Asian/Pacific Islander</t>
        </is>
      </c>
      <c r="G8" s="116" t="inlineStr">
        <is>
          <t>s</t>
        </is>
      </c>
      <c r="H8" s="116" t="n">
        <v>2.9</v>
      </c>
      <c r="I8" s="116" t="inlineStr">
        <is>
          <t>s</t>
        </is>
      </c>
      <c r="J8" s="116" t="n">
        <v>3.4</v>
      </c>
      <c r="K8" s="116" t="inlineStr">
        <is>
          <t>s</t>
        </is>
      </c>
      <c r="L8" s="116" t="inlineStr">
        <is>
          <t>s</t>
        </is>
      </c>
      <c r="M8" s="116" t="n">
        <v>2.6</v>
      </c>
      <c r="N8" s="116" t="n">
        <v>4.1</v>
      </c>
      <c r="O8" s="116" t="n">
        <v>4.4</v>
      </c>
      <c r="P8" s="14" t="n"/>
    </row>
    <row r="9">
      <c r="A9" s="98" t="inlineStr">
        <is>
          <t>Figure Rules</t>
        </is>
      </c>
      <c r="F9" s="14" t="inlineStr">
        <is>
          <t>Hispanic</t>
        </is>
      </c>
      <c r="G9" s="116" t="n">
        <v>6.2</v>
      </c>
      <c r="H9" s="116" t="n">
        <v>10.8</v>
      </c>
      <c r="I9" s="116" t="n">
        <v>7.2</v>
      </c>
      <c r="J9" s="116" t="n">
        <v>8.4</v>
      </c>
      <c r="K9" s="116" t="n">
        <v>6.8</v>
      </c>
      <c r="L9" s="116" t="n">
        <v>10.6</v>
      </c>
      <c r="M9" s="116" t="n">
        <v>8.300000000000001</v>
      </c>
      <c r="N9" s="116" t="n">
        <v>9.9</v>
      </c>
      <c r="O9" s="116" t="n">
        <v>16.6</v>
      </c>
      <c r="P9" s="14" t="n"/>
    </row>
    <row r="10">
      <c r="A10" t="inlineStr">
        <is>
          <t>Figure Type</t>
        </is>
      </c>
      <c r="B10" t="inlineStr">
        <is>
          <t>Clustered Bar</t>
        </is>
      </c>
      <c r="H10" s="14" t="n"/>
      <c r="I10" s="14" t="n"/>
      <c r="J10" s="14" t="n"/>
    </row>
    <row r="11">
      <c r="A11" t="inlineStr">
        <is>
          <t>X Column</t>
        </is>
      </c>
      <c r="B11" t="inlineStr">
        <is>
          <t>Race and Ethnicity</t>
        </is>
      </c>
    </row>
    <row r="12">
      <c r="A12" t="inlineStr">
        <is>
          <t>Y Column</t>
        </is>
      </c>
      <c r="B12" t="inlineStr">
        <is>
          <t>Rate per 10,000</t>
        </is>
      </c>
    </row>
    <row r="13">
      <c r="A13" t="inlineStr">
        <is>
          <t>X Axis Title</t>
        </is>
      </c>
      <c r="B13" t="inlineStr">
        <is>
          <t>Race and Ethnicity</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County Health Indicators by Race and Ethnicity Dashboard, June 2025 sourced from NY Statewide Planning and Research
Cooperative System
https://www.health.ny.gov/statistics/community/minority/county/orange.htm</t>
        </is>
      </c>
      <c r="H25" s="52" t="n"/>
      <c r="I25" s="52" t="n"/>
    </row>
    <row r="26"/>
    <row r="27">
      <c r="A27" s="101" t="inlineStr">
        <is>
          <t>Note Specfications</t>
        </is>
      </c>
    </row>
    <row r="28">
      <c r="A28" s="102" t="n"/>
      <c r="H28" s="52" t="n"/>
      <c r="I28" s="52" t="n"/>
      <c r="J28" s="52" t="n"/>
      <c r="K28" s="52" t="n"/>
      <c r="L28" s="52" t="n"/>
    </row>
    <row r="29">
      <c r="A29" s="102" t="inlineStr">
        <is>
          <t>s: Data are suppressed due to not meeting confidentiality criteria.
Note: The ICD-10-CM codes for CLRD are: J40-J47.</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P57"/>
  <sheetViews>
    <sheetView workbookViewId="0">
      <selection activeCell="B15" sqref="B15"/>
    </sheetView>
  </sheetViews>
  <sheetFormatPr baseColWidth="10" defaultColWidth="8.6640625" defaultRowHeight="15"/>
  <cols>
    <col width="20" bestFit="1" customWidth="1" style="99" min="1" max="1"/>
    <col width="16.6640625" customWidth="1" style="99" min="2" max="2"/>
    <col width="6.6640625" customWidth="1" style="99" min="5" max="5"/>
    <col width="15.1640625"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Percentage of Adults with Current Asthma, 2016, 2018,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101" t="inlineStr">
        <is>
          <t>Year</t>
        </is>
      </c>
      <c r="G5" s="101" t="inlineStr">
        <is>
          <t>Dutchess</t>
        </is>
      </c>
      <c r="H5" s="101" t="inlineStr">
        <is>
          <t>Orange</t>
        </is>
      </c>
      <c r="I5" s="101" t="inlineStr">
        <is>
          <t>Putnam</t>
        </is>
      </c>
      <c r="J5" s="101" t="inlineStr">
        <is>
          <t>Rockland</t>
        </is>
      </c>
      <c r="K5" s="101" t="inlineStr">
        <is>
          <t>Sullivan</t>
        </is>
      </c>
      <c r="L5" s="101" t="inlineStr">
        <is>
          <t>Ulster</t>
        </is>
      </c>
      <c r="M5" s="101" t="inlineStr">
        <is>
          <t>Westchester</t>
        </is>
      </c>
      <c r="N5" s="101" t="inlineStr">
        <is>
          <t>Mid-Hudson</t>
        </is>
      </c>
      <c r="O5" s="101" t="inlineStr">
        <is>
          <t>NYS excl NYC</t>
        </is>
      </c>
      <c r="P5" t="inlineStr">
        <is>
          <t>NYS</t>
        </is>
      </c>
    </row>
    <row r="6" ht="15" customHeight="1" s="99">
      <c r="A6" t="inlineStr">
        <is>
          <t>Multilevel Headers</t>
        </is>
      </c>
      <c r="B6" t="b">
        <v>0</v>
      </c>
      <c r="F6" s="51" t="n">
        <v>2016</v>
      </c>
      <c r="G6" s="116" t="n">
        <v>10.6</v>
      </c>
      <c r="H6" s="116" t="n">
        <v>9</v>
      </c>
      <c r="I6" s="116" t="n">
        <v>13.2</v>
      </c>
      <c r="J6" s="116" t="n">
        <v>4.6</v>
      </c>
      <c r="K6" s="116" t="n">
        <v>12.3</v>
      </c>
      <c r="L6" s="116" t="n">
        <v>5.7</v>
      </c>
      <c r="M6" s="116" t="n">
        <v>9.6</v>
      </c>
      <c r="N6" s="116" t="n">
        <v>8.800000000000001</v>
      </c>
      <c r="O6" s="116" t="n">
        <v>10.4</v>
      </c>
      <c r="P6" s="14" t="n">
        <v>9.6</v>
      </c>
    </row>
    <row r="7" ht="15.75" customHeight="1" s="99">
      <c r="F7" s="51" t="n">
        <v>2018</v>
      </c>
      <c r="G7" s="116" t="n">
        <v>9.9</v>
      </c>
      <c r="H7" s="116" t="n">
        <v>8.9</v>
      </c>
      <c r="I7" s="116" t="n">
        <v>8.9</v>
      </c>
      <c r="J7" s="116" t="n">
        <v>7.3</v>
      </c>
      <c r="K7" s="116" t="n">
        <v>12.7</v>
      </c>
      <c r="L7" s="116" t="n">
        <v>12.3</v>
      </c>
      <c r="M7" s="116" t="n">
        <v>11.5</v>
      </c>
      <c r="N7" s="116" t="n">
        <v>9.699999999999999</v>
      </c>
      <c r="O7" s="116" t="n">
        <v>10.8</v>
      </c>
      <c r="P7" s="14" t="n">
        <v>10.1</v>
      </c>
    </row>
    <row r="8">
      <c r="F8" s="51" t="n">
        <v>2021</v>
      </c>
      <c r="G8" s="116" t="n">
        <v>11.3</v>
      </c>
      <c r="H8" s="116" t="n">
        <v>9.6</v>
      </c>
      <c r="I8" s="116" t="n">
        <v>10.1</v>
      </c>
      <c r="J8" s="116" t="n">
        <v>7.4</v>
      </c>
      <c r="K8" s="116" t="n">
        <v>12.3</v>
      </c>
      <c r="L8" s="116" t="n">
        <v>11.8</v>
      </c>
      <c r="M8" s="116" t="n">
        <v>7.9</v>
      </c>
      <c r="N8" s="116" t="n">
        <v>8.9</v>
      </c>
      <c r="O8" s="116" t="n">
        <v>10.8</v>
      </c>
      <c r="P8" s="14" t="n">
        <v>10.1</v>
      </c>
    </row>
    <row r="9">
      <c r="A9" s="98" t="inlineStr">
        <is>
          <t>Figure Rules</t>
        </is>
      </c>
      <c r="F9" s="116" t="n"/>
      <c r="G9" s="116" t="n"/>
      <c r="H9" s="116" t="n"/>
      <c r="I9" s="116" t="n"/>
      <c r="J9" s="116" t="n"/>
      <c r="K9" s="116" t="n"/>
      <c r="L9" s="116" t="n"/>
      <c r="M9" s="116" t="n"/>
      <c r="N9" s="116" t="n"/>
      <c r="O9" s="116" t="n"/>
      <c r="P9" s="14" t="n"/>
    </row>
    <row r="10">
      <c r="A10" t="inlineStr">
        <is>
          <t>Figure Type</t>
        </is>
      </c>
      <c r="B10" t="inlineStr">
        <is>
          <t>Line</t>
        </is>
      </c>
      <c r="H10" s="14" t="n"/>
      <c r="I10" s="14" t="n"/>
      <c r="J10" s="14" t="n"/>
    </row>
    <row r="11">
      <c r="A11" t="inlineStr">
        <is>
          <t>X Column</t>
        </is>
      </c>
      <c r="B11" t="inlineStr">
        <is>
          <t>Year</t>
        </is>
      </c>
    </row>
    <row r="12">
      <c r="A12" t="inlineStr">
        <is>
          <t>Y Column</t>
        </is>
      </c>
      <c r="B12" t="inlineStr">
        <is>
          <t>Percent</t>
        </is>
      </c>
    </row>
    <row r="13">
      <c r="A13" t="inlineStr">
        <is>
          <t>X Axis Title</t>
        </is>
      </c>
      <c r="B13" t="inlineStr">
        <is>
          <t>Year</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County Health Indicators by Race and Ethnicity Dashboard, June 2025 sourced from Vital Statistics of NYS
https://www.health.ny.gov/statistics/community/minority/county/orange.htm</t>
        </is>
      </c>
      <c r="H25" s="52" t="n"/>
      <c r="I25" s="52" t="n"/>
    </row>
    <row r="26"/>
    <row r="27">
      <c r="A27" s="101" t="inlineStr">
        <is>
          <t>Note Specfications</t>
        </is>
      </c>
    </row>
    <row r="28">
      <c r="A28" s="102" t="n"/>
      <c r="H28" s="52" t="n"/>
      <c r="I28" s="52" t="n"/>
      <c r="J28" s="52" t="n"/>
      <c r="K28" s="52" t="n"/>
      <c r="L28" s="52" t="n"/>
    </row>
    <row r="29">
      <c r="A29" s="103" t="inlineStr">
        <is>
          <t>Note: The percentage is age-adjusted. An adult is a person aged 18 years or older. The Behavioral Risk Factor Surveillance System asks
respondents, “Has a doctor, nurse, or other health professional ever told you had asthma?” and “Do you still have asthma?”</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P57"/>
  <sheetViews>
    <sheetView workbookViewId="0">
      <selection activeCell="L17" sqref="L17"/>
    </sheetView>
  </sheetViews>
  <sheetFormatPr baseColWidth="10" defaultColWidth="8.6640625" defaultRowHeight="15"/>
  <cols>
    <col width="20" bestFit="1" customWidth="1" style="99" min="1" max="1"/>
    <col width="16.6640625" customWidth="1" style="99" min="2" max="2"/>
    <col width="6.6640625" customWidth="1" style="99" min="5" max="5"/>
    <col width="10" bestFit="1"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Asthma Hospitalization, Age-Adjusted Rate per 10,000 Population,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t="inlineStr">
        <is>
          <t>Period</t>
        </is>
      </c>
      <c r="G5" t="inlineStr">
        <is>
          <t>Dutchess</t>
        </is>
      </c>
      <c r="H5" t="inlineStr">
        <is>
          <t>Orange</t>
        </is>
      </c>
      <c r="I5" t="inlineStr">
        <is>
          <t>Putnam</t>
        </is>
      </c>
      <c r="J5" t="inlineStr">
        <is>
          <t>Rockland</t>
        </is>
      </c>
      <c r="K5" s="101" t="inlineStr">
        <is>
          <t>Sullivan</t>
        </is>
      </c>
      <c r="L5" s="101" t="inlineStr">
        <is>
          <t>Ulster</t>
        </is>
      </c>
      <c r="M5" s="101" t="inlineStr">
        <is>
          <t>Westchester</t>
        </is>
      </c>
      <c r="N5" s="101" t="inlineStr">
        <is>
          <t>Mid-Hudson</t>
        </is>
      </c>
      <c r="O5" t="inlineStr">
        <is>
          <t>NYS excl NYC</t>
        </is>
      </c>
      <c r="P5" t="inlineStr">
        <is>
          <t>NYS</t>
        </is>
      </c>
    </row>
    <row r="6" ht="15" customHeight="1" s="99">
      <c r="A6" t="inlineStr">
        <is>
          <t>Multilevel Headers</t>
        </is>
      </c>
      <c r="B6" t="b">
        <v>0</v>
      </c>
      <c r="F6" s="14" t="inlineStr">
        <is>
          <t>2020–2022</t>
        </is>
      </c>
      <c r="G6" s="14" t="n">
        <v>4.7</v>
      </c>
      <c r="H6" s="14" t="n">
        <v>5.1</v>
      </c>
      <c r="I6" s="14" t="n">
        <v>3.5</v>
      </c>
      <c r="J6" s="14" t="n">
        <v>3.2</v>
      </c>
      <c r="K6" s="14" t="n">
        <v>4.3</v>
      </c>
      <c r="L6" s="14" t="n">
        <v>3.8</v>
      </c>
      <c r="M6" s="14" t="n">
        <v>5.9</v>
      </c>
      <c r="N6" s="14" t="n">
        <v>4.9</v>
      </c>
      <c r="O6" s="14" t="n">
        <v>4.2</v>
      </c>
      <c r="P6" s="14" t="n">
        <v>6.6</v>
      </c>
    </row>
    <row r="7" ht="15.75" customHeight="1" s="99">
      <c r="F7" s="14" t="n"/>
      <c r="G7" s="14" t="n"/>
      <c r="H7" s="14" t="n"/>
      <c r="I7" s="14" t="n"/>
      <c r="J7" s="14" t="n"/>
      <c r="K7" s="14" t="n"/>
      <c r="L7" s="14" t="n"/>
      <c r="M7" s="14" t="n"/>
      <c r="N7" s="14" t="n"/>
      <c r="O7" s="14" t="n"/>
      <c r="P7" s="14" t="n"/>
    </row>
    <row r="8">
      <c r="F8" s="14" t="n"/>
      <c r="G8" s="14" t="n"/>
      <c r="H8" s="14" t="n"/>
      <c r="I8" s="14" t="n"/>
      <c r="J8" s="14" t="n"/>
      <c r="K8" s="14" t="n"/>
      <c r="L8" s="14" t="n"/>
      <c r="M8" s="14" t="n"/>
      <c r="N8" s="14" t="n"/>
      <c r="O8" s="14" t="n"/>
      <c r="P8" s="14" t="n"/>
    </row>
    <row r="9">
      <c r="A9" s="98" t="inlineStr">
        <is>
          <t>Figure Rules</t>
        </is>
      </c>
      <c r="F9" s="14" t="n"/>
      <c r="G9" s="14" t="n"/>
      <c r="H9" s="14" t="n"/>
      <c r="I9" s="14" t="n"/>
      <c r="J9" s="14" t="n"/>
      <c r="K9" s="14" t="n"/>
      <c r="L9" s="14" t="n"/>
      <c r="M9" s="14" t="n"/>
      <c r="N9" s="14" t="n"/>
      <c r="O9" s="14" t="n"/>
      <c r="P9" s="14" t="n"/>
    </row>
    <row r="10">
      <c r="A10" t="inlineStr">
        <is>
          <t>Figure Type</t>
        </is>
      </c>
      <c r="B10" t="inlineStr">
        <is>
          <t>Bar</t>
        </is>
      </c>
      <c r="H10" s="14" t="n"/>
      <c r="I10" s="14" t="n"/>
      <c r="J10" s="14" t="n"/>
    </row>
    <row r="11">
      <c r="A11" t="inlineStr">
        <is>
          <t>X Column</t>
        </is>
      </c>
      <c r="B11" t="inlineStr">
        <is>
          <t>Year</t>
        </is>
      </c>
    </row>
    <row r="12">
      <c r="A12" t="inlineStr">
        <is>
          <t>Y Column</t>
        </is>
      </c>
    </row>
    <row r="13">
      <c r="A13" t="inlineStr">
        <is>
          <t>X Axis Title</t>
        </is>
      </c>
    </row>
    <row r="14">
      <c r="A14" t="inlineStr">
        <is>
          <t>Y Axis Title</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Community Health Indicator Reports Dashboard, June 2025 sourced from NY Statewide Planning and Research
Cooperative System
https://webbi1.health.ny.gov/SASStoredProcess/guest?_program=%2FEBI%2FPHIG%2Fapps%2Fchir_dashboard%2Fchir_dashboard&amp;
p=ch&amp;cos=33</t>
        </is>
      </c>
      <c r="H25" s="52" t="n"/>
      <c r="I25" s="52" t="n"/>
    </row>
    <row r="26"/>
    <row r="27">
      <c r="A27" s="101" t="inlineStr">
        <is>
          <t>Note Specfications</t>
        </is>
      </c>
    </row>
    <row r="28">
      <c r="A28" s="102" t="n"/>
      <c r="H28" s="52" t="n"/>
      <c r="I28" s="52" t="n"/>
      <c r="J28" s="52" t="n"/>
      <c r="K28" s="52" t="n"/>
      <c r="L28" s="52" t="n"/>
    </row>
    <row r="29">
      <c r="A29" s="103" t="inlineStr">
        <is>
          <t>Note: The 2018 population estimates are also used to calculate 2019 and 2020 rates. The ICD-10 code for asthma is: J45.</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P57"/>
  <sheetViews>
    <sheetView workbookViewId="0">
      <selection activeCell="L19" sqref="L19"/>
    </sheetView>
  </sheetViews>
  <sheetFormatPr baseColWidth="10" defaultColWidth="8.6640625" defaultRowHeight="15"/>
  <cols>
    <col width="20" bestFit="1" customWidth="1" style="99" min="1" max="1"/>
    <col width="16.6640625" customWidth="1" style="99" min="2" max="2"/>
    <col width="6.6640625" customWidth="1" style="99" min="5" max="5"/>
    <col width="28.1640625" bestFit="1"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Asthma Hospitalization, Age-Adjusted Rate per 10,000 Population by Race and 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101" t="inlineStr">
        <is>
          <t>Race and Ethnicity</t>
        </is>
      </c>
      <c r="G5" s="101" t="inlineStr">
        <is>
          <t>Dutchess</t>
        </is>
      </c>
      <c r="H5" s="101" t="inlineStr">
        <is>
          <t>Orange</t>
        </is>
      </c>
      <c r="I5" s="101" t="inlineStr">
        <is>
          <t>Putnam</t>
        </is>
      </c>
      <c r="J5" s="101" t="inlineStr">
        <is>
          <t>Rockland</t>
        </is>
      </c>
      <c r="K5" s="101" t="inlineStr">
        <is>
          <t>Sullivan</t>
        </is>
      </c>
      <c r="L5" s="101" t="inlineStr">
        <is>
          <t>Ulster</t>
        </is>
      </c>
      <c r="M5" s="101" t="inlineStr">
        <is>
          <t>Westchester</t>
        </is>
      </c>
      <c r="N5" s="101" t="inlineStr">
        <is>
          <t>NYS excl NYC</t>
        </is>
      </c>
      <c r="O5" s="101" t="inlineStr">
        <is>
          <t>NYS</t>
        </is>
      </c>
    </row>
    <row r="6" ht="15" customHeight="1" s="99">
      <c r="A6" t="inlineStr">
        <is>
          <t>Multilevel Headers</t>
        </is>
      </c>
      <c r="B6" t="b">
        <v>0</v>
      </c>
      <c r="F6" s="51" t="inlineStr">
        <is>
          <t>Non-Hispanic White</t>
        </is>
      </c>
      <c r="G6" s="116" t="n">
        <v>3</v>
      </c>
      <c r="H6" s="116" t="n">
        <v>3.4</v>
      </c>
      <c r="I6" s="116" t="n">
        <v>2.9</v>
      </c>
      <c r="J6" s="116" t="n">
        <v>2.3</v>
      </c>
      <c r="K6" s="116" t="n">
        <v>3</v>
      </c>
      <c r="L6" s="116" t="n">
        <v>3.4</v>
      </c>
      <c r="M6" s="116" t="n">
        <v>2.6</v>
      </c>
      <c r="N6" s="116" t="n">
        <v>2.4</v>
      </c>
      <c r="O6" s="116" t="n">
        <v>2.3</v>
      </c>
      <c r="P6" s="14" t="n"/>
    </row>
    <row r="7" ht="15.75" customHeight="1" s="99">
      <c r="F7" s="51" t="inlineStr">
        <is>
          <t>Non-Hispanic Black</t>
        </is>
      </c>
      <c r="G7" s="116" t="n">
        <v>5.4</v>
      </c>
      <c r="H7" s="116" t="n">
        <v>10.8</v>
      </c>
      <c r="I7" s="116" t="n">
        <v>10.8</v>
      </c>
      <c r="J7" s="116" t="n">
        <v>6.9</v>
      </c>
      <c r="K7" s="116" t="n">
        <v>17.1</v>
      </c>
      <c r="L7" s="116" t="n">
        <v>7.3</v>
      </c>
      <c r="M7" s="116" t="n">
        <v>11.4</v>
      </c>
      <c r="N7" s="116" t="n">
        <v>11.9</v>
      </c>
      <c r="O7" s="116" t="n">
        <v>13.8</v>
      </c>
      <c r="P7" s="14" t="n"/>
    </row>
    <row r="8">
      <c r="F8" s="51" t="inlineStr">
        <is>
          <t>Non-Hispanic Asian/Pacific Islander</t>
        </is>
      </c>
      <c r="G8" s="116" t="inlineStr">
        <is>
          <t>s</t>
        </is>
      </c>
      <c r="H8" s="116" t="inlineStr">
        <is>
          <t>1.8*</t>
        </is>
      </c>
      <c r="I8" s="116" t="inlineStr">
        <is>
          <t>s</t>
        </is>
      </c>
      <c r="J8" s="116" t="n">
        <v>1.3</v>
      </c>
      <c r="K8" s="116" t="inlineStr">
        <is>
          <t>0.0*</t>
        </is>
      </c>
      <c r="L8" s="116" t="inlineStr">
        <is>
          <t>s</t>
        </is>
      </c>
      <c r="M8" s="116" t="n">
        <v>1.8</v>
      </c>
      <c r="N8" s="116" t="n">
        <v>2.4</v>
      </c>
      <c r="O8" s="116" t="n">
        <v>2.4</v>
      </c>
      <c r="P8" s="14" t="n"/>
    </row>
    <row r="9">
      <c r="A9" s="98" t="inlineStr">
        <is>
          <t>Figure Rules</t>
        </is>
      </c>
      <c r="F9" s="116" t="inlineStr">
        <is>
          <t>Hispanic</t>
        </is>
      </c>
      <c r="G9" s="116" t="n">
        <v>3.9</v>
      </c>
      <c r="H9" s="116" t="n">
        <v>5.1</v>
      </c>
      <c r="I9" s="116" t="n">
        <v>3.5</v>
      </c>
      <c r="J9" s="116" t="n">
        <v>3.3</v>
      </c>
      <c r="K9" s="116" t="n">
        <v>3</v>
      </c>
      <c r="L9" s="116" t="n">
        <v>3.2</v>
      </c>
      <c r="M9" s="116" t="n">
        <v>4.4</v>
      </c>
      <c r="N9" s="116" t="n">
        <v>5.4</v>
      </c>
      <c r="O9" s="116" t="n">
        <v>9.9</v>
      </c>
      <c r="P9" s="14" t="n"/>
    </row>
    <row r="10">
      <c r="A10" t="inlineStr">
        <is>
          <t>Figure Type</t>
        </is>
      </c>
      <c r="B10" t="inlineStr">
        <is>
          <t>Clustered Bar</t>
        </is>
      </c>
      <c r="H10" s="14" t="n"/>
      <c r="I10" s="14" t="n"/>
      <c r="J10" s="14" t="n"/>
    </row>
    <row r="11">
      <c r="A11" t="inlineStr">
        <is>
          <t>X Column</t>
        </is>
      </c>
      <c r="B11" s="101" t="inlineStr">
        <is>
          <t>Race and Ethnicity</t>
        </is>
      </c>
    </row>
    <row r="12">
      <c r="A12" t="inlineStr">
        <is>
          <t>Y Column</t>
        </is>
      </c>
      <c r="B12" t="inlineStr">
        <is>
          <t>Rate per 10,000</t>
        </is>
      </c>
    </row>
    <row r="13">
      <c r="A13" t="inlineStr">
        <is>
          <t>X Axis Title</t>
        </is>
      </c>
      <c r="B13" s="101" t="inlineStr">
        <is>
          <t>Race and Ethnicity</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County Health Indicators by Race and Ethnicity Dashboard, June 2025 sourced from NY Statewide Planning and Research Cooperative System https://www.health.ny.gov/statistics/community/minority/county/orange.htm</t>
        </is>
      </c>
      <c r="H25" s="52" t="n"/>
      <c r="I25" s="52" t="n"/>
    </row>
    <row r="26"/>
    <row r="27">
      <c r="A27" s="101" t="inlineStr">
        <is>
          <t>Note Specfications</t>
        </is>
      </c>
    </row>
    <row r="28">
      <c r="A28" s="102" t="n"/>
      <c r="H28" s="52" t="n"/>
      <c r="I28" s="52" t="n"/>
      <c r="J28" s="52" t="n"/>
      <c r="K28" s="52" t="n"/>
      <c r="L28" s="52" t="n"/>
    </row>
    <row r="29">
      <c r="A29" s="103" t="inlineStr">
        <is>
          <t>*: The rate is unstable.
s: Data are suppressed due to not meeting confidentiality criteria.
Note: The ICD-10-CM code used for asthma is: J45.</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P57"/>
  <sheetViews>
    <sheetView workbookViewId="0">
      <selection activeCell="J28" sqref="J28"/>
    </sheetView>
  </sheetViews>
  <sheetFormatPr baseColWidth="10" defaultColWidth="8.6640625" defaultRowHeight="15"/>
  <cols>
    <col width="20" bestFit="1" customWidth="1" style="99" min="1" max="1"/>
    <col width="16.6640625" customWidth="1" style="99" min="2" max="2"/>
    <col width="6.6640625" customWidth="1" style="99" min="5" max="5"/>
    <col width="10" bestFit="1"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Asthma Emergency Department Visits, Rate per 10,000 Population 0–17 Years Old, 2017–2023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s="101" t="inlineStr">
        <is>
          <t>Sullivan</t>
        </is>
      </c>
      <c r="L5" s="101" t="inlineStr">
        <is>
          <t>Ulster</t>
        </is>
      </c>
      <c r="M5" s="101" t="inlineStr">
        <is>
          <t>Westchester</t>
        </is>
      </c>
      <c r="N5" s="101" t="inlineStr">
        <is>
          <t>Mid-Hudson</t>
        </is>
      </c>
      <c r="O5" t="inlineStr">
        <is>
          <t>NYS</t>
        </is>
      </c>
      <c r="P5" t="inlineStr">
        <is>
          <t>Objective</t>
        </is>
      </c>
    </row>
    <row r="6" ht="15" customHeight="1" s="99">
      <c r="A6" t="inlineStr">
        <is>
          <t>Multilevel Headers</t>
        </is>
      </c>
      <c r="B6" t="b">
        <v>0</v>
      </c>
      <c r="F6" s="63" t="n">
        <v>2017</v>
      </c>
      <c r="G6" s="14" t="n">
        <v>56.1</v>
      </c>
      <c r="H6" s="14" t="n">
        <v>55.4</v>
      </c>
      <c r="I6" s="14" t="n">
        <v>47.3</v>
      </c>
      <c r="J6" s="14" t="n">
        <v>40.7</v>
      </c>
      <c r="K6" s="14" t="n">
        <v>83.90000000000001</v>
      </c>
      <c r="L6" s="14" t="n">
        <v>76</v>
      </c>
      <c r="M6" s="14" t="n">
        <v>89.90000000000001</v>
      </c>
      <c r="N6" s="14" t="n">
        <v>68.90000000000001</v>
      </c>
      <c r="O6" s="14" t="n">
        <v>124.1</v>
      </c>
      <c r="P6" s="14" t="n">
        <v>131.1</v>
      </c>
    </row>
    <row r="7" ht="15.75" customHeight="1" s="99">
      <c r="F7" s="63" t="n">
        <v>2018</v>
      </c>
      <c r="G7" s="14" t="n">
        <v>70.8</v>
      </c>
      <c r="H7" s="14" t="n">
        <v>64.40000000000001</v>
      </c>
      <c r="I7" s="14" t="n">
        <v>54.1</v>
      </c>
      <c r="J7" s="14" t="n">
        <v>42.8</v>
      </c>
      <c r="K7" s="14" t="n">
        <v>87.8</v>
      </c>
      <c r="L7" s="14" t="n">
        <v>72.7</v>
      </c>
      <c r="M7" s="14" t="n">
        <v>87.09999999999999</v>
      </c>
      <c r="N7" s="14" t="n">
        <v>71.2</v>
      </c>
      <c r="O7" s="14" t="n">
        <v>124.1</v>
      </c>
      <c r="P7" s="14" t="n">
        <v>131.1</v>
      </c>
    </row>
    <row r="8">
      <c r="F8" s="63" t="n">
        <v>2019</v>
      </c>
      <c r="G8" s="14" t="n">
        <v>62.8</v>
      </c>
      <c r="H8" s="14" t="n">
        <v>64</v>
      </c>
      <c r="I8" s="14" t="n">
        <v>34.1</v>
      </c>
      <c r="J8" s="14" t="n">
        <v>33.9</v>
      </c>
      <c r="K8" s="14" t="n">
        <v>89.09999999999999</v>
      </c>
      <c r="L8" s="14" t="n">
        <v>60.7</v>
      </c>
      <c r="M8" s="14" t="n">
        <v>82.09999999999999</v>
      </c>
      <c r="N8" s="14" t="n">
        <v>65.09999999999999</v>
      </c>
      <c r="O8" s="14" t="n">
        <v>107.5</v>
      </c>
      <c r="P8" s="14" t="n">
        <v>131.1</v>
      </c>
    </row>
    <row r="9">
      <c r="A9" s="98" t="inlineStr">
        <is>
          <t>Figure Rules</t>
        </is>
      </c>
      <c r="F9" s="63" t="n">
        <v>2020</v>
      </c>
      <c r="G9" s="14" t="n">
        <v>27.7</v>
      </c>
      <c r="H9" s="14" t="n">
        <v>25</v>
      </c>
      <c r="I9" s="14" t="n">
        <v>11.2</v>
      </c>
      <c r="J9" s="14" t="n">
        <v>15.3</v>
      </c>
      <c r="K9" s="14" t="n">
        <v>30.1</v>
      </c>
      <c r="L9" s="14" t="n">
        <v>27.6</v>
      </c>
      <c r="M9" s="14" t="n">
        <v>26.8</v>
      </c>
      <c r="N9" s="14" t="n">
        <v>24.1</v>
      </c>
      <c r="O9" s="14" t="n">
        <v>39</v>
      </c>
      <c r="P9" s="14" t="n">
        <v>131.1</v>
      </c>
    </row>
    <row r="10">
      <c r="A10" t="inlineStr">
        <is>
          <t>Figure Type</t>
        </is>
      </c>
      <c r="B10" t="inlineStr">
        <is>
          <t>Line</t>
        </is>
      </c>
      <c r="F10" s="63" t="n">
        <v>2021</v>
      </c>
      <c r="G10" s="14" t="n">
        <v>41</v>
      </c>
      <c r="H10" s="14" t="n">
        <v>40.8</v>
      </c>
      <c r="I10" s="14" t="n">
        <v>21.4</v>
      </c>
      <c r="J10" s="14" t="n">
        <v>24.5</v>
      </c>
      <c r="K10" s="14" t="n">
        <v>40.5</v>
      </c>
      <c r="L10" s="14" t="n">
        <v>54.3</v>
      </c>
      <c r="M10" s="14" t="n">
        <v>50</v>
      </c>
      <c r="N10" s="14" t="n">
        <v>41.6</v>
      </c>
      <c r="O10" s="14" t="n">
        <v>59.9</v>
      </c>
      <c r="P10" s="14" t="n">
        <v>131.1</v>
      </c>
    </row>
    <row r="11">
      <c r="A11" t="inlineStr">
        <is>
          <t>X Column</t>
        </is>
      </c>
      <c r="B11" t="inlineStr">
        <is>
          <t>Year</t>
        </is>
      </c>
      <c r="F11" s="63" t="n">
        <v>2022</v>
      </c>
      <c r="G11" s="14" t="n">
        <v>60.8</v>
      </c>
      <c r="H11" s="14" t="n">
        <v>63.5</v>
      </c>
      <c r="I11" s="14" t="n">
        <v>39.3</v>
      </c>
      <c r="J11" s="14" t="n">
        <v>32</v>
      </c>
      <c r="K11" s="14" t="n">
        <v>104.1</v>
      </c>
      <c r="L11" s="14" t="n">
        <v>55.6</v>
      </c>
      <c r="M11" s="14" t="n">
        <v>74.2</v>
      </c>
      <c r="N11" s="14" t="n">
        <v>61.5</v>
      </c>
      <c r="O11" s="14" t="n">
        <v>93.8</v>
      </c>
      <c r="P11" s="14" t="n">
        <v>131.1</v>
      </c>
    </row>
    <row r="12">
      <c r="A12" t="inlineStr">
        <is>
          <t>Y Column</t>
        </is>
      </c>
      <c r="F12" s="63" t="n">
        <v>2023</v>
      </c>
      <c r="G12" s="14" t="n">
        <v>61.9</v>
      </c>
      <c r="H12" s="14" t="n">
        <v>61.5</v>
      </c>
      <c r="I12" s="14" t="n">
        <v>39</v>
      </c>
      <c r="J12" s="14" t="n">
        <v>36.7</v>
      </c>
      <c r="K12" s="14" t="n">
        <v>102.2</v>
      </c>
      <c r="L12" s="14" t="n">
        <v>64.8</v>
      </c>
      <c r="M12" s="14" t="n">
        <v>73.8</v>
      </c>
      <c r="N12" s="14" t="inlineStr">
        <is>
          <t>†</t>
        </is>
      </c>
      <c r="O12" s="14" t="n">
        <v>94.8</v>
      </c>
      <c r="P12" s="14" t="n">
        <v>131.1</v>
      </c>
    </row>
    <row r="13">
      <c r="A13" t="inlineStr">
        <is>
          <t>X Axis Title</t>
        </is>
      </c>
      <c r="B13" t="inlineStr">
        <is>
          <t>Year</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Asthma Dashboard, June 2025 sourced from NY Statewide Planning and Research Cooperative System
https://apps.health.ny.gov/public/tabvis/PHIG_Public/asthma/reports/#county</t>
        </is>
      </c>
      <c r="H25" s="52" t="n"/>
      <c r="I25" s="52" t="n"/>
    </row>
    <row r="26"/>
    <row r="27">
      <c r="A27" s="101" t="inlineStr">
        <is>
          <t>Note Specfications</t>
        </is>
      </c>
    </row>
    <row r="28">
      <c r="A28" s="102" t="n"/>
      <c r="H28" s="52" t="n"/>
      <c r="I28" s="52" t="n"/>
      <c r="J28" s="52" t="n"/>
      <c r="K28" s="52" t="n"/>
      <c r="L28" s="52" t="n"/>
    </row>
    <row r="29">
      <c r="A29" s="103" t="inlineStr">
        <is>
          <t>† 2023 data not available for Mid-Hudson
Note: The 2018 population estimates are used to calculate rates for 2019 and 2020. Population estimates for 2021 and later are from the
US Census Bureau's most recently published estimates. Changes seen in 2020 and subsequent data years are possibly due to impacts of the
COVID-19 pandemic. The ICD-10 code for asthma is: J45.</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P57"/>
  <sheetViews>
    <sheetView workbookViewId="0">
      <selection activeCell="L37" sqref="L37"/>
    </sheetView>
  </sheetViews>
  <sheetFormatPr baseColWidth="10" defaultColWidth="8.6640625" defaultRowHeight="15"/>
  <cols>
    <col width="20" bestFit="1" customWidth="1" style="99" min="1" max="1"/>
    <col width="16.6640625" customWidth="1" style="99" min="2" max="2"/>
    <col width="6.6640625" customWidth="1" style="99" min="5" max="5"/>
    <col width="10" bestFit="1"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Percentage of Adults with Cardiovascular Disease, 2016, 2018, and 2021</t>
        </is>
      </c>
    </row>
    <row r="2">
      <c r="A2" s="97" t="inlineStr">
        <is>
          <t>Table/Figure/Both</t>
        </is>
      </c>
      <c r="B2" t="inlineStr">
        <is>
          <t>Both</t>
        </is>
      </c>
    </row>
    <row r="3">
      <c r="A3" s="97" t="inlineStr">
        <is>
          <t xml:space="preserve">Object ID  </t>
        </is>
      </c>
      <c r="B3" t="inlineStr">
        <is>
          <t>tbl-adult-cardiovasdz-percent</t>
        </is>
      </c>
    </row>
    <row r="4">
      <c r="A4" s="97" t="inlineStr">
        <is>
          <t>Figure ID</t>
        </is>
      </c>
      <c r="B4" t="inlineStr">
        <is>
          <t>fig-adult-cardiovasdz-percent</t>
        </is>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s="101" t="inlineStr">
        <is>
          <t>Sullivan</t>
        </is>
      </c>
      <c r="L5" s="101" t="inlineStr">
        <is>
          <t>Ulster</t>
        </is>
      </c>
      <c r="M5" s="101" t="inlineStr">
        <is>
          <t>Westchester</t>
        </is>
      </c>
      <c r="N5" s="101" t="inlineStr">
        <is>
          <t>NYS excl NYC</t>
        </is>
      </c>
      <c r="O5" t="inlineStr">
        <is>
          <t>NYS</t>
        </is>
      </c>
    </row>
    <row r="6" ht="15" customHeight="1" s="99">
      <c r="A6" t="inlineStr">
        <is>
          <t>Multilevel Headers</t>
        </is>
      </c>
      <c r="B6" t="b">
        <v>0</v>
      </c>
      <c r="F6" s="63" t="n">
        <v>2016</v>
      </c>
      <c r="G6" s="14" t="n">
        <v>6.1</v>
      </c>
      <c r="H6" s="14" t="n">
        <v>6.4</v>
      </c>
      <c r="I6" s="14" t="n">
        <v>4.4</v>
      </c>
      <c r="J6" s="14" t="n">
        <v>6.2</v>
      </c>
      <c r="K6" s="14" t="n">
        <v>7.3</v>
      </c>
      <c r="L6" s="14" t="n">
        <v>7.3</v>
      </c>
      <c r="M6" s="14" t="n">
        <v>6.1</v>
      </c>
      <c r="N6" s="14" t="n">
        <v>7.2</v>
      </c>
      <c r="O6" s="14" t="n">
        <v>7</v>
      </c>
      <c r="P6" s="14" t="n"/>
    </row>
    <row r="7" ht="15.75" customHeight="1" s="99">
      <c r="F7" s="63" t="n">
        <v>2018</v>
      </c>
      <c r="G7" s="14" t="n">
        <v>7</v>
      </c>
      <c r="H7" s="14" t="n">
        <v>7.8</v>
      </c>
      <c r="I7" s="14" t="n">
        <v>4.5</v>
      </c>
      <c r="J7" s="14" t="n">
        <v>8</v>
      </c>
      <c r="K7" s="14" t="n">
        <v>8.6</v>
      </c>
      <c r="L7" s="14" t="n">
        <v>4.5</v>
      </c>
      <c r="M7" s="14" t="n">
        <v>5.4</v>
      </c>
      <c r="N7" s="14" t="n">
        <v>7.4</v>
      </c>
      <c r="O7" s="14" t="n">
        <v>7</v>
      </c>
      <c r="P7" s="14" t="n"/>
    </row>
    <row r="8">
      <c r="F8" s="63" t="n">
        <v>2021</v>
      </c>
      <c r="G8" s="14" t="n">
        <v>7.2</v>
      </c>
      <c r="H8" s="14" t="n">
        <v>6.6</v>
      </c>
      <c r="I8" s="14" t="n">
        <v>6.8</v>
      </c>
      <c r="J8" s="14" t="n">
        <v>5.7</v>
      </c>
      <c r="K8" s="14" t="n">
        <v>7.4</v>
      </c>
      <c r="L8" s="14" t="n">
        <v>6.7</v>
      </c>
      <c r="M8" s="14" t="n">
        <v>5.4</v>
      </c>
      <c r="N8" s="14" t="n">
        <v>6.7</v>
      </c>
      <c r="O8" s="14" t="n">
        <v>6.4</v>
      </c>
      <c r="P8" s="14" t="n"/>
    </row>
    <row r="9">
      <c r="A9" s="98" t="inlineStr">
        <is>
          <t>Figure Rules</t>
        </is>
      </c>
      <c r="F9" s="63" t="n"/>
      <c r="G9" s="14" t="n"/>
      <c r="H9" s="14" t="n"/>
      <c r="I9" s="14" t="n"/>
      <c r="J9" s="14" t="n"/>
      <c r="K9" s="14" t="n"/>
      <c r="L9" s="14" t="n"/>
      <c r="M9" s="14" t="n"/>
      <c r="N9" s="14" t="n"/>
      <c r="O9" s="14" t="n"/>
      <c r="P9" s="14" t="n"/>
    </row>
    <row r="10">
      <c r="A10" t="inlineStr">
        <is>
          <t>Figure Type</t>
        </is>
      </c>
      <c r="B10" t="inlineStr">
        <is>
          <t>Stacked Bar</t>
        </is>
      </c>
      <c r="F10" s="63" t="n"/>
      <c r="G10" s="14" t="n"/>
      <c r="H10" s="14" t="n"/>
      <c r="I10" s="14" t="n"/>
      <c r="J10" s="14" t="n"/>
      <c r="K10" s="14" t="n"/>
      <c r="L10" s="14" t="n"/>
      <c r="M10" s="14" t="n"/>
      <c r="N10" s="14" t="n"/>
      <c r="O10" s="14" t="n"/>
      <c r="P10" s="14" t="n"/>
    </row>
    <row r="11">
      <c r="A11" t="inlineStr">
        <is>
          <t>X Column</t>
        </is>
      </c>
      <c r="B11" t="inlineStr">
        <is>
          <t>Year</t>
        </is>
      </c>
      <c r="F11" s="63" t="n"/>
      <c r="G11" s="14" t="n"/>
      <c r="H11" s="14" t="n"/>
      <c r="I11" s="14" t="n"/>
      <c r="J11" s="14" t="n"/>
      <c r="K11" s="14" t="n"/>
      <c r="L11" s="14" t="n"/>
      <c r="M11" s="14" t="n"/>
      <c r="N11" s="14" t="n"/>
      <c r="O11" s="14" t="n"/>
      <c r="P11" s="14" t="n"/>
    </row>
    <row r="12">
      <c r="A12" t="inlineStr">
        <is>
          <t>Y Column</t>
        </is>
      </c>
      <c r="F12" s="63" t="n"/>
      <c r="G12" s="14" t="n"/>
      <c r="H12" s="14" t="n"/>
      <c r="I12" s="14" t="n"/>
      <c r="J12" s="14" t="n"/>
      <c r="K12" s="14" t="n"/>
      <c r="L12" s="14" t="n"/>
      <c r="M12" s="14" t="n"/>
      <c r="N12" s="14" t="n"/>
      <c r="O12" s="14" t="n"/>
      <c r="P12" s="14" t="n"/>
    </row>
    <row r="13">
      <c r="A13" t="inlineStr">
        <is>
          <t>X Axis Title</t>
        </is>
      </c>
      <c r="B13" t="inlineStr">
        <is>
          <t>Year</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Community Health Indicator Reports Dashboard, April 2025 sourced from NYSDOH Behavioral Risk Factor Surveillance
System
https://webbi1.health.ny.gov/SASStoredProcess/guest?_program=%2FEBI%2FPHIG%2Fapps%2Fchir_dashboard%2Fchir_dashboard&amp;
p=ch&amp;cos=33</t>
        </is>
      </c>
      <c r="H25" s="52" t="n"/>
      <c r="I25" s="52" t="n"/>
    </row>
    <row r="26"/>
    <row r="27">
      <c r="A27" s="101" t="inlineStr">
        <is>
          <t>Note Specfications</t>
        </is>
      </c>
    </row>
    <row r="28">
      <c r="A28" s="102" t="n"/>
      <c r="H28" s="52" t="n"/>
      <c r="I28" s="52" t="n"/>
      <c r="J28" s="52" t="n"/>
      <c r="K28" s="52" t="n"/>
      <c r="L28" s="52" t="n"/>
    </row>
    <row r="29">
      <c r="A29" s="103" t="inlineStr">
        <is>
          <t xml:space="preserve">Note: The percentage is age-adjusted. An adult is a person aged 18 years or older. The Behavioral Risk Factor Surveillance System asks
respondents "Has a doctor, nurse, or other health professional ever told you that you had any of the following:” and “Ever told you that you
had a heart attack also called a myocardial infarction?” and “Ever told you that you had angina or coronary heart disease?” Based on
responses to these questions, a person has Cardiovascular Disease if they responded yes to either of these questions. </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16.6640625" customWidth="1" style="99" min="2" max="2"/>
    <col width="6.6640625" customWidth="1" style="99" min="5" max="5"/>
    <col width="10" bestFit="1"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Cardiovascular Hospitalization, Age-Adjusted Rate per 10,000, 2019–2021</t>
        </is>
      </c>
    </row>
    <row r="2">
      <c r="A2" s="97" t="inlineStr">
        <is>
          <t>Table/Figure/Both</t>
        </is>
      </c>
      <c r="B2" t="inlineStr">
        <is>
          <t>Both</t>
        </is>
      </c>
    </row>
    <row r="3">
      <c r="A3" s="97" t="inlineStr">
        <is>
          <t xml:space="preserve">Object ID  </t>
        </is>
      </c>
      <c r="B3" t="inlineStr">
        <is>
          <t>tbl-cardiovasdz-hospi-aar</t>
        </is>
      </c>
    </row>
    <row r="4">
      <c r="A4" s="97" t="inlineStr">
        <is>
          <t>Figure ID</t>
        </is>
      </c>
      <c r="B4" t="inlineStr">
        <is>
          <t>fig-cardiovasdz-hospi-aar</t>
        </is>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s="101" t="inlineStr">
        <is>
          <t>Sullivan</t>
        </is>
      </c>
      <c r="L5" s="101" t="inlineStr">
        <is>
          <t>Ulster</t>
        </is>
      </c>
      <c r="M5" s="101" t="inlineStr">
        <is>
          <t>Westchester</t>
        </is>
      </c>
      <c r="N5" s="101" t="inlineStr">
        <is>
          <t>Mid-Hudson</t>
        </is>
      </c>
      <c r="O5" t="inlineStr">
        <is>
          <t>NYS</t>
        </is>
      </c>
    </row>
    <row r="6" ht="15" customHeight="1" s="99">
      <c r="A6" t="inlineStr">
        <is>
          <t>Multilevel Headers</t>
        </is>
      </c>
      <c r="B6" t="b">
        <v>0</v>
      </c>
      <c r="F6" s="63" t="inlineStr">
        <is>
          <t>2019–2021</t>
        </is>
      </c>
      <c r="G6" s="14" t="n">
        <v>102.3</v>
      </c>
      <c r="H6" s="14" t="n">
        <v>116.1</v>
      </c>
      <c r="I6" s="14" t="n">
        <v>76.90000000000001</v>
      </c>
      <c r="J6" s="14" t="n">
        <v>81.09999999999999</v>
      </c>
      <c r="K6" s="14" t="n">
        <v>129.9</v>
      </c>
      <c r="L6" s="14" t="n">
        <v>109.6</v>
      </c>
      <c r="M6" s="14" t="n">
        <v>90.90000000000001</v>
      </c>
      <c r="N6" s="14" t="n">
        <v>99.3</v>
      </c>
      <c r="O6" s="14" t="n">
        <v>111.2</v>
      </c>
      <c r="P6" s="14" t="n"/>
    </row>
    <row r="7" ht="15.75" customHeight="1" s="99">
      <c r="F7" s="63" t="n"/>
      <c r="G7" s="14" t="n"/>
      <c r="H7" s="14" t="n"/>
      <c r="I7" s="14" t="n"/>
      <c r="J7" s="14" t="n"/>
      <c r="K7" s="14" t="n"/>
      <c r="L7" s="14" t="n"/>
      <c r="M7" s="14" t="n"/>
      <c r="N7" s="14" t="n"/>
      <c r="O7" s="14" t="n"/>
      <c r="P7" s="14" t="n"/>
    </row>
    <row r="8">
      <c r="F8" s="63" t="n"/>
      <c r="G8" s="14" t="n"/>
      <c r="H8" s="14" t="n"/>
      <c r="I8" s="14" t="n"/>
      <c r="J8" s="14" t="n"/>
      <c r="K8" s="14" t="n"/>
      <c r="L8" s="14" t="n"/>
      <c r="M8" s="14" t="n"/>
      <c r="N8" s="14" t="n"/>
      <c r="O8" s="14" t="n"/>
      <c r="P8" s="14" t="n"/>
    </row>
    <row r="9">
      <c r="A9" s="98" t="inlineStr">
        <is>
          <t>Figure Rules</t>
        </is>
      </c>
      <c r="F9" s="63" t="n"/>
      <c r="G9" s="14" t="n"/>
      <c r="H9" s="14" t="n"/>
      <c r="I9" s="14" t="n"/>
      <c r="J9" s="14" t="n"/>
      <c r="K9" s="14" t="n"/>
      <c r="L9" s="14" t="n"/>
      <c r="M9" s="14" t="n"/>
      <c r="N9" s="14" t="n"/>
      <c r="O9" s="14" t="n"/>
      <c r="P9" s="14" t="n"/>
    </row>
    <row r="10">
      <c r="A10" t="inlineStr">
        <is>
          <t>Figure Type</t>
        </is>
      </c>
      <c r="B10" t="inlineStr">
        <is>
          <t>Bar</t>
        </is>
      </c>
      <c r="F10" s="63" t="n"/>
      <c r="G10" s="14" t="n"/>
      <c r="H10" s="14" t="n"/>
      <c r="I10" s="14" t="n"/>
      <c r="J10" s="14" t="n"/>
      <c r="K10" s="14" t="n"/>
      <c r="L10" s="14" t="n"/>
      <c r="M10" s="14" t="n"/>
      <c r="N10" s="14" t="n"/>
      <c r="O10" s="14" t="n"/>
      <c r="P10" s="14" t="n"/>
    </row>
    <row r="11">
      <c r="A11" t="inlineStr">
        <is>
          <t>X Column</t>
        </is>
      </c>
      <c r="B11" t="inlineStr">
        <is>
          <t>Year</t>
        </is>
      </c>
      <c r="F11" s="63" t="n"/>
      <c r="G11" s="14" t="n"/>
      <c r="H11" s="14" t="n"/>
      <c r="I11" s="14" t="n"/>
      <c r="J11" s="14" t="n"/>
      <c r="K11" s="14" t="n"/>
      <c r="L11" s="14" t="n"/>
      <c r="M11" s="14" t="n"/>
      <c r="N11" s="14" t="n"/>
      <c r="O11" s="14" t="n"/>
      <c r="P11" s="14" t="n"/>
    </row>
    <row r="12">
      <c r="A12" t="inlineStr">
        <is>
          <t>Y Column</t>
        </is>
      </c>
      <c r="F12" s="63" t="n"/>
      <c r="G12" s="14" t="n"/>
      <c r="H12" s="14" t="n"/>
      <c r="I12" s="14" t="n"/>
      <c r="J12" s="14" t="n"/>
      <c r="K12" s="14" t="n"/>
      <c r="L12" s="14" t="n"/>
      <c r="M12" s="14" t="n"/>
      <c r="N12" s="14" t="n"/>
      <c r="O12" s="14" t="n"/>
      <c r="P12" s="14" t="n"/>
    </row>
    <row r="13">
      <c r="A13" t="inlineStr">
        <is>
          <t>X Axis Title</t>
        </is>
      </c>
      <c r="B13" t="inlineStr">
        <is>
          <t>Year</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Community Health Indicator Reports Dashboard, March 2025 sourced from NY Statewide Planning and Research
Cooperative System
https://webbi1.health.ny.gov/SASStoredProcess/guest?_program=%2FEBI%2FPHIG%2Fapps%2Fchir_dashboard%2Fchir_dashboard&amp;
p=ch&amp;cos=33</t>
        </is>
      </c>
      <c r="H25" s="52" t="n"/>
      <c r="I25" s="52" t="n"/>
    </row>
    <row r="26"/>
    <row r="27">
      <c r="A27" s="101" t="inlineStr">
        <is>
          <t>Note Specfications</t>
        </is>
      </c>
    </row>
    <row r="28">
      <c r="A28" s="102" t="n"/>
      <c r="H28" s="52" t="n"/>
      <c r="I28" s="52" t="n"/>
      <c r="J28" s="52" t="n"/>
      <c r="K28" s="52" t="n"/>
      <c r="L28" s="52" t="n"/>
    </row>
    <row r="29">
      <c r="A29" s="103" t="inlineStr">
        <is>
          <t>Note: The ICD-10 codes used for cardiovascular disease are: I00-I99.</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P57"/>
  <sheetViews>
    <sheetView workbookViewId="0">
      <selection activeCell="I18" sqref="I18"/>
    </sheetView>
  </sheetViews>
  <sheetFormatPr baseColWidth="10" defaultColWidth="8.6640625" defaultRowHeight="15"/>
  <cols>
    <col width="20" bestFit="1" customWidth="1" style="99" min="1" max="1"/>
    <col width="16.6640625" customWidth="1" style="99" min="2" max="2"/>
    <col width="6.6640625" customWidth="1" style="99" min="5" max="5"/>
    <col width="10" bestFit="1"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 xml:space="preserve">Cardiovascular Disease Mortality, Age-Adjusted Rate Per 100,000 Population, 2018–2021 </t>
        </is>
      </c>
    </row>
    <row r="2">
      <c r="A2" s="97" t="inlineStr">
        <is>
          <t>Table/Figure/Both</t>
        </is>
      </c>
      <c r="B2" t="inlineStr">
        <is>
          <t>Both</t>
        </is>
      </c>
    </row>
    <row r="3">
      <c r="A3" s="97" t="inlineStr">
        <is>
          <t xml:space="preserve">Object ID  </t>
        </is>
      </c>
      <c r="B3" t="inlineStr">
        <is>
          <t>tbl-cardiovasdz-mortal-aar</t>
        </is>
      </c>
    </row>
    <row r="4">
      <c r="A4" s="97" t="inlineStr">
        <is>
          <t>Figure ID</t>
        </is>
      </c>
      <c r="B4" t="inlineStr">
        <is>
          <t>fig-cardiovasdz-mortal-aar</t>
        </is>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s="101" t="inlineStr">
        <is>
          <t>Three Year Average</t>
        </is>
      </c>
      <c r="N5" s="101" t="inlineStr">
        <is>
          <t xml:space="preserve"> Single Year</t>
        </is>
      </c>
    </row>
    <row r="6" ht="15" customHeight="1" s="99">
      <c r="A6" t="inlineStr">
        <is>
          <t>Multilevel Headers</t>
        </is>
      </c>
      <c r="B6" t="b">
        <v>1</v>
      </c>
      <c r="F6" s="63" t="inlineStr">
        <is>
          <t>Year</t>
        </is>
      </c>
      <c r="G6" s="14" t="inlineStr">
        <is>
          <t>Dutchess</t>
        </is>
      </c>
      <c r="H6" s="14" t="inlineStr">
        <is>
          <t>Orange</t>
        </is>
      </c>
      <c r="I6" s="14" t="inlineStr">
        <is>
          <t>Putnam</t>
        </is>
      </c>
      <c r="J6" s="14" t="inlineStr">
        <is>
          <t>Rockland</t>
        </is>
      </c>
      <c r="K6" s="14" t="inlineStr">
        <is>
          <t>Sullivan</t>
        </is>
      </c>
      <c r="L6" s="14" t="inlineStr">
        <is>
          <t>Ulster</t>
        </is>
      </c>
      <c r="M6" s="14" t="inlineStr">
        <is>
          <t>Westchester</t>
        </is>
      </c>
      <c r="N6" s="14" t="inlineStr">
        <is>
          <t>NYS excl NYC</t>
        </is>
      </c>
      <c r="O6" s="14" t="inlineStr">
        <is>
          <t>NYS</t>
        </is>
      </c>
      <c r="P6" s="14" t="n"/>
    </row>
    <row r="7" ht="15.75" customHeight="1" s="99">
      <c r="F7" s="63" t="n">
        <v>2018</v>
      </c>
      <c r="G7" s="14" t="n">
        <v>202.5</v>
      </c>
      <c r="H7" s="14" t="n">
        <v>197.7</v>
      </c>
      <c r="I7" s="14" t="n">
        <v>188.1</v>
      </c>
      <c r="J7" s="14" t="n">
        <v>174.5</v>
      </c>
      <c r="K7" s="14" t="n">
        <v>206</v>
      </c>
      <c r="L7" s="14" t="n">
        <v>207</v>
      </c>
      <c r="M7" s="14" t="n">
        <v>175.9</v>
      </c>
      <c r="N7" s="14" t="n">
        <v>210.3</v>
      </c>
      <c r="O7" s="14" t="n">
        <v>211.1</v>
      </c>
      <c r="P7" s="14" t="n"/>
    </row>
    <row r="8">
      <c r="F8" s="63" t="n">
        <v>2019</v>
      </c>
      <c r="G8" s="14" t="n">
        <v>205.8</v>
      </c>
      <c r="H8" s="14" t="n">
        <v>201.8</v>
      </c>
      <c r="I8" s="14" t="n">
        <v>194.8</v>
      </c>
      <c r="J8" s="14" t="n">
        <v>180.6</v>
      </c>
      <c r="K8" s="14" t="n">
        <v>215.8</v>
      </c>
      <c r="L8" s="14" t="n">
        <v>208.5</v>
      </c>
      <c r="M8" s="14" t="n">
        <v>181.2</v>
      </c>
      <c r="N8" s="14" t="n">
        <v>205.5</v>
      </c>
      <c r="O8" s="14" t="n">
        <v>208.6</v>
      </c>
      <c r="P8" s="14" t="n"/>
    </row>
    <row r="9">
      <c r="A9" s="98" t="inlineStr">
        <is>
          <t>Figure Rules</t>
        </is>
      </c>
      <c r="F9" s="63" t="n">
        <v>2020</v>
      </c>
      <c r="G9" s="14" t="n">
        <v>213.6</v>
      </c>
      <c r="H9" s="14" t="n">
        <v>199.5</v>
      </c>
      <c r="I9" s="14" t="n">
        <v>184.2</v>
      </c>
      <c r="J9" s="14" t="n">
        <v>180.7</v>
      </c>
      <c r="K9" s="14" t="n">
        <v>226.6</v>
      </c>
      <c r="L9" s="14" t="n">
        <v>218.6</v>
      </c>
      <c r="M9" s="14" t="n">
        <v>178</v>
      </c>
      <c r="N9" s="14" t="n">
        <v>214.2</v>
      </c>
      <c r="O9" s="14" t="n">
        <v>230.8</v>
      </c>
      <c r="P9" s="14" t="n"/>
    </row>
    <row r="10">
      <c r="A10" t="inlineStr">
        <is>
          <t>Figure Type</t>
        </is>
      </c>
      <c r="B10" t="inlineStr">
        <is>
          <t>Line</t>
        </is>
      </c>
      <c r="F10" s="63" t="n">
        <v>2021</v>
      </c>
      <c r="G10" s="14" t="n">
        <v>220.2</v>
      </c>
      <c r="H10" s="14" t="n">
        <v>198.4</v>
      </c>
      <c r="I10" s="14" t="n">
        <v>177.9</v>
      </c>
      <c r="J10" s="14" t="n">
        <v>176</v>
      </c>
      <c r="K10" s="14" t="n">
        <v>235.5</v>
      </c>
      <c r="L10" s="14" t="n">
        <v>224.5</v>
      </c>
      <c r="M10" s="14" t="n">
        <v>177.2</v>
      </c>
      <c r="N10" s="14" t="n">
        <v>211.1</v>
      </c>
      <c r="O10" s="14" t="n">
        <v>206.2</v>
      </c>
      <c r="P10" s="14" t="n"/>
    </row>
    <row r="11">
      <c r="A11" t="inlineStr">
        <is>
          <t>X Column</t>
        </is>
      </c>
      <c r="B11" t="inlineStr">
        <is>
          <t>Year</t>
        </is>
      </c>
      <c r="F11" s="63" t="n"/>
      <c r="G11" s="14" t="n"/>
      <c r="H11" s="14" t="n"/>
      <c r="I11" s="14" t="n"/>
      <c r="J11" s="14" t="n"/>
      <c r="K11" s="14" t="n"/>
      <c r="L11" s="14" t="n"/>
      <c r="M11" s="14" t="n"/>
      <c r="N11" s="14" t="n"/>
      <c r="O11" s="14" t="n"/>
      <c r="P11" s="14" t="n"/>
    </row>
    <row r="12">
      <c r="A12" t="inlineStr">
        <is>
          <t>Y Column</t>
        </is>
      </c>
      <c r="F12" s="63" t="n"/>
      <c r="G12" s="14" t="n"/>
      <c r="H12" s="14" t="n"/>
      <c r="I12" s="14" t="n"/>
      <c r="J12" s="14" t="n"/>
      <c r="K12" s="14" t="n"/>
      <c r="L12" s="14" t="n"/>
      <c r="M12" s="14" t="n"/>
      <c r="N12" s="14" t="n"/>
      <c r="O12" s="14" t="n"/>
      <c r="P12" s="14" t="n"/>
    </row>
    <row r="13">
      <c r="A13" t="inlineStr">
        <is>
          <t>X Axis Title</t>
        </is>
      </c>
      <c r="B13" t="inlineStr">
        <is>
          <t>Year</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c r="B25" t="inlineStr">
        <is>
          <t>Source: NYS Community Health Indicator Reports Dashboard, March 2025 sourced from Vital Statistics of NYS
https://webbi1.health.ny.gov/SASStoredProcess/guest?_program=%2FEBI%2FPHIG%2Fapps%2Fchir_dashboard%2Fchir_dashboard&amp;
p=ch&amp;cos=33</t>
        </is>
      </c>
      <c r="H25" s="52" t="n"/>
      <c r="I25" s="52" t="n"/>
    </row>
    <row r="26"/>
    <row r="27">
      <c r="A27" s="101" t="inlineStr">
        <is>
          <t>Note Specfications</t>
        </is>
      </c>
    </row>
    <row r="28">
      <c r="A28" s="102" t="n"/>
      <c r="H28" s="52" t="n"/>
      <c r="I28" s="52" t="n"/>
      <c r="J28" s="52" t="n"/>
      <c r="K28" s="52" t="n"/>
      <c r="L28" s="52" t="n"/>
    </row>
    <row r="29">
      <c r="A29" s="103" t="inlineStr">
        <is>
          <t>Note: This indicator includes deaths with cardiovascular disease as the primary cause of death. The ICD-10 codes for cardiovascular disease
are: I00-I99.</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A9:B9"/>
    <mergeCell ref="A28:B28"/>
    <mergeCell ref="A5:B5"/>
    <mergeCell ref="A29:D40"/>
    <mergeCell ref="A18:B18"/>
    <mergeCell ref="N5:O5"/>
    <mergeCell ref="A27:B27"/>
    <mergeCell ref="G5:M5"/>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15.1640625"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Asthma, Gastroenteritis, Otitis Media, and Pneumonia Hospitalizations, Rate per 10,000 Population 0–4 Years Old,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n"/>
      <c r="G4" s="16" t="inlineStr">
        <is>
          <t>number</t>
        </is>
      </c>
      <c r="H4" s="16" t="inlineStr">
        <is>
          <t>number</t>
        </is>
      </c>
      <c r="I4" s="16" t="inlineStr">
        <is>
          <t>number</t>
        </is>
      </c>
      <c r="J4" s="16" t="inlineStr">
        <is>
          <t>number</t>
        </is>
      </c>
      <c r="K4" s="16" t="n"/>
      <c r="L4" s="16" t="n"/>
      <c r="M4" s="16" t="n"/>
      <c r="N4" s="16" t="n"/>
      <c r="O4" s="16" t="n"/>
      <c r="P4" s="16" t="n"/>
    </row>
    <row r="5">
      <c r="A5" s="98" t="inlineStr">
        <is>
          <t>Table Rules</t>
        </is>
      </c>
      <c r="E5" s="100" t="inlineStr">
        <is>
          <t xml:space="preserve">Enter Data </t>
        </is>
      </c>
      <c r="F5" s="101" t="n"/>
      <c r="G5" s="101" t="inlineStr">
        <is>
          <t>Asthma</t>
        </is>
      </c>
      <c r="H5" s="101" t="inlineStr">
        <is>
          <t>Gastroenteritis</t>
        </is>
      </c>
      <c r="I5" s="101" t="inlineStr">
        <is>
          <t>Otitis Media</t>
        </is>
      </c>
      <c r="J5" s="101" t="inlineStr">
        <is>
          <t>Pneumonia</t>
        </is>
      </c>
      <c r="K5" s="101" t="n"/>
      <c r="L5" s="101" t="n"/>
      <c r="M5" s="101" t="n"/>
      <c r="N5" s="101" t="n"/>
      <c r="O5" s="101" t="n"/>
    </row>
    <row r="6" ht="15" customHeight="1" s="99">
      <c r="A6" t="inlineStr">
        <is>
          <t>Multilevel Headers</t>
        </is>
      </c>
      <c r="B6" t="b">
        <v>0</v>
      </c>
      <c r="F6" s="51" t="inlineStr">
        <is>
          <t>NYS</t>
        </is>
      </c>
      <c r="G6" s="116" t="n">
        <v>24.9</v>
      </c>
      <c r="H6" s="116" t="n">
        <v>7.7</v>
      </c>
      <c r="I6" s="116" t="n">
        <v>1</v>
      </c>
      <c r="J6" s="116" t="n">
        <v>13.4</v>
      </c>
      <c r="K6" s="116" t="n"/>
      <c r="L6" s="116" t="n"/>
      <c r="M6" s="116" t="n"/>
      <c r="N6" s="116" t="n"/>
      <c r="O6" s="116" t="n"/>
      <c r="P6" s="14" t="n"/>
    </row>
    <row r="7" ht="15.75" customHeight="1" s="99">
      <c r="F7" s="51" t="inlineStr">
        <is>
          <t>NYS excl NYC</t>
        </is>
      </c>
      <c r="G7" s="116" t="n">
        <v>17.2</v>
      </c>
      <c r="H7" s="116" t="n">
        <v>5.3</v>
      </c>
      <c r="I7" s="116" t="n">
        <v>0.8</v>
      </c>
      <c r="J7" s="116" t="n">
        <v>11.5</v>
      </c>
      <c r="K7" s="116" t="n"/>
      <c r="L7" s="116" t="n"/>
      <c r="M7" s="116" t="n"/>
      <c r="N7" s="116" t="n"/>
      <c r="O7" s="116" t="n"/>
      <c r="P7" s="14" t="n"/>
    </row>
    <row r="8">
      <c r="F8" s="51" t="inlineStr">
        <is>
          <t>Mid-Hudson</t>
        </is>
      </c>
      <c r="G8" s="116" t="n">
        <v>18.8</v>
      </c>
      <c r="H8" s="116" t="n">
        <v>6.8</v>
      </c>
      <c r="I8" s="116" t="n">
        <v>1</v>
      </c>
      <c r="J8" s="116" t="n">
        <v>15.2</v>
      </c>
      <c r="K8" s="116" t="n"/>
      <c r="L8" s="116" t="n"/>
      <c r="M8" s="116" t="n"/>
      <c r="N8" s="116" t="n"/>
      <c r="O8" s="116" t="n"/>
      <c r="P8" s="14" t="n"/>
    </row>
    <row r="9">
      <c r="A9" s="98" t="inlineStr">
        <is>
          <t>Figure Rules</t>
        </is>
      </c>
      <c r="F9" s="116" t="n"/>
      <c r="G9" s="116" t="n"/>
      <c r="H9" s="116" t="n"/>
      <c r="I9" s="116" t="n"/>
      <c r="J9" s="116" t="n"/>
      <c r="K9" s="116" t="n"/>
      <c r="L9" s="116" t="n"/>
      <c r="M9" s="116" t="n"/>
      <c r="N9" s="116" t="n"/>
      <c r="O9" s="116" t="n"/>
      <c r="P9" s="14" t="n"/>
    </row>
    <row r="10">
      <c r="A10" t="inlineStr">
        <is>
          <t>Figure Type</t>
        </is>
      </c>
      <c r="B10" t="inlineStr">
        <is>
          <t>Clustered Bar</t>
        </is>
      </c>
      <c r="H10" s="14" t="n"/>
      <c r="I10" s="14" t="n"/>
      <c r="J10" s="14" t="n"/>
    </row>
    <row r="11">
      <c r="A11" t="inlineStr">
        <is>
          <t>X Column</t>
        </is>
      </c>
      <c r="B11" t="inlineStr">
        <is>
          <t>County</t>
        </is>
      </c>
    </row>
    <row r="12">
      <c r="A12" t="inlineStr">
        <is>
          <t>Y Column</t>
        </is>
      </c>
      <c r="B12" t="inlineStr">
        <is>
          <t>Rate</t>
        </is>
      </c>
    </row>
    <row r="13">
      <c r="A13" t="inlineStr">
        <is>
          <t>X Axis Title</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c r="B19" t="inlineStr">
        <is>
          <t>NYS Community Health Indicator Reports Dashboard</t>
        </is>
      </c>
    </row>
    <row r="20">
      <c r="A20" t="inlineStr">
        <is>
          <t>URL</t>
        </is>
      </c>
      <c r="B20" t="inlineStr">
        <is>
          <t>https://apps.health.ny.gov/public/tabvis/PHIG_Public/chirs/reports/#county</t>
        </is>
      </c>
    </row>
    <row r="21">
      <c r="A21" t="inlineStr">
        <is>
          <t>Data Year</t>
        </is>
      </c>
      <c r="B21" t="inlineStr">
        <is>
          <t>2020-2022</t>
        </is>
      </c>
    </row>
    <row r="22">
      <c r="A22" t="inlineStr">
        <is>
          <t>Estimate Type</t>
        </is>
      </c>
    </row>
    <row r="23">
      <c r="A23" t="inlineStr">
        <is>
          <t>Citation Month</t>
        </is>
      </c>
      <c r="B23" t="inlineStr">
        <is>
          <t>April</t>
        </is>
      </c>
    </row>
    <row r="24">
      <c r="A24" t="inlineStr">
        <is>
          <t>Citation Year</t>
        </is>
      </c>
      <c r="B24" t="n">
        <v>2025</v>
      </c>
    </row>
    <row r="25">
      <c r="A25" t="inlineStr">
        <is>
          <t>Custom Text</t>
        </is>
      </c>
      <c r="B25" t="inlineStr">
        <is>
          <t>Source: NYS Community Health Indicator Reports Dashboard, April 2025 sourced from NY Statewide Planning and Research Cooperative System https://apps.health.ny.gov/public/tabvis/PHIG_Public/chirs/reports/#county</t>
        </is>
      </c>
      <c r="H25" s="52" t="n"/>
      <c r="I25" s="52" t="n"/>
    </row>
    <row r="26"/>
    <row r="27">
      <c r="A27" s="101" t="inlineStr">
        <is>
          <t>Note Specfications</t>
        </is>
      </c>
    </row>
    <row r="28">
      <c r="A28" s="102" t="n"/>
      <c r="H28" s="52" t="n"/>
      <c r="I28" s="52" t="n"/>
      <c r="J28" s="52" t="n"/>
      <c r="K28" s="52" t="n"/>
      <c r="L28" s="52" t="n"/>
    </row>
    <row r="29">
      <c r="A29" s="103" t="inlineStr">
        <is>
          <t xml:space="preserve"> The ICD-10 codes for otitis media are: H65.0, H65.1, H65.2, H65.3, H66.0, H66.1, and H66.2.</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P57"/>
  <sheetViews>
    <sheetView workbookViewId="0">
      <selection activeCell="I20" sqref="I20"/>
    </sheetView>
  </sheetViews>
  <sheetFormatPr baseColWidth="10" defaultColWidth="8.6640625" defaultRowHeight="15"/>
  <cols>
    <col width="20" bestFit="1" customWidth="1" style="99" min="1" max="1"/>
    <col width="16.6640625" customWidth="1" style="99" min="2" max="2"/>
    <col width="6.6640625" customWidth="1" style="99" min="5" max="5"/>
    <col width="10" bestFit="1"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Unintentional Injury Mortality, Age-Adjusted Rate per 100,000 Population, 2018–2021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number</t>
        </is>
      </c>
      <c r="H4" s="16" t="inlineStr">
        <is>
          <t>number</t>
        </is>
      </c>
      <c r="I4" s="16" t="inlineStr">
        <is>
          <t>number</t>
        </is>
      </c>
      <c r="J4" s="16" t="inlineStr">
        <is>
          <t>number</t>
        </is>
      </c>
      <c r="K4" s="16" t="inlineStr">
        <is>
          <t>number</t>
        </is>
      </c>
      <c r="L4" s="16" t="inlineStr">
        <is>
          <t>number</t>
        </is>
      </c>
      <c r="M4" s="16" t="inlineStr">
        <is>
          <t>number</t>
        </is>
      </c>
      <c r="N4" s="16" t="inlineStr">
        <is>
          <t>number</t>
        </is>
      </c>
      <c r="O4" s="16" t="inlineStr">
        <is>
          <t>number</t>
        </is>
      </c>
      <c r="P4" s="16" t="n"/>
    </row>
    <row r="5">
      <c r="A5" s="98" t="inlineStr">
        <is>
          <t>Table Rules</t>
        </is>
      </c>
      <c r="E5" s="100" t="inlineStr">
        <is>
          <t xml:space="preserve">Enter Data </t>
        </is>
      </c>
      <c r="G5" s="101" t="inlineStr">
        <is>
          <t>Three Year Average</t>
        </is>
      </c>
      <c r="N5" s="101" t="inlineStr">
        <is>
          <t xml:space="preserve"> Single Year</t>
        </is>
      </c>
    </row>
    <row r="6" ht="15" customHeight="1" s="99">
      <c r="A6" t="inlineStr">
        <is>
          <t>Multilevel Headers</t>
        </is>
      </c>
      <c r="B6" t="b">
        <v>1</v>
      </c>
      <c r="F6" s="63" t="inlineStr">
        <is>
          <t>Year</t>
        </is>
      </c>
      <c r="G6" s="116" t="inlineStr">
        <is>
          <t>Dutchess</t>
        </is>
      </c>
      <c r="H6" s="116" t="inlineStr">
        <is>
          <t>Orange</t>
        </is>
      </c>
      <c r="I6" s="116" t="inlineStr">
        <is>
          <t>Putnam</t>
        </is>
      </c>
      <c r="J6" s="116" t="inlineStr">
        <is>
          <t>Rockland</t>
        </is>
      </c>
      <c r="K6" s="116" t="inlineStr">
        <is>
          <t>Sullivan</t>
        </is>
      </c>
      <c r="L6" s="116" t="inlineStr">
        <is>
          <t>Ulster</t>
        </is>
      </c>
      <c r="M6" s="116" t="inlineStr">
        <is>
          <t>Westchester</t>
        </is>
      </c>
      <c r="N6" s="116" t="inlineStr">
        <is>
          <t>NYS excl NYC</t>
        </is>
      </c>
      <c r="O6" s="116" t="inlineStr">
        <is>
          <t>NYS</t>
        </is>
      </c>
      <c r="P6" s="14" t="n"/>
    </row>
    <row r="7" ht="15.75" customHeight="1" s="99">
      <c r="F7" s="63" t="n">
        <v>2018</v>
      </c>
      <c r="G7" s="116" t="n">
        <v>49</v>
      </c>
      <c r="H7" s="116" t="n">
        <v>49</v>
      </c>
      <c r="I7" s="116" t="n">
        <v>38</v>
      </c>
      <c r="J7" s="116" t="n">
        <v>32</v>
      </c>
      <c r="K7" s="116" t="n">
        <v>75</v>
      </c>
      <c r="L7" s="116" t="n">
        <v>50</v>
      </c>
      <c r="M7" s="116" t="n">
        <v>27</v>
      </c>
      <c r="N7" s="116" t="n">
        <v>41</v>
      </c>
      <c r="O7" s="116" t="n">
        <v>34</v>
      </c>
      <c r="P7" s="14" t="n"/>
    </row>
    <row r="8">
      <c r="F8" s="63" t="n">
        <v>2019</v>
      </c>
      <c r="G8" s="116" t="n">
        <v>52</v>
      </c>
      <c r="H8" s="116" t="n">
        <v>49</v>
      </c>
      <c r="I8" s="116" t="n">
        <v>34</v>
      </c>
      <c r="J8" s="116" t="n">
        <v>36</v>
      </c>
      <c r="K8" s="116" t="n">
        <v>82</v>
      </c>
      <c r="L8" s="116" t="n">
        <v>57</v>
      </c>
      <c r="M8" s="116" t="n">
        <v>28</v>
      </c>
      <c r="N8" s="116" t="n">
        <v>40</v>
      </c>
      <c r="O8" s="116" t="n">
        <v>34</v>
      </c>
      <c r="P8" s="14" t="n"/>
    </row>
    <row r="9">
      <c r="A9" s="98" t="inlineStr">
        <is>
          <t>Figure Rules</t>
        </is>
      </c>
      <c r="F9" s="63" t="n">
        <v>2020</v>
      </c>
      <c r="G9" s="116" t="n">
        <v>52</v>
      </c>
      <c r="H9" s="116" t="n">
        <v>50</v>
      </c>
      <c r="I9" s="116" t="n">
        <v>36</v>
      </c>
      <c r="J9" s="116" t="n">
        <v>39</v>
      </c>
      <c r="K9" s="116" t="n">
        <v>85</v>
      </c>
      <c r="L9" s="116" t="n">
        <v>59</v>
      </c>
      <c r="M9" s="116" t="n">
        <v>30</v>
      </c>
      <c r="N9" s="116" t="n">
        <v>47</v>
      </c>
      <c r="O9" s="116" t="n">
        <v>41</v>
      </c>
      <c r="P9" s="14" t="n"/>
    </row>
    <row r="10">
      <c r="A10" t="inlineStr">
        <is>
          <t>Figure Type</t>
        </is>
      </c>
      <c r="B10" t="inlineStr">
        <is>
          <t>Line</t>
        </is>
      </c>
      <c r="F10" s="63" t="n">
        <v>2021</v>
      </c>
      <c r="G10" s="116" t="n">
        <v>59</v>
      </c>
      <c r="H10" s="116" t="n">
        <v>56</v>
      </c>
      <c r="I10" s="116" t="n">
        <v>41</v>
      </c>
      <c r="J10" s="116" t="n">
        <v>38</v>
      </c>
      <c r="K10" s="116" t="n">
        <v>92</v>
      </c>
      <c r="L10" s="116" t="n">
        <v>64</v>
      </c>
      <c r="M10" s="116" t="n">
        <v>32</v>
      </c>
      <c r="N10" s="116" t="n">
        <v>52</v>
      </c>
      <c r="O10" s="116" t="n">
        <v>47</v>
      </c>
      <c r="P10" s="14" t="n"/>
    </row>
    <row r="11">
      <c r="A11" t="inlineStr">
        <is>
          <t>X Column</t>
        </is>
      </c>
      <c r="B11" t="inlineStr">
        <is>
          <t>Year</t>
        </is>
      </c>
      <c r="F11" s="63" t="n"/>
      <c r="G11" s="14" t="n"/>
      <c r="H11" s="14" t="n"/>
      <c r="I11" s="14" t="n"/>
      <c r="J11" s="14" t="n"/>
      <c r="K11" s="14" t="n"/>
      <c r="L11" s="14" t="n"/>
      <c r="M11" s="14" t="n"/>
      <c r="N11" s="14" t="n"/>
      <c r="O11" s="14" t="n"/>
      <c r="P11" s="14" t="n"/>
    </row>
    <row r="12">
      <c r="A12" t="inlineStr">
        <is>
          <t>Y Column</t>
        </is>
      </c>
      <c r="B12" t="inlineStr">
        <is>
          <t>Rate per 100,000</t>
        </is>
      </c>
      <c r="F12" s="63" t="n"/>
      <c r="G12" s="14" t="n"/>
      <c r="H12" s="14" t="n"/>
      <c r="I12" s="14" t="n"/>
      <c r="J12" s="14" t="n"/>
      <c r="K12" s="14" t="n"/>
      <c r="L12" s="14" t="n"/>
      <c r="M12" s="14" t="n"/>
      <c r="N12" s="14" t="n"/>
      <c r="O12" s="14" t="n"/>
      <c r="P12" s="14" t="n"/>
    </row>
    <row r="13">
      <c r="A13" t="inlineStr">
        <is>
          <t>X Axis Title</t>
        </is>
      </c>
      <c r="B13" t="inlineStr">
        <is>
          <t>Year</t>
        </is>
      </c>
    </row>
    <row r="14">
      <c r="A14" t="inlineStr">
        <is>
          <t>Y Axis Title</t>
        </is>
      </c>
      <c r="B14" t="inlineStr">
        <is>
          <t>Rate per 100,000</t>
        </is>
      </c>
    </row>
    <row r="15">
      <c r="A15" t="inlineStr">
        <is>
          <t>Start at Zero</t>
        </is>
      </c>
      <c r="B15" t="b">
        <v>0</v>
      </c>
    </row>
    <row r="16"/>
    <row r="17"/>
    <row r="18">
      <c r="A18" s="98" t="inlineStr">
        <is>
          <t>Source Specifications</t>
        </is>
      </c>
    </row>
    <row r="19">
      <c r="A19" t="inlineStr">
        <is>
          <t>Table ID</t>
        </is>
      </c>
      <c r="B19" t="inlineStr">
        <is>
          <t>NYS Community Health Indicator Reports Dashboard</t>
        </is>
      </c>
    </row>
    <row r="20">
      <c r="A20" t="inlineStr">
        <is>
          <t>URL</t>
        </is>
      </c>
      <c r="B20" t="inlineStr">
        <is>
          <t>https://apps.health.ny.gov/public/tabvis/PHIG_Public/chirs/reports/#county</t>
        </is>
      </c>
    </row>
    <row r="21">
      <c r="A21" t="inlineStr">
        <is>
          <t>Data Year</t>
        </is>
      </c>
      <c r="B21" t="n">
        <v>2021</v>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NYS Community Health Indicator Reports Dashboard , May 2025 sourced from Vital Statistics of NYS https://apps.health.ny.gov/public/tabvis/PHIG_Public/chirs/reports/#county</t>
        </is>
      </c>
      <c r="H25" s="52" t="n"/>
      <c r="I25" s="52" t="n"/>
    </row>
    <row r="26"/>
    <row r="27">
      <c r="A27" s="101" t="inlineStr">
        <is>
          <t>Note Specfications</t>
        </is>
      </c>
    </row>
    <row r="28">
      <c r="A28" s="102" t="n"/>
      <c r="H28" s="52" t="n"/>
      <c r="I28" s="52" t="n"/>
      <c r="J28" s="52" t="n"/>
      <c r="K28" s="52" t="n"/>
      <c r="L28" s="52" t="n"/>
    </row>
    <row r="29">
      <c r="A29" s="103" t="inlineStr">
        <is>
          <t>Note: Three-year averages are used for counties and single-year rates are used for NYS and NYS excluding NYC. Y-axis does not begin at
zero in order to clearly display trend lines. The ICD-10 codes for unintentional injury are: V01-X59, Y85-Y86.</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N5:O5"/>
    <mergeCell ref="A28:B28"/>
    <mergeCell ref="A5:B5"/>
    <mergeCell ref="A29:D40"/>
    <mergeCell ref="A18:B18"/>
    <mergeCell ref="A9:B9"/>
    <mergeCell ref="A27:B27"/>
    <mergeCell ref="G5:M5"/>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15.1640625"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Poison Center Calls, Rate per 100,000, 2020–2024</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number</t>
        </is>
      </c>
      <c r="H4" s="16" t="inlineStr">
        <is>
          <t>number</t>
        </is>
      </c>
      <c r="I4" s="16" t="inlineStr">
        <is>
          <t>number</t>
        </is>
      </c>
      <c r="J4" s="16" t="inlineStr">
        <is>
          <t>number</t>
        </is>
      </c>
      <c r="K4" s="16" t="inlineStr">
        <is>
          <t>number</t>
        </is>
      </c>
      <c r="L4" s="16" t="inlineStr">
        <is>
          <t>number</t>
        </is>
      </c>
      <c r="M4" s="16" t="inlineStr">
        <is>
          <t>number</t>
        </is>
      </c>
      <c r="N4" s="16" t="n"/>
      <c r="O4" s="16" t="n"/>
      <c r="P4" s="16" t="n"/>
    </row>
    <row r="5">
      <c r="A5" s="98" t="inlineStr">
        <is>
          <t>Table Rules</t>
        </is>
      </c>
      <c r="E5" s="100" t="inlineStr">
        <is>
          <t xml:space="preserve">Enter Data </t>
        </is>
      </c>
      <c r="F5" s="101" t="n"/>
      <c r="G5" s="116" t="inlineStr">
        <is>
          <t>Dutchess</t>
        </is>
      </c>
      <c r="H5" s="116" t="inlineStr">
        <is>
          <t>Orange</t>
        </is>
      </c>
      <c r="I5" s="116" t="inlineStr">
        <is>
          <t>Putnam</t>
        </is>
      </c>
      <c r="J5" s="116" t="inlineStr">
        <is>
          <t>Rockland</t>
        </is>
      </c>
      <c r="K5" s="116" t="inlineStr">
        <is>
          <t>Sullivan</t>
        </is>
      </c>
      <c r="L5" s="116" t="inlineStr">
        <is>
          <t>Ulster</t>
        </is>
      </c>
      <c r="M5" s="116" t="inlineStr">
        <is>
          <t>Westchester</t>
        </is>
      </c>
      <c r="N5" s="101" t="n"/>
      <c r="O5" s="101" t="n"/>
    </row>
    <row r="6" ht="15" customHeight="1" s="99">
      <c r="A6" t="inlineStr">
        <is>
          <t>Multilevel Headers</t>
        </is>
      </c>
      <c r="B6" t="b">
        <v>0</v>
      </c>
      <c r="F6" s="69" t="n">
        <v>2020</v>
      </c>
      <c r="G6" s="51" t="n">
        <v>541</v>
      </c>
      <c r="H6" s="51" t="n">
        <v>604</v>
      </c>
      <c r="I6" s="51" t="n">
        <v>237</v>
      </c>
      <c r="J6" s="51" t="n">
        <v>431</v>
      </c>
      <c r="K6" s="51" t="n">
        <v>583</v>
      </c>
      <c r="L6" s="51" t="n">
        <v>609</v>
      </c>
      <c r="M6" s="51" t="n">
        <v>497</v>
      </c>
      <c r="N6" s="116" t="n"/>
      <c r="O6" s="116" t="n"/>
      <c r="P6" s="14" t="n"/>
    </row>
    <row r="7" ht="15.75" customHeight="1" s="99">
      <c r="F7" s="69" t="n">
        <v>2021</v>
      </c>
      <c r="G7" s="51" t="n">
        <v>421</v>
      </c>
      <c r="H7" s="51" t="n">
        <v>593</v>
      </c>
      <c r="I7" s="51" t="n">
        <v>220</v>
      </c>
      <c r="J7" s="51" t="n">
        <v>456</v>
      </c>
      <c r="K7" s="51" t="n">
        <v>589</v>
      </c>
      <c r="L7" s="51" t="n">
        <v>494</v>
      </c>
      <c r="M7" s="51" t="n">
        <v>441</v>
      </c>
      <c r="N7" s="116" t="n"/>
      <c r="O7" s="116" t="n"/>
      <c r="P7" s="14" t="n"/>
    </row>
    <row r="8">
      <c r="F8" s="69" t="n">
        <v>2022</v>
      </c>
      <c r="G8" s="51" t="n">
        <v>436</v>
      </c>
      <c r="H8" s="51" t="n">
        <v>613</v>
      </c>
      <c r="I8" s="51" t="n">
        <v>222</v>
      </c>
      <c r="J8" s="51" t="n">
        <v>470</v>
      </c>
      <c r="K8" s="51" t="n">
        <v>542</v>
      </c>
      <c r="L8" s="51" t="n">
        <v>446</v>
      </c>
      <c r="M8" s="51" t="n">
        <v>408</v>
      </c>
      <c r="N8" s="116" t="n"/>
      <c r="O8" s="116" t="n"/>
      <c r="P8" s="14" t="n"/>
    </row>
    <row r="9">
      <c r="A9" s="98" t="inlineStr">
        <is>
          <t>Figure Rules</t>
        </is>
      </c>
      <c r="F9" s="69" t="n">
        <v>2023</v>
      </c>
      <c r="G9" s="51" t="n">
        <v>443</v>
      </c>
      <c r="H9" s="51" t="n">
        <v>573</v>
      </c>
      <c r="I9" s="51" t="n">
        <v>230</v>
      </c>
      <c r="J9" s="51" t="n">
        <v>399</v>
      </c>
      <c r="K9" s="51" t="n">
        <v>642</v>
      </c>
      <c r="L9" s="51" t="n">
        <v>444</v>
      </c>
      <c r="M9" s="51" t="n">
        <v>404</v>
      </c>
      <c r="N9" s="116" t="n"/>
      <c r="O9" s="116" t="n"/>
      <c r="P9" s="14" t="n"/>
    </row>
    <row r="10">
      <c r="A10" t="inlineStr">
        <is>
          <t>Figure Type</t>
        </is>
      </c>
      <c r="B10" t="inlineStr">
        <is>
          <t>Clustered Bar</t>
        </is>
      </c>
      <c r="F10" s="69" t="n">
        <v>2024</v>
      </c>
      <c r="G10" s="51" t="n">
        <v>464</v>
      </c>
      <c r="H10" s="51" t="n">
        <v>570</v>
      </c>
      <c r="I10" s="51" t="n">
        <v>226</v>
      </c>
      <c r="J10" s="51" t="n">
        <v>366</v>
      </c>
      <c r="K10" s="51" t="n">
        <v>636</v>
      </c>
      <c r="L10" s="51" t="n">
        <v>530</v>
      </c>
      <c r="M10" s="51" t="n">
        <v>388</v>
      </c>
    </row>
    <row r="11">
      <c r="A11" t="inlineStr">
        <is>
          <t>X Column</t>
        </is>
      </c>
      <c r="B11" t="inlineStr">
        <is>
          <t>County</t>
        </is>
      </c>
    </row>
    <row r="12">
      <c r="A12" t="inlineStr">
        <is>
          <t>Y Column</t>
        </is>
      </c>
      <c r="B12" t="inlineStr">
        <is>
          <t>Rate</t>
        </is>
      </c>
    </row>
    <row r="13">
      <c r="A13" t="inlineStr">
        <is>
          <t>X Axis Title</t>
        </is>
      </c>
    </row>
    <row r="14">
      <c r="A14" t="inlineStr">
        <is>
          <t>Y Axis Title</t>
        </is>
      </c>
      <c r="B14" t="inlineStr">
        <is>
          <t>Rate per 100,000</t>
        </is>
      </c>
    </row>
    <row r="15">
      <c r="A15" t="inlineStr">
        <is>
          <t>Start at Zero</t>
        </is>
      </c>
      <c r="B15" t="b">
        <v>1</v>
      </c>
    </row>
    <row r="16"/>
    <row r="17"/>
    <row r="18">
      <c r="A18" s="98" t="inlineStr">
        <is>
          <t>Source Specifications</t>
        </is>
      </c>
    </row>
    <row r="19">
      <c r="A19" t="inlineStr">
        <is>
          <t>Table ID</t>
        </is>
      </c>
      <c r="B19" t="inlineStr">
        <is>
          <t>Data request from Upstate NY Poison Center and NYC Poison Center</t>
        </is>
      </c>
    </row>
    <row r="20">
      <c r="A20" t="inlineStr">
        <is>
          <t>URL</t>
        </is>
      </c>
    </row>
    <row r="21">
      <c r="A21" t="inlineStr">
        <is>
          <t>Data Year</t>
        </is>
      </c>
      <c r="B21" t="inlineStr">
        <is>
          <t>2020-2024</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Data request from Upstate NY Poison Center and NYC Poison Center, May 2025</t>
        </is>
      </c>
      <c r="H25" s="52" t="n"/>
      <c r="I25" s="52" t="n"/>
    </row>
    <row r="26"/>
    <row r="27">
      <c r="A27" s="101" t="inlineStr">
        <is>
          <t>Note Specfications</t>
        </is>
      </c>
    </row>
    <row r="28">
      <c r="A28" s="102" t="n"/>
      <c r="H28" s="52" t="n"/>
      <c r="I28" s="52" t="n"/>
      <c r="J28" s="52" t="n"/>
      <c r="K28" s="52" t="n"/>
      <c r="L28" s="52" t="n"/>
    </row>
    <row r="29">
      <c r="A29" s="103" t="inlineStr">
        <is>
          <t xml:space="preserve">Rates calculated using population estimates from U.S. Census Bureau’s 2023 American Community Survey (ACS) 5-Year Estimate,
Table B01003. </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P57"/>
  <sheetViews>
    <sheetView workbookViewId="0">
      <selection activeCell="N18" sqref="N18"/>
    </sheetView>
  </sheetViews>
  <sheetFormatPr baseColWidth="10" defaultColWidth="8.6640625" defaultRowHeight="15"/>
  <cols>
    <col width="20" bestFit="1" customWidth="1" style="99" min="1" max="1"/>
    <col width="16.6640625" customWidth="1" style="99" min="2" max="2"/>
    <col width="6.6640625" customWidth="1" style="99" min="5" max="5"/>
    <col width="15.1640625"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Poison Center Calls, Percentage Children 5 Years Old and Younger, 2020–2024</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n"/>
      <c r="O4" s="16" t="n"/>
      <c r="P4" s="16" t="n"/>
    </row>
    <row r="5">
      <c r="A5" s="98" t="inlineStr">
        <is>
          <t>Table Rules</t>
        </is>
      </c>
      <c r="E5" s="100" t="inlineStr">
        <is>
          <t xml:space="preserve">Enter Data </t>
        </is>
      </c>
      <c r="F5" s="101" t="n"/>
      <c r="G5" s="116" t="inlineStr">
        <is>
          <t>Dutchess</t>
        </is>
      </c>
      <c r="H5" s="116" t="inlineStr">
        <is>
          <t>Orange</t>
        </is>
      </c>
      <c r="I5" s="116" t="inlineStr">
        <is>
          <t>Putnam</t>
        </is>
      </c>
      <c r="J5" s="116" t="inlineStr">
        <is>
          <t>Rockland</t>
        </is>
      </c>
      <c r="K5" s="116" t="inlineStr">
        <is>
          <t>Sullivan</t>
        </is>
      </c>
      <c r="L5" s="116" t="inlineStr">
        <is>
          <t>Ulster</t>
        </is>
      </c>
      <c r="M5" s="116" t="inlineStr">
        <is>
          <t>Westchester</t>
        </is>
      </c>
      <c r="N5" s="101" t="n"/>
      <c r="O5" s="101" t="n"/>
    </row>
    <row r="6" ht="15" customHeight="1" s="99">
      <c r="A6" t="inlineStr">
        <is>
          <t>Multilevel Headers</t>
        </is>
      </c>
      <c r="B6" t="b">
        <v>0</v>
      </c>
      <c r="F6" s="69" t="n">
        <v>2020</v>
      </c>
      <c r="G6" s="116" t="n">
        <v>29.7</v>
      </c>
      <c r="H6" s="116" t="n">
        <v>30.9</v>
      </c>
      <c r="I6" s="116" t="n">
        <v>20.1</v>
      </c>
      <c r="J6" s="116" t="n">
        <v>32.7</v>
      </c>
      <c r="K6" s="116" t="n">
        <v>34.6</v>
      </c>
      <c r="L6" s="116" t="n">
        <v>31.1</v>
      </c>
      <c r="M6" s="116" t="n">
        <v>34.6</v>
      </c>
      <c r="N6" s="116" t="n"/>
      <c r="O6" s="116" t="n"/>
      <c r="P6" s="14" t="n"/>
    </row>
    <row r="7" ht="15.75" customHeight="1" s="99">
      <c r="F7" s="69" t="n">
        <v>2021</v>
      </c>
      <c r="G7" s="116" t="n">
        <v>30.9</v>
      </c>
      <c r="H7" s="116" t="n">
        <v>33.4</v>
      </c>
      <c r="I7" s="116" t="n">
        <v>26.4</v>
      </c>
      <c r="J7" s="116" t="n">
        <v>36.1</v>
      </c>
      <c r="K7" s="116" t="n">
        <v>30.4</v>
      </c>
      <c r="L7" s="116" t="n">
        <v>30.2</v>
      </c>
      <c r="M7" s="116" t="n">
        <v>34.2</v>
      </c>
      <c r="N7" s="116" t="n"/>
      <c r="O7" s="116" t="n"/>
      <c r="P7" s="14" t="n"/>
    </row>
    <row r="8">
      <c r="F8" s="69" t="n">
        <v>2022</v>
      </c>
      <c r="G8" s="116" t="n">
        <v>31.9</v>
      </c>
      <c r="H8" s="116" t="n">
        <v>35.8</v>
      </c>
      <c r="I8" s="116" t="n">
        <v>26.7</v>
      </c>
      <c r="J8" s="116" t="n">
        <v>36.8</v>
      </c>
      <c r="K8" s="116" t="n">
        <v>34</v>
      </c>
      <c r="L8" s="116" t="n">
        <v>30.3</v>
      </c>
      <c r="M8" s="116" t="n">
        <v>33.8</v>
      </c>
      <c r="N8" s="116" t="n"/>
      <c r="O8" s="116" t="n"/>
      <c r="P8" s="14" t="n"/>
    </row>
    <row r="9">
      <c r="A9" s="98" t="inlineStr">
        <is>
          <t>Figure Rules</t>
        </is>
      </c>
      <c r="F9" s="69" t="n">
        <v>2023</v>
      </c>
      <c r="G9" s="116" t="n">
        <v>32.6</v>
      </c>
      <c r="H9" s="116" t="n">
        <v>40.5</v>
      </c>
      <c r="I9" s="116" t="n">
        <v>26.7</v>
      </c>
      <c r="J9" s="116" t="n">
        <v>41.3</v>
      </c>
      <c r="K9" s="116" t="n">
        <v>32.7</v>
      </c>
      <c r="L9" s="116" t="n">
        <v>28.8</v>
      </c>
      <c r="M9" s="116" t="n">
        <v>33.8</v>
      </c>
      <c r="N9" s="116" t="n"/>
      <c r="O9" s="116" t="n"/>
      <c r="P9" s="14" t="n"/>
    </row>
    <row r="10">
      <c r="A10" t="inlineStr">
        <is>
          <t>Figure Type</t>
        </is>
      </c>
      <c r="B10" t="inlineStr">
        <is>
          <t>Clustered Bar</t>
        </is>
      </c>
      <c r="F10" s="69" t="n">
        <v>2024</v>
      </c>
      <c r="G10" s="116" t="n">
        <v>30.6</v>
      </c>
      <c r="H10" s="116" t="n">
        <v>38.5</v>
      </c>
      <c r="I10" s="116" t="n">
        <v>28.5</v>
      </c>
      <c r="J10" s="116" t="n">
        <v>38.4</v>
      </c>
      <c r="K10" s="116" t="n">
        <v>30.8</v>
      </c>
      <c r="L10" s="116" t="n">
        <v>29</v>
      </c>
      <c r="M10" s="116" t="n">
        <v>31.6</v>
      </c>
    </row>
    <row r="11">
      <c r="A11" t="inlineStr">
        <is>
          <t>X Column</t>
        </is>
      </c>
      <c r="B11" t="inlineStr">
        <is>
          <t>County</t>
        </is>
      </c>
    </row>
    <row r="12">
      <c r="A12" t="inlineStr">
        <is>
          <t>Y Column</t>
        </is>
      </c>
      <c r="B12" t="inlineStr">
        <is>
          <t>% of total calls</t>
        </is>
      </c>
    </row>
    <row r="13">
      <c r="A13" t="inlineStr">
        <is>
          <t>X Axis Title</t>
        </is>
      </c>
    </row>
    <row r="14">
      <c r="A14" t="inlineStr">
        <is>
          <t>Y Axis Title</t>
        </is>
      </c>
      <c r="B14" t="inlineStr">
        <is>
          <t>% of total calls</t>
        </is>
      </c>
    </row>
    <row r="15">
      <c r="A15" t="inlineStr">
        <is>
          <t>Start at Zero</t>
        </is>
      </c>
      <c r="B15" t="b">
        <v>1</v>
      </c>
    </row>
    <row r="16"/>
    <row r="17"/>
    <row r="18">
      <c r="A18" s="98" t="inlineStr">
        <is>
          <t>Source Specifications</t>
        </is>
      </c>
    </row>
    <row r="19">
      <c r="A19" t="inlineStr">
        <is>
          <t>Table ID</t>
        </is>
      </c>
      <c r="B19" t="inlineStr">
        <is>
          <t>Data request from Upstate NY Poison Center and NYC Poison Center</t>
        </is>
      </c>
    </row>
    <row r="20">
      <c r="A20" t="inlineStr">
        <is>
          <t>URL</t>
        </is>
      </c>
    </row>
    <row r="21">
      <c r="A21" t="inlineStr">
        <is>
          <t>Data Year</t>
        </is>
      </c>
      <c r="B21" t="inlineStr">
        <is>
          <t>2020-2024</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Data request from Upstate NY Poison Center and NYC Poison Center, May 2025</t>
        </is>
      </c>
      <c r="H25" s="52" t="n"/>
      <c r="I25" s="52" t="n"/>
    </row>
    <row r="26"/>
    <row r="27">
      <c r="A27" s="101" t="inlineStr">
        <is>
          <t>Note Specfications</t>
        </is>
      </c>
    </row>
    <row r="28">
      <c r="A28" s="102" t="n"/>
      <c r="H28" s="52" t="n"/>
      <c r="I28" s="52" t="n"/>
      <c r="J28" s="52" t="n"/>
      <c r="K28" s="52" t="n"/>
      <c r="L28" s="52" t="n"/>
    </row>
    <row r="29">
      <c r="A29" s="103" t="n"/>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B10" showDropDown="0" showInputMessage="1" showErrorMessage="1" allowBlank="1" type="list">
      <formula1>"Line,Clustered Bar,Stacked Bar"</formula1>
    </dataValidation>
  </dataValidations>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P57"/>
  <sheetViews>
    <sheetView workbookViewId="0">
      <selection activeCell="B1" sqref="B1:O1"/>
    </sheetView>
  </sheetViews>
  <sheetFormatPr baseColWidth="10" defaultColWidth="8.6640625" defaultRowHeight="15"/>
  <cols>
    <col width="20" bestFit="1" customWidth="1" style="99" min="1" max="1"/>
    <col width="16.6640625" customWidth="1" style="99" min="2" max="2"/>
    <col width="6.6640625" customWidth="1" style="99" min="5" max="5"/>
    <col width="15.1640625"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Poison Center Cannabis Calls, Rate per 100,000 Population, 2020–2024</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number</t>
        </is>
      </c>
      <c r="H4" s="16" t="inlineStr">
        <is>
          <t>number</t>
        </is>
      </c>
      <c r="I4" s="16" t="inlineStr">
        <is>
          <t>number</t>
        </is>
      </c>
      <c r="J4" s="16" t="inlineStr">
        <is>
          <t>number</t>
        </is>
      </c>
      <c r="K4" s="16" t="inlineStr">
        <is>
          <t>number</t>
        </is>
      </c>
      <c r="L4" s="16" t="inlineStr">
        <is>
          <t>number</t>
        </is>
      </c>
      <c r="M4" s="16" t="inlineStr">
        <is>
          <t>number</t>
        </is>
      </c>
      <c r="N4" s="16" t="n"/>
      <c r="O4" s="16" t="n"/>
      <c r="P4" s="16" t="n"/>
    </row>
    <row r="5">
      <c r="A5" s="98" t="inlineStr">
        <is>
          <t>Table Rules</t>
        </is>
      </c>
      <c r="E5" s="100" t="inlineStr">
        <is>
          <t xml:space="preserve">Enter Data </t>
        </is>
      </c>
      <c r="F5" s="101" t="n"/>
      <c r="G5" s="116" t="inlineStr">
        <is>
          <t>Dutchess</t>
        </is>
      </c>
      <c r="H5" s="116" t="inlineStr">
        <is>
          <t>Orange</t>
        </is>
      </c>
      <c r="I5" s="116" t="inlineStr">
        <is>
          <t>Putnam</t>
        </is>
      </c>
      <c r="J5" s="116" t="inlineStr">
        <is>
          <t>Rockland</t>
        </is>
      </c>
      <c r="K5" s="116" t="inlineStr">
        <is>
          <t>Sullivan</t>
        </is>
      </c>
      <c r="L5" s="116" t="inlineStr">
        <is>
          <t>Ulster</t>
        </is>
      </c>
      <c r="M5" s="116" t="inlineStr">
        <is>
          <t>Westchester</t>
        </is>
      </c>
      <c r="N5" s="101" t="n"/>
      <c r="O5" s="101" t="n"/>
    </row>
    <row r="6" ht="15" customHeight="1" s="99">
      <c r="A6" t="inlineStr">
        <is>
          <t>Multilevel Headers</t>
        </is>
      </c>
      <c r="B6" t="b">
        <v>0</v>
      </c>
      <c r="F6" s="69" t="n">
        <v>2020</v>
      </c>
      <c r="G6" s="116" t="n">
        <v>1.4</v>
      </c>
      <c r="H6" s="116" t="n">
        <v>5.8</v>
      </c>
      <c r="I6" s="116" t="n">
        <v>2</v>
      </c>
      <c r="J6" s="116" t="n">
        <v>2.2</v>
      </c>
      <c r="K6" s="51" t="n">
        <v>0</v>
      </c>
      <c r="L6" s="116" t="n">
        <v>1.7</v>
      </c>
      <c r="M6" s="116" t="n">
        <v>5.5</v>
      </c>
      <c r="N6" s="116" t="n"/>
      <c r="O6" s="116" t="n"/>
      <c r="P6" s="14" t="n"/>
    </row>
    <row r="7" ht="15.75" customHeight="1" s="99">
      <c r="F7" s="69" t="n">
        <v>2021</v>
      </c>
      <c r="G7" s="116" t="n">
        <v>3</v>
      </c>
      <c r="H7" s="116" t="n">
        <v>5.3</v>
      </c>
      <c r="I7" s="116" t="n">
        <v>2</v>
      </c>
      <c r="J7" s="116" t="n">
        <v>1.8</v>
      </c>
      <c r="K7" s="116" t="n">
        <v>10.2</v>
      </c>
      <c r="L7" s="116" t="n">
        <v>3.3</v>
      </c>
      <c r="M7" s="116" t="n">
        <v>7.1</v>
      </c>
      <c r="N7" s="116" t="n"/>
      <c r="O7" s="116" t="n"/>
      <c r="P7" s="14" t="n"/>
    </row>
    <row r="8">
      <c r="F8" s="69" t="n">
        <v>2022</v>
      </c>
      <c r="G8" s="116" t="n">
        <v>5.1</v>
      </c>
      <c r="H8" s="116" t="n">
        <v>7.7</v>
      </c>
      <c r="I8" s="116" t="n">
        <v>3.1</v>
      </c>
      <c r="J8" s="116" t="n">
        <v>3.6</v>
      </c>
      <c r="K8" s="116" t="n">
        <v>7.6</v>
      </c>
      <c r="L8" s="116" t="n">
        <v>2.7</v>
      </c>
      <c r="M8" s="116" t="n">
        <v>6.4</v>
      </c>
      <c r="N8" s="116" t="n"/>
      <c r="O8" s="116" t="n"/>
      <c r="P8" s="14" t="n"/>
    </row>
    <row r="9">
      <c r="A9" s="98" t="inlineStr">
        <is>
          <t>Figure Rules</t>
        </is>
      </c>
      <c r="F9" s="69" t="n">
        <v>2023</v>
      </c>
      <c r="G9" s="116" t="n">
        <v>5</v>
      </c>
      <c r="H9" s="116" t="n">
        <v>5.7</v>
      </c>
      <c r="I9" s="116" t="n">
        <v>3.14</v>
      </c>
      <c r="J9" s="116" t="n">
        <v>2.4</v>
      </c>
      <c r="K9" s="116" t="n">
        <v>8.800000000000001</v>
      </c>
      <c r="L9" s="116" t="n">
        <v>1.1</v>
      </c>
      <c r="M9" s="116" t="n">
        <v>6.7</v>
      </c>
      <c r="N9" s="116" t="n"/>
      <c r="O9" s="116" t="n"/>
      <c r="P9" s="14" t="n"/>
    </row>
    <row r="10">
      <c r="A10" t="inlineStr">
        <is>
          <t>Figure Type</t>
        </is>
      </c>
      <c r="B10" t="inlineStr">
        <is>
          <t>Clustered Bar</t>
        </is>
      </c>
      <c r="F10" s="69" t="n">
        <v>2024</v>
      </c>
      <c r="G10" s="116" t="n">
        <v>5.7</v>
      </c>
      <c r="H10" s="116" t="n">
        <v>6.7</v>
      </c>
      <c r="I10" s="116" t="n">
        <v>2</v>
      </c>
      <c r="J10" s="116" t="n">
        <v>1.8</v>
      </c>
      <c r="K10" s="116" t="n">
        <v>8.800000000000001</v>
      </c>
      <c r="L10" s="116" t="n">
        <v>3.3</v>
      </c>
      <c r="M10" s="116" t="n">
        <v>5.9</v>
      </c>
    </row>
    <row r="11">
      <c r="A11" t="inlineStr">
        <is>
          <t>X Column</t>
        </is>
      </c>
      <c r="B11" t="inlineStr">
        <is>
          <t>County</t>
        </is>
      </c>
    </row>
    <row r="12">
      <c r="A12" t="inlineStr">
        <is>
          <t>Y Column</t>
        </is>
      </c>
      <c r="B12" t="inlineStr">
        <is>
          <t>Rate</t>
        </is>
      </c>
    </row>
    <row r="13">
      <c r="A13" t="inlineStr">
        <is>
          <t>X Axis Title</t>
        </is>
      </c>
    </row>
    <row r="14">
      <c r="A14" t="inlineStr">
        <is>
          <t>Y Axis Title</t>
        </is>
      </c>
      <c r="B14" t="inlineStr">
        <is>
          <t>Rate per 100,000</t>
        </is>
      </c>
    </row>
    <row r="15">
      <c r="A15" t="inlineStr">
        <is>
          <t>Start at Zero</t>
        </is>
      </c>
      <c r="B15" t="b">
        <v>1</v>
      </c>
    </row>
    <row r="16"/>
    <row r="17"/>
    <row r="18">
      <c r="A18" s="98" t="inlineStr">
        <is>
          <t>Source Specifications</t>
        </is>
      </c>
    </row>
    <row r="19">
      <c r="A19" t="inlineStr">
        <is>
          <t>Table ID</t>
        </is>
      </c>
      <c r="B19" t="inlineStr">
        <is>
          <t>Data request from Upstate NY Poison Center and NYC Poison Center</t>
        </is>
      </c>
    </row>
    <row r="20">
      <c r="A20" t="inlineStr">
        <is>
          <t>URL</t>
        </is>
      </c>
    </row>
    <row r="21">
      <c r="A21" t="inlineStr">
        <is>
          <t>Data Year</t>
        </is>
      </c>
      <c r="B21" t="inlineStr">
        <is>
          <t>2020-2024</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Data request from Upstate NY Poison Center and NYC Poison Center, May 2025</t>
        </is>
      </c>
      <c r="H25" s="52" t="n"/>
      <c r="I25" s="52" t="n"/>
    </row>
    <row r="26"/>
    <row r="27">
      <c r="A27" s="101" t="inlineStr">
        <is>
          <t>Note Specfications</t>
        </is>
      </c>
    </row>
    <row r="28">
      <c r="A28" s="102" t="n"/>
      <c r="H28" s="52" t="n"/>
      <c r="I28" s="52" t="n"/>
      <c r="J28" s="52" t="n"/>
      <c r="K28" s="52" t="n"/>
      <c r="L28" s="52" t="n"/>
    </row>
    <row r="29">
      <c r="A29" s="103" t="inlineStr">
        <is>
          <t>Note: Rates calculated using population estimates from U.S. Census Bureau’s 2023 American Community Survey (ACS) 5-Year Estimate,
Table B01003.</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s>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P57"/>
  <sheetViews>
    <sheetView workbookViewId="0">
      <selection activeCell="B1" sqref="B1:O1"/>
    </sheetView>
  </sheetViews>
  <sheetFormatPr baseColWidth="10" defaultColWidth="8.6640625" defaultRowHeight="15"/>
  <cols>
    <col width="20" bestFit="1" customWidth="1" style="99" min="1" max="1"/>
    <col width="16.6640625" customWidth="1" style="99" min="2" max="2"/>
    <col width="6.6640625" customWidth="1" style="99" min="5" max="5"/>
    <col width="10" bestFit="1"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Motor Vehicle Injury Mortality, Rate per 100,000 Population, 2018–2021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s="101" t="inlineStr">
        <is>
          <t>Three Year Average</t>
        </is>
      </c>
      <c r="N5" s="101" t="inlineStr">
        <is>
          <t xml:space="preserve"> Single Year</t>
        </is>
      </c>
    </row>
    <row r="6" ht="15" customHeight="1" s="99">
      <c r="A6" t="inlineStr">
        <is>
          <t>Multilevel Headers</t>
        </is>
      </c>
      <c r="B6" t="b">
        <v>1</v>
      </c>
      <c r="F6" s="63" t="n"/>
      <c r="G6" s="116" t="inlineStr">
        <is>
          <t>Dutchess</t>
        </is>
      </c>
      <c r="H6" s="116" t="inlineStr">
        <is>
          <t>Orange</t>
        </is>
      </c>
      <c r="I6" s="116" t="inlineStr">
        <is>
          <t>Putnam</t>
        </is>
      </c>
      <c r="J6" s="116" t="inlineStr">
        <is>
          <t>Rockland</t>
        </is>
      </c>
      <c r="K6" s="116" t="inlineStr">
        <is>
          <t>Sullivan</t>
        </is>
      </c>
      <c r="L6" s="116" t="inlineStr">
        <is>
          <t>Ulster</t>
        </is>
      </c>
      <c r="M6" s="116" t="inlineStr">
        <is>
          <t>Westchester</t>
        </is>
      </c>
      <c r="N6" s="116" t="inlineStr">
        <is>
          <t>NYS excl NYC</t>
        </is>
      </c>
      <c r="O6" s="116" t="inlineStr">
        <is>
          <t>NYS</t>
        </is>
      </c>
      <c r="P6" s="14" t="n"/>
    </row>
    <row r="7" ht="15.75" customHeight="1" s="99">
      <c r="F7" s="63" t="n">
        <v>2018</v>
      </c>
      <c r="G7" s="116" t="n">
        <v>8.199999999999999</v>
      </c>
      <c r="H7" s="116" t="n">
        <v>9</v>
      </c>
      <c r="I7" s="116" t="n">
        <v>3.7</v>
      </c>
      <c r="J7" s="116" t="n">
        <v>4.7</v>
      </c>
      <c r="K7" s="116" t="n">
        <v>13.3</v>
      </c>
      <c r="L7" s="116" t="n">
        <v>8.4</v>
      </c>
      <c r="M7" s="116" t="n">
        <v>3.4</v>
      </c>
      <c r="N7" s="116" t="n">
        <v>7</v>
      </c>
      <c r="O7" s="116" t="n">
        <v>5.3</v>
      </c>
      <c r="P7" s="14" t="n"/>
    </row>
    <row r="8">
      <c r="F8" s="63" t="n">
        <v>2019</v>
      </c>
      <c r="G8" s="116" t="n">
        <v>9.199999999999999</v>
      </c>
      <c r="H8" s="116" t="n">
        <v>7.9</v>
      </c>
      <c r="I8" s="116" t="n">
        <v>4.7</v>
      </c>
      <c r="J8" s="116" t="n">
        <v>4.5</v>
      </c>
      <c r="K8" s="116" t="n">
        <v>12.4</v>
      </c>
      <c r="L8" s="116" t="n">
        <v>9.5</v>
      </c>
      <c r="M8" s="116" t="n">
        <v>3.7</v>
      </c>
      <c r="N8" s="116" t="n">
        <v>7.1</v>
      </c>
      <c r="O8" s="116" t="n">
        <v>5.5</v>
      </c>
      <c r="P8" s="14" t="n"/>
    </row>
    <row r="9">
      <c r="A9" s="98" t="inlineStr">
        <is>
          <t>Figure Rules</t>
        </is>
      </c>
      <c r="F9" s="63" t="n">
        <v>2020</v>
      </c>
      <c r="G9" s="116" t="n">
        <v>8.800000000000001</v>
      </c>
      <c r="H9" s="116" t="n">
        <v>8.199999999999999</v>
      </c>
      <c r="I9" s="116" t="n">
        <v>5.4</v>
      </c>
      <c r="J9" s="116" t="n">
        <v>5.1</v>
      </c>
      <c r="K9" s="116" t="n">
        <v>12.6</v>
      </c>
      <c r="L9" s="116" t="n">
        <v>10.9</v>
      </c>
      <c r="M9" s="116" t="n">
        <v>4.2</v>
      </c>
      <c r="N9" s="116" t="n">
        <v>7.6</v>
      </c>
      <c r="O9" s="116" t="n">
        <v>6</v>
      </c>
      <c r="P9" s="14" t="n"/>
    </row>
    <row r="10">
      <c r="A10" t="inlineStr">
        <is>
          <t>Figure Type</t>
        </is>
      </c>
      <c r="B10" t="inlineStr">
        <is>
          <t>Line</t>
        </is>
      </c>
      <c r="F10" s="63" t="n">
        <v>2021</v>
      </c>
      <c r="G10" s="116" t="n">
        <v>9.9</v>
      </c>
      <c r="H10" s="116" t="n">
        <v>8.300000000000001</v>
      </c>
      <c r="I10" s="116" t="n">
        <v>7.8</v>
      </c>
      <c r="J10" s="116" t="n">
        <v>5.7</v>
      </c>
      <c r="K10" s="116" t="n">
        <v>14.9</v>
      </c>
      <c r="L10" s="116" t="n">
        <v>10.7</v>
      </c>
      <c r="M10" s="116" t="n">
        <v>4.5</v>
      </c>
      <c r="N10" s="116" t="n">
        <v>8.5</v>
      </c>
      <c r="O10" s="116" t="n">
        <v>6.7</v>
      </c>
      <c r="P10" s="14" t="n"/>
    </row>
    <row r="11">
      <c r="A11" t="inlineStr">
        <is>
          <t>X Column</t>
        </is>
      </c>
      <c r="B11" t="inlineStr">
        <is>
          <t>Period</t>
        </is>
      </c>
      <c r="F11" s="63" t="n"/>
      <c r="G11" s="14" t="n"/>
      <c r="H11" s="14" t="n"/>
      <c r="I11" s="14" t="n"/>
      <c r="J11" s="14" t="n"/>
      <c r="K11" s="14" t="n"/>
      <c r="L11" s="14" t="n"/>
      <c r="M11" s="14" t="n"/>
      <c r="N11" s="14" t="n"/>
      <c r="O11" s="14" t="n"/>
      <c r="P11" s="14" t="n"/>
    </row>
    <row r="12">
      <c r="A12" t="inlineStr">
        <is>
          <t>Y Column</t>
        </is>
      </c>
      <c r="B12" t="inlineStr">
        <is>
          <t>Rate per 100,000</t>
        </is>
      </c>
      <c r="F12" s="63" t="n"/>
      <c r="G12" s="14" t="n"/>
      <c r="H12" s="14" t="n"/>
      <c r="I12" s="14" t="n"/>
      <c r="J12" s="14" t="n"/>
      <c r="K12" s="14" t="n"/>
      <c r="L12" s="14" t="n"/>
      <c r="M12" s="14" t="n"/>
      <c r="N12" s="14" t="n"/>
      <c r="O12" s="14" t="n"/>
      <c r="P12" s="14" t="n"/>
    </row>
    <row r="13">
      <c r="A13" t="inlineStr">
        <is>
          <t>X Axis Title</t>
        </is>
      </c>
    </row>
    <row r="14">
      <c r="A14" t="inlineStr">
        <is>
          <t>Y Axis Title</t>
        </is>
      </c>
      <c r="B14" t="inlineStr">
        <is>
          <t>Rate per 100,000</t>
        </is>
      </c>
    </row>
    <row r="15">
      <c r="A15" t="inlineStr">
        <is>
          <t>Start at Zero</t>
        </is>
      </c>
      <c r="B15" t="b">
        <v>1</v>
      </c>
    </row>
    <row r="16"/>
    <row r="17"/>
    <row r="18">
      <c r="A18" s="98" t="inlineStr">
        <is>
          <t>Source Specifications</t>
        </is>
      </c>
    </row>
    <row r="19">
      <c r="A19" t="inlineStr">
        <is>
          <t>Table ID</t>
        </is>
      </c>
      <c r="B19" t="inlineStr">
        <is>
          <t>NYS Community Health Indicator Reports Dashboard</t>
        </is>
      </c>
    </row>
    <row r="20">
      <c r="A20" t="inlineStr">
        <is>
          <t>URL</t>
        </is>
      </c>
      <c r="B20" t="inlineStr">
        <is>
          <t>https://apps.health.ny.gov/public/tabvis/PHIG_Public/chirs/reports/#county</t>
        </is>
      </c>
    </row>
    <row r="21">
      <c r="A21" t="inlineStr">
        <is>
          <t>Data Year</t>
        </is>
      </c>
      <c r="B21" t="inlineStr">
        <is>
          <t>2018-2021</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NYS Community Health Indicator Reports Dashboard , May 2025 sourced from Vital Statistics of NYS https://apps.health.ny.gov/public/tabvis/PHIG_Public/chirs/reports/#county</t>
        </is>
      </c>
      <c r="I25" s="52" t="n"/>
    </row>
    <row r="26"/>
    <row r="27">
      <c r="A27" s="101" t="inlineStr">
        <is>
          <t>Note Specfications</t>
        </is>
      </c>
    </row>
    <row r="28">
      <c r="A28" s="102" t="n"/>
      <c r="H28" s="52" t="n"/>
      <c r="I28" s="52" t="n"/>
      <c r="J28" s="52" t="n"/>
      <c r="K28" s="52" t="n"/>
      <c r="L28" s="52" t="n"/>
    </row>
    <row r="29">
      <c r="A29" s="103" t="inlineStr">
        <is>
          <t>Note: Three-year averages are used for counties and single-year rates are used for NYS and NYS excluding NYC. The ICD-10 codes for
motor vehicle related injuries are: V02-V04, V09.0, V09.2, V12-V14, V19.0-V19.2, V19.4-V19.6, V20-V79, V80.3-V80.5, V81.0-
V81.1, V82.0-V82.1, V83-V86, V87.0-V87.8, V88.0-V88.8,V89.0,V89.2.</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N5:O5"/>
    <mergeCell ref="A28:B28"/>
    <mergeCell ref="A5:B5"/>
    <mergeCell ref="A29:D40"/>
    <mergeCell ref="A18:B18"/>
    <mergeCell ref="A9:B9"/>
    <mergeCell ref="A27:B27"/>
    <mergeCell ref="G5:M5"/>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P57"/>
  <sheetViews>
    <sheetView workbookViewId="0">
      <selection activeCell="B1" sqref="B1:O1"/>
    </sheetView>
  </sheetViews>
  <sheetFormatPr baseColWidth="10" defaultColWidth="8.6640625" defaultRowHeight="15"/>
  <cols>
    <col width="20" bestFit="1" customWidth="1" style="99" min="1" max="1"/>
    <col width="16.6640625" customWidth="1" style="99" min="2" max="2"/>
    <col width="6.6640625" customWidth="1" style="99" min="5" max="5"/>
    <col width="10" bestFit="1"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Alcohol Related Motor Vehicle Injuries and Deaths, Crude Rate per 100,000 Population, 2018–2021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s="101" t="inlineStr">
        <is>
          <t>Three Year Average</t>
        </is>
      </c>
      <c r="N5" s="101" t="inlineStr">
        <is>
          <t xml:space="preserve"> Single Year</t>
        </is>
      </c>
    </row>
    <row r="6" ht="15" customHeight="1" s="99">
      <c r="A6" t="inlineStr">
        <is>
          <t>Multilevel Headers</t>
        </is>
      </c>
      <c r="B6" t="b">
        <v>1</v>
      </c>
      <c r="F6" s="63" t="n"/>
      <c r="G6" s="116" t="inlineStr">
        <is>
          <t>Dutchess</t>
        </is>
      </c>
      <c r="H6" s="116" t="inlineStr">
        <is>
          <t>Orange</t>
        </is>
      </c>
      <c r="I6" s="116" t="inlineStr">
        <is>
          <t>Putnam</t>
        </is>
      </c>
      <c r="J6" s="116" t="inlineStr">
        <is>
          <t>Rockland</t>
        </is>
      </c>
      <c r="K6" s="116" t="inlineStr">
        <is>
          <t>Sullivan</t>
        </is>
      </c>
      <c r="L6" s="116" t="inlineStr">
        <is>
          <t>Ulster</t>
        </is>
      </c>
      <c r="M6" s="116" t="inlineStr">
        <is>
          <t>Westchester</t>
        </is>
      </c>
      <c r="N6" s="116" t="inlineStr">
        <is>
          <t>NYS excl NYC</t>
        </is>
      </c>
      <c r="O6" s="116" t="inlineStr">
        <is>
          <t>NYS</t>
        </is>
      </c>
      <c r="P6" s="14" t="n"/>
    </row>
    <row r="7" ht="15.75" customHeight="1" s="99">
      <c r="F7" s="63" t="n">
        <v>2018</v>
      </c>
      <c r="G7" s="116" t="n">
        <v>35.2</v>
      </c>
      <c r="H7" s="116" t="n">
        <v>34.9</v>
      </c>
      <c r="I7" s="116" t="n">
        <v>44.2</v>
      </c>
      <c r="J7" s="116" t="n">
        <v>29.2</v>
      </c>
      <c r="K7" s="116" t="n">
        <v>50.1</v>
      </c>
      <c r="L7" s="116" t="n">
        <v>44.8</v>
      </c>
      <c r="M7" s="116" t="n">
        <v>28.9</v>
      </c>
      <c r="N7" s="116" t="n">
        <v>35.1</v>
      </c>
      <c r="O7" s="116" t="n">
        <v>28.8</v>
      </c>
      <c r="P7" s="14" t="n"/>
    </row>
    <row r="8">
      <c r="F8" s="63" t="n">
        <v>2019</v>
      </c>
      <c r="G8" s="116" t="n">
        <v>33.9</v>
      </c>
      <c r="H8" s="116" t="n">
        <v>34.2</v>
      </c>
      <c r="I8" s="116" t="n">
        <v>37.1</v>
      </c>
      <c r="J8" s="116" t="n">
        <v>29</v>
      </c>
      <c r="K8" s="116" t="n">
        <v>39.8</v>
      </c>
      <c r="L8" s="116" t="n">
        <v>43.1</v>
      </c>
      <c r="M8" s="116" t="n">
        <v>26.6</v>
      </c>
      <c r="N8" s="116" t="n">
        <v>33.5</v>
      </c>
      <c r="O8" s="116" t="n">
        <v>27.6</v>
      </c>
      <c r="P8" s="14" t="n"/>
    </row>
    <row r="9">
      <c r="A9" s="98" t="inlineStr">
        <is>
          <t>Figure Rules</t>
        </is>
      </c>
      <c r="F9" s="63" t="n">
        <v>2020</v>
      </c>
      <c r="G9" s="116" t="n">
        <v>32.5</v>
      </c>
      <c r="H9" s="116" t="n">
        <v>34.4</v>
      </c>
      <c r="I9" s="116" t="n">
        <v>33.1</v>
      </c>
      <c r="J9" s="116" t="n">
        <v>27.9</v>
      </c>
      <c r="K9" s="116" t="n">
        <v>31.2</v>
      </c>
      <c r="L9" s="116" t="n">
        <v>42</v>
      </c>
      <c r="M9" s="116" t="n">
        <v>24.1</v>
      </c>
      <c r="N9" s="116" t="n">
        <v>28.6</v>
      </c>
      <c r="O9" s="116" t="n">
        <v>23</v>
      </c>
      <c r="P9" s="14" t="n"/>
    </row>
    <row r="10">
      <c r="A10" t="inlineStr">
        <is>
          <t>Figure Type</t>
        </is>
      </c>
      <c r="B10" t="inlineStr">
        <is>
          <t>Line</t>
        </is>
      </c>
      <c r="F10" s="63" t="n">
        <v>2021</v>
      </c>
      <c r="G10" s="116" t="n">
        <v>31.7</v>
      </c>
      <c r="H10" s="116" t="n">
        <v>38.7</v>
      </c>
      <c r="I10" s="116" t="n">
        <v>28.1</v>
      </c>
      <c r="J10" s="116" t="n">
        <v>27.1</v>
      </c>
      <c r="K10" s="116" t="n">
        <v>36.6</v>
      </c>
      <c r="L10" s="116" t="n">
        <v>40.2</v>
      </c>
      <c r="M10" s="116" t="n">
        <v>22.5</v>
      </c>
      <c r="N10" s="116" t="n">
        <v>31.4</v>
      </c>
      <c r="O10" s="116" t="n">
        <v>25.4</v>
      </c>
      <c r="P10" s="14" t="n"/>
    </row>
    <row r="11">
      <c r="A11" t="inlineStr">
        <is>
          <t>X Column</t>
        </is>
      </c>
      <c r="B11" t="inlineStr">
        <is>
          <t>Period</t>
        </is>
      </c>
      <c r="F11" s="63" t="n"/>
      <c r="G11" s="14" t="n"/>
      <c r="H11" s="14" t="n"/>
      <c r="I11" s="14" t="n"/>
      <c r="J11" s="14" t="n"/>
      <c r="K11" s="14" t="n"/>
      <c r="L11" s="14" t="n"/>
      <c r="M11" s="14" t="n"/>
      <c r="N11" s="14" t="n"/>
      <c r="O11" s="14" t="n"/>
      <c r="P11" s="14" t="n"/>
    </row>
    <row r="12">
      <c r="A12" t="inlineStr">
        <is>
          <t>Y Column</t>
        </is>
      </c>
      <c r="B12" t="inlineStr">
        <is>
          <t>Rate per 100,000</t>
        </is>
      </c>
      <c r="F12" s="63" t="n"/>
      <c r="G12" s="14" t="n"/>
      <c r="H12" s="14" t="n"/>
      <c r="I12" s="14" t="n"/>
      <c r="J12" s="14" t="n"/>
      <c r="K12" s="14" t="n"/>
      <c r="L12" s="14" t="n"/>
      <c r="M12" s="14" t="n"/>
      <c r="N12" s="14" t="n"/>
      <c r="O12" s="14" t="n"/>
      <c r="P12" s="14" t="n"/>
    </row>
    <row r="13">
      <c r="A13" t="inlineStr">
        <is>
          <t>X Axis Title</t>
        </is>
      </c>
    </row>
    <row r="14">
      <c r="A14" t="inlineStr">
        <is>
          <t>Y Axis Title</t>
        </is>
      </c>
      <c r="B14" t="inlineStr">
        <is>
          <t>Rate per 100,000</t>
        </is>
      </c>
    </row>
    <row r="15">
      <c r="A15" t="inlineStr">
        <is>
          <t>Start at Zero</t>
        </is>
      </c>
      <c r="B15" t="b">
        <v>0</v>
      </c>
    </row>
    <row r="16"/>
    <row r="17"/>
    <row r="18">
      <c r="A18" s="98" t="inlineStr">
        <is>
          <t>Source Specifications</t>
        </is>
      </c>
    </row>
    <row r="19">
      <c r="A19" t="inlineStr">
        <is>
          <t>Table ID</t>
        </is>
      </c>
      <c r="B19" t="inlineStr">
        <is>
          <t>NYS Community Health Indicator Reports Dashboard</t>
        </is>
      </c>
    </row>
    <row r="20">
      <c r="A20" t="inlineStr">
        <is>
          <t>URL</t>
        </is>
      </c>
      <c r="B20" t="inlineStr">
        <is>
          <t>https://apps.health.ny.gov/public/tabvis/PHIG_Public/chirs/reports/#county</t>
        </is>
      </c>
    </row>
    <row r="21">
      <c r="A21" t="inlineStr">
        <is>
          <t>Data Year</t>
        </is>
      </c>
      <c r="B21" t="inlineStr">
        <is>
          <t>2018-2021</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NYS Community Health Indicator Reports Dashboard , May 2025 sourced from Vital Statistics of NYS https://apps.health.ny.gov/public/tabvis/PHIG_Public/chirs/reports/#county</t>
        </is>
      </c>
      <c r="I25" s="52" t="n"/>
    </row>
    <row r="26"/>
    <row r="27">
      <c r="A27" s="101" t="inlineStr">
        <is>
          <t>Note Specfications</t>
        </is>
      </c>
    </row>
    <row r="28">
      <c r="A28" s="102" t="n"/>
      <c r="H28" s="52" t="n"/>
      <c r="I28" s="52" t="n"/>
      <c r="J28" s="52" t="n"/>
      <c r="K28" s="52" t="n"/>
      <c r="L28" s="52" t="n"/>
    </row>
    <row r="29">
      <c r="A29" s="103" t="inlineStr">
        <is>
          <t>Note: Three-year averages are used for counties and single-year rates are used for NYS and NYS excluding NYC. Y-axis does not begin at
zero in order to clearly display trend lines. Data include persons killed or injured in motor vehicle crashes where alcohol was considered to be
a factor. It also includes pedestrians, bicyclists and all other non-vehicle involved persons as well as vehicle occupants. These data were
gathered from police reports. Crashes are reported by the county where the event occurred.</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N5:O5"/>
    <mergeCell ref="A28:B28"/>
    <mergeCell ref="A5:B5"/>
    <mergeCell ref="A29:D40"/>
    <mergeCell ref="A18:B18"/>
    <mergeCell ref="A9:B9"/>
    <mergeCell ref="A27:B27"/>
    <mergeCell ref="G5:M5"/>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P57"/>
  <sheetViews>
    <sheetView workbookViewId="0">
      <selection activeCell="K34" sqref="K34"/>
    </sheetView>
  </sheetViews>
  <sheetFormatPr baseColWidth="10" defaultColWidth="8.6640625" defaultRowHeight="15"/>
  <cols>
    <col width="20" bestFit="1" customWidth="1" style="99" min="1" max="1"/>
    <col width="16.6640625" customWidth="1" style="99" min="2" max="2"/>
    <col width="6.6640625" customWidth="1" style="99" min="5" max="5"/>
    <col width="28.1640625" bestFit="1"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1640625" bestFit="1" customWidth="1" style="99" min="13" max="13"/>
    <col width="12.33203125" bestFit="1" customWidth="1" style="99" min="14" max="14"/>
    <col width="11" bestFit="1" customWidth="1" style="99" min="15" max="15"/>
  </cols>
  <sheetData>
    <row r="1">
      <c r="A1" s="97" t="inlineStr">
        <is>
          <t>Name</t>
        </is>
      </c>
      <c r="B1" s="96" t="inlineStr">
        <is>
          <t>Motor Vehicle Related Mortality, Age-Adjusted Rate per 100,000 Population by Race and 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s="101" t="inlineStr">
        <is>
          <t>Three-Year Average</t>
        </is>
      </c>
      <c r="N5" s="101" t="inlineStr">
        <is>
          <t>Single-Year</t>
        </is>
      </c>
    </row>
    <row r="6" ht="15" customHeight="1" s="99">
      <c r="A6" t="inlineStr">
        <is>
          <t>Multilevel Headers</t>
        </is>
      </c>
      <c r="B6" t="b">
        <v>0</v>
      </c>
      <c r="F6" s="101" t="n"/>
      <c r="G6" s="116" t="inlineStr">
        <is>
          <t>Dutchess</t>
        </is>
      </c>
      <c r="H6" s="116" t="inlineStr">
        <is>
          <t>Orange</t>
        </is>
      </c>
      <c r="I6" s="116" t="inlineStr">
        <is>
          <t>Putnam</t>
        </is>
      </c>
      <c r="J6" s="116" t="inlineStr">
        <is>
          <t>Rockland</t>
        </is>
      </c>
      <c r="K6" s="116" t="inlineStr">
        <is>
          <t>Sullivan</t>
        </is>
      </c>
      <c r="L6" s="116" t="inlineStr">
        <is>
          <t>Ulster</t>
        </is>
      </c>
      <c r="M6" s="116" t="inlineStr">
        <is>
          <t>Westchester</t>
        </is>
      </c>
      <c r="N6" s="101" t="inlineStr">
        <is>
          <t>NYS excl NYC</t>
        </is>
      </c>
      <c r="O6" s="101" t="inlineStr">
        <is>
          <t>NYS</t>
        </is>
      </c>
      <c r="P6" s="14" t="n"/>
    </row>
    <row r="7" ht="15.75" customHeight="1" s="99">
      <c r="F7" s="69" t="inlineStr">
        <is>
          <t>Non-Hispanic White</t>
        </is>
      </c>
      <c r="G7" s="116" t="n">
        <v>10.1</v>
      </c>
      <c r="H7" s="116" t="n">
        <v>5.8</v>
      </c>
      <c r="I7" s="116" t="n">
        <v>2</v>
      </c>
      <c r="J7" s="116" t="n">
        <v>2.2</v>
      </c>
      <c r="K7" s="51" t="n">
        <v>0</v>
      </c>
      <c r="L7" s="116" t="n">
        <v>1.7</v>
      </c>
      <c r="M7" s="116" t="n">
        <v>5.5</v>
      </c>
      <c r="N7" s="116" t="n">
        <v>7.6</v>
      </c>
      <c r="O7" s="116" t="n">
        <v>6.3</v>
      </c>
      <c r="P7" s="14" t="n"/>
    </row>
    <row r="8">
      <c r="F8" s="69" t="inlineStr">
        <is>
          <t>Non-Hispanic Black</t>
        </is>
      </c>
      <c r="G8" s="116" t="inlineStr">
        <is>
          <t>6.3*</t>
        </is>
      </c>
      <c r="H8" s="116" t="n">
        <v>5.3</v>
      </c>
      <c r="I8" s="116" t="n">
        <v>2</v>
      </c>
      <c r="J8" s="116" t="n">
        <v>1.8</v>
      </c>
      <c r="K8" s="116" t="n">
        <v>10.2</v>
      </c>
      <c r="L8" s="116" t="n">
        <v>3.3</v>
      </c>
      <c r="M8" s="116" t="n">
        <v>7.1</v>
      </c>
      <c r="N8" s="116" t="n">
        <v>9.699999999999999</v>
      </c>
      <c r="O8" s="116" t="n">
        <v>6.6</v>
      </c>
      <c r="P8" s="14" t="n"/>
    </row>
    <row r="9">
      <c r="A9" s="98" t="inlineStr">
        <is>
          <t>Figure Rules</t>
        </is>
      </c>
      <c r="F9" s="69" t="inlineStr">
        <is>
          <t>Non-Hispanic Asian or Pacific Islander</t>
        </is>
      </c>
      <c r="G9" s="116" t="inlineStr">
        <is>
          <t>5.8*</t>
        </is>
      </c>
      <c r="H9" s="116" t="n">
        <v>7.7</v>
      </c>
      <c r="I9" s="116" t="n">
        <v>3.1</v>
      </c>
      <c r="J9" s="116" t="n">
        <v>3.6</v>
      </c>
      <c r="K9" s="116" t="n">
        <v>7.6</v>
      </c>
      <c r="L9" s="116" t="n">
        <v>2.7</v>
      </c>
      <c r="M9" s="116" t="n">
        <v>6.4</v>
      </c>
      <c r="N9" s="116" t="n">
        <v>3.4</v>
      </c>
      <c r="O9" s="116" t="n">
        <v>2.7</v>
      </c>
      <c r="P9" s="14" t="n"/>
    </row>
    <row r="10">
      <c r="A10" t="inlineStr">
        <is>
          <t>Figure Type</t>
        </is>
      </c>
      <c r="B10" t="inlineStr">
        <is>
          <t>Clustered Bar</t>
        </is>
      </c>
      <c r="F10" s="53" t="inlineStr">
        <is>
          <t>Hispanic</t>
        </is>
      </c>
      <c r="G10" s="116" t="n">
        <v>8</v>
      </c>
      <c r="H10" s="116" t="n">
        <v>5.7</v>
      </c>
      <c r="I10" s="116" t="n">
        <v>3.14</v>
      </c>
      <c r="J10" s="116" t="n">
        <v>2.4</v>
      </c>
      <c r="K10" s="116" t="n">
        <v>8.800000000000001</v>
      </c>
      <c r="L10" s="116" t="n">
        <v>1.1</v>
      </c>
      <c r="M10" s="116" t="n">
        <v>6.7</v>
      </c>
      <c r="N10" s="116" t="n">
        <v>8.699999999999999</v>
      </c>
      <c r="O10" s="116" t="n">
        <v>5.9</v>
      </c>
    </row>
    <row r="11">
      <c r="A11" t="inlineStr">
        <is>
          <t>X Column</t>
        </is>
      </c>
      <c r="B11" t="inlineStr">
        <is>
          <t>Group</t>
        </is>
      </c>
      <c r="F11" s="69" t="inlineStr">
        <is>
          <t>Total</t>
        </is>
      </c>
      <c r="G11" s="116" t="n">
        <v>9.4</v>
      </c>
      <c r="H11" s="116" t="n">
        <v>6.7</v>
      </c>
      <c r="I11" s="116" t="n">
        <v>2</v>
      </c>
      <c r="J11" s="116" t="n">
        <v>1.8</v>
      </c>
      <c r="K11" s="116" t="n">
        <v>8.800000000000001</v>
      </c>
      <c r="L11" s="116" t="n">
        <v>3.3</v>
      </c>
      <c r="M11" s="116" t="n">
        <v>5.9</v>
      </c>
      <c r="N11" s="116" t="n">
        <v>8</v>
      </c>
      <c r="O11" s="116" t="n">
        <v>6.2</v>
      </c>
    </row>
    <row r="12">
      <c r="A12" t="inlineStr">
        <is>
          <t>Y Column</t>
        </is>
      </c>
      <c r="B12" t="inlineStr">
        <is>
          <t>Rate per 100,000</t>
        </is>
      </c>
    </row>
    <row r="13">
      <c r="A13" t="inlineStr">
        <is>
          <t>X Axis Title</t>
        </is>
      </c>
    </row>
    <row r="14">
      <c r="A14" t="inlineStr">
        <is>
          <t>Y Axis Title</t>
        </is>
      </c>
      <c r="B14" t="inlineStr">
        <is>
          <t>Rate per 100,000</t>
        </is>
      </c>
    </row>
    <row r="15">
      <c r="A15" t="inlineStr">
        <is>
          <t>Start at Zero</t>
        </is>
      </c>
      <c r="B15" t="b">
        <v>1</v>
      </c>
    </row>
    <row r="16"/>
    <row r="17"/>
    <row r="18">
      <c r="A18" s="98" t="inlineStr">
        <is>
          <t>Source Specifications</t>
        </is>
      </c>
    </row>
    <row r="19">
      <c r="A19" t="inlineStr">
        <is>
          <t>Table ID</t>
        </is>
      </c>
      <c r="B19" t="inlineStr">
        <is>
          <t>NYS County Health Indicators by Race and Ethnicity Dashboard</t>
        </is>
      </c>
    </row>
    <row r="20">
      <c r="A20" t="inlineStr">
        <is>
          <t>URL</t>
        </is>
      </c>
      <c r="B20" t="inlineStr">
        <is>
          <t>https://www.health.ny.gov/community/health_equity/reports/county/</t>
        </is>
      </c>
    </row>
    <row r="21">
      <c r="A21" t="inlineStr">
        <is>
          <t>Data Year</t>
        </is>
      </c>
      <c r="B21" t="inlineStr">
        <is>
          <t>2020-2022</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NYS County Health Indicators by Race and Ethnicity Dashboard, May 2025 sourced from Vital Statistics of NYS https://www.health.ny.gov/community/health_equity/reports/county/</t>
        </is>
      </c>
    </row>
    <row r="26">
      <c r="H26" s="52" t="n"/>
      <c r="I26" s="52" t="n"/>
    </row>
    <row r="27">
      <c r="A27" s="101" t="inlineStr">
        <is>
          <t>Note Specfications</t>
        </is>
      </c>
    </row>
    <row r="28">
      <c r="A28" s="102" t="n"/>
    </row>
    <row r="29">
      <c r="A29" s="103" t="inlineStr">
        <is>
          <t>*: The rate is unstable.
Note: This indicator includes deaths with motor vehicle related as the primary cause of death. The ICD-10 codes for motor vehicle related
injuries are: V02-V04, V09.0, V09.2, V12-V14, V19.0-V19.2, V19.4-V19.6, V20-V79, V80.3-V80.5, V81.0-V81.1, V82.0-V82.1,
V83-V86, V87.0-V87.8, V88.0-V88.8,V89.0,V89.2.</t>
        </is>
      </c>
      <c r="H29" s="52" t="n"/>
      <c r="I29" s="52" t="n"/>
      <c r="J29" s="52" t="n"/>
      <c r="K29" s="52" t="n"/>
      <c r="L29" s="52" t="n"/>
    </row>
    <row r="30"/>
    <row r="31"/>
    <row r="32">
      <c r="H32" s="52" t="n"/>
      <c r="I32" s="52" t="n"/>
      <c r="J32" s="52" t="n"/>
      <c r="K32" s="52" t="n"/>
      <c r="L32" s="52" t="n"/>
    </row>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A9:B9"/>
    <mergeCell ref="A28:B28"/>
    <mergeCell ref="A5:B5"/>
    <mergeCell ref="A29:D40"/>
    <mergeCell ref="A18:B18"/>
    <mergeCell ref="N5:O5"/>
    <mergeCell ref="A27:B27"/>
    <mergeCell ref="G5:M5"/>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P57"/>
  <sheetViews>
    <sheetView workbookViewId="0">
      <selection activeCell="B1" sqref="B1:O1"/>
    </sheetView>
  </sheetViews>
  <sheetFormatPr baseColWidth="10" defaultColWidth="8.6640625" defaultRowHeight="15"/>
  <cols>
    <col width="20" bestFit="1" customWidth="1" style="99" min="1" max="1"/>
    <col width="16.6640625" customWidth="1" style="99" min="2" max="2"/>
    <col width="6.6640625" customWidth="1" style="99" min="5" max="5"/>
    <col width="10" bestFit="1"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Falls Hospitalization, Age-Adjusted Rate per 10,000 Population, 2018–2021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s="101" t="inlineStr">
        <is>
          <t>Three Year Average</t>
        </is>
      </c>
      <c r="N5" s="101" t="inlineStr">
        <is>
          <t xml:space="preserve"> Single Year</t>
        </is>
      </c>
    </row>
    <row r="6" ht="15" customHeight="1" s="99">
      <c r="A6" t="inlineStr">
        <is>
          <t>Multilevel Headers</t>
        </is>
      </c>
      <c r="B6" t="b">
        <v>1</v>
      </c>
      <c r="F6" s="63" t="n"/>
      <c r="G6" s="116" t="inlineStr">
        <is>
          <t>Dutchess</t>
        </is>
      </c>
      <c r="H6" s="116" t="inlineStr">
        <is>
          <t>Orange</t>
        </is>
      </c>
      <c r="I6" s="116" t="inlineStr">
        <is>
          <t>Putnam</t>
        </is>
      </c>
      <c r="J6" s="116" t="inlineStr">
        <is>
          <t>Rockland</t>
        </is>
      </c>
      <c r="K6" s="116" t="inlineStr">
        <is>
          <t>Sullivan</t>
        </is>
      </c>
      <c r="L6" s="116" t="inlineStr">
        <is>
          <t>Ulster</t>
        </is>
      </c>
      <c r="M6" s="116" t="inlineStr">
        <is>
          <t>Westchester</t>
        </is>
      </c>
      <c r="N6" s="116" t="inlineStr">
        <is>
          <t>NYS excl NYC</t>
        </is>
      </c>
      <c r="O6" s="116" t="inlineStr">
        <is>
          <t>NYS</t>
        </is>
      </c>
      <c r="P6" s="14" t="n"/>
    </row>
    <row r="7" ht="15.75" customHeight="1" s="99">
      <c r="F7" s="63" t="n">
        <v>2018</v>
      </c>
      <c r="G7" s="116" t="n">
        <v>34.6</v>
      </c>
      <c r="H7" s="116" t="n">
        <v>39.8</v>
      </c>
      <c r="I7" s="116" t="n">
        <v>29.2</v>
      </c>
      <c r="J7" s="116" t="n">
        <v>30.9</v>
      </c>
      <c r="K7" s="116" t="n">
        <v>33.8</v>
      </c>
      <c r="L7" s="116" t="n">
        <v>39.6</v>
      </c>
      <c r="M7" s="116" t="n">
        <v>31.8</v>
      </c>
      <c r="N7" s="116" t="n">
        <v>37.6</v>
      </c>
      <c r="O7" s="116" t="n">
        <v>35.1</v>
      </c>
      <c r="P7" s="14" t="n"/>
    </row>
    <row r="8">
      <c r="F8" s="63" t="n">
        <v>2019</v>
      </c>
      <c r="G8" s="116" t="n">
        <v>35.1</v>
      </c>
      <c r="H8" s="116" t="n">
        <v>39.8</v>
      </c>
      <c r="I8" s="116" t="n">
        <v>29.3</v>
      </c>
      <c r="J8" s="116" t="n">
        <v>30.4</v>
      </c>
      <c r="K8" s="116" t="n">
        <v>35.3</v>
      </c>
      <c r="L8" s="116" t="n">
        <v>40</v>
      </c>
      <c r="M8" s="116" t="n">
        <v>33</v>
      </c>
      <c r="N8" s="116" t="n">
        <v>38</v>
      </c>
      <c r="O8" s="116" t="n">
        <v>36.4</v>
      </c>
      <c r="P8" s="14" t="n"/>
    </row>
    <row r="9">
      <c r="A9" s="98" t="inlineStr">
        <is>
          <t>Figure Rules</t>
        </is>
      </c>
      <c r="F9" s="63" t="n">
        <v>2020</v>
      </c>
      <c r="G9" s="116" t="n">
        <v>35.3</v>
      </c>
      <c r="H9" s="116" t="n">
        <v>39.4</v>
      </c>
      <c r="I9" s="116" t="n">
        <v>28.6</v>
      </c>
      <c r="J9" s="116" t="n">
        <v>29.4</v>
      </c>
      <c r="K9" s="116" t="n">
        <v>36.2</v>
      </c>
      <c r="L9" s="116" t="n">
        <v>39.7</v>
      </c>
      <c r="M9" s="116" t="n">
        <v>34.1</v>
      </c>
      <c r="N9" s="116" t="n">
        <v>35.2</v>
      </c>
      <c r="O9" s="116" t="n">
        <v>34.1</v>
      </c>
      <c r="P9" s="14" t="n"/>
    </row>
    <row r="10">
      <c r="A10" t="inlineStr">
        <is>
          <t>Figure Type</t>
        </is>
      </c>
      <c r="B10" t="inlineStr">
        <is>
          <t>Line</t>
        </is>
      </c>
      <c r="F10" s="63" t="n">
        <v>2021</v>
      </c>
      <c r="G10" s="116" t="n">
        <v>36.5</v>
      </c>
      <c r="H10" s="116" t="n">
        <v>39.9</v>
      </c>
      <c r="I10" s="116" t="n">
        <v>27.8</v>
      </c>
      <c r="J10" s="116" t="n">
        <v>29.6</v>
      </c>
      <c r="K10" s="116" t="n">
        <v>39.9</v>
      </c>
      <c r="L10" s="116" t="n">
        <v>39.3</v>
      </c>
      <c r="M10" s="116" t="n">
        <v>33.6</v>
      </c>
      <c r="N10" s="116" t="n">
        <v>38</v>
      </c>
      <c r="O10" s="116" t="n">
        <v>36.4</v>
      </c>
      <c r="P10" s="14" t="n"/>
    </row>
    <row r="11">
      <c r="A11" t="inlineStr">
        <is>
          <t>X Column</t>
        </is>
      </c>
      <c r="B11" t="inlineStr">
        <is>
          <t>Period</t>
        </is>
      </c>
      <c r="F11" s="63" t="n"/>
      <c r="G11" s="14" t="n"/>
      <c r="H11" s="14" t="n"/>
      <c r="I11" s="14" t="n"/>
      <c r="J11" s="14" t="n"/>
      <c r="K11" s="14" t="n"/>
      <c r="L11" s="14" t="n"/>
      <c r="M11" s="14" t="n"/>
      <c r="N11" s="14" t="n"/>
      <c r="O11" s="14" t="n"/>
      <c r="P11" s="14" t="n"/>
    </row>
    <row r="12">
      <c r="A12" t="inlineStr">
        <is>
          <t>Y Column</t>
        </is>
      </c>
      <c r="B12" t="inlineStr">
        <is>
          <t>Rate per 10,000</t>
        </is>
      </c>
      <c r="F12" s="63" t="n"/>
      <c r="G12" s="14" t="n"/>
      <c r="H12" s="14" t="n"/>
      <c r="I12" s="14" t="n"/>
      <c r="J12" s="14" t="n"/>
      <c r="K12" s="14" t="n"/>
      <c r="L12" s="14" t="n"/>
      <c r="M12" s="14" t="n"/>
      <c r="N12" s="14" t="n"/>
      <c r="O12" s="14" t="n"/>
      <c r="P12" s="14" t="n"/>
    </row>
    <row r="13">
      <c r="A13" t="inlineStr">
        <is>
          <t>X Axis Title</t>
        </is>
      </c>
    </row>
    <row r="14">
      <c r="A14" t="inlineStr">
        <is>
          <t>Y Axis Title</t>
        </is>
      </c>
      <c r="B14" t="inlineStr">
        <is>
          <t>Rate per 10,000</t>
        </is>
      </c>
    </row>
    <row r="15">
      <c r="A15" t="inlineStr">
        <is>
          <t>Start at Zero</t>
        </is>
      </c>
      <c r="B15" t="b">
        <v>0</v>
      </c>
    </row>
    <row r="16"/>
    <row r="17"/>
    <row r="18">
      <c r="A18" s="98" t="inlineStr">
        <is>
          <t>Source Specifications</t>
        </is>
      </c>
    </row>
    <row r="19">
      <c r="A19" t="inlineStr">
        <is>
          <t>Table ID</t>
        </is>
      </c>
      <c r="B19" t="inlineStr">
        <is>
          <t>NYS Community Health Indicator Reports Dashboard</t>
        </is>
      </c>
    </row>
    <row r="20">
      <c r="A20" t="inlineStr">
        <is>
          <t>URL</t>
        </is>
      </c>
      <c r="B20" t="inlineStr">
        <is>
          <t>https://www.health.ny.gov/community/health_equity/reports/county/</t>
        </is>
      </c>
    </row>
    <row r="21">
      <c r="A21" t="inlineStr">
        <is>
          <t>Data Year</t>
        </is>
      </c>
      <c r="B21" t="inlineStr">
        <is>
          <t>2018-2021</t>
        </is>
      </c>
    </row>
    <row r="22">
      <c r="A22" t="inlineStr">
        <is>
          <t>Estimate Type</t>
        </is>
      </c>
    </row>
    <row r="23">
      <c r="A23" t="inlineStr">
        <is>
          <t>Citation Month</t>
        </is>
      </c>
      <c r="B23" t="inlineStr">
        <is>
          <t>May</t>
        </is>
      </c>
    </row>
    <row r="24">
      <c r="A24" t="inlineStr">
        <is>
          <t>Citation Year</t>
        </is>
      </c>
      <c r="B24" t="n">
        <v>2025</v>
      </c>
    </row>
    <row r="25" ht="208" customHeight="1" s="99">
      <c r="A25" t="inlineStr">
        <is>
          <t>Custom Text</t>
        </is>
      </c>
      <c r="B25" s="50" t="inlineStr">
        <is>
          <t>Source: NYS Community Health Indicator Reports Dashboard, May 2025 sourced from NY Statewide Planning and Research
Cooperative System https://www.health.ny.gov/community/health_equity/reports/county/</t>
        </is>
      </c>
      <c r="I25" s="52" t="n"/>
    </row>
    <row r="26"/>
    <row r="27">
      <c r="A27" s="101" t="inlineStr">
        <is>
          <t>Note Specfications</t>
        </is>
      </c>
    </row>
    <row r="28">
      <c r="A28" s="102" t="n"/>
      <c r="H28" s="52" t="n"/>
      <c r="I28" s="52" t="n"/>
      <c r="J28" s="52" t="n"/>
      <c r="K28" s="52" t="n"/>
      <c r="L28" s="52" t="n"/>
    </row>
    <row r="29">
      <c r="A29" s="103" t="inlineStr">
        <is>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N5:O5"/>
    <mergeCell ref="A28:B28"/>
    <mergeCell ref="A5:B5"/>
    <mergeCell ref="A29:D40"/>
    <mergeCell ref="A18:B18"/>
    <mergeCell ref="A9:B9"/>
    <mergeCell ref="A27:B27"/>
    <mergeCell ref="G5:M5"/>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P57"/>
  <sheetViews>
    <sheetView workbookViewId="0">
      <selection activeCell="B1" sqref="B1:O1"/>
    </sheetView>
  </sheetViews>
  <sheetFormatPr baseColWidth="10" defaultColWidth="8.6640625" defaultRowHeight="15"/>
  <cols>
    <col width="20" bestFit="1" customWidth="1" style="99" min="1" max="1"/>
    <col width="16.6640625" customWidth="1" style="99" min="2" max="2"/>
    <col width="6.6640625" customWidth="1" style="99" min="5" max="5"/>
    <col width="10" bestFit="1"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Falls Hospitalization, Rate per 10,000 Population 85 Years and Older, 2018–2021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s="101" t="inlineStr">
        <is>
          <t>Three Year Average</t>
        </is>
      </c>
      <c r="N5" s="101" t="inlineStr">
        <is>
          <t xml:space="preserve"> Single Year</t>
        </is>
      </c>
    </row>
    <row r="6" ht="15" customHeight="1" s="99">
      <c r="A6" t="inlineStr">
        <is>
          <t>Multilevel Headers</t>
        </is>
      </c>
      <c r="B6" t="b">
        <v>1</v>
      </c>
      <c r="F6" s="63" t="n"/>
      <c r="G6" s="116" t="inlineStr">
        <is>
          <t>Dutchess</t>
        </is>
      </c>
      <c r="H6" s="116" t="inlineStr">
        <is>
          <t>Orange</t>
        </is>
      </c>
      <c r="I6" s="116" t="inlineStr">
        <is>
          <t>Putnam</t>
        </is>
      </c>
      <c r="J6" s="116" t="inlineStr">
        <is>
          <t>Rockland</t>
        </is>
      </c>
      <c r="K6" s="116" t="inlineStr">
        <is>
          <t>Sullivan</t>
        </is>
      </c>
      <c r="L6" s="116" t="inlineStr">
        <is>
          <t>Ulster</t>
        </is>
      </c>
      <c r="M6" s="116" t="inlineStr">
        <is>
          <t>Westchester</t>
        </is>
      </c>
      <c r="N6" s="116" t="inlineStr">
        <is>
          <t>NYS excl NYC</t>
        </is>
      </c>
      <c r="O6" s="116" t="inlineStr">
        <is>
          <t>NYS</t>
        </is>
      </c>
      <c r="P6" s="14" t="n"/>
    </row>
    <row r="7" ht="15.75" customHeight="1" s="99">
      <c r="F7" s="63" t="n">
        <v>2018</v>
      </c>
      <c r="G7" s="116" t="n">
        <v>575</v>
      </c>
      <c r="H7" s="116" t="n">
        <v>690</v>
      </c>
      <c r="I7" s="116" t="n">
        <v>618</v>
      </c>
      <c r="J7" s="116" t="n">
        <v>523</v>
      </c>
      <c r="K7" s="116" t="n">
        <v>545</v>
      </c>
      <c r="L7" s="116" t="n">
        <v>682</v>
      </c>
      <c r="M7" s="116" t="n">
        <v>577</v>
      </c>
      <c r="N7" s="116" t="n">
        <v>650</v>
      </c>
      <c r="O7" s="116" t="n">
        <v>572</v>
      </c>
      <c r="P7" s="14" t="n"/>
    </row>
    <row r="8">
      <c r="F8" s="63" t="n">
        <v>2019</v>
      </c>
      <c r="G8" s="116" t="n">
        <v>582</v>
      </c>
      <c r="H8" s="116" t="n">
        <v>707</v>
      </c>
      <c r="I8" s="116" t="n">
        <v>606</v>
      </c>
      <c r="J8" s="116" t="n">
        <v>494</v>
      </c>
      <c r="K8" s="116" t="n">
        <v>550</v>
      </c>
      <c r="L8" s="116" t="n">
        <v>691</v>
      </c>
      <c r="M8" s="116" t="n">
        <v>595</v>
      </c>
      <c r="N8" s="116" t="n">
        <v>644</v>
      </c>
      <c r="O8" s="116" t="n">
        <v>581</v>
      </c>
      <c r="P8" s="14" t="n"/>
    </row>
    <row r="9">
      <c r="A9" s="98" t="inlineStr">
        <is>
          <t>Figure Rules</t>
        </is>
      </c>
      <c r="F9" s="63" t="n">
        <v>2020</v>
      </c>
      <c r="G9" s="116" t="n">
        <v>610</v>
      </c>
      <c r="H9" s="116" t="n">
        <v>690</v>
      </c>
      <c r="I9" s="116" t="n">
        <v>583</v>
      </c>
      <c r="J9" s="116" t="n">
        <v>495</v>
      </c>
      <c r="K9" s="116" t="n">
        <v>558</v>
      </c>
      <c r="L9" s="116" t="n">
        <v>688</v>
      </c>
      <c r="M9" s="116" t="n">
        <v>610</v>
      </c>
      <c r="N9" s="116" t="n">
        <v>577</v>
      </c>
      <c r="O9" s="116" t="n">
        <v>515</v>
      </c>
      <c r="P9" s="14" t="n"/>
    </row>
    <row r="10">
      <c r="A10" t="inlineStr">
        <is>
          <t>Figure Type</t>
        </is>
      </c>
      <c r="B10" t="inlineStr">
        <is>
          <t>Line</t>
        </is>
      </c>
      <c r="F10" s="63" t="n">
        <v>2021</v>
      </c>
      <c r="G10" s="116" t="n">
        <v>645</v>
      </c>
      <c r="H10" s="116" t="n">
        <v>695</v>
      </c>
      <c r="I10" s="116" t="n">
        <v>540</v>
      </c>
      <c r="J10" s="116" t="n">
        <v>520</v>
      </c>
      <c r="K10" s="116" t="n">
        <v>647</v>
      </c>
      <c r="L10" s="116" t="n">
        <v>680</v>
      </c>
      <c r="M10" s="116" t="n">
        <v>597</v>
      </c>
      <c r="N10" s="116" t="n">
        <v>679</v>
      </c>
      <c r="O10" s="116" t="n">
        <v>597</v>
      </c>
      <c r="P10" s="14" t="n"/>
    </row>
    <row r="11">
      <c r="A11" t="inlineStr">
        <is>
          <t>X Column</t>
        </is>
      </c>
      <c r="B11" t="inlineStr">
        <is>
          <t>Period</t>
        </is>
      </c>
      <c r="F11" s="63" t="n"/>
      <c r="G11" s="14" t="n"/>
      <c r="H11" s="14" t="n"/>
      <c r="I11" s="14" t="n"/>
      <c r="J11" s="14" t="n"/>
      <c r="K11" s="14" t="n"/>
      <c r="L11" s="14" t="n"/>
      <c r="M11" s="14" t="n"/>
      <c r="N11" s="14" t="n"/>
      <c r="O11" s="14" t="n"/>
      <c r="P11" s="14" t="n"/>
    </row>
    <row r="12">
      <c r="A12" t="inlineStr">
        <is>
          <t>Y Column</t>
        </is>
      </c>
      <c r="B12" t="inlineStr">
        <is>
          <t>Rate per 10,000</t>
        </is>
      </c>
      <c r="F12" s="63" t="n"/>
      <c r="G12" s="14" t="n"/>
      <c r="H12" s="14" t="n"/>
      <c r="I12" s="14" t="n"/>
      <c r="J12" s="14" t="n"/>
      <c r="K12" s="14" t="n"/>
      <c r="L12" s="14" t="n"/>
      <c r="M12" s="14" t="n"/>
      <c r="N12" s="14" t="n"/>
      <c r="O12" s="14" t="n"/>
      <c r="P12" s="14" t="n"/>
    </row>
    <row r="13">
      <c r="A13" t="inlineStr">
        <is>
          <t>X Axis Title</t>
        </is>
      </c>
    </row>
    <row r="14">
      <c r="A14" t="inlineStr">
        <is>
          <t>Y Axis Title</t>
        </is>
      </c>
      <c r="B14" t="inlineStr">
        <is>
          <t>Rate per 10,000</t>
        </is>
      </c>
    </row>
    <row r="15">
      <c r="A15" t="inlineStr">
        <is>
          <t>Start at Zero</t>
        </is>
      </c>
      <c r="B15" t="b">
        <v>0</v>
      </c>
    </row>
    <row r="16"/>
    <row r="17"/>
    <row r="18">
      <c r="A18" s="98" t="inlineStr">
        <is>
          <t>Source Specifications</t>
        </is>
      </c>
    </row>
    <row r="19">
      <c r="A19" t="inlineStr">
        <is>
          <t>Table ID</t>
        </is>
      </c>
      <c r="B19" t="inlineStr">
        <is>
          <t>NYS Community Health Indicator Reports Dashboard</t>
        </is>
      </c>
    </row>
    <row r="20">
      <c r="A20" t="inlineStr">
        <is>
          <t>URL</t>
        </is>
      </c>
      <c r="B20" t="inlineStr">
        <is>
          <t>https://www.health.ny.gov/community/health_equity/reports/county/</t>
        </is>
      </c>
    </row>
    <row r="21">
      <c r="A21" t="inlineStr">
        <is>
          <t>Data Year</t>
        </is>
      </c>
      <c r="B21" t="inlineStr">
        <is>
          <t>2018-2021</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NYS Community Health Indicator Reports Dashboard, May 2025 sourced from NY Statewide Planning and Research Cooperative System https://www.health.ny.gov/community/health_equity/reports/county/</t>
        </is>
      </c>
      <c r="I25" s="52" t="n"/>
    </row>
    <row r="26"/>
    <row r="27">
      <c r="A27" s="101" t="inlineStr">
        <is>
          <t>Note Specfications</t>
        </is>
      </c>
    </row>
    <row r="28">
      <c r="A28" s="102" t="n"/>
      <c r="H28" s="52" t="n"/>
      <c r="I28" s="52" t="n"/>
      <c r="J28" s="52" t="n"/>
      <c r="K28" s="52" t="n"/>
      <c r="L28" s="52" t="n"/>
    </row>
    <row r="29">
      <c r="A29" s="103" t="inlineStr">
        <is>
          <t>Note: Three-year averages were used for counties, while single-year estimates were used for NYS and NYS excluding NYC. Y-axis does not
begin at zero in order to clearly display trend lines.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N5:O5"/>
    <mergeCell ref="A28:B28"/>
    <mergeCell ref="A5:B5"/>
    <mergeCell ref="A29:D40"/>
    <mergeCell ref="A18:B18"/>
    <mergeCell ref="A9:B9"/>
    <mergeCell ref="A27:B27"/>
    <mergeCell ref="G5:M5"/>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P57"/>
  <sheetViews>
    <sheetView workbookViewId="0">
      <selection activeCell="H22" sqref="H22"/>
    </sheetView>
  </sheetViews>
  <sheetFormatPr baseColWidth="10" defaultColWidth="8.6640625" defaultRowHeight="15"/>
  <cols>
    <col width="20" bestFit="1" customWidth="1" style="99" min="1" max="1"/>
    <col width="16.6640625" customWidth="1" style="99" min="2" max="2"/>
    <col width="6.6640625" customWidth="1" style="99" min="5" max="5"/>
    <col width="28.1640625" bestFit="1"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Falls Hospitalization, Rate per 10,000 Population 65 Years and Older by Race and 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s="101" t="inlineStr">
        <is>
          <t>Three-Year Average</t>
        </is>
      </c>
      <c r="N5" s="101" t="inlineStr">
        <is>
          <t>Single-Year</t>
        </is>
      </c>
    </row>
    <row r="6" ht="15" customHeight="1" s="99">
      <c r="A6" t="inlineStr">
        <is>
          <t>Multilevel Headers</t>
        </is>
      </c>
      <c r="B6" t="b">
        <v>1</v>
      </c>
      <c r="F6" s="101" t="n"/>
      <c r="G6" s="116" t="inlineStr">
        <is>
          <t>Dutchess</t>
        </is>
      </c>
      <c r="H6" s="116" t="inlineStr">
        <is>
          <t>Orange</t>
        </is>
      </c>
      <c r="I6" s="116" t="inlineStr">
        <is>
          <t>Putnam</t>
        </is>
      </c>
      <c r="J6" s="116" t="inlineStr">
        <is>
          <t>Rockland</t>
        </is>
      </c>
      <c r="K6" s="116" t="inlineStr">
        <is>
          <t>Sullivan</t>
        </is>
      </c>
      <c r="L6" s="116" t="inlineStr">
        <is>
          <t>Ulster</t>
        </is>
      </c>
      <c r="M6" s="116" t="inlineStr">
        <is>
          <t>Westchester</t>
        </is>
      </c>
      <c r="N6" s="101" t="inlineStr">
        <is>
          <t>NYS excl NYC</t>
        </is>
      </c>
      <c r="O6" s="101" t="inlineStr">
        <is>
          <t>NYS</t>
        </is>
      </c>
      <c r="P6" s="14" t="n"/>
    </row>
    <row r="7" ht="15.75" customHeight="1" s="99">
      <c r="F7" s="69" t="inlineStr">
        <is>
          <t>Non-Hispanic White</t>
        </is>
      </c>
      <c r="G7" s="116" t="n">
        <v>205.3</v>
      </c>
      <c r="H7" s="116" t="n">
        <v>22.8</v>
      </c>
      <c r="I7" s="116" t="n">
        <v>156</v>
      </c>
      <c r="J7" s="116" t="n">
        <v>191.7</v>
      </c>
      <c r="K7" s="116" t="n">
        <v>192.9</v>
      </c>
      <c r="L7" s="116" t="n">
        <v>210.6</v>
      </c>
      <c r="M7" s="116" t="n">
        <v>181.9</v>
      </c>
      <c r="N7" s="116" t="n">
        <v>202.9</v>
      </c>
      <c r="O7" s="116" t="n">
        <v>197.5</v>
      </c>
      <c r="P7" s="14" t="n"/>
    </row>
    <row r="8">
      <c r="F8" s="69" t="inlineStr">
        <is>
          <t>Non-Hispanic Black</t>
        </is>
      </c>
      <c r="G8" s="116" t="n">
        <v>48.3</v>
      </c>
      <c r="H8" s="116" t="n">
        <v>112.7</v>
      </c>
      <c r="I8" s="116" t="inlineStr">
        <is>
          <t>s</t>
        </is>
      </c>
      <c r="J8" s="116" t="n">
        <v>71.09999999999999</v>
      </c>
      <c r="K8" s="116" t="n">
        <v>134.7</v>
      </c>
      <c r="L8" s="116" t="n">
        <v>129.9</v>
      </c>
      <c r="M8" s="116" t="n">
        <v>100.8</v>
      </c>
      <c r="N8" s="116" t="n">
        <v>114.7</v>
      </c>
      <c r="O8" s="116" t="n">
        <v>103.7</v>
      </c>
      <c r="P8" s="14" t="n"/>
    </row>
    <row r="9">
      <c r="A9" s="98" t="inlineStr">
        <is>
          <t>Figure Rules</t>
        </is>
      </c>
      <c r="F9" s="69" t="inlineStr">
        <is>
          <t>Non-Hispanic Asian or Pacific Islander</t>
        </is>
      </c>
      <c r="G9" s="116" t="n">
        <v>48.6</v>
      </c>
      <c r="H9" s="116" t="n">
        <v>78.09999999999999</v>
      </c>
      <c r="I9" s="116" t="inlineStr">
        <is>
          <t>93.8*</t>
        </is>
      </c>
      <c r="J9" s="116" t="n">
        <v>46.3</v>
      </c>
      <c r="K9" s="116" t="inlineStr">
        <is>
          <t>s</t>
        </is>
      </c>
      <c r="L9" s="116" t="inlineStr">
        <is>
          <t>61.2*</t>
        </is>
      </c>
      <c r="M9" s="116" t="n">
        <v>55</v>
      </c>
      <c r="N9" s="116" t="n">
        <v>76.40000000000001</v>
      </c>
      <c r="O9" s="116" t="n">
        <v>83.40000000000001</v>
      </c>
      <c r="P9" s="14" t="n"/>
    </row>
    <row r="10">
      <c r="A10" t="inlineStr">
        <is>
          <t>Figure Type</t>
        </is>
      </c>
      <c r="B10" t="inlineStr">
        <is>
          <t>Clustered Bar</t>
        </is>
      </c>
      <c r="F10" s="53" t="inlineStr">
        <is>
          <t>Hispanic</t>
        </is>
      </c>
      <c r="G10" s="116" t="n">
        <v>82.59999999999999</v>
      </c>
      <c r="H10" s="116" t="n">
        <v>106.8</v>
      </c>
      <c r="I10" s="116" t="n">
        <v>54.2</v>
      </c>
      <c r="J10" s="116" t="n">
        <v>93.3</v>
      </c>
      <c r="K10" s="116" t="n">
        <v>97.59999999999999</v>
      </c>
      <c r="L10" s="116" t="n">
        <v>88.09999999999999</v>
      </c>
      <c r="M10" s="116" t="n">
        <v>73.5</v>
      </c>
      <c r="N10" s="116" t="n">
        <v>106.5</v>
      </c>
      <c r="O10" s="116" t="n">
        <v>120.5</v>
      </c>
    </row>
    <row r="11">
      <c r="A11" t="inlineStr">
        <is>
          <t>X Column</t>
        </is>
      </c>
      <c r="B11" t="inlineStr">
        <is>
          <t>Group</t>
        </is>
      </c>
      <c r="F11" s="69" t="inlineStr">
        <is>
          <t>Total</t>
        </is>
      </c>
      <c r="G11" s="116" t="n">
        <v>205.8</v>
      </c>
      <c r="H11" s="116" t="n">
        <v>212.8</v>
      </c>
      <c r="I11" s="116" t="n">
        <v>155.9</v>
      </c>
      <c r="J11" s="116" t="n">
        <v>171.6</v>
      </c>
      <c r="K11" s="116" t="n">
        <v>188.1</v>
      </c>
      <c r="L11" s="116" t="n">
        <v>210.9</v>
      </c>
      <c r="M11" s="116" t="n">
        <v>196</v>
      </c>
      <c r="N11" s="116" t="n">
        <v>203.2</v>
      </c>
      <c r="O11" s="116" t="n">
        <v>188.7</v>
      </c>
    </row>
    <row r="12">
      <c r="A12" t="inlineStr">
        <is>
          <t>Y Column</t>
        </is>
      </c>
      <c r="B12" t="inlineStr">
        <is>
          <t>Rate per 10,000</t>
        </is>
      </c>
    </row>
    <row r="13">
      <c r="A13" t="inlineStr">
        <is>
          <t>X Axis Title</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c r="B19" t="inlineStr">
        <is>
          <t>NYS County Health Indicators by Race and Ethnicity Dashboard</t>
        </is>
      </c>
    </row>
    <row r="20">
      <c r="A20" t="inlineStr">
        <is>
          <t>URL</t>
        </is>
      </c>
      <c r="B20" t="inlineStr">
        <is>
          <t>https://www.health.ny.gov/community/health_equity/reports/county/</t>
        </is>
      </c>
    </row>
    <row r="21">
      <c r="A21" t="inlineStr">
        <is>
          <t>Data Year</t>
        </is>
      </c>
      <c r="B21" t="inlineStr">
        <is>
          <t>2020-2022</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NYS County Health Indicators by Race and Ethnicity Dashboard, May 2025 sourced from NY Statewide Planning and Research Cooperative System https://www.health.ny.gov/community/health_equity/reports/county/</t>
        </is>
      </c>
    </row>
    <row r="26">
      <c r="H26" s="52" t="n"/>
      <c r="I26" s="52" t="n"/>
    </row>
    <row r="27">
      <c r="A27" s="101" t="inlineStr">
        <is>
          <t>Note Specfications</t>
        </is>
      </c>
    </row>
    <row r="28">
      <c r="A28" s="102" t="n"/>
    </row>
    <row r="29">
      <c r="A29" s="103" t="inlineStr">
        <is>
          <t>*: The rate is unstable.
s: Data are suppressed due to not meeting confidentiality criteria.
Note: Three-year average is used for this indicator. This indicator includes deaths with falls as the primary cause of death. The ICD-10 codes
for falls are: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V00111,V00121,V00131,V00141,V00151,V00181,V00211,V00221,V00281,V00311,V00321,V00381,V00811,V00821,V0083
1,V00841,V00891,W000XX,W001XX,W002XX,W009XX,W010XX,W0110X,W01110,W01111,W01118,W01119,W01190,W0
1198,W03XXX,W04XXX,W050XX,W051XX,W052XX,W06XXX,W07XXX,W08XXX,W090XX,W091XX,W092XX,W098XX,W100
XX,W101XX,W102XX,W108XX,W109XX,W11XXX,W12XXX,W130XX,W131XX,W132XX,W133XX,W134XX,W138XX,W139XX,
W14XXX,W15XXX,W16012,W16022,W16032,W16112,W16122,W16132,W16212,W16222,W16312,W16322,W16332,W1
642X,W16512,W16522,W16532,W16612,W16622,W16712,W16722,W16812,W16822,W16832,W1692X,W170XX,W171
XX,W172XX,W173XX,W174XX,W1781X,W1782X,W1789X,W1811X,W1812X,W182XX,W1830X,W1831X,W1839X,W19XXX,
and Y01XXX.</t>
        </is>
      </c>
      <c r="H29" s="52" t="n"/>
      <c r="I29" s="52" t="n"/>
      <c r="J29" s="52" t="n"/>
      <c r="K29" s="52" t="n"/>
      <c r="L29" s="52" t="n"/>
    </row>
    <row r="30"/>
    <row r="31"/>
    <row r="32">
      <c r="H32" s="52" t="n"/>
      <c r="I32" s="52" t="n"/>
      <c r="J32" s="52" t="n"/>
      <c r="K32" s="52" t="n"/>
      <c r="L32" s="52" t="n"/>
    </row>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A9:B9"/>
    <mergeCell ref="A28:B28"/>
    <mergeCell ref="A5:B5"/>
    <mergeCell ref="A29:D40"/>
    <mergeCell ref="A18:B18"/>
    <mergeCell ref="N5:O5"/>
    <mergeCell ref="A27:B27"/>
    <mergeCell ref="G5:M5"/>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15.1640625"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Homicide Mortality, Age-Adjusted Rate per 100,000 Population, 2018–2021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s="101" t="inlineStr">
        <is>
          <t>Three-Year Average</t>
        </is>
      </c>
      <c r="N5" s="101" t="inlineStr">
        <is>
          <t>Single-Year</t>
        </is>
      </c>
    </row>
    <row r="6" ht="15" customHeight="1" s="99">
      <c r="A6" t="inlineStr">
        <is>
          <t>Multilevel Headers</t>
        </is>
      </c>
      <c r="B6" t="b">
        <v>1</v>
      </c>
      <c r="F6" s="101" t="n"/>
      <c r="G6" s="116" t="inlineStr">
        <is>
          <t>Dutchess</t>
        </is>
      </c>
      <c r="H6" s="116" t="inlineStr">
        <is>
          <t>Orange</t>
        </is>
      </c>
      <c r="I6" s="116" t="inlineStr">
        <is>
          <t>Putnam</t>
        </is>
      </c>
      <c r="J6" s="116" t="inlineStr">
        <is>
          <t>Rockland</t>
        </is>
      </c>
      <c r="K6" s="116" t="inlineStr">
        <is>
          <t>Sullivan</t>
        </is>
      </c>
      <c r="L6" s="116" t="inlineStr">
        <is>
          <t>Ulster</t>
        </is>
      </c>
      <c r="M6" s="116" t="inlineStr">
        <is>
          <t>Westchester</t>
        </is>
      </c>
      <c r="N6" s="101" t="inlineStr">
        <is>
          <t>NYS excl NYC</t>
        </is>
      </c>
      <c r="O6" s="101" t="inlineStr">
        <is>
          <t>NYS</t>
        </is>
      </c>
      <c r="P6" s="14" t="n"/>
    </row>
    <row r="7" ht="15.75" customHeight="1" s="99">
      <c r="F7" s="69" t="n">
        <v>2018</v>
      </c>
      <c r="G7" s="116" t="n">
        <v>1.9</v>
      </c>
      <c r="H7" s="116" t="n">
        <v>2.5</v>
      </c>
      <c r="I7" s="116" t="inlineStr">
        <is>
          <t>1.0*</t>
        </is>
      </c>
      <c r="J7" s="116" t="n">
        <v>1.7</v>
      </c>
      <c r="K7" s="116" t="inlineStr">
        <is>
          <t>2.4*</t>
        </is>
      </c>
      <c r="L7" s="116" t="inlineStr">
        <is>
          <t>1.5*</t>
        </is>
      </c>
      <c r="M7" s="116" t="n">
        <v>2.4</v>
      </c>
      <c r="N7" s="116" t="n">
        <v>2.9</v>
      </c>
      <c r="O7" s="116" t="n">
        <v>3.2</v>
      </c>
      <c r="P7" s="14" t="n"/>
    </row>
    <row r="8">
      <c r="F8" s="69" t="n">
        <v>2019</v>
      </c>
      <c r="G8" s="116" t="n">
        <v>2.4</v>
      </c>
      <c r="H8" s="116" t="n">
        <v>2.7</v>
      </c>
      <c r="I8" s="116" t="inlineStr">
        <is>
          <t>0.5*</t>
        </is>
      </c>
      <c r="J8" s="116" t="n">
        <v>2.4</v>
      </c>
      <c r="K8" s="116" t="inlineStr">
        <is>
          <t>2.6*</t>
        </is>
      </c>
      <c r="L8" s="116" t="n">
        <v>2.1</v>
      </c>
      <c r="M8" s="116" t="n">
        <v>2.6</v>
      </c>
      <c r="N8" s="116" t="n">
        <v>2.7</v>
      </c>
      <c r="O8" s="116" t="n">
        <v>3.1</v>
      </c>
      <c r="P8" s="14" t="n"/>
    </row>
    <row r="9">
      <c r="A9" s="98" t="inlineStr">
        <is>
          <t>Figure Rules</t>
        </is>
      </c>
      <c r="F9" s="69" t="n">
        <v>2020</v>
      </c>
      <c r="G9" s="116" t="n">
        <v>2.4</v>
      </c>
      <c r="H9" s="116" t="n">
        <v>2.8</v>
      </c>
      <c r="I9" s="116" t="inlineStr">
        <is>
          <t>0.5*</t>
        </is>
      </c>
      <c r="J9" s="116" t="n">
        <v>2.3</v>
      </c>
      <c r="K9" s="116" t="n">
        <v>4.6</v>
      </c>
      <c r="L9" s="116" t="n">
        <v>2.2</v>
      </c>
      <c r="M9" s="116" t="n">
        <v>2.8</v>
      </c>
      <c r="N9" s="116" t="n">
        <v>3.8</v>
      </c>
      <c r="O9" s="116" t="n">
        <v>4.5</v>
      </c>
      <c r="P9" s="14" t="n"/>
    </row>
    <row r="10">
      <c r="A10" t="inlineStr">
        <is>
          <t>Figure Type</t>
        </is>
      </c>
      <c r="B10" t="inlineStr">
        <is>
          <t>Line</t>
        </is>
      </c>
      <c r="F10" s="53" t="n">
        <v>2021</v>
      </c>
      <c r="G10" s="116" t="n">
        <v>2.5</v>
      </c>
      <c r="H10" s="116" t="n">
        <v>2.6</v>
      </c>
      <c r="I10" s="116" t="inlineStr">
        <is>
          <t>0.7*</t>
        </is>
      </c>
      <c r="J10" s="116" t="n">
        <v>2.2</v>
      </c>
      <c r="K10" s="116" t="n">
        <v>5.5</v>
      </c>
      <c r="L10" s="116" t="n">
        <v>2.6</v>
      </c>
      <c r="M10" s="116" t="n">
        <v>2.9</v>
      </c>
      <c r="N10" s="116" t="n">
        <v>4.1</v>
      </c>
      <c r="O10" s="116" t="n">
        <v>4.8</v>
      </c>
    </row>
    <row r="11">
      <c r="A11" t="inlineStr">
        <is>
          <t>X Column</t>
        </is>
      </c>
      <c r="B11" t="inlineStr">
        <is>
          <t>Period</t>
        </is>
      </c>
      <c r="F11" s="69" t="n"/>
      <c r="G11" s="116" t="n"/>
      <c r="H11" s="116" t="n"/>
      <c r="I11" s="116" t="n"/>
      <c r="J11" s="116" t="n"/>
      <c r="K11" s="116" t="n"/>
      <c r="L11" s="116" t="n"/>
      <c r="M11" s="116" t="n"/>
      <c r="N11" s="116" t="n"/>
      <c r="O11" s="116" t="n"/>
    </row>
    <row r="12">
      <c r="A12" t="inlineStr">
        <is>
          <t>Y Column</t>
        </is>
      </c>
      <c r="B12" t="inlineStr">
        <is>
          <t>Rate per 100,000</t>
        </is>
      </c>
    </row>
    <row r="13">
      <c r="A13" t="inlineStr">
        <is>
          <t>X Axis Title</t>
        </is>
      </c>
    </row>
    <row r="14">
      <c r="A14" t="inlineStr">
        <is>
          <t>Y Axis Title</t>
        </is>
      </c>
      <c r="B14" t="inlineStr">
        <is>
          <t>Rate per 100,000</t>
        </is>
      </c>
    </row>
    <row r="15">
      <c r="A15" t="inlineStr">
        <is>
          <t>Start at Zero</t>
        </is>
      </c>
      <c r="B15" t="b">
        <v>1</v>
      </c>
    </row>
    <row r="16"/>
    <row r="17"/>
    <row r="18">
      <c r="A18" s="98" t="inlineStr">
        <is>
          <t>Source Specifications</t>
        </is>
      </c>
    </row>
    <row r="19">
      <c r="A19" t="inlineStr">
        <is>
          <t>Table ID</t>
        </is>
      </c>
      <c r="B19" t="inlineStr">
        <is>
          <t>NYS County Health Indicators by Race and Ethnicity Dashboard</t>
        </is>
      </c>
    </row>
    <row r="20">
      <c r="A20" t="inlineStr">
        <is>
          <t>URL</t>
        </is>
      </c>
      <c r="B20" t="inlineStr">
        <is>
          <t>https://www.health.ny.gov/community/health_equity/reports/county/</t>
        </is>
      </c>
    </row>
    <row r="21">
      <c r="A21" t="inlineStr">
        <is>
          <t>Data Year</t>
        </is>
      </c>
      <c r="B21" t="inlineStr">
        <is>
          <t>2018-2021</t>
        </is>
      </c>
    </row>
    <row r="22">
      <c r="A22" t="inlineStr">
        <is>
          <t>Estimate Type</t>
        </is>
      </c>
    </row>
    <row r="23">
      <c r="A23" t="inlineStr">
        <is>
          <t>Citation Month</t>
        </is>
      </c>
      <c r="B23" t="inlineStr">
        <is>
          <t>May</t>
        </is>
      </c>
    </row>
    <row r="24">
      <c r="A24" t="inlineStr">
        <is>
          <t>Citation Year</t>
        </is>
      </c>
      <c r="B24" t="n">
        <v>2025</v>
      </c>
    </row>
    <row r="25">
      <c r="A25" t="inlineStr">
        <is>
          <t>Custom Text</t>
        </is>
      </c>
      <c r="B25" t="inlineStr">
        <is>
          <t>Source: NYS Community Health Indicator Reports Dashboard, May 2025 sourced from Vital Statistics of NYS https://apps.health.ny.gov/public/tabvis/PHIG_Public/chirs/reports/#county</t>
        </is>
      </c>
    </row>
    <row r="26">
      <c r="H26" s="52" t="n"/>
      <c r="I26" s="52" t="n"/>
    </row>
    <row r="27">
      <c r="A27" s="101" t="inlineStr">
        <is>
          <t>Note Specfications</t>
        </is>
      </c>
    </row>
    <row r="28">
      <c r="A28" s="102" t="n"/>
    </row>
    <row r="29">
      <c r="A29" s="103" t="inlineStr">
        <is>
          <t>*: Data are unstable due to fewer than 10 events in the numerator.
Note: Three-year averages were used for counties, while single-year estimates were used for NYS and NYS excluding NYC. The ICD-10
codes for homicide are: X85-Y09, Y87.1</t>
        </is>
      </c>
      <c r="H29" s="52" t="n"/>
      <c r="I29" s="52" t="n"/>
      <c r="J29" s="52" t="n"/>
      <c r="K29" s="52" t="n"/>
      <c r="L29" s="52" t="n"/>
    </row>
    <row r="30"/>
    <row r="31"/>
    <row r="32">
      <c r="H32" s="52" t="n"/>
      <c r="I32" s="52" t="n"/>
      <c r="J32" s="52" t="n"/>
      <c r="K32" s="52" t="n"/>
      <c r="L32" s="52" t="n"/>
    </row>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N5:O5"/>
    <mergeCell ref="A28:B28"/>
    <mergeCell ref="A5:B5"/>
    <mergeCell ref="A29:D40"/>
    <mergeCell ref="A18:B18"/>
    <mergeCell ref="A9:B9"/>
    <mergeCell ref="A27:B27"/>
    <mergeCell ref="G5:M5"/>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15.1640625"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Assault Hospitalization, Age-Adjusted Rate per 10,000 Population, 2018–2021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s="101" t="inlineStr">
        <is>
          <t>Three-Year Average</t>
        </is>
      </c>
      <c r="N5" s="101" t="inlineStr">
        <is>
          <t>Single-Year</t>
        </is>
      </c>
    </row>
    <row r="6" ht="15" customHeight="1" s="99">
      <c r="A6" t="inlineStr">
        <is>
          <t>Multilevel Headers</t>
        </is>
      </c>
      <c r="B6" t="b">
        <v>1</v>
      </c>
      <c r="F6" s="101" t="n"/>
      <c r="G6" s="116" t="inlineStr">
        <is>
          <t>Dutchess</t>
        </is>
      </c>
      <c r="H6" s="116" t="inlineStr">
        <is>
          <t>Orange</t>
        </is>
      </c>
      <c r="I6" s="116" t="inlineStr">
        <is>
          <t>Putnam</t>
        </is>
      </c>
      <c r="J6" s="116" t="inlineStr">
        <is>
          <t>Rockland</t>
        </is>
      </c>
      <c r="K6" s="116" t="inlineStr">
        <is>
          <t>Sullivan</t>
        </is>
      </c>
      <c r="L6" s="116" t="inlineStr">
        <is>
          <t>Ulster</t>
        </is>
      </c>
      <c r="M6" s="116" t="inlineStr">
        <is>
          <t>Westchester</t>
        </is>
      </c>
      <c r="N6" s="101" t="inlineStr">
        <is>
          <t>NYS excl NYC</t>
        </is>
      </c>
      <c r="O6" s="101" t="inlineStr">
        <is>
          <t>NYS</t>
        </is>
      </c>
      <c r="P6" s="14" t="n"/>
    </row>
    <row r="7" ht="15.75" customHeight="1" s="99">
      <c r="F7" s="69" t="n">
        <v>2018</v>
      </c>
      <c r="G7" s="116" t="n">
        <v>2.2</v>
      </c>
      <c r="H7" s="116" t="n">
        <v>1.9</v>
      </c>
      <c r="I7" s="116" t="n">
        <v>0.6</v>
      </c>
      <c r="J7" s="116" t="n">
        <v>1.2</v>
      </c>
      <c r="K7" s="116" t="n">
        <v>2.6</v>
      </c>
      <c r="L7" s="116" t="n">
        <v>1.6</v>
      </c>
      <c r="M7" s="116" t="n">
        <v>2.2</v>
      </c>
      <c r="N7" s="116" t="n">
        <v>2.3</v>
      </c>
      <c r="O7" s="116" t="n">
        <v>3.3</v>
      </c>
      <c r="P7" s="14" t="n"/>
    </row>
    <row r="8">
      <c r="F8" s="69" t="n">
        <v>2019</v>
      </c>
      <c r="G8" s="116" t="n">
        <v>2.4</v>
      </c>
      <c r="H8" s="116" t="n">
        <v>2.1</v>
      </c>
      <c r="I8" s="116" t="n">
        <v>0.6</v>
      </c>
      <c r="J8" s="116" t="n">
        <v>1.3</v>
      </c>
      <c r="K8" s="116" t="n">
        <v>2.3</v>
      </c>
      <c r="L8" s="116" t="n">
        <v>1.7</v>
      </c>
      <c r="M8" s="116" t="n">
        <v>2.1</v>
      </c>
      <c r="N8" s="116" t="n">
        <v>2.4</v>
      </c>
      <c r="O8" s="116" t="n">
        <v>3.3</v>
      </c>
      <c r="P8" s="14" t="n"/>
    </row>
    <row r="9">
      <c r="A9" s="98" t="inlineStr">
        <is>
          <t>Figure Rules</t>
        </is>
      </c>
      <c r="F9" s="69" t="n">
        <v>2020</v>
      </c>
      <c r="G9" s="116" t="n">
        <v>2.6</v>
      </c>
      <c r="H9" s="116" t="n">
        <v>2.1</v>
      </c>
      <c r="I9" s="116" t="n">
        <v>0.7</v>
      </c>
      <c r="J9" s="116" t="n">
        <v>1.2</v>
      </c>
      <c r="K9" s="116" t="n">
        <v>1.8</v>
      </c>
      <c r="L9" s="116" t="n">
        <v>1.7</v>
      </c>
      <c r="M9" s="116" t="n">
        <v>2.2</v>
      </c>
      <c r="N9" s="116" t="n">
        <v>2.7</v>
      </c>
      <c r="O9" s="116" t="n">
        <v>3.7</v>
      </c>
      <c r="P9" s="14" t="n"/>
    </row>
    <row r="10">
      <c r="A10" t="inlineStr">
        <is>
          <t>Figure Type</t>
        </is>
      </c>
      <c r="B10" t="inlineStr">
        <is>
          <t>Line</t>
        </is>
      </c>
      <c r="F10" s="69" t="n">
        <v>2021</v>
      </c>
      <c r="G10" s="116" t="n">
        <v>2.6</v>
      </c>
      <c r="H10" s="116" t="n">
        <v>2.1</v>
      </c>
      <c r="I10" s="116" t="n">
        <v>0.9</v>
      </c>
      <c r="J10" s="116" t="n">
        <v>1</v>
      </c>
      <c r="K10" s="116" t="n">
        <v>2</v>
      </c>
      <c r="L10" s="116" t="n">
        <v>1.8</v>
      </c>
      <c r="M10" s="116" t="n">
        <v>2</v>
      </c>
      <c r="N10" s="116" t="n">
        <v>2.5</v>
      </c>
      <c r="O10" s="116" t="n">
        <v>3.6</v>
      </c>
    </row>
    <row r="11">
      <c r="A11" t="inlineStr">
        <is>
          <t>X Column</t>
        </is>
      </c>
      <c r="B11" t="inlineStr">
        <is>
          <t>Period</t>
        </is>
      </c>
      <c r="F11" s="69" t="n"/>
      <c r="G11" s="116" t="n"/>
      <c r="H11" s="116" t="n"/>
      <c r="I11" s="116" t="n"/>
      <c r="J11" s="116" t="n"/>
      <c r="K11" s="116" t="n"/>
      <c r="L11" s="116" t="n"/>
      <c r="M11" s="116" t="n"/>
      <c r="N11" s="116" t="n"/>
      <c r="O11" s="116" t="n"/>
    </row>
    <row r="12">
      <c r="A12" t="inlineStr">
        <is>
          <t>Y Column</t>
        </is>
      </c>
      <c r="B12" t="inlineStr">
        <is>
          <t>Rate per 10,000</t>
        </is>
      </c>
    </row>
    <row r="13">
      <c r="A13" t="inlineStr">
        <is>
          <t>X Axis Title</t>
        </is>
      </c>
    </row>
    <row r="14">
      <c r="A14" t="inlineStr">
        <is>
          <t>Y Axis Title</t>
        </is>
      </c>
      <c r="B14" t="inlineStr">
        <is>
          <t>Rate per 10,000</t>
        </is>
      </c>
    </row>
    <row r="15">
      <c r="A15" t="inlineStr">
        <is>
          <t>Start at Zero</t>
        </is>
      </c>
      <c r="B15" t="b">
        <v>1</v>
      </c>
    </row>
    <row r="16"/>
    <row r="17"/>
    <row r="18">
      <c r="A18" s="98" t="inlineStr">
        <is>
          <t>Source Specifications</t>
        </is>
      </c>
    </row>
    <row r="19">
      <c r="A19" t="inlineStr">
        <is>
          <t>Table ID</t>
        </is>
      </c>
      <c r="B19" t="inlineStr">
        <is>
          <t>NYS County Health Indicator Reports Dashboard</t>
        </is>
      </c>
    </row>
    <row r="20">
      <c r="A20" t="inlineStr">
        <is>
          <t>URL</t>
        </is>
      </c>
      <c r="B20" t="inlineStr">
        <is>
          <t>https://apps.health.ny.gov/public/tabvis/PHIG_Public/chirs/reports/#county</t>
        </is>
      </c>
    </row>
    <row r="21">
      <c r="A21" t="inlineStr">
        <is>
          <t>Data Year</t>
        </is>
      </c>
      <c r="B21" t="inlineStr">
        <is>
          <t>2018-2021</t>
        </is>
      </c>
    </row>
    <row r="22">
      <c r="A22" t="inlineStr">
        <is>
          <t>Estimate Type</t>
        </is>
      </c>
      <c r="G22" s="67" t="n"/>
    </row>
    <row r="23">
      <c r="A23" t="inlineStr">
        <is>
          <t>Citation Month</t>
        </is>
      </c>
      <c r="B23" t="inlineStr">
        <is>
          <t>May</t>
        </is>
      </c>
    </row>
    <row r="24">
      <c r="A24" t="inlineStr">
        <is>
          <t>Citation Year</t>
        </is>
      </c>
      <c r="B24" t="n">
        <v>2025</v>
      </c>
    </row>
    <row r="25">
      <c r="A25" t="inlineStr">
        <is>
          <t>Custom Text</t>
        </is>
      </c>
      <c r="B25" t="inlineStr">
        <is>
          <t>Source: NYS Community Health Indicator Reports Dashboard, May 2025 sourced from NY Statewide Planning and Research Cooperative System https://apps.health.ny.gov/public/tabvis/PHIG_Public/chirs/reports/#county</t>
        </is>
      </c>
    </row>
    <row r="26">
      <c r="H26" s="52" t="n"/>
      <c r="I26" s="52" t="n"/>
    </row>
    <row r="27">
      <c r="A27" s="101" t="inlineStr">
        <is>
          <t>Note Specfications</t>
        </is>
      </c>
    </row>
    <row r="28">
      <c r="A28" s="102" t="n"/>
    </row>
    <row r="29">
      <c r="A29" s="103" t="inlineStr">
        <is>
          <t>Note: Three-year averages were used for counties, while single-year estimates were used for NYS and NYS excluding NYC. The ICD-10
codes for assault are:???.</t>
        </is>
      </c>
      <c r="H29" s="52" t="n"/>
      <c r="I29" s="52" t="n"/>
      <c r="J29" s="52" t="n"/>
      <c r="K29" s="52" t="n"/>
      <c r="L29" s="52" t="n"/>
    </row>
    <row r="30"/>
    <row r="31"/>
    <row r="32">
      <c r="H32" s="52" t="n"/>
      <c r="I32" s="52" t="n"/>
      <c r="J32" s="52" t="n"/>
      <c r="K32" s="52" t="n"/>
      <c r="L32" s="52" t="n"/>
    </row>
    <row r="33"/>
    <row r="34"/>
    <row r="35"/>
    <row r="36"/>
    <row r="37"/>
    <row r="38"/>
    <row r="39"/>
    <row r="40"/>
    <row r="41"/>
    <row r="42"/>
    <row r="43"/>
    <row r="44"/>
    <row r="45"/>
    <row r="46"/>
    <row r="47"/>
    <row r="48"/>
    <row r="49"/>
    <row r="50"/>
    <row r="51"/>
    <row r="52"/>
    <row r="53"/>
    <row r="54"/>
    <row r="55"/>
    <row r="56"/>
    <row r="57"/>
  </sheetData>
  <mergeCells count="10">
    <mergeCell ref="B1:O1"/>
    <mergeCell ref="E5:E57"/>
    <mergeCell ref="N5:O5"/>
    <mergeCell ref="A28:B28"/>
    <mergeCell ref="A5:B5"/>
    <mergeCell ref="A29:D40"/>
    <mergeCell ref="A18:B18"/>
    <mergeCell ref="A9:B9"/>
    <mergeCell ref="A27:B27"/>
    <mergeCell ref="G5:M5"/>
  </mergeCells>
  <conditionalFormatting sqref="G22">
    <cfRule type="duplicateValues" priority="1" dxfId="0"/>
  </conditionalFormatting>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P4" showDropDown="0" showInputMessage="1" showErrorMessage="1" allowBlank="1" type="list">
      <formula1>"integer, number, percent1"</formula1>
    </dataValidation>
  </dataValidations>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P57"/>
  <sheetViews>
    <sheetView workbookViewId="0">
      <selection activeCell="A29" sqref="A29:D40"/>
    </sheetView>
  </sheetViews>
  <sheetFormatPr baseColWidth="10" defaultColWidth="8.6640625" defaultRowHeight="15"/>
  <cols>
    <col width="20" bestFit="1" customWidth="1" style="99" min="1" max="1"/>
    <col width="16.6640625" customWidth="1" style="99" min="2" max="2"/>
    <col width="6.6640625" customWidth="1" style="99" min="5" max="5"/>
    <col width="15.1640625" customWidth="1" style="99" min="6" max="6"/>
    <col width="9.5" customWidth="1" style="99" min="7" max="7"/>
    <col width="13.5" customWidth="1" style="99" min="8" max="8"/>
    <col width="11" customWidth="1" style="99" min="9" max="9"/>
    <col width="8.83203125" bestFit="1"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Domestic Violence Victims Reported, Rate per 100,000 Population, 2020–2023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s="101" t="n"/>
      <c r="G5" s="116" t="inlineStr">
        <is>
          <t>Dutchess</t>
        </is>
      </c>
      <c r="H5" s="116" t="inlineStr">
        <is>
          <t>Orange</t>
        </is>
      </c>
      <c r="I5" s="116" t="inlineStr">
        <is>
          <t>Putnam</t>
        </is>
      </c>
      <c r="J5" s="116" t="inlineStr">
        <is>
          <t>Rockland</t>
        </is>
      </c>
      <c r="K5" s="116" t="inlineStr">
        <is>
          <t>Sullivan</t>
        </is>
      </c>
      <c r="L5" s="116" t="inlineStr">
        <is>
          <t>Ulster</t>
        </is>
      </c>
      <c r="M5" s="116" t="inlineStr">
        <is>
          <t>Westchester</t>
        </is>
      </c>
      <c r="N5" s="101" t="inlineStr">
        <is>
          <t>NYS excl NYC</t>
        </is>
      </c>
      <c r="O5" s="101" t="inlineStr">
        <is>
          <t>NYS</t>
        </is>
      </c>
    </row>
    <row r="6" ht="15" customHeight="1" s="99">
      <c r="A6" t="inlineStr">
        <is>
          <t>Multilevel Headers</t>
        </is>
      </c>
      <c r="B6" t="b">
        <v>0</v>
      </c>
      <c r="F6" s="69" t="n">
        <v>2018</v>
      </c>
      <c r="G6" s="116" t="n">
        <v>292</v>
      </c>
      <c r="H6" s="116" t="n">
        <v>448</v>
      </c>
      <c r="I6" s="116" t="n">
        <v>108</v>
      </c>
      <c r="J6" s="116" t="n">
        <v>249</v>
      </c>
      <c r="K6" s="116" t="n">
        <v>162</v>
      </c>
      <c r="L6" s="116" t="n">
        <v>295</v>
      </c>
      <c r="M6" s="116" t="n">
        <v>178</v>
      </c>
      <c r="N6" s="116" t="n">
        <v>423</v>
      </c>
      <c r="O6" s="116" t="n">
        <v>402</v>
      </c>
      <c r="P6" s="14" t="n"/>
    </row>
    <row r="7" ht="15.75" customHeight="1" s="99">
      <c r="F7" s="69" t="n">
        <v>2019</v>
      </c>
      <c r="G7" s="116" t="n">
        <v>285</v>
      </c>
      <c r="H7" s="116" t="n">
        <v>512</v>
      </c>
      <c r="I7" s="116" t="n">
        <v>53</v>
      </c>
      <c r="J7" s="116" t="n">
        <v>204</v>
      </c>
      <c r="K7" s="116" t="n">
        <v>180</v>
      </c>
      <c r="L7" s="116" t="n">
        <v>297</v>
      </c>
      <c r="M7" s="116" t="n">
        <v>181</v>
      </c>
      <c r="N7" s="116" t="n">
        <v>428</v>
      </c>
      <c r="O7" s="116" t="n">
        <v>422</v>
      </c>
      <c r="P7" s="14" t="n"/>
    </row>
    <row r="8">
      <c r="F8" s="69" t="n">
        <v>2020</v>
      </c>
      <c r="G8" s="116" t="n">
        <v>305</v>
      </c>
      <c r="H8" s="116" t="n">
        <v>483</v>
      </c>
      <c r="I8" s="116" t="n">
        <v>48</v>
      </c>
      <c r="J8" s="116" t="n">
        <v>229</v>
      </c>
      <c r="K8" s="116" t="n">
        <v>182</v>
      </c>
      <c r="L8" s="116" t="n">
        <v>294</v>
      </c>
      <c r="M8" s="116" t="n">
        <v>173</v>
      </c>
      <c r="N8" s="116" t="n">
        <v>437</v>
      </c>
      <c r="O8" s="116" t="n">
        <v>451</v>
      </c>
      <c r="P8" s="14" t="n"/>
    </row>
    <row r="9">
      <c r="A9" s="98" t="inlineStr">
        <is>
          <t>Figure Rules</t>
        </is>
      </c>
      <c r="F9" s="69" t="n">
        <v>2021</v>
      </c>
      <c r="G9" s="116" t="n">
        <v>363</v>
      </c>
      <c r="H9" s="116" t="n">
        <v>470</v>
      </c>
      <c r="I9" s="116" t="n">
        <v>93</v>
      </c>
      <c r="J9" s="116" t="n">
        <v>288</v>
      </c>
      <c r="K9" s="116" t="n">
        <v>256</v>
      </c>
      <c r="L9" s="116" t="n">
        <v>362</v>
      </c>
      <c r="M9" s="116" t="n">
        <v>230</v>
      </c>
      <c r="N9" s="116" t="n">
        <v>464</v>
      </c>
      <c r="O9" s="116" t="n">
        <v>484</v>
      </c>
      <c r="P9" s="14" t="n"/>
    </row>
    <row r="10">
      <c r="A10" t="inlineStr">
        <is>
          <t>Figure Type</t>
        </is>
      </c>
      <c r="B10" t="inlineStr">
        <is>
          <t>Line</t>
        </is>
      </c>
      <c r="F10" s="69" t="n"/>
      <c r="G10" s="116" t="n"/>
      <c r="H10" s="116" t="n"/>
      <c r="I10" s="116" t="n"/>
      <c r="J10" s="116" t="n"/>
      <c r="K10" s="116" t="n"/>
      <c r="L10" s="116" t="n"/>
      <c r="M10" s="116" t="n"/>
      <c r="N10" s="116" t="n"/>
      <c r="O10" s="116" t="n"/>
    </row>
    <row r="11">
      <c r="A11" t="inlineStr">
        <is>
          <t>X Column</t>
        </is>
      </c>
      <c r="B11" t="inlineStr">
        <is>
          <t>Period</t>
        </is>
      </c>
    </row>
    <row r="12">
      <c r="A12" t="inlineStr">
        <is>
          <t>Y Column</t>
        </is>
      </c>
      <c r="B12" t="inlineStr">
        <is>
          <t>Rate per 100,000</t>
        </is>
      </c>
    </row>
    <row r="13">
      <c r="A13" t="inlineStr">
        <is>
          <t>X Axis Title</t>
        </is>
      </c>
    </row>
    <row r="14">
      <c r="A14" t="inlineStr">
        <is>
          <t>Y Axis Title</t>
        </is>
      </c>
      <c r="B14" t="inlineStr">
        <is>
          <t>Rate per 100,000</t>
        </is>
      </c>
    </row>
    <row r="15">
      <c r="A15" t="inlineStr">
        <is>
          <t>Start at Zero</t>
        </is>
      </c>
      <c r="B15" t="b">
        <v>1</v>
      </c>
    </row>
    <row r="16"/>
    <row r="17"/>
    <row r="18">
      <c r="A18" s="98" t="inlineStr">
        <is>
          <t>Source Specifications</t>
        </is>
      </c>
    </row>
    <row r="19">
      <c r="A19" t="inlineStr">
        <is>
          <t>Table ID</t>
        </is>
      </c>
      <c r="B19" t="inlineStr">
        <is>
          <t>NYS Division of Criminal Justice Services</t>
        </is>
      </c>
    </row>
    <row r="20">
      <c r="A20" t="inlineStr">
        <is>
          <t>URL</t>
        </is>
      </c>
      <c r="B20" t="inlineStr">
        <is>
          <t>https://www.criminaljustice.ny.gov/crimnet/ojsa/domestic-violence-data.html</t>
        </is>
      </c>
    </row>
    <row r="21">
      <c r="A21" t="inlineStr">
        <is>
          <t>Data Year</t>
        </is>
      </c>
      <c r="B21" t="inlineStr">
        <is>
          <t>2020-2023</t>
        </is>
      </c>
    </row>
    <row r="22">
      <c r="A22" t="inlineStr">
        <is>
          <t>Estimate Type</t>
        </is>
      </c>
    </row>
    <row r="23">
      <c r="A23" t="inlineStr">
        <is>
          <t>Citation Month</t>
        </is>
      </c>
      <c r="B23" t="inlineStr">
        <is>
          <t>June</t>
        </is>
      </c>
    </row>
    <row r="24">
      <c r="A24" t="inlineStr">
        <is>
          <t>Citation Year</t>
        </is>
      </c>
      <c r="B24" t="n">
        <v>2025</v>
      </c>
    </row>
    <row r="25">
      <c r="A25" t="inlineStr">
        <is>
          <t>Custom Text</t>
        </is>
      </c>
      <c r="B25" t="inlineStr">
        <is>
          <t>Source: NYS Division of Criminal Justice Services, June 2025 sourced from Domestic Violence Victim Data by County: 2020-2023 https://www.criminaljustice.ny.gov/crimnet/ojsa/domestic-violence-data.html</t>
        </is>
      </c>
      <c r="H25" s="52" t="n"/>
      <c r="I25" s="52" t="n"/>
    </row>
    <row r="26"/>
    <row r="27">
      <c r="A27" s="101" t="inlineStr">
        <is>
          <t>Note Specfications</t>
        </is>
      </c>
    </row>
    <row r="28">
      <c r="A28" s="102" t="n"/>
      <c r="H28" s="52" t="n"/>
      <c r="I28" s="52" t="n"/>
      <c r="J28" s="52" t="n"/>
      <c r="K28" s="52" t="n"/>
      <c r="L28" s="52" t="n"/>
    </row>
    <row r="29">
      <c r="A29" s="103" t="inlineStr">
        <is>
          <t>Note: Rates calculated using population estimates from U.S. Census Bureau’s 2023 American Community Survey (ACS) 5-Year Estimate,
Table B01003. Police agencies in New York State collect data on the number of individuals victimized during domestic incidents involving
members of the same family, including but not limited to parents, children and siblings, and intimate partners. These individuals may or may
not live together at the time of the incident. Victim counts are reported for the following offenses: aggravated assault, simple assault, sex
offenses, and violation of protective orders</t>
        </is>
      </c>
    </row>
    <row r="30"/>
    <row r="31">
      <c r="H31" s="52" t="n"/>
      <c r="I31" s="52" t="n"/>
      <c r="J31" s="52" t="n"/>
      <c r="K31" s="52" t="n"/>
      <c r="L31" s="52" t="n"/>
    </row>
    <row r="32"/>
    <row r="33"/>
    <row r="34"/>
    <row r="35"/>
    <row r="36"/>
    <row r="37"/>
    <row r="38"/>
    <row r="39"/>
    <row r="40"/>
    <row r="41"/>
    <row r="42"/>
    <row r="43"/>
    <row r="44"/>
    <row r="45"/>
    <row r="46"/>
    <row r="47"/>
    <row r="48"/>
    <row r="49"/>
    <row r="50"/>
    <row r="51"/>
    <row r="52"/>
    <row r="53"/>
    <row r="54"/>
    <row r="55"/>
    <row r="56"/>
    <row r="57"/>
  </sheetData>
  <mergeCells count="8">
    <mergeCell ref="B1:O1"/>
    <mergeCell ref="E5:E57"/>
    <mergeCell ref="A9:B9"/>
    <mergeCell ref="A28:B28"/>
    <mergeCell ref="A5:B5"/>
    <mergeCell ref="A29:D40"/>
    <mergeCell ref="A18:B18"/>
    <mergeCell ref="A27:B27"/>
  </mergeCells>
  <dataValidations count="4">
    <dataValidation sqref="F4:P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98.xml><?xml version="1.0" encoding="utf-8"?>
<worksheet xmlns="http://schemas.openxmlformats.org/spreadsheetml/2006/main">
  <sheetPr>
    <tabColor rgb="FF0070C0"/>
    <outlinePr summaryBelow="1" summaryRight="1"/>
    <pageSetUpPr/>
  </sheetPr>
  <dimension ref="A1:A1"/>
  <sheetViews>
    <sheetView workbookViewId="0">
      <selection activeCell="A1" sqref="A1"/>
    </sheetView>
  </sheetViews>
  <sheetFormatPr baseColWidth="10" defaultColWidth="11.5" defaultRowHeight="15"/>
  <sheetData/>
  <pageMargins left="0.7" right="0.7" top="0.75" bottom="0.75" header="0.3" footer="0.3"/>
</worksheet>
</file>

<file path=xl/worksheets/sheet99.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Population Demographic Characteristics, 2023</t>
        </is>
      </c>
    </row>
    <row r="2">
      <c r="A2" s="97" t="inlineStr">
        <is>
          <t>Table/Figure/Both</t>
        </is>
      </c>
    </row>
    <row r="3">
      <c r="A3" s="97" t="inlineStr">
        <is>
          <t xml:space="preserve">Object ID  </t>
        </is>
      </c>
      <c r="B3">
        <f>IF($B$1="","",_xlfn.XLOOKUP($B$1,Master!$F$2:$F$308,Master!$G$2:$G$308,""))</f>
        <v/>
      </c>
    </row>
    <row r="4">
      <c r="A4" s="97" t="inlineStr">
        <is>
          <t>Figure ID</t>
        </is>
      </c>
      <c r="B4">
        <f>IF($B$1="","",_xlfn.XLOOKUP($B$1,Master!$F$2:$F$308,Master!$H$2:$H$308,""))</f>
        <v/>
      </c>
      <c r="E4" s="13" t="n"/>
      <c r="F4" s="13" t="n"/>
      <c r="G4" s="16" t="inlineStr">
        <is>
          <t>integer</t>
        </is>
      </c>
      <c r="H4" s="16" t="inlineStr">
        <is>
          <t>percent1</t>
        </is>
      </c>
      <c r="I4" s="16" t="inlineStr">
        <is>
          <t>percent1</t>
        </is>
      </c>
      <c r="J4" s="16" t="n"/>
      <c r="K4" s="16" t="n"/>
      <c r="L4" s="16" t="n"/>
      <c r="M4" s="16" t="n"/>
      <c r="N4" s="16" t="n"/>
      <c r="O4" s="16" t="n"/>
    </row>
    <row r="5">
      <c r="A5" s="98" t="inlineStr">
        <is>
          <t>Table Rules</t>
        </is>
      </c>
      <c r="E5" s="100" t="inlineStr">
        <is>
          <t xml:space="preserve">Enter Data </t>
        </is>
      </c>
    </row>
    <row r="6" ht="15" customHeight="1" s="99">
      <c r="A6" t="inlineStr">
        <is>
          <t>Multilevel Headers</t>
        </is>
      </c>
    </row>
    <row r="7" ht="15.75" customHeight="1" s="99"/>
    <row r="8"/>
    <row r="9">
      <c r="A9" s="98" t="inlineStr">
        <is>
          <t>Figure Rules</t>
        </is>
      </c>
    </row>
    <row r="10">
      <c r="A10" t="inlineStr">
        <is>
          <t>Figure Type</t>
        </is>
      </c>
    </row>
    <row r="11">
      <c r="A11" t="inlineStr">
        <is>
          <t>X Column</t>
        </is>
      </c>
    </row>
    <row r="12">
      <c r="A12" t="inlineStr">
        <is>
          <t>Y Column</t>
        </is>
      </c>
    </row>
    <row r="13">
      <c r="A13" t="inlineStr">
        <is>
          <t>X Axis Title</t>
        </is>
      </c>
    </row>
    <row r="14">
      <c r="A14" t="inlineStr">
        <is>
          <t>Y Axis Title</t>
        </is>
      </c>
    </row>
    <row r="15">
      <c r="A15" t="inlineStr">
        <is>
          <t>Start at Zero</t>
        </is>
      </c>
    </row>
    <row r="16"/>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G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100.xml><?xml version="1.0" encoding="utf-8"?>
<worksheet xmlns="http://schemas.openxmlformats.org/spreadsheetml/2006/main">
  <sheetPr>
    <outlinePr summaryBelow="1" summaryRight="1"/>
    <pageSetUpPr/>
  </sheetPr>
  <dimension ref="A1:O57"/>
  <sheetViews>
    <sheetView workbookViewId="0">
      <selection activeCell="B1" sqref="B1:O1"/>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1" bestFit="1" customWidth="1" style="99" min="13" max="13"/>
    <col width="12.33203125" bestFit="1" customWidth="1" style="99" min="14" max="14"/>
    <col width="11" bestFit="1" customWidth="1" style="99" min="15" max="15"/>
  </cols>
  <sheetData>
    <row r="1">
      <c r="A1" s="97" t="inlineStr">
        <is>
          <t>Name</t>
        </is>
      </c>
      <c r="B1" s="104" t="inlineStr">
        <is>
          <t>Percentage in Labor Force, Population 16 Years and Older, 2021–2023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100" t="inlineStr">
        <is>
          <t xml:space="preserve">Enter Data </t>
        </is>
      </c>
      <c r="F5" s="1" t="n"/>
      <c r="G5" s="1" t="inlineStr">
        <is>
          <t>Dutchess</t>
        </is>
      </c>
      <c r="H5" s="1" t="inlineStr">
        <is>
          <t>Orange</t>
        </is>
      </c>
      <c r="I5" s="1" t="inlineStr">
        <is>
          <t>Putnam</t>
        </is>
      </c>
      <c r="J5" s="1" t="inlineStr">
        <is>
          <t>Rockland</t>
        </is>
      </c>
      <c r="K5" s="1" t="inlineStr">
        <is>
          <t>Sullivan</t>
        </is>
      </c>
      <c r="L5" s="1" t="inlineStr">
        <is>
          <t>Ulster</t>
        </is>
      </c>
      <c r="M5" s="1" t="inlineStr">
        <is>
          <t>Westchester</t>
        </is>
      </c>
      <c r="N5" s="1" t="inlineStr">
        <is>
          <t>NYS</t>
        </is>
      </c>
      <c r="O5" s="1" t="inlineStr">
        <is>
          <t>US</t>
        </is>
      </c>
    </row>
    <row r="6" ht="15" customHeight="1" s="99">
      <c r="A6" t="inlineStr">
        <is>
          <t>Multilevel Headers</t>
        </is>
      </c>
      <c r="F6" t="inlineStr">
        <is>
          <t>2021</t>
        </is>
      </c>
      <c r="G6" t="n">
        <v>63</v>
      </c>
      <c r="H6" t="n">
        <v>63.9</v>
      </c>
      <c r="I6" t="n">
        <v>65.2</v>
      </c>
      <c r="J6" t="n">
        <v>63.9</v>
      </c>
      <c r="K6" t="n">
        <v>56.1</v>
      </c>
      <c r="L6" t="n">
        <v>60.1</v>
      </c>
      <c r="M6" t="n">
        <v>65.5</v>
      </c>
      <c r="N6" t="n">
        <v>63.1</v>
      </c>
      <c r="O6" t="n">
        <v>63.6</v>
      </c>
    </row>
    <row r="7" ht="15.75" customHeight="1" s="99">
      <c r="F7" t="inlineStr">
        <is>
          <t>2022</t>
        </is>
      </c>
      <c r="G7" t="n">
        <v>62.8</v>
      </c>
      <c r="H7" t="n">
        <v>63.4</v>
      </c>
      <c r="I7" t="n">
        <v>64.7</v>
      </c>
      <c r="J7" t="n">
        <v>63.2</v>
      </c>
      <c r="K7" t="n">
        <v>58.1</v>
      </c>
      <c r="L7" t="n">
        <v>58.9</v>
      </c>
      <c r="M7" t="n">
        <v>65.2</v>
      </c>
      <c r="N7" t="n">
        <v>62.9</v>
      </c>
      <c r="O7" t="n">
        <v>63.5</v>
      </c>
    </row>
    <row r="8">
      <c r="F8" t="inlineStr">
        <is>
          <t>2023</t>
        </is>
      </c>
      <c r="G8" t="n">
        <v>63.3</v>
      </c>
      <c r="H8" t="n">
        <v>63.5</v>
      </c>
      <c r="I8" t="n">
        <v>64.7</v>
      </c>
      <c r="J8" t="n">
        <v>63.2</v>
      </c>
      <c r="K8" t="n">
        <v>59.1</v>
      </c>
      <c r="L8" t="n">
        <v>58.7</v>
      </c>
      <c r="M8" t="n">
        <v>65.40000000000001</v>
      </c>
      <c r="N8" t="n">
        <v>63</v>
      </c>
      <c r="O8" t="n">
        <v>63.5</v>
      </c>
    </row>
    <row r="9">
      <c r="A9" s="98" t="inlineStr">
        <is>
          <t>Figure Rules</t>
        </is>
      </c>
    </row>
    <row r="10">
      <c r="A10" t="inlineStr">
        <is>
          <t>Figure Type</t>
        </is>
      </c>
      <c r="B10" t="inlineStr">
        <is>
          <t>Line</t>
        </is>
      </c>
    </row>
    <row r="11">
      <c r="A11" t="inlineStr">
        <is>
          <t>X Column</t>
        </is>
      </c>
      <c r="B11" t="inlineStr">
        <is>
          <t>Year</t>
        </is>
      </c>
    </row>
    <row r="12">
      <c r="A12" t="inlineStr">
        <is>
          <t>Y Column</t>
        </is>
      </c>
    </row>
    <row r="13">
      <c r="A13" t="inlineStr">
        <is>
          <t>X Axis Title</t>
        </is>
      </c>
    </row>
    <row r="14">
      <c r="A14" t="inlineStr">
        <is>
          <t>Y Axis Title</t>
        </is>
      </c>
      <c r="B14" t="inlineStr">
        <is>
          <t>Percent</t>
        </is>
      </c>
    </row>
    <row r="15">
      <c r="A15" t="inlineStr">
        <is>
          <t>Start at Zero</t>
        </is>
      </c>
    </row>
    <row r="16">
      <c r="A16" t="inlineStr">
        <is>
          <t>Pivot For Chart</t>
        </is>
      </c>
      <c r="B16" t="inlineStr">
        <is>
          <t>True</t>
        </is>
      </c>
    </row>
    <row r="17"/>
    <row r="18">
      <c r="A18" s="98" t="inlineStr">
        <is>
          <t>Source Specifications</t>
        </is>
      </c>
    </row>
    <row r="19">
      <c r="A19" t="inlineStr">
        <is>
          <t>Table ID</t>
        </is>
      </c>
      <c r="B19" t="inlineStr">
        <is>
          <t>DP03</t>
        </is>
      </c>
    </row>
    <row r="20">
      <c r="A20" t="inlineStr">
        <is>
          <t>URL</t>
        </is>
      </c>
      <c r="B20" t="inlineStr">
        <is>
          <t>https://data.census.gov/table/ACSDP5Y2023.DP03</t>
        </is>
      </c>
    </row>
    <row r="21">
      <c r="A21" t="inlineStr">
        <is>
          <t>Data Year</t>
        </is>
      </c>
      <c r="B21" t="n">
        <v>2023</v>
      </c>
    </row>
    <row r="22">
      <c r="A22" t="inlineStr">
        <is>
          <t>Estimate Type</t>
        </is>
      </c>
      <c r="B22" t="inlineStr">
        <is>
          <t>5-Year Estimates</t>
        </is>
      </c>
    </row>
    <row r="23">
      <c r="A23" t="inlineStr">
        <is>
          <t>Citation Month</t>
        </is>
      </c>
      <c r="B23" t="inlineStr">
        <is>
          <t>April</t>
        </is>
      </c>
    </row>
    <row r="24">
      <c r="A24" t="inlineStr">
        <is>
          <t>Citation Year</t>
        </is>
      </c>
      <c r="B24" t="n">
        <v>2025</v>
      </c>
    </row>
    <row r="25">
      <c r="A25" t="inlineStr">
        <is>
          <t>Custom Text</t>
        </is>
      </c>
    </row>
    <row r="26"/>
    <row r="27">
      <c r="A27"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5">
    <mergeCell ref="B1:O1"/>
    <mergeCell ref="A9:B9"/>
    <mergeCell ref="A5:B5"/>
    <mergeCell ref="A18:B18"/>
    <mergeCell ref="E5:E5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01.xml><?xml version="1.0" encoding="utf-8"?>
<worksheet xmlns="http://schemas.openxmlformats.org/spreadsheetml/2006/main">
  <sheetPr>
    <outlinePr summaryBelow="1" summaryRight="1"/>
    <pageSetUpPr/>
  </sheetPr>
  <dimension ref="A1:O57"/>
  <sheetViews>
    <sheetView workbookViewId="0">
      <selection activeCell="B12" sqref="B12"/>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1" bestFit="1" customWidth="1" style="99" min="13" max="13"/>
    <col width="12.33203125" bestFit="1" customWidth="1" style="99" min="14" max="14"/>
    <col width="11" bestFit="1" customWidth="1" style="99" min="15" max="15"/>
  </cols>
  <sheetData>
    <row r="1">
      <c r="A1" s="97" t="inlineStr">
        <is>
          <t>Name</t>
        </is>
      </c>
      <c r="B1" s="104" t="inlineStr">
        <is>
          <t xml:space="preserve">Percentage of Population Unemployed, 16 Years and Older, 2021-2023   </t>
        </is>
      </c>
    </row>
    <row r="2">
      <c r="A2" s="97" t="inlineStr">
        <is>
          <t>Table/Figure/Both</t>
        </is>
      </c>
      <c r="B2" t="inlineStr">
        <is>
          <t>Both</t>
        </is>
      </c>
    </row>
    <row r="3" ht="16.25" customHeight="1" s="99">
      <c r="A3" s="97" t="inlineStr">
        <is>
          <t xml:space="preserve">Object ID  </t>
        </is>
      </c>
      <c r="B3">
        <f>IF($B$1="","",_xlfn.XLOOKUP($B$1,Master!$F$2:$F$308,Master!$G$2:$G$308,""))</f>
        <v/>
      </c>
    </row>
    <row r="4">
      <c r="A4" s="97"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100" t="inlineStr">
        <is>
          <t xml:space="preserve">Enter Data </t>
        </is>
      </c>
      <c r="F5" s="1" t="inlineStr">
        <is>
          <t>Year</t>
        </is>
      </c>
      <c r="G5" s="1" t="inlineStr">
        <is>
          <t>Dutchess</t>
        </is>
      </c>
      <c r="H5" s="1" t="inlineStr">
        <is>
          <t>Orange</t>
        </is>
      </c>
      <c r="I5" s="1" t="inlineStr">
        <is>
          <t>Putnam</t>
        </is>
      </c>
      <c r="J5" s="1" t="inlineStr">
        <is>
          <t>Rockland</t>
        </is>
      </c>
      <c r="K5" s="1" t="inlineStr">
        <is>
          <t>Sullivan</t>
        </is>
      </c>
      <c r="L5" s="1" t="inlineStr">
        <is>
          <t>Ulster</t>
        </is>
      </c>
      <c r="M5" s="1" t="inlineStr">
        <is>
          <t>Westchester</t>
        </is>
      </c>
      <c r="N5" s="1" t="inlineStr">
        <is>
          <t>NYS</t>
        </is>
      </c>
      <c r="O5" s="1" t="inlineStr">
        <is>
          <t>US</t>
        </is>
      </c>
    </row>
    <row r="6" ht="15" customHeight="1" s="99">
      <c r="A6" t="inlineStr">
        <is>
          <t>Multilevel Headers</t>
        </is>
      </c>
      <c r="F6" t="n">
        <v>2021</v>
      </c>
      <c r="G6" t="n">
        <v>5.2</v>
      </c>
      <c r="H6" t="n">
        <v>5.4</v>
      </c>
      <c r="I6" t="n">
        <v>4.8</v>
      </c>
      <c r="J6" s="14" t="n">
        <v>6</v>
      </c>
      <c r="K6" t="n">
        <v>8</v>
      </c>
      <c r="L6" t="n">
        <v>5.1</v>
      </c>
      <c r="M6" t="n">
        <v>6.1</v>
      </c>
      <c r="N6" t="n">
        <v>6.2</v>
      </c>
      <c r="O6" t="n">
        <v>5.5</v>
      </c>
    </row>
    <row r="7" ht="15.75" customHeight="1" s="99">
      <c r="F7" t="n">
        <v>2022</v>
      </c>
      <c r="G7" s="14" t="n">
        <v>5</v>
      </c>
      <c r="H7" t="n">
        <v>5.3</v>
      </c>
      <c r="I7" t="n">
        <v>4.4</v>
      </c>
      <c r="J7" t="n">
        <v>6.2</v>
      </c>
      <c r="K7" t="n">
        <v>7.2</v>
      </c>
      <c r="L7" t="n">
        <v>5.1</v>
      </c>
      <c r="M7" t="n">
        <v>6</v>
      </c>
      <c r="N7" t="n">
        <v>6.2</v>
      </c>
      <c r="O7" t="n">
        <v>5.3</v>
      </c>
    </row>
    <row r="8">
      <c r="F8" t="n">
        <v>2023</v>
      </c>
      <c r="G8" t="n">
        <v>4.8</v>
      </c>
      <c r="H8" t="n">
        <v>5.4</v>
      </c>
      <c r="I8" t="n">
        <v>4.1</v>
      </c>
      <c r="J8" t="n">
        <v>5.9</v>
      </c>
      <c r="K8" t="n">
        <v>6.1</v>
      </c>
      <c r="L8" t="n">
        <v>5.1</v>
      </c>
      <c r="M8" t="n">
        <v>6</v>
      </c>
      <c r="N8" t="n">
        <v>6.2</v>
      </c>
      <c r="O8" t="n">
        <v>5.2</v>
      </c>
    </row>
    <row r="9">
      <c r="A9" s="98" t="inlineStr">
        <is>
          <t>Figure Rules</t>
        </is>
      </c>
    </row>
    <row r="10">
      <c r="A10" t="inlineStr">
        <is>
          <t>Figure Type</t>
        </is>
      </c>
      <c r="B10" t="inlineStr">
        <is>
          <t>Clustered Bar</t>
        </is>
      </c>
    </row>
    <row r="11">
      <c r="A11" t="inlineStr">
        <is>
          <t>X Column</t>
        </is>
      </c>
      <c r="B11" t="inlineStr">
        <is>
          <t>County</t>
        </is>
      </c>
    </row>
    <row r="12">
      <c r="A12" t="inlineStr">
        <is>
          <t>Y Column</t>
        </is>
      </c>
    </row>
    <row r="13">
      <c r="A13" t="inlineStr">
        <is>
          <t>X Axis Title</t>
        </is>
      </c>
      <c r="B13" t="inlineStr">
        <is>
          <t>Year</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c r="B19" t="inlineStr">
        <is>
          <t>DP03</t>
        </is>
      </c>
    </row>
    <row r="20">
      <c r="A20" t="inlineStr">
        <is>
          <t>URL</t>
        </is>
      </c>
      <c r="B20" t="inlineStr">
        <is>
          <t>https://data.census.gov/table/ACSDP5Y2023.DP03</t>
        </is>
      </c>
    </row>
    <row r="21">
      <c r="A21" t="inlineStr">
        <is>
          <t>Data Year</t>
        </is>
      </c>
      <c r="B21" t="n">
        <v>2023</v>
      </c>
    </row>
    <row r="22">
      <c r="A22" t="inlineStr">
        <is>
          <t>Estimate Type</t>
        </is>
      </c>
      <c r="B22" t="inlineStr">
        <is>
          <t>5-Year Estimates</t>
        </is>
      </c>
    </row>
    <row r="23">
      <c r="A23" t="inlineStr">
        <is>
          <t>Citation Month</t>
        </is>
      </c>
      <c r="B23" t="inlineStr">
        <is>
          <t>April</t>
        </is>
      </c>
    </row>
    <row r="24">
      <c r="A24" t="inlineStr">
        <is>
          <t>Citation Year</t>
        </is>
      </c>
      <c r="B24" t="n">
        <v>2025</v>
      </c>
    </row>
    <row r="25">
      <c r="A25" t="inlineStr">
        <is>
          <t>Custom Text</t>
        </is>
      </c>
    </row>
    <row r="26"/>
    <row r="27">
      <c r="A27"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5">
    <mergeCell ref="B1:O1"/>
    <mergeCell ref="A9:B9"/>
    <mergeCell ref="A5:B5"/>
    <mergeCell ref="A18:B18"/>
    <mergeCell ref="E5:E57"/>
  </mergeCells>
  <dataValidations count="4">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02.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Percentage of Overall Food Insecurity, 2020–2023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n">
        <v>2020</v>
      </c>
      <c r="G6" t="n">
        <v>8.699999999999999</v>
      </c>
      <c r="H6" t="n">
        <v>9.4</v>
      </c>
      <c r="I6" t="n">
        <v>6.3</v>
      </c>
      <c r="J6" t="n">
        <v>9.699999999999999</v>
      </c>
      <c r="K6" t="n">
        <v>11.5</v>
      </c>
      <c r="L6" t="n">
        <v>11.3</v>
      </c>
      <c r="M6" t="n">
        <v>7.9</v>
      </c>
      <c r="N6" t="n">
        <v>9.6</v>
      </c>
    </row>
    <row r="7" ht="15.75" customHeight="1" s="99">
      <c r="F7" t="n">
        <v>2021</v>
      </c>
      <c r="G7" t="n">
        <v>7.2</v>
      </c>
      <c r="H7" t="n">
        <v>7.8</v>
      </c>
      <c r="I7" t="n">
        <v>5.3</v>
      </c>
      <c r="J7" t="n">
        <v>8.199999999999999</v>
      </c>
      <c r="K7" t="n">
        <v>9.9</v>
      </c>
      <c r="L7" t="n">
        <v>9.5</v>
      </c>
      <c r="M7" t="n">
        <v>6.6</v>
      </c>
      <c r="N7" t="n">
        <v>11.4</v>
      </c>
    </row>
    <row r="8">
      <c r="F8" t="n">
        <v>2022</v>
      </c>
      <c r="G8" t="n">
        <v>10</v>
      </c>
      <c r="H8" t="n">
        <v>11.3</v>
      </c>
      <c r="I8" t="n">
        <v>8.4</v>
      </c>
      <c r="J8" t="n">
        <v>11</v>
      </c>
      <c r="K8" t="n">
        <v>13.1</v>
      </c>
      <c r="L8" t="n">
        <v>12.8</v>
      </c>
      <c r="M8" t="n">
        <v>9.4</v>
      </c>
      <c r="N8" t="n">
        <v>13.4</v>
      </c>
    </row>
    <row r="9">
      <c r="A9" s="98" t="inlineStr">
        <is>
          <t>Figure Rules</t>
        </is>
      </c>
      <c r="F9" t="n">
        <v>2023</v>
      </c>
      <c r="G9" t="n">
        <v>10.8</v>
      </c>
      <c r="H9" t="n">
        <v>12.1</v>
      </c>
      <c r="I9" t="n">
        <v>8.9</v>
      </c>
      <c r="J9" t="n">
        <v>12</v>
      </c>
      <c r="K9" t="n">
        <v>14</v>
      </c>
      <c r="L9" t="n">
        <v>13.2</v>
      </c>
      <c r="M9" t="n">
        <v>10.7</v>
      </c>
      <c r="N9" t="n">
        <v>14.5</v>
      </c>
    </row>
    <row r="10">
      <c r="A10" t="inlineStr">
        <is>
          <t>Figure Type</t>
        </is>
      </c>
      <c r="B10" t="inlineStr">
        <is>
          <t>Line</t>
        </is>
      </c>
    </row>
    <row r="11">
      <c r="A11" t="inlineStr">
        <is>
          <t>X Column</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c r="B19" s="8" t="n"/>
    </row>
    <row r="20">
      <c r="A20" t="inlineStr">
        <is>
          <t>URL</t>
        </is>
      </c>
      <c r="B20" s="8" t="inlineStr">
        <is>
          <t>https://map.feedingamerica.org/district/2023/overall/new-york</t>
        </is>
      </c>
    </row>
    <row r="21">
      <c r="A21" t="inlineStr">
        <is>
          <t>Data Year</t>
        </is>
      </c>
      <c r="B21" s="8" t="n">
        <v>2023</v>
      </c>
    </row>
    <row r="22">
      <c r="A22" t="inlineStr">
        <is>
          <t>Estimate Type</t>
        </is>
      </c>
      <c r="B22" s="8" t="n"/>
    </row>
    <row r="23">
      <c r="A23" t="inlineStr">
        <is>
          <t>Citation Month</t>
        </is>
      </c>
      <c r="B23" s="8" t="inlineStr">
        <is>
          <t>June</t>
        </is>
      </c>
    </row>
    <row r="24">
      <c r="A24" t="inlineStr">
        <is>
          <t>Citation Year</t>
        </is>
      </c>
      <c r="B24" s="8" t="n">
        <v>2025</v>
      </c>
    </row>
    <row r="25">
      <c r="A25" t="inlineStr">
        <is>
          <t>Custom Text</t>
        </is>
      </c>
      <c r="B25" s="8" t="inlineStr">
        <is>
          <t>Feeding America, June 2025</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03.xml><?xml version="1.0" encoding="utf-8"?>
<worksheet xmlns="http://schemas.openxmlformats.org/spreadsheetml/2006/main">
  <sheetPr>
    <outlinePr summaryBelow="1" summaryRight="1"/>
    <pageSetUpPr/>
  </sheetPr>
  <dimension ref="A1:O57"/>
  <sheetViews>
    <sheetView workbookViewId="0">
      <selection activeCell="M8" sqref="M8"/>
    </sheetView>
  </sheetViews>
  <sheetFormatPr baseColWidth="10" defaultColWidth="8.6640625" defaultRowHeight="15"/>
  <cols>
    <col width="20" bestFit="1" customWidth="1" style="99" min="1" max="1"/>
    <col width="24" bestFit="1" customWidth="1" style="99" min="2" max="2"/>
    <col width="6.6640625" customWidth="1" style="99" min="5" max="5"/>
    <col width="9.5" customWidth="1" style="99" min="7" max="7"/>
    <col width="13.5" customWidth="1" style="99" min="8" max="8"/>
    <col width="11" customWidth="1" style="99" min="9" max="9"/>
    <col width="10.6640625" customWidth="1" style="99" min="11" max="11"/>
    <col width="11.5" customWidth="1" style="99" min="12" max="12"/>
    <col width="15.1640625" customWidth="1" style="99" min="13" max="13"/>
    <col width="12.33203125" bestFit="1" customWidth="1" style="99" min="14" max="14"/>
    <col width="11" bestFit="1" customWidth="1" style="99" min="15" max="15"/>
  </cols>
  <sheetData>
    <row r="1">
      <c r="A1" s="97" t="inlineStr">
        <is>
          <t>Name</t>
        </is>
      </c>
      <c r="B1" s="96" t="inlineStr">
        <is>
          <t>Percentage of Food Insecurty, Children 18 Years and Younger, 2020–2023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F5" t="inlineStr">
        <is>
          <t>Year</t>
        </is>
      </c>
      <c r="G5" s="101" t="inlineStr">
        <is>
          <t>Dutchess</t>
        </is>
      </c>
      <c r="H5" s="101" t="inlineStr">
        <is>
          <t>Orange</t>
        </is>
      </c>
      <c r="I5" s="101" t="inlineStr">
        <is>
          <t>Putnam</t>
        </is>
      </c>
      <c r="J5" s="101" t="inlineStr">
        <is>
          <t>Rockland</t>
        </is>
      </c>
      <c r="K5" s="101" t="inlineStr">
        <is>
          <t>Sullivan</t>
        </is>
      </c>
      <c r="L5" s="101" t="inlineStr">
        <is>
          <t>Ulster</t>
        </is>
      </c>
      <c r="M5" s="101" t="inlineStr">
        <is>
          <t>Westchester</t>
        </is>
      </c>
      <c r="N5" s="101" t="inlineStr">
        <is>
          <t>NYS</t>
        </is>
      </c>
    </row>
    <row r="6" ht="15" customHeight="1" s="99">
      <c r="A6" t="inlineStr">
        <is>
          <t>Multilevel Headers</t>
        </is>
      </c>
      <c r="B6" t="b">
        <v>0</v>
      </c>
      <c r="F6" t="n">
        <v>2020</v>
      </c>
      <c r="G6" s="116" t="n">
        <v>12</v>
      </c>
      <c r="H6" s="116" t="n">
        <v>14.8</v>
      </c>
      <c r="I6" s="116" t="n">
        <v>7.3</v>
      </c>
      <c r="J6" s="116" t="n">
        <v>15.8</v>
      </c>
      <c r="K6" s="116" t="n">
        <v>18.3</v>
      </c>
      <c r="L6" s="116" t="n">
        <v>15.1</v>
      </c>
      <c r="M6" s="116" t="n">
        <v>11.4</v>
      </c>
      <c r="N6" s="116" t="n">
        <v>14.6</v>
      </c>
    </row>
    <row r="7" ht="15.75" customHeight="1" s="99">
      <c r="F7" t="n">
        <v>2021</v>
      </c>
      <c r="G7" s="116" t="n">
        <v>8.199999999999999</v>
      </c>
      <c r="H7" s="116" t="n">
        <v>10.4</v>
      </c>
      <c r="I7" s="116" t="n">
        <v>3.6</v>
      </c>
      <c r="J7" s="116" t="n">
        <v>11.3</v>
      </c>
      <c r="K7" s="116" t="n">
        <v>15</v>
      </c>
      <c r="L7" s="116" t="n">
        <v>10.6</v>
      </c>
      <c r="M7" s="116" t="n">
        <v>7.2</v>
      </c>
      <c r="N7" s="116" t="n">
        <v>15.4</v>
      </c>
    </row>
    <row r="8">
      <c r="F8" t="n">
        <v>2022</v>
      </c>
      <c r="G8" s="116" t="n">
        <v>12</v>
      </c>
      <c r="H8" s="116" t="n">
        <v>15.4</v>
      </c>
      <c r="I8" s="116" t="n">
        <v>6.7</v>
      </c>
      <c r="J8" s="116" t="n">
        <v>15.5</v>
      </c>
      <c r="K8" s="116" t="n">
        <v>19.9</v>
      </c>
      <c r="L8" s="116" t="n">
        <v>14.5</v>
      </c>
      <c r="M8" s="116" t="n">
        <v>10.5</v>
      </c>
      <c r="N8" s="116" t="n">
        <v>18.8</v>
      </c>
    </row>
    <row r="9">
      <c r="A9" s="98" t="inlineStr">
        <is>
          <t>Figure Rules</t>
        </is>
      </c>
      <c r="F9" t="n">
        <v>2023</v>
      </c>
      <c r="G9" s="116" t="n">
        <v>11.9</v>
      </c>
      <c r="H9" s="116" t="n">
        <v>15.6</v>
      </c>
      <c r="I9" s="116" t="n">
        <v>6.6</v>
      </c>
      <c r="J9" s="116" t="n">
        <v>16.3</v>
      </c>
      <c r="K9" s="116" t="n">
        <v>19.9</v>
      </c>
      <c r="L9" s="116" t="n">
        <v>14.6</v>
      </c>
      <c r="M9" s="116" t="n">
        <v>10.6</v>
      </c>
      <c r="N9" s="116" t="n">
        <v>19</v>
      </c>
    </row>
    <row r="10">
      <c r="A10" t="inlineStr">
        <is>
          <t>Figure Type</t>
        </is>
      </c>
      <c r="B10" t="inlineStr">
        <is>
          <t>Line</t>
        </is>
      </c>
    </row>
    <row r="11">
      <c r="A11" t="inlineStr">
        <is>
          <t>X Column</t>
        </is>
      </c>
      <c r="B11" t="inlineStr">
        <is>
          <t>County</t>
        </is>
      </c>
    </row>
    <row r="12">
      <c r="A12" t="inlineStr">
        <is>
          <t>Y Column</t>
        </is>
      </c>
    </row>
    <row r="13">
      <c r="A13" t="inlineStr">
        <is>
          <t>X Axis Title</t>
        </is>
      </c>
    </row>
    <row r="14">
      <c r="A14" t="inlineStr">
        <is>
          <t>Y Axis Title</t>
        </is>
      </c>
      <c r="B14" t="inlineStr">
        <is>
          <t>Percent</t>
        </is>
      </c>
    </row>
    <row r="15">
      <c r="A15" t="inlineStr">
        <is>
          <t>Start at Zero</t>
        </is>
      </c>
      <c r="B15" t="b">
        <v>1</v>
      </c>
    </row>
    <row r="16"/>
    <row r="17"/>
    <row r="18">
      <c r="A18" s="98" t="inlineStr">
        <is>
          <t>Source Specifications</t>
        </is>
      </c>
    </row>
    <row r="19">
      <c r="A19" t="inlineStr">
        <is>
          <t>Table ID</t>
        </is>
      </c>
      <c r="B19" s="118" t="n"/>
    </row>
    <row r="20">
      <c r="A20" t="inlineStr">
        <is>
          <t>URL</t>
        </is>
      </c>
      <c r="B20" s="118" t="inlineStr">
        <is>
          <t>https://map.feedingamerica.org/district/2023/overall/new-york</t>
        </is>
      </c>
    </row>
    <row r="21">
      <c r="A21" t="inlineStr">
        <is>
          <t>Data Year</t>
        </is>
      </c>
      <c r="B21" s="118" t="n">
        <v>2023</v>
      </c>
    </row>
    <row r="22">
      <c r="A22" t="inlineStr">
        <is>
          <t>Estimate Type</t>
        </is>
      </c>
      <c r="B22" s="118" t="n"/>
    </row>
    <row r="23">
      <c r="A23" t="inlineStr">
        <is>
          <t>Citation Month</t>
        </is>
      </c>
      <c r="B23" s="118" t="inlineStr">
        <is>
          <t>June</t>
        </is>
      </c>
    </row>
    <row r="24">
      <c r="A24" t="inlineStr">
        <is>
          <t>Citation Year</t>
        </is>
      </c>
      <c r="B24" s="118" t="n">
        <v>2025</v>
      </c>
    </row>
    <row r="25">
      <c r="A25" t="inlineStr">
        <is>
          <t>Custom Text</t>
        </is>
      </c>
      <c r="B25" s="118" t="inlineStr">
        <is>
          <t>Feeding America, June 2025</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04.xml><?xml version="1.0" encoding="utf-8"?>
<worksheet xmlns="http://schemas.openxmlformats.org/spreadsheetml/2006/main">
  <sheetPr>
    <outlinePr summaryBelow="1" summaryRight="1"/>
    <pageSetUpPr/>
  </sheetPr>
  <dimension ref="A1:Q57"/>
  <sheetViews>
    <sheetView workbookViewId="0">
      <selection activeCell="B24" sqref="B24"/>
    </sheetView>
  </sheetViews>
  <sheetFormatPr baseColWidth="10" defaultColWidth="8.6640625" defaultRowHeight="15"/>
  <cols>
    <col width="20" bestFit="1" customWidth="1" style="99" min="1" max="1"/>
    <col width="51.6640625" bestFit="1" customWidth="1" style="99" min="2" max="2"/>
    <col width="6.6640625" customWidth="1" style="99" min="5" max="5"/>
    <col width="7.5" bestFit="1" customWidth="1" style="99" min="6" max="6"/>
    <col width="8.6640625" bestFit="1" customWidth="1" style="99" min="7" max="9"/>
    <col width="8.6640625" bestFit="1" customWidth="1" style="99" min="11" max="12"/>
    <col width="8.6640625" bestFit="1" customWidth="1" style="99" min="14" max="14"/>
    <col width="11" bestFit="1" customWidth="1" style="99" min="15" max="15"/>
  </cols>
  <sheetData>
    <row r="1">
      <c r="A1" s="97" t="inlineStr">
        <is>
          <t>Name</t>
        </is>
      </c>
      <c r="B1" s="96" t="inlineStr">
        <is>
          <t>Percentage of Cost Burdened Renter Occupied Units, 2021–2023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c r="Q4" s="16" t="n"/>
    </row>
    <row r="5">
      <c r="A5" s="98" t="inlineStr">
        <is>
          <t>Table Rules</t>
        </is>
      </c>
      <c r="E5" s="100" t="inlineStr">
        <is>
          <t xml:space="preserve">Enter Data </t>
        </is>
      </c>
      <c r="F5" t="inlineStr">
        <is>
          <t>Year</t>
        </is>
      </c>
      <c r="G5" s="101" t="inlineStr">
        <is>
          <t>Dutchess</t>
        </is>
      </c>
      <c r="H5" s="101" t="inlineStr">
        <is>
          <t>Orange</t>
        </is>
      </c>
      <c r="I5" s="101" t="inlineStr">
        <is>
          <t>Putnam</t>
        </is>
      </c>
      <c r="J5" s="101" t="inlineStr">
        <is>
          <t>Rockland</t>
        </is>
      </c>
      <c r="K5" s="101" t="inlineStr">
        <is>
          <t>Sullivan</t>
        </is>
      </c>
      <c r="L5" s="101" t="inlineStr">
        <is>
          <t>Ulster</t>
        </is>
      </c>
      <c r="M5" s="101" t="inlineStr">
        <is>
          <t>Westchester</t>
        </is>
      </c>
      <c r="N5" s="101" t="inlineStr">
        <is>
          <t>NYS</t>
        </is>
      </c>
    </row>
    <row r="6" ht="15" customHeight="1" s="99">
      <c r="A6" t="inlineStr">
        <is>
          <t>Multilevel Headers</t>
        </is>
      </c>
      <c r="B6" t="b">
        <v>0</v>
      </c>
      <c r="F6" t="n">
        <v>2021</v>
      </c>
      <c r="G6" s="14" t="n">
        <v>52.3</v>
      </c>
      <c r="H6" s="14" t="n">
        <v>56.5</v>
      </c>
      <c r="I6" s="14" t="n">
        <v>52.7</v>
      </c>
      <c r="J6" s="14" t="n">
        <v>58.3</v>
      </c>
      <c r="K6" s="14" t="n">
        <v>48</v>
      </c>
      <c r="L6" s="14" t="n">
        <v>55.3</v>
      </c>
      <c r="M6" s="14" t="n">
        <v>53.2</v>
      </c>
      <c r="N6" s="14" t="n">
        <v>51.6</v>
      </c>
    </row>
    <row r="7" ht="15.75" customHeight="1" s="99">
      <c r="F7" t="n">
        <v>2022</v>
      </c>
      <c r="G7" s="14" t="n">
        <v>52.4</v>
      </c>
      <c r="H7" s="14" t="n">
        <v>56.1</v>
      </c>
      <c r="I7" s="14" t="n">
        <v>53.2</v>
      </c>
      <c r="J7" s="14" t="n">
        <v>58.9</v>
      </c>
      <c r="K7" s="14" t="n">
        <v>48.4</v>
      </c>
      <c r="L7" s="14" t="n">
        <v>55.3</v>
      </c>
      <c r="M7" s="14" t="n">
        <v>53.5</v>
      </c>
      <c r="N7" s="14" t="n">
        <v>51.7</v>
      </c>
    </row>
    <row r="8">
      <c r="F8" t="n">
        <v>2023</v>
      </c>
      <c r="G8" s="14" t="n">
        <v>52</v>
      </c>
      <c r="H8" s="14" t="n">
        <v>56.2</v>
      </c>
      <c r="I8" s="14" t="n">
        <v>56.5</v>
      </c>
      <c r="J8" s="14" t="n">
        <v>59.6</v>
      </c>
      <c r="K8" s="14" t="n">
        <v>48.7</v>
      </c>
      <c r="L8" s="14" t="n">
        <v>56.6</v>
      </c>
      <c r="M8" s="14" t="n">
        <v>53</v>
      </c>
      <c r="N8" s="14" t="n">
        <v>51.5</v>
      </c>
    </row>
    <row r="9">
      <c r="A9" s="98" t="inlineStr">
        <is>
          <t>Figure Rules</t>
        </is>
      </c>
    </row>
    <row r="10">
      <c r="A10" t="inlineStr">
        <is>
          <t>Figure Type</t>
        </is>
      </c>
      <c r="B10" t="inlineStr">
        <is>
          <t>Clustered Bar</t>
        </is>
      </c>
    </row>
    <row r="11">
      <c r="A11" t="inlineStr">
        <is>
          <t>X Column</t>
        </is>
      </c>
      <c r="B11" t="inlineStr">
        <is>
          <t>County</t>
        </is>
      </c>
    </row>
    <row r="12">
      <c r="A12" t="inlineStr">
        <is>
          <t>Y Column</t>
        </is>
      </c>
    </row>
    <row r="13">
      <c r="A13" t="inlineStr">
        <is>
          <t>X Axis Title</t>
        </is>
      </c>
      <c r="B13" t="inlineStr">
        <is>
          <t>Year</t>
        </is>
      </c>
    </row>
    <row r="14">
      <c r="A14" t="inlineStr">
        <is>
          <t>Y Axis Title</t>
        </is>
      </c>
      <c r="B14" s="82" t="inlineStr">
        <is>
          <t>Percent</t>
        </is>
      </c>
    </row>
    <row r="15">
      <c r="A15" t="inlineStr">
        <is>
          <t>Start at Zero</t>
        </is>
      </c>
      <c r="B15" t="b">
        <v>0</v>
      </c>
    </row>
    <row r="16">
      <c r="A16" t="inlineStr">
        <is>
          <t>Pivot For Chart</t>
        </is>
      </c>
      <c r="B16" t="b">
        <v>1</v>
      </c>
    </row>
    <row r="17"/>
    <row r="18">
      <c r="A18" s="98" t="inlineStr">
        <is>
          <t>Source Specifications</t>
        </is>
      </c>
    </row>
    <row r="19">
      <c r="A19" t="inlineStr">
        <is>
          <t>Table ID</t>
        </is>
      </c>
      <c r="B19" s="118" t="inlineStr">
        <is>
          <t>DP04</t>
        </is>
      </c>
    </row>
    <row r="20">
      <c r="A20" t="inlineStr">
        <is>
          <t>URL</t>
        </is>
      </c>
      <c r="B20" s="118" t="inlineStr">
        <is>
          <t>https://data.census.gov/table/ACSDP5Y2023.DP04</t>
        </is>
      </c>
    </row>
    <row r="21">
      <c r="A21" t="inlineStr">
        <is>
          <t>Data Year</t>
        </is>
      </c>
      <c r="B21" s="118" t="n">
        <v>2023</v>
      </c>
    </row>
    <row r="22">
      <c r="A22" t="inlineStr">
        <is>
          <t>Estimate Type</t>
        </is>
      </c>
      <c r="B22" s="118" t="inlineStr">
        <is>
          <t>5-Year Estimates</t>
        </is>
      </c>
    </row>
    <row r="23">
      <c r="A23" t="inlineStr">
        <is>
          <t>Citation Month</t>
        </is>
      </c>
      <c r="B23" s="118" t="inlineStr">
        <is>
          <t>April</t>
        </is>
      </c>
    </row>
    <row r="24">
      <c r="A24" t="inlineStr">
        <is>
          <t>Citation Year</t>
        </is>
      </c>
      <c r="B24" s="118" t="n">
        <v>2025</v>
      </c>
    </row>
    <row r="25">
      <c r="A25" t="inlineStr">
        <is>
          <t>Custom Text</t>
        </is>
      </c>
      <c r="B25" s="118" t="n"/>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Q4" showDropDown="0" showInputMessage="1" showErrorMessage="1" allowBlank="1" type="list">
      <formula1>"integer, number, percent1"</formula1>
    </dataValidation>
  </dataValidations>
  <pageMargins left="0.75" right="0.75" top="1" bottom="1" header="0.5" footer="0.5"/>
</worksheet>
</file>

<file path=xl/worksheets/sheet105.xml><?xml version="1.0" encoding="utf-8"?>
<worksheet xmlns="http://schemas.openxmlformats.org/spreadsheetml/2006/main">
  <sheetPr>
    <outlinePr summaryBelow="1" summaryRight="1"/>
    <pageSetUpPr/>
  </sheetPr>
  <dimension ref="A1:O57"/>
  <sheetViews>
    <sheetView workbookViewId="0">
      <selection activeCell="F16" sqref="F16"/>
    </sheetView>
  </sheetViews>
  <sheetFormatPr baseColWidth="10" defaultColWidth="8.6640625" defaultRowHeight="15"/>
  <cols>
    <col width="20" bestFit="1" customWidth="1" style="99" min="1" max="1"/>
    <col width="16.6640625" customWidth="1" style="99" min="2" max="2"/>
    <col width="6.6640625" customWidth="1" style="99" min="5" max="5"/>
    <col width="10"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2.1640625" bestFit="1" customWidth="1" style="99" min="13" max="13"/>
    <col width="12.33203125" bestFit="1" customWidth="1" style="99" min="14" max="14"/>
    <col width="11" bestFit="1" customWidth="1" style="99" min="15" max="15"/>
  </cols>
  <sheetData>
    <row r="1">
      <c r="A1" s="97" t="inlineStr">
        <is>
          <t>Name</t>
        </is>
      </c>
      <c r="B1" s="96" t="inlineStr">
        <is>
          <t>Percentage of Severely Cost Burdened Households, 2016–2023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inlineStr">
        <is>
          <t>2016–2020</t>
        </is>
      </c>
      <c r="G6" s="14" t="n">
        <v>16</v>
      </c>
      <c r="H6" s="14" t="n">
        <v>19</v>
      </c>
      <c r="I6" s="14" t="n">
        <v>16</v>
      </c>
      <c r="J6" s="14" t="n">
        <v>22</v>
      </c>
      <c r="K6" s="14" t="n">
        <v>14</v>
      </c>
      <c r="L6" s="14" t="n">
        <v>18</v>
      </c>
      <c r="M6" s="14" t="n">
        <v>20</v>
      </c>
      <c r="N6" s="14" t="n">
        <v>19</v>
      </c>
    </row>
    <row r="7" ht="15.75" customHeight="1" s="99">
      <c r="F7" t="inlineStr">
        <is>
          <t>2017–2021</t>
        </is>
      </c>
      <c r="G7" s="14" t="n">
        <v>16</v>
      </c>
      <c r="H7" s="14" t="n">
        <v>19</v>
      </c>
      <c r="I7" s="14" t="n">
        <v>16</v>
      </c>
      <c r="J7" s="14" t="n">
        <v>22</v>
      </c>
      <c r="K7" s="14" t="n">
        <v>15</v>
      </c>
      <c r="L7" s="14" t="n">
        <v>18</v>
      </c>
      <c r="M7" s="14" t="n">
        <v>19</v>
      </c>
      <c r="N7" s="14" t="n">
        <v>19</v>
      </c>
    </row>
    <row r="8">
      <c r="F8" t="inlineStr">
        <is>
          <t>2018–2022</t>
        </is>
      </c>
      <c r="G8" s="14" t="n">
        <v>16</v>
      </c>
      <c r="H8" s="14" t="n">
        <v>20</v>
      </c>
      <c r="I8" s="14" t="n">
        <v>16</v>
      </c>
      <c r="J8" s="14" t="n">
        <v>22</v>
      </c>
      <c r="K8" s="14" t="n">
        <v>15</v>
      </c>
      <c r="L8" s="14" t="n">
        <v>18</v>
      </c>
      <c r="M8" s="14" t="n">
        <v>20</v>
      </c>
      <c r="N8" s="14" t="n">
        <v>19</v>
      </c>
    </row>
    <row r="9">
      <c r="A9" s="98" t="inlineStr">
        <is>
          <t>Figure Rules</t>
        </is>
      </c>
      <c r="F9" t="inlineStr">
        <is>
          <t>2019–2023</t>
        </is>
      </c>
      <c r="G9" s="14" t="n">
        <v>16</v>
      </c>
      <c r="H9" s="14" t="n">
        <v>20</v>
      </c>
      <c r="I9" s="14" t="n">
        <v>17</v>
      </c>
      <c r="J9" s="14" t="n">
        <v>22</v>
      </c>
      <c r="K9" s="14" t="n">
        <v>15</v>
      </c>
      <c r="L9" s="14" t="n">
        <v>18</v>
      </c>
      <c r="M9" s="14" t="n">
        <v>19</v>
      </c>
      <c r="N9" s="14" t="n">
        <v>19</v>
      </c>
    </row>
    <row r="10">
      <c r="A10" t="inlineStr">
        <is>
          <t>Figure Type</t>
        </is>
      </c>
      <c r="B10" t="inlineStr">
        <is>
          <t>Clustered Bar</t>
        </is>
      </c>
    </row>
    <row r="11">
      <c r="A11" t="inlineStr">
        <is>
          <t>X Column</t>
        </is>
      </c>
      <c r="B11" t="inlineStr">
        <is>
          <t>County</t>
        </is>
      </c>
    </row>
    <row r="12">
      <c r="A12" t="inlineStr">
        <is>
          <t>Y Column</t>
        </is>
      </c>
    </row>
    <row r="13">
      <c r="A13" t="inlineStr">
        <is>
          <t>X Axis Title</t>
        </is>
      </c>
      <c r="B13" t="inlineStr">
        <is>
          <t>Year</t>
        </is>
      </c>
    </row>
    <row r="14">
      <c r="A14" t="inlineStr">
        <is>
          <t>Y Axis Title</t>
        </is>
      </c>
      <c r="B14" s="82" t="inlineStr">
        <is>
          <t>Percent</t>
        </is>
      </c>
    </row>
    <row r="15">
      <c r="A15" t="inlineStr">
        <is>
          <t>Start at Zero</t>
        </is>
      </c>
      <c r="B15" t="b">
        <v>1</v>
      </c>
    </row>
    <row r="16"/>
    <row r="17"/>
    <row r="18">
      <c r="A18" s="98" t="inlineStr">
        <is>
          <t>Source Specifications</t>
        </is>
      </c>
    </row>
    <row r="19">
      <c r="A19" t="inlineStr">
        <is>
          <t>Table ID</t>
        </is>
      </c>
    </row>
    <row r="20">
      <c r="A20" t="inlineStr">
        <is>
          <t>URL</t>
        </is>
      </c>
      <c r="B20" t="inlineStr">
        <is>
          <t>https://www.countyhealthrankings.org/</t>
        </is>
      </c>
    </row>
    <row r="21">
      <c r="A21" t="inlineStr">
        <is>
          <t>Data Year</t>
        </is>
      </c>
      <c r="B21" t="n">
        <v>2023</v>
      </c>
    </row>
    <row r="22">
      <c r="A22" t="inlineStr">
        <is>
          <t>Estimate Type</t>
        </is>
      </c>
    </row>
    <row r="23">
      <c r="A23" t="inlineStr">
        <is>
          <t>Citation Month</t>
        </is>
      </c>
      <c r="B23" t="inlineStr">
        <is>
          <t>April</t>
        </is>
      </c>
    </row>
    <row r="24">
      <c r="A24" t="inlineStr">
        <is>
          <t>Citation Year</t>
        </is>
      </c>
      <c r="B24" t="n">
        <v>2025</v>
      </c>
    </row>
    <row r="25">
      <c r="A25" t="inlineStr">
        <is>
          <t>Custom Text</t>
        </is>
      </c>
      <c r="B25" t="inlineStr">
        <is>
          <t>County Health Rankings and Roadmaps, 2025</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106.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1640625" bestFit="1" customWidth="1" style="99" min="13" max="13"/>
    <col width="12.33203125" bestFit="1" customWidth="1" style="99" min="14" max="14"/>
    <col width="11" bestFit="1" customWidth="1" style="99" min="15" max="15"/>
  </cols>
  <sheetData>
    <row r="1">
      <c r="A1" s="97" t="inlineStr">
        <is>
          <t>Name</t>
        </is>
      </c>
      <c r="B1" s="96" t="inlineStr">
        <is>
          <t>Number of people living in HUD-Subsidized Housing in the Past 12 Months, 2021–2024</t>
        </is>
      </c>
    </row>
    <row r="2">
      <c r="A2" s="97" t="inlineStr">
        <is>
          <t>Table/Figure/Both</t>
        </is>
      </c>
      <c r="B2" t="inlineStr">
        <is>
          <t>Table</t>
        </is>
      </c>
    </row>
    <row r="3">
      <c r="A3" s="97" t="inlineStr">
        <is>
          <t xml:space="preserve">Object ID  </t>
        </is>
      </c>
      <c r="B3">
        <f>IF($B$1="","",_xlfn.XLOOKUP($B$1,Master!$F$2:$F$308,Master!$G$2:$G$308,""))</f>
        <v/>
      </c>
    </row>
    <row r="4">
      <c r="A4" s="97" t="inlineStr">
        <is>
          <t>Figure ID</t>
        </is>
      </c>
      <c r="B4">
        <f>IF($B$1="","",_xlfn.XLOOKUP($B$1,Master!$F$2:$F$308,Master!$H$2:$H$308,""))</f>
        <v/>
      </c>
      <c r="E4" s="13" t="n"/>
      <c r="F4" s="40" t="inlineStr">
        <is>
          <t>integer</t>
        </is>
      </c>
      <c r="G4" s="40" t="inlineStr">
        <is>
          <t>integer</t>
        </is>
      </c>
      <c r="H4" s="40" t="inlineStr">
        <is>
          <t>integer</t>
        </is>
      </c>
      <c r="I4" s="40" t="inlineStr">
        <is>
          <t>integer</t>
        </is>
      </c>
      <c r="J4" s="40" t="inlineStr">
        <is>
          <t>integer</t>
        </is>
      </c>
      <c r="K4" s="40" t="inlineStr">
        <is>
          <t>integer</t>
        </is>
      </c>
      <c r="L4" s="40" t="inlineStr">
        <is>
          <t>integer</t>
        </is>
      </c>
      <c r="M4" s="40" t="inlineStr">
        <is>
          <t>integer</t>
        </is>
      </c>
      <c r="N4" s="40" t="inlineStr">
        <is>
          <t>integer</t>
        </is>
      </c>
      <c r="O4" s="40" t="n"/>
    </row>
    <row r="5">
      <c r="A5" s="98" t="inlineStr">
        <is>
          <t>Table Rules</t>
        </is>
      </c>
      <c r="E5" s="100" t="inlineStr">
        <is>
          <t xml:space="preserve">Enter Data </t>
        </is>
      </c>
      <c r="F5" t="inlineStr">
        <is>
          <t>Year</t>
        </is>
      </c>
      <c r="G5" s="114" t="inlineStr">
        <is>
          <t>Dutchess</t>
        </is>
      </c>
      <c r="H5" s="114" t="inlineStr">
        <is>
          <t>Orange</t>
        </is>
      </c>
      <c r="I5" s="114" t="inlineStr">
        <is>
          <t>Putnam</t>
        </is>
      </c>
      <c r="J5" s="114" t="inlineStr">
        <is>
          <t>Rockland</t>
        </is>
      </c>
      <c r="K5" s="114" t="inlineStr">
        <is>
          <t>Sullivan</t>
        </is>
      </c>
      <c r="L5" s="114" t="inlineStr">
        <is>
          <t>Ulster</t>
        </is>
      </c>
      <c r="M5" s="114" t="inlineStr">
        <is>
          <t>Westchester</t>
        </is>
      </c>
      <c r="N5" s="114" t="inlineStr">
        <is>
          <t>NYS</t>
        </is>
      </c>
      <c r="O5" s="114" t="n"/>
    </row>
    <row r="6" ht="15" customHeight="1" s="99">
      <c r="A6" t="inlineStr">
        <is>
          <t>Multilevel Headers</t>
        </is>
      </c>
      <c r="B6" t="b">
        <v>0</v>
      </c>
      <c r="F6" s="114" t="n">
        <v>2021</v>
      </c>
      <c r="G6" s="114" t="n">
        <v>7442</v>
      </c>
      <c r="H6" s="114" t="n">
        <v>18258</v>
      </c>
      <c r="I6" s="114" t="n">
        <v>945</v>
      </c>
      <c r="J6" s="114" t="n">
        <v>21732</v>
      </c>
      <c r="K6" s="114" t="n">
        <v>5018</v>
      </c>
      <c r="L6" s="114" t="n">
        <v>5484</v>
      </c>
      <c r="M6" s="114" t="n">
        <v>40230</v>
      </c>
      <c r="N6" s="114" t="n">
        <v>1025652</v>
      </c>
      <c r="O6" s="114" t="n"/>
    </row>
    <row r="7" ht="15.75" customHeight="1" s="99">
      <c r="F7" s="114" t="n">
        <v>2022</v>
      </c>
      <c r="G7" s="114" t="n">
        <v>7641</v>
      </c>
      <c r="H7" s="114" t="n">
        <v>18745</v>
      </c>
      <c r="I7" s="114" t="n">
        <v>929</v>
      </c>
      <c r="J7" s="114" t="n">
        <v>22170</v>
      </c>
      <c r="K7" s="114" t="n">
        <v>5228</v>
      </c>
      <c r="L7" s="114" t="n">
        <v>5479</v>
      </c>
      <c r="M7" s="114" t="n">
        <v>40412</v>
      </c>
      <c r="N7" s="114" t="n">
        <v>985104</v>
      </c>
      <c r="O7" s="114" t="n"/>
    </row>
    <row r="8">
      <c r="F8" s="114" t="n">
        <v>2023</v>
      </c>
      <c r="G8" s="114" t="n">
        <v>7630</v>
      </c>
      <c r="H8" s="114" t="n">
        <v>19000</v>
      </c>
      <c r="I8" s="114" t="n">
        <v>992</v>
      </c>
      <c r="J8" s="114" t="n">
        <v>23411</v>
      </c>
      <c r="K8" s="114" t="n">
        <v>4846</v>
      </c>
      <c r="L8" s="114" t="n">
        <v>5418</v>
      </c>
      <c r="M8" s="114" t="n">
        <v>40415</v>
      </c>
      <c r="N8" s="114" t="n">
        <v>987957</v>
      </c>
      <c r="O8" s="114" t="n"/>
    </row>
    <row r="9">
      <c r="A9" s="98" t="inlineStr">
        <is>
          <t>Figure Rules</t>
        </is>
      </c>
      <c r="F9" s="114" t="n">
        <v>2024</v>
      </c>
      <c r="G9" s="114" t="n">
        <v>7484</v>
      </c>
      <c r="H9" s="114" t="n">
        <v>19129</v>
      </c>
      <c r="I9" s="114" t="n">
        <v>1012</v>
      </c>
      <c r="J9" s="114" t="n">
        <v>23735</v>
      </c>
      <c r="K9" s="114" t="n">
        <v>4445</v>
      </c>
      <c r="L9" s="114" t="n">
        <v>4980</v>
      </c>
      <c r="M9" s="114" t="n">
        <v>40137</v>
      </c>
      <c r="N9" s="114" t="n">
        <v>1000730</v>
      </c>
      <c r="O9" s="114" t="n"/>
    </row>
    <row r="10">
      <c r="A10" t="inlineStr">
        <is>
          <t>Figure Type</t>
        </is>
      </c>
      <c r="B10" t="inlineStr">
        <is>
          <t>Clustered Bar</t>
        </is>
      </c>
    </row>
    <row r="11">
      <c r="A11" t="inlineStr">
        <is>
          <t>X Column</t>
        </is>
      </c>
      <c r="B11" t="inlineStr">
        <is>
          <t>Year</t>
        </is>
      </c>
    </row>
    <row r="12">
      <c r="A12" t="inlineStr">
        <is>
          <t>Y Column</t>
        </is>
      </c>
    </row>
    <row r="13">
      <c r="A13" t="inlineStr">
        <is>
          <t>X Axis Title</t>
        </is>
      </c>
      <c r="B13" t="inlineStr">
        <is>
          <t>Number of People</t>
        </is>
      </c>
    </row>
    <row r="14">
      <c r="A14" t="inlineStr">
        <is>
          <t>Y Axis Title</t>
        </is>
      </c>
    </row>
    <row r="15">
      <c r="A15" t="inlineStr">
        <is>
          <t>Start at Zero</t>
        </is>
      </c>
      <c r="B15" t="b">
        <v>1</v>
      </c>
    </row>
    <row r="16">
      <c r="A16" t="inlineStr">
        <is>
          <t>Pivot For Chart</t>
        </is>
      </c>
      <c r="B16" t="b">
        <v>1</v>
      </c>
    </row>
    <row r="17"/>
    <row r="18">
      <c r="A18" s="98" t="inlineStr">
        <is>
          <t>Source Specifications</t>
        </is>
      </c>
    </row>
    <row r="19">
      <c r="A19" t="inlineStr">
        <is>
          <t>Table ID</t>
        </is>
      </c>
      <c r="B19" s="118" t="n"/>
    </row>
    <row r="20">
      <c r="A20" t="inlineStr">
        <is>
          <t>URL</t>
        </is>
      </c>
      <c r="B20" s="118" t="inlineStr">
        <is>
          <t>https://www.huduser.gov/portal/datasets/assthsg.html</t>
        </is>
      </c>
    </row>
    <row r="21">
      <c r="A21" t="inlineStr">
        <is>
          <t>Data Year</t>
        </is>
      </c>
      <c r="B21" s="118" t="n">
        <v>2024</v>
      </c>
    </row>
    <row r="22">
      <c r="A22" t="inlineStr">
        <is>
          <t>Estimate Type</t>
        </is>
      </c>
      <c r="B22" s="118" t="n"/>
    </row>
    <row r="23">
      <c r="A23" t="inlineStr">
        <is>
          <t>Citation Month</t>
        </is>
      </c>
      <c r="B23" s="118" t="inlineStr">
        <is>
          <t>July</t>
        </is>
      </c>
    </row>
    <row r="24">
      <c r="A24" t="inlineStr">
        <is>
          <t>Citation Year</t>
        </is>
      </c>
      <c r="B24" s="118" t="n">
        <v>2025</v>
      </c>
    </row>
    <row r="25">
      <c r="A25" t="inlineStr">
        <is>
          <t>Custom Text</t>
        </is>
      </c>
      <c r="B25" s="118" t="inlineStr">
        <is>
          <t>US Department of Housing and Urban Development, July 2025</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07.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49.3320312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 width="12.6640625" bestFit="1" customWidth="1" style="99" min="16" max="16"/>
  </cols>
  <sheetData>
    <row r="1">
      <c r="A1" s="97" t="inlineStr">
        <is>
          <t>Name</t>
        </is>
      </c>
      <c r="B1" s="96" t="inlineStr">
        <is>
          <t>Poverty Threshold for 2024 by Size of Family and Number of Related Children 18 Years and Younger</t>
        </is>
      </c>
    </row>
    <row r="2">
      <c r="A2" s="97" t="inlineStr">
        <is>
          <t>Table/Figure/Both</t>
        </is>
      </c>
      <c r="B2" t="inlineStr">
        <is>
          <t>Table</t>
        </is>
      </c>
    </row>
    <row r="3">
      <c r="A3" s="97" t="inlineStr">
        <is>
          <t xml:space="preserve">Object ID  </t>
        </is>
      </c>
      <c r="B3">
        <f>IF($B$1="","",_xlfn.XLOOKUP($B$1,Master!$F$2:$F$308,Master!$G$2:$G$308,""))</f>
        <v/>
      </c>
    </row>
    <row r="4">
      <c r="A4" s="97" t="inlineStr">
        <is>
          <t>Figure ID</t>
        </is>
      </c>
      <c r="B4">
        <f>IF($B$1="","",_xlfn.XLOOKUP($B$1,Master!$F$2:$F$308,Master!$H$2:$H$308,""))</f>
        <v/>
      </c>
      <c r="E4" s="13" t="n"/>
      <c r="F4" s="13" t="n"/>
      <c r="G4" s="16" t="inlineStr">
        <is>
          <t>currency</t>
        </is>
      </c>
      <c r="H4" s="16" t="inlineStr">
        <is>
          <t>currency</t>
        </is>
      </c>
      <c r="I4" s="16" t="inlineStr">
        <is>
          <t>currency</t>
        </is>
      </c>
      <c r="J4" s="16" t="inlineStr">
        <is>
          <t>currency</t>
        </is>
      </c>
      <c r="K4" s="16" t="inlineStr">
        <is>
          <t>currency</t>
        </is>
      </c>
      <c r="L4" s="16" t="inlineStr">
        <is>
          <t>currency</t>
        </is>
      </c>
      <c r="M4" s="16" t="inlineStr">
        <is>
          <t>currency</t>
        </is>
      </c>
      <c r="N4" s="16" t="inlineStr">
        <is>
          <t>currency</t>
        </is>
      </c>
      <c r="O4" s="16" t="inlineStr">
        <is>
          <t>currency</t>
        </is>
      </c>
      <c r="P4" s="16" t="inlineStr">
        <is>
          <t>currency</t>
        </is>
      </c>
    </row>
    <row r="5">
      <c r="A5" s="98" t="inlineStr">
        <is>
          <t>Table Rules</t>
        </is>
      </c>
      <c r="E5" s="100" t="inlineStr">
        <is>
          <t xml:space="preserve">Enter Data </t>
        </is>
      </c>
      <c r="F5" s="114" t="inlineStr">
        <is>
          <t>Size of family unit</t>
        </is>
      </c>
      <c r="G5" s="101" t="inlineStr">
        <is>
          <t>Related children under 18 years</t>
        </is>
      </c>
    </row>
    <row r="6" ht="15" customHeight="1" s="99">
      <c r="A6" t="inlineStr">
        <is>
          <t>Multilevel Headers</t>
        </is>
      </c>
      <c r="B6" t="b">
        <v>1</v>
      </c>
      <c r="G6" t="inlineStr">
        <is>
          <t>None</t>
        </is>
      </c>
      <c r="H6" t="inlineStr">
        <is>
          <t>One</t>
        </is>
      </c>
      <c r="I6" t="inlineStr">
        <is>
          <t>Two</t>
        </is>
      </c>
      <c r="J6" t="inlineStr">
        <is>
          <t>Three</t>
        </is>
      </c>
      <c r="K6" t="inlineStr">
        <is>
          <t>Four</t>
        </is>
      </c>
      <c r="L6" t="inlineStr">
        <is>
          <t>Five</t>
        </is>
      </c>
      <c r="M6" t="inlineStr">
        <is>
          <t>Six</t>
        </is>
      </c>
      <c r="N6" t="inlineStr">
        <is>
          <t>Seven</t>
        </is>
      </c>
      <c r="O6" t="inlineStr">
        <is>
          <t>Eight</t>
        </is>
      </c>
      <c r="P6" t="inlineStr">
        <is>
          <t>Nine or more</t>
        </is>
      </c>
    </row>
    <row r="7" ht="15.75" customHeight="1" s="99">
      <c r="F7" s="117" t="inlineStr">
        <is>
          <t xml:space="preserve">One person (unrelated individual): </t>
        </is>
      </c>
    </row>
    <row r="8">
      <c r="F8" s="101" t="inlineStr">
        <is>
          <t>Under age 65</t>
        </is>
      </c>
      <c r="G8" t="inlineStr">
        <is>
          <t>$16,320</t>
        </is>
      </c>
    </row>
    <row r="9">
      <c r="A9" s="98" t="inlineStr">
        <is>
          <t>Figure Rules</t>
        </is>
      </c>
      <c r="F9" s="101" t="inlineStr">
        <is>
          <t>Aged 65 and older</t>
        </is>
      </c>
      <c r="G9" t="inlineStr">
        <is>
          <t>$15,045</t>
        </is>
      </c>
    </row>
    <row r="10">
      <c r="A10" t="inlineStr">
        <is>
          <t>Figure Type</t>
        </is>
      </c>
      <c r="F10" s="118" t="inlineStr">
        <is>
          <t xml:space="preserve">Two people: </t>
        </is>
      </c>
    </row>
    <row r="11">
      <c r="A11" t="inlineStr">
        <is>
          <t>X Column</t>
        </is>
      </c>
      <c r="F11" s="101" t="inlineStr">
        <is>
          <t>Householder under age 65</t>
        </is>
      </c>
      <c r="G11" t="inlineStr">
        <is>
          <t>$21,006</t>
        </is>
      </c>
      <c r="H11" t="inlineStr">
        <is>
          <t>$21,621</t>
        </is>
      </c>
    </row>
    <row r="12">
      <c r="A12" t="inlineStr">
        <is>
          <t>Y Column</t>
        </is>
      </c>
      <c r="F12" s="101" t="inlineStr">
        <is>
          <t>Aged Householder aged 65 and older</t>
        </is>
      </c>
      <c r="G12" t="inlineStr">
        <is>
          <t>$18,961</t>
        </is>
      </c>
      <c r="H12" t="inlineStr">
        <is>
          <t>$21,540</t>
        </is>
      </c>
    </row>
    <row r="13">
      <c r="A13" t="inlineStr">
        <is>
          <t>X Axis Title</t>
        </is>
      </c>
      <c r="F13" t="inlineStr">
        <is>
          <t>Three people</t>
        </is>
      </c>
      <c r="G13" t="inlineStr">
        <is>
          <t>$24,537</t>
        </is>
      </c>
      <c r="H13" t="inlineStr">
        <is>
          <t>$25,249</t>
        </is>
      </c>
      <c r="I13" t="inlineStr">
        <is>
          <t>$25,273</t>
        </is>
      </c>
    </row>
    <row r="14">
      <c r="A14" t="inlineStr">
        <is>
          <t>Y Axis Title</t>
        </is>
      </c>
      <c r="F14" t="inlineStr">
        <is>
          <t>Four people</t>
        </is>
      </c>
      <c r="G14" t="inlineStr">
        <is>
          <t>$32,355</t>
        </is>
      </c>
      <c r="H14" t="inlineStr">
        <is>
          <t>$32,884</t>
        </is>
      </c>
      <c r="I14" t="inlineStr">
        <is>
          <t>$31,812</t>
        </is>
      </c>
      <c r="J14" t="inlineStr">
        <is>
          <t>$31,922</t>
        </is>
      </c>
    </row>
    <row r="15">
      <c r="A15" t="inlineStr">
        <is>
          <t>Start at Zero</t>
        </is>
      </c>
      <c r="F15" t="inlineStr">
        <is>
          <t>Five people</t>
        </is>
      </c>
      <c r="G15" t="inlineStr">
        <is>
          <t>$39,019</t>
        </is>
      </c>
      <c r="H15" t="inlineStr">
        <is>
          <t>$39,586</t>
        </is>
      </c>
      <c r="I15" t="inlineStr">
        <is>
          <t>$38,374</t>
        </is>
      </c>
      <c r="J15" t="inlineStr">
        <is>
          <t>$37,436</t>
        </is>
      </c>
      <c r="K15" t="inlineStr">
        <is>
          <t>$36,863</t>
        </is>
      </c>
    </row>
    <row r="16">
      <c r="F16" t="inlineStr">
        <is>
          <t>Six people</t>
        </is>
      </c>
      <c r="G16" t="inlineStr">
        <is>
          <t>$44,879</t>
        </is>
      </c>
      <c r="H16" t="inlineStr">
        <is>
          <t>$45,057</t>
        </is>
      </c>
      <c r="I16" t="inlineStr">
        <is>
          <t>$44,128</t>
        </is>
      </c>
      <c r="J16" t="inlineStr">
        <is>
          <t>$43,238</t>
        </is>
      </c>
      <c r="K16" t="inlineStr">
        <is>
          <t>$41,915</t>
        </is>
      </c>
      <c r="L16" t="inlineStr">
        <is>
          <t>$41,131</t>
        </is>
      </c>
    </row>
    <row r="17">
      <c r="F17" t="inlineStr">
        <is>
          <t>Seven people</t>
        </is>
      </c>
      <c r="G17" t="inlineStr">
        <is>
          <t>$51,638</t>
        </is>
      </c>
      <c r="H17" t="inlineStr">
        <is>
          <t>$51,961</t>
        </is>
      </c>
      <c r="I17" t="inlineStr">
        <is>
          <t>$50,849</t>
        </is>
      </c>
      <c r="J17" t="inlineStr">
        <is>
          <t>$50,075</t>
        </is>
      </c>
      <c r="K17" t="inlineStr">
        <is>
          <t>$48,631</t>
        </is>
      </c>
      <c r="L17" t="inlineStr">
        <is>
          <t>$46,948</t>
        </is>
      </c>
      <c r="M17" t="inlineStr">
        <is>
          <t>$45,100</t>
        </is>
      </c>
    </row>
    <row r="18">
      <c r="A18" s="98" t="inlineStr">
        <is>
          <t>Source Specifications</t>
        </is>
      </c>
      <c r="F18" t="inlineStr">
        <is>
          <t>Eight people</t>
        </is>
      </c>
      <c r="G18" t="inlineStr">
        <is>
          <t>$57,753</t>
        </is>
      </c>
      <c r="H18" t="inlineStr">
        <is>
          <t>$58,263</t>
        </is>
      </c>
      <c r="I18" t="inlineStr">
        <is>
          <t>$57,215</t>
        </is>
      </c>
      <c r="J18" t="inlineStr">
        <is>
          <t>$56,296</t>
        </is>
      </c>
      <c r="K18" t="inlineStr">
        <is>
          <t>$54,992</t>
        </is>
      </c>
      <c r="L18" t="inlineStr">
        <is>
          <t>$53,337</t>
        </is>
      </c>
      <c r="M18" t="inlineStr">
        <is>
          <t>$51,614</t>
        </is>
      </c>
      <c r="N18" t="inlineStr">
        <is>
          <t>$51,177</t>
        </is>
      </c>
    </row>
    <row r="19">
      <c r="A19" s="118" t="inlineStr">
        <is>
          <t>Table ID</t>
        </is>
      </c>
      <c r="B19" s="118" t="n"/>
      <c r="F19" t="inlineStr">
        <is>
          <t>Nine people or more</t>
        </is>
      </c>
      <c r="G19" t="inlineStr">
        <is>
          <t>$69,473</t>
        </is>
      </c>
      <c r="H19" t="inlineStr">
        <is>
          <t>$69,810</t>
        </is>
      </c>
      <c r="I19" t="inlineStr">
        <is>
          <t>$68,882</t>
        </is>
      </c>
      <c r="J19" t="inlineStr">
        <is>
          <t>$68,102</t>
        </is>
      </c>
      <c r="K19" t="inlineStr">
        <is>
          <t>$66,822</t>
        </is>
      </c>
      <c r="L19" t="inlineStr">
        <is>
          <t>$65,062</t>
        </is>
      </c>
      <c r="M19" t="inlineStr">
        <is>
          <t>$63,469</t>
        </is>
      </c>
      <c r="N19" t="inlineStr">
        <is>
          <t>$63,075</t>
        </is>
      </c>
      <c r="O19" t="inlineStr">
        <is>
          <t>$60,645</t>
        </is>
      </c>
      <c r="P19" t="inlineStr">
        <is>
          <t>$60,645</t>
        </is>
      </c>
    </row>
    <row r="20">
      <c r="A20" s="118" t="inlineStr">
        <is>
          <t>URL</t>
        </is>
      </c>
      <c r="B20" s="118" t="inlineStr">
        <is>
          <t>https://www.census.gov/data/tables/time-series/demo/income-poverty/historical-poverty-thresholds.html</t>
        </is>
      </c>
    </row>
    <row r="21">
      <c r="A21" s="118" t="inlineStr">
        <is>
          <t>Data Year</t>
        </is>
      </c>
      <c r="B21" s="118" t="n">
        <v>2024</v>
      </c>
    </row>
    <row r="22">
      <c r="A22" s="118" t="inlineStr">
        <is>
          <t>Estimate Type</t>
        </is>
      </c>
      <c r="B22" s="118" t="n"/>
    </row>
    <row r="23">
      <c r="A23" s="118" t="inlineStr">
        <is>
          <t>Citation Month</t>
        </is>
      </c>
      <c r="B23" s="118" t="inlineStr">
        <is>
          <t>April</t>
        </is>
      </c>
    </row>
    <row r="24">
      <c r="A24" s="118" t="inlineStr">
        <is>
          <t>Citation Year</t>
        </is>
      </c>
      <c r="B24" s="118" t="n">
        <v>2025</v>
      </c>
    </row>
    <row r="25">
      <c r="A25" s="118" t="inlineStr">
        <is>
          <t>Custom Text</t>
        </is>
      </c>
      <c r="B25" s="118" t="inlineStr">
        <is>
          <t>US Census Bureau, 2024 Poverty Thresholds, April 2025</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10">
    <mergeCell ref="B1:O1"/>
    <mergeCell ref="F7:P7"/>
    <mergeCell ref="G5:P5"/>
    <mergeCell ref="E5:E57"/>
    <mergeCell ref="A9:B9"/>
    <mergeCell ref="A5:B5"/>
    <mergeCell ref="F10:P10"/>
    <mergeCell ref="F5:F6"/>
    <mergeCell ref="A18:B18"/>
    <mergeCell ref="A27:B27"/>
  </mergeCells>
  <dataValidations count="4">
    <dataValidation sqref="B6 B15"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P4" showDropDown="0" showInputMessage="1" showErrorMessage="1" allowBlank="1" type="list">
      <formula1>"integer, number, percent1,currency"</formula1>
    </dataValidation>
  </dataValidations>
  <pageMargins left="0.75" right="0.75" top="1" bottom="1" header="0.5" footer="0.5"/>
</worksheet>
</file>

<file path=xl/worksheets/sheet108.xml><?xml version="1.0" encoding="utf-8"?>
<worksheet xmlns="http://schemas.openxmlformats.org/spreadsheetml/2006/main">
  <sheetPr>
    <outlinePr summaryBelow="1" summaryRight="1"/>
    <pageSetUpPr/>
  </sheetPr>
  <dimension ref="A1:O57"/>
  <sheetViews>
    <sheetView workbookViewId="0">
      <selection activeCell="B13" sqref="B13"/>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8.6640625" bestFit="1" customWidth="1" style="99" min="8" max="8"/>
    <col width="11" customWidth="1" style="99" min="9" max="9"/>
    <col width="10.6640625" customWidth="1" style="99" min="11" max="11"/>
    <col width="8.6640625" bestFit="1" customWidth="1" style="99" min="12" max="12"/>
    <col width="12.1640625" bestFit="1" customWidth="1" style="99" min="13" max="13"/>
    <col width="8.6640625" bestFit="1" customWidth="1" style="99" min="14" max="14"/>
    <col width="11" bestFit="1" customWidth="1" style="99" min="15" max="15"/>
  </cols>
  <sheetData>
    <row r="1">
      <c r="A1" s="97" t="inlineStr">
        <is>
          <t>Name</t>
        </is>
      </c>
      <c r="B1" s="96" t="inlineStr">
        <is>
          <t>Percentage of Population in Poverty, 2021–2023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00" t="inlineStr">
        <is>
          <t xml:space="preserve">Enter Data </t>
        </is>
      </c>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ht="15" customHeight="1" s="99">
      <c r="A5" s="98" t="inlineStr">
        <is>
          <t>Table Rules</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n">
        <v>2021</v>
      </c>
      <c r="G6" t="n">
        <v>8.800000000000001</v>
      </c>
      <c r="H6" t="n">
        <v>11.7</v>
      </c>
      <c r="I6" t="n">
        <v>6</v>
      </c>
      <c r="J6" t="n">
        <v>14.9</v>
      </c>
      <c r="K6" t="n">
        <v>14.1</v>
      </c>
      <c r="L6" t="n">
        <v>13.2</v>
      </c>
      <c r="M6" t="n">
        <v>8.199999999999999</v>
      </c>
      <c r="N6" t="n">
        <v>13.5</v>
      </c>
    </row>
    <row r="7" ht="15.75" customHeight="1" s="99">
      <c r="F7" t="n">
        <v>2022</v>
      </c>
      <c r="G7" t="n">
        <v>8.6</v>
      </c>
      <c r="H7" t="n">
        <v>13</v>
      </c>
      <c r="I7" t="n">
        <v>6.3</v>
      </c>
      <c r="J7" t="n">
        <v>15.1</v>
      </c>
      <c r="K7" t="n">
        <v>14.8</v>
      </c>
      <c r="L7" t="n">
        <v>14.7</v>
      </c>
      <c r="M7" t="n">
        <v>8.5</v>
      </c>
      <c r="N7" t="n">
        <v>13.6</v>
      </c>
    </row>
    <row r="8">
      <c r="F8" t="n">
        <v>2023</v>
      </c>
      <c r="G8" t="n">
        <v>8.300000000000001</v>
      </c>
      <c r="H8" t="n">
        <v>13</v>
      </c>
      <c r="I8" t="n">
        <v>6.5</v>
      </c>
      <c r="J8" t="n">
        <v>15.6</v>
      </c>
      <c r="K8" t="n">
        <v>15.2</v>
      </c>
      <c r="L8" t="n">
        <v>14.3</v>
      </c>
      <c r="M8" t="n">
        <v>8.9</v>
      </c>
      <c r="N8" t="n">
        <v>13.7</v>
      </c>
    </row>
    <row r="9">
      <c r="A9" s="98" t="inlineStr">
        <is>
          <t>Figure Rules</t>
        </is>
      </c>
    </row>
    <row r="10">
      <c r="A10" t="inlineStr">
        <is>
          <t>Figure Type</t>
        </is>
      </c>
      <c r="B10" t="inlineStr">
        <is>
          <t>Clustered Bar</t>
        </is>
      </c>
    </row>
    <row r="11">
      <c r="A11" t="inlineStr">
        <is>
          <t>X Column</t>
        </is>
      </c>
      <c r="B11" t="inlineStr">
        <is>
          <t>County</t>
        </is>
      </c>
    </row>
    <row r="12">
      <c r="A12" t="inlineStr">
        <is>
          <t>Y Column</t>
        </is>
      </c>
    </row>
    <row r="13">
      <c r="A13" t="inlineStr">
        <is>
          <t>X Axis Title</t>
        </is>
      </c>
      <c r="B13" t="inlineStr">
        <is>
          <t>Year</t>
        </is>
      </c>
    </row>
    <row r="14">
      <c r="A14" t="inlineStr">
        <is>
          <t>Y Axis Title</t>
        </is>
      </c>
      <c r="B14" s="82"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c r="B19" t="inlineStr">
        <is>
          <t>S1701</t>
        </is>
      </c>
    </row>
    <row r="20">
      <c r="A20" t="inlineStr">
        <is>
          <t>URL</t>
        </is>
      </c>
      <c r="B20" t="inlineStr">
        <is>
          <t>https://data.census.gov/table/ACSST5Y2023.S1701</t>
        </is>
      </c>
    </row>
    <row r="21">
      <c r="A21" t="inlineStr">
        <is>
          <t>Data Year</t>
        </is>
      </c>
      <c r="B21" t="n">
        <v>2023</v>
      </c>
    </row>
    <row r="22">
      <c r="A22" t="inlineStr">
        <is>
          <t>Estimate Type</t>
        </is>
      </c>
      <c r="B22" t="inlineStr">
        <is>
          <t>5-Year Estimates</t>
        </is>
      </c>
    </row>
    <row r="23">
      <c r="A23" t="inlineStr">
        <is>
          <t>Citation Month</t>
        </is>
      </c>
      <c r="B23" t="inlineStr">
        <is>
          <t>April</t>
        </is>
      </c>
    </row>
    <row r="24">
      <c r="A24" t="inlineStr">
        <is>
          <t>Citation Year</t>
        </is>
      </c>
      <c r="B24" t="n">
        <v>2025</v>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4: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09.xml><?xml version="1.0" encoding="utf-8"?>
<worksheet xmlns="http://schemas.openxmlformats.org/spreadsheetml/2006/main">
  <sheetPr>
    <outlinePr summaryBelow="1" summaryRight="1"/>
    <pageSetUpPr/>
  </sheetPr>
  <dimension ref="A1:O57"/>
  <sheetViews>
    <sheetView workbookViewId="0">
      <selection activeCell="B13" sqref="B13"/>
    </sheetView>
  </sheetViews>
  <sheetFormatPr baseColWidth="10" defaultColWidth="8.6640625" defaultRowHeight="15"/>
  <cols>
    <col width="20" bestFit="1" customWidth="1" style="99" min="1" max="1"/>
    <col width="16.6640625" customWidth="1" style="99" min="2" max="2"/>
    <col width="6.6640625" customWidth="1" style="99" min="5" max="5"/>
    <col width="36.3320312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Percentage of Families below Poverty by Race and Ethnicity, 2018–2022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3"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inlineStr">
        <is>
          <t>White (non-Hispanic)</t>
        </is>
      </c>
      <c r="G6" s="43" t="n">
        <v>3.3</v>
      </c>
      <c r="H6" s="43" t="n">
        <v>7.9</v>
      </c>
      <c r="I6" s="43" t="n">
        <v>2.8</v>
      </c>
      <c r="J6" s="43" t="n">
        <v>11.1</v>
      </c>
      <c r="K6" s="43" t="n">
        <v>8.199999999999999</v>
      </c>
      <c r="L6" s="43" t="n">
        <v>4.9</v>
      </c>
      <c r="M6" s="43" t="n">
        <v>2.6</v>
      </c>
      <c r="N6" t="n">
        <v>5.7</v>
      </c>
    </row>
    <row r="7" ht="15.75" customHeight="1" s="99">
      <c r="F7" t="inlineStr">
        <is>
          <t>Black (including Hispanic)</t>
        </is>
      </c>
      <c r="G7" s="43" t="n">
        <v>14.2</v>
      </c>
      <c r="H7" s="43" t="n">
        <v>12.5</v>
      </c>
      <c r="I7" s="43" t="n">
        <v>0</v>
      </c>
      <c r="J7" s="43" t="n">
        <v>8.6</v>
      </c>
      <c r="K7" s="43" t="n">
        <v>30.5</v>
      </c>
      <c r="L7" s="43" t="n">
        <v>14.1</v>
      </c>
      <c r="M7" s="43" t="n">
        <v>10.8</v>
      </c>
      <c r="N7" t="n">
        <v>16.5</v>
      </c>
    </row>
    <row r="8">
      <c r="F8" t="inlineStr">
        <is>
          <t>Asian (including Hispanic, excluding Pacific Islander)</t>
        </is>
      </c>
      <c r="G8" s="43" t="inlineStr">
        <is>
          <t>7.5*</t>
        </is>
      </c>
      <c r="H8" s="43" t="inlineStr">
        <is>
          <t>10.3*</t>
        </is>
      </c>
      <c r="I8" s="43" t="inlineStr">
        <is>
          <t>23.4*</t>
        </is>
      </c>
      <c r="J8" s="43" t="inlineStr">
        <is>
          <t>1.8*</t>
        </is>
      </c>
      <c r="K8" s="43" t="inlineStr">
        <is>
          <t>13.3*</t>
        </is>
      </c>
      <c r="L8" s="43" t="inlineStr">
        <is>
          <t>4.8*</t>
        </is>
      </c>
      <c r="M8" s="43" t="n">
        <v>5.4</v>
      </c>
      <c r="N8" t="n">
        <v>11.1</v>
      </c>
    </row>
    <row r="9">
      <c r="A9" s="98" t="inlineStr">
        <is>
          <t>Figure Rules</t>
        </is>
      </c>
      <c r="F9" t="inlineStr">
        <is>
          <t>Hispanic (any race)</t>
        </is>
      </c>
      <c r="G9" s="43" t="n">
        <v>11.2</v>
      </c>
      <c r="H9" s="43" t="n">
        <v>11.3</v>
      </c>
      <c r="I9" s="43" t="n">
        <v>6.6</v>
      </c>
      <c r="J9" s="43" t="n">
        <v>12.8</v>
      </c>
      <c r="K9" s="43" t="n">
        <v>14.3</v>
      </c>
      <c r="L9" s="43" t="n">
        <v>24.4</v>
      </c>
      <c r="M9" s="43" t="n">
        <v>10.4</v>
      </c>
      <c r="N9" t="n">
        <v>17.1</v>
      </c>
    </row>
    <row r="10">
      <c r="A10" t="inlineStr">
        <is>
          <t>Figure Type</t>
        </is>
      </c>
      <c r="B10" t="inlineStr">
        <is>
          <t>Clustered Bar</t>
        </is>
      </c>
      <c r="F10" t="inlineStr">
        <is>
          <t>Total</t>
        </is>
      </c>
      <c r="G10" s="43" t="n">
        <v>5.3</v>
      </c>
      <c r="H10" s="43" t="n">
        <v>9.199999999999999</v>
      </c>
      <c r="I10" s="43" t="n">
        <v>3.8</v>
      </c>
      <c r="J10" s="43" t="n">
        <v>10.3</v>
      </c>
      <c r="K10" s="43" t="n">
        <v>10.5</v>
      </c>
      <c r="L10" s="43" t="n">
        <v>7.1</v>
      </c>
      <c r="M10" s="43" t="n">
        <v>5.7</v>
      </c>
      <c r="N10" t="n">
        <v>9.699999999999999</v>
      </c>
    </row>
    <row r="11">
      <c r="A11" t="inlineStr">
        <is>
          <t>X Column</t>
        </is>
      </c>
      <c r="B11" t="inlineStr">
        <is>
          <t>White (non-Hispanic),Black (including Hispanic),Asian (including Hispanic, excluding PI),Hispanic (any race),Total</t>
        </is>
      </c>
    </row>
    <row r="12">
      <c r="A12" t="inlineStr">
        <is>
          <t>Y Column</t>
        </is>
      </c>
      <c r="B12" t="inlineStr">
        <is>
          <t>Race and Ethnicity</t>
        </is>
      </c>
    </row>
    <row r="13">
      <c r="A13" t="inlineStr">
        <is>
          <t>X Axis Title</t>
        </is>
      </c>
      <c r="B13" t="inlineStr">
        <is>
          <t>Race and Ethnicity</t>
        </is>
      </c>
    </row>
    <row r="14">
      <c r="A14" t="inlineStr">
        <is>
          <t>Y Axis Title</t>
        </is>
      </c>
      <c r="B14" s="82" t="inlineStr">
        <is>
          <t>Percent</t>
        </is>
      </c>
    </row>
    <row r="15">
      <c r="A15" t="inlineStr">
        <is>
          <t>Start at Zero</t>
        </is>
      </c>
      <c r="B15" t="b">
        <v>1</v>
      </c>
    </row>
    <row r="16">
      <c r="A16" t="inlineStr">
        <is>
          <t>Pivot For Chart</t>
        </is>
      </c>
      <c r="B16" t="b">
        <v>0</v>
      </c>
    </row>
    <row r="17"/>
    <row r="18">
      <c r="A18" s="98" t="inlineStr">
        <is>
          <t>Source Specifications</t>
        </is>
      </c>
    </row>
    <row r="19">
      <c r="A19" t="inlineStr">
        <is>
          <t>Table ID</t>
        </is>
      </c>
      <c r="B19" t="inlineStr">
        <is>
          <t>S1702</t>
        </is>
      </c>
    </row>
    <row r="20">
      <c r="A20" t="inlineStr">
        <is>
          <t>URL</t>
        </is>
      </c>
      <c r="B20" t="inlineStr">
        <is>
          <t>https://data.census.gov/table/ACSST5Y2023.S1702</t>
        </is>
      </c>
    </row>
    <row r="21">
      <c r="A21" t="inlineStr">
        <is>
          <t>Data Year</t>
        </is>
      </c>
      <c r="B21" t="n">
        <v>2023</v>
      </c>
    </row>
    <row r="22">
      <c r="A22" t="inlineStr">
        <is>
          <t>Estimate Type</t>
        </is>
      </c>
      <c r="B22" t="inlineStr">
        <is>
          <t>5-Year Estimates</t>
        </is>
      </c>
    </row>
    <row r="23">
      <c r="A23" t="inlineStr">
        <is>
          <t>Citation Month</t>
        </is>
      </c>
      <c r="B23" t="inlineStr">
        <is>
          <t>April</t>
        </is>
      </c>
    </row>
    <row r="24">
      <c r="A24" t="inlineStr">
        <is>
          <t>Citation Year</t>
        </is>
      </c>
      <c r="B24" t="n">
        <v>2025</v>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G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0.xml><?xml version="1.0" encoding="utf-8"?>
<worksheet xmlns="http://schemas.openxmlformats.org/spreadsheetml/2006/main">
  <sheetPr>
    <outlinePr summaryBelow="1" summaryRight="1"/>
    <pageSetUpPr/>
  </sheetPr>
  <dimension ref="A1:O57"/>
  <sheetViews>
    <sheetView workbookViewId="0">
      <selection activeCell="B13" sqref="B13"/>
    </sheetView>
  </sheetViews>
  <sheetFormatPr baseColWidth="10" defaultColWidth="8.6640625" defaultRowHeight="15"/>
  <cols>
    <col width="20" bestFit="1" customWidth="1" style="99" min="1" max="1"/>
    <col width="38.6640625" bestFit="1" customWidth="1" style="99" min="2" max="2"/>
    <col width="6.6640625" customWidth="1" style="99" min="5" max="5"/>
    <col width="11.164062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 xml:space="preserve">Enrollment Rate of Economically Disadvantaged Students, 2021-2023  </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inlineStr">
        <is>
          <t>2021-2022</t>
        </is>
      </c>
      <c r="G6" s="14" t="n">
        <v>39.2</v>
      </c>
      <c r="H6" s="14" t="n">
        <v>47</v>
      </c>
      <c r="I6" s="14" t="n">
        <v>28.5</v>
      </c>
      <c r="J6" s="14" t="n">
        <v>43.9</v>
      </c>
      <c r="K6" s="14" t="n">
        <v>60.4</v>
      </c>
      <c r="L6" s="14" t="n">
        <v>48.6</v>
      </c>
      <c r="M6" s="14" t="n">
        <v>38.9</v>
      </c>
      <c r="N6" s="14" t="n">
        <v>56.2</v>
      </c>
    </row>
    <row r="7" ht="15.75" customHeight="1" s="99">
      <c r="F7" t="inlineStr">
        <is>
          <t>2022-2023</t>
        </is>
      </c>
      <c r="G7" s="14" t="n">
        <v>43.1</v>
      </c>
      <c r="H7" s="14" t="n">
        <v>49</v>
      </c>
      <c r="I7" s="14" t="n">
        <v>32.1</v>
      </c>
      <c r="J7" s="14" t="n">
        <v>48.1</v>
      </c>
      <c r="K7" s="14" t="n">
        <v>62.7</v>
      </c>
      <c r="L7" s="14" t="n">
        <v>52.5</v>
      </c>
      <c r="M7" s="14" t="n">
        <v>39.6</v>
      </c>
      <c r="N7" s="14" t="n">
        <v>59.1</v>
      </c>
    </row>
    <row r="8">
      <c r="F8" t="inlineStr">
        <is>
          <t>2023-2024</t>
        </is>
      </c>
      <c r="G8" s="14" t="n">
        <v>43.3</v>
      </c>
      <c r="H8" s="14" t="n">
        <v>49.5</v>
      </c>
      <c r="I8" s="14" t="n">
        <v>32.5</v>
      </c>
      <c r="J8" s="14" t="n">
        <v>51</v>
      </c>
      <c r="K8" s="14" t="n">
        <v>61.4</v>
      </c>
      <c r="L8" s="14" t="n">
        <v>48.8</v>
      </c>
      <c r="M8" s="14" t="n">
        <v>39.7</v>
      </c>
      <c r="N8" s="14" t="n">
        <v>59.2</v>
      </c>
    </row>
    <row r="9">
      <c r="A9" s="98" t="inlineStr">
        <is>
          <t>Figure Rules</t>
        </is>
      </c>
    </row>
    <row r="10">
      <c r="A10" t="inlineStr">
        <is>
          <t>Figure Type</t>
        </is>
      </c>
      <c r="B10" t="inlineStr">
        <is>
          <t>Clustered Bar</t>
        </is>
      </c>
    </row>
    <row r="11">
      <c r="A11" t="inlineStr">
        <is>
          <t>X Column</t>
        </is>
      </c>
      <c r="B11" t="inlineStr">
        <is>
          <t>County</t>
        </is>
      </c>
    </row>
    <row r="12">
      <c r="A12" t="inlineStr">
        <is>
          <t>Y Column</t>
        </is>
      </c>
    </row>
    <row r="13">
      <c r="A13" t="inlineStr">
        <is>
          <t>X Axis Title</t>
        </is>
      </c>
      <c r="B13" t="inlineStr">
        <is>
          <t>Year</t>
        </is>
      </c>
    </row>
    <row r="14">
      <c r="A14" t="inlineStr">
        <is>
          <t>Y Axis Title</t>
        </is>
      </c>
      <c r="B14" s="82" t="inlineStr">
        <is>
          <t>Percent</t>
        </is>
      </c>
    </row>
    <row r="15">
      <c r="A15" t="inlineStr">
        <is>
          <t>Start at Zero</t>
        </is>
      </c>
      <c r="B15" t="b">
        <v>0</v>
      </c>
    </row>
    <row r="16">
      <c r="A16" t="inlineStr">
        <is>
          <t>Pivot For Chart</t>
        </is>
      </c>
      <c r="B16" t="b">
        <v>0</v>
      </c>
    </row>
    <row r="17"/>
    <row r="18">
      <c r="A18" s="98" t="inlineStr">
        <is>
          <t>Source Specifications</t>
        </is>
      </c>
    </row>
    <row r="19">
      <c r="A19" t="inlineStr">
        <is>
          <t>Table ID</t>
        </is>
      </c>
      <c r="B19" s="118" t="n"/>
    </row>
    <row r="20">
      <c r="A20" t="inlineStr">
        <is>
          <t>URL</t>
        </is>
      </c>
      <c r="B20" s="118" t="inlineStr">
        <is>
          <t>https://data.nysed.gov/</t>
        </is>
      </c>
    </row>
    <row r="21">
      <c r="A21" t="inlineStr">
        <is>
          <t>Data Year</t>
        </is>
      </c>
      <c r="B21" s="118" t="n">
        <v>2024</v>
      </c>
    </row>
    <row r="22">
      <c r="A22" t="inlineStr">
        <is>
          <t>Estimate Type</t>
        </is>
      </c>
      <c r="B22" s="118" t="n"/>
    </row>
    <row r="23">
      <c r="A23" t="inlineStr">
        <is>
          <t>Citation Month</t>
        </is>
      </c>
      <c r="B23" s="118" t="inlineStr">
        <is>
          <t>April</t>
        </is>
      </c>
    </row>
    <row r="24">
      <c r="A24" t="inlineStr">
        <is>
          <t>Citation Year</t>
        </is>
      </c>
      <c r="B24" s="118" t="n">
        <v>2025</v>
      </c>
    </row>
    <row r="25">
      <c r="A25" t="inlineStr">
        <is>
          <t>Custom Text</t>
        </is>
      </c>
      <c r="B25" s="118" t="inlineStr">
        <is>
          <t>NYS Education Department, April 2025</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11.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6.6640625" customWidth="1" style="99" min="2" max="2"/>
    <col width="6.6640625" customWidth="1" style="99" min="5" max="5"/>
    <col width="14.6640625" bestFit="1" customWidth="1" style="99" min="6" max="6"/>
    <col width="11.6640625" bestFit="1" customWidth="1" style="99" min="7" max="7"/>
    <col width="20" bestFit="1" customWidth="1" style="99" min="8" max="8"/>
    <col width="26.6640625" bestFit="1" customWidth="1" style="99" min="9" max="9"/>
    <col width="10.6640625" bestFit="1" customWidth="1" style="99" min="10" max="10"/>
    <col width="24" bestFit="1" customWidth="1" style="99" min="11" max="11"/>
    <col width="27.6640625" bestFit="1" customWidth="1" style="99" min="12" max="12"/>
    <col width="15.33203125" bestFit="1" customWidth="1" style="99" min="13" max="13"/>
    <col width="14.5" bestFit="1" customWidth="1" style="99" min="14" max="14"/>
    <col width="11" bestFit="1" customWidth="1" style="99" min="15" max="15"/>
  </cols>
  <sheetData>
    <row r="1">
      <c r="A1" s="97" t="inlineStr">
        <is>
          <t>Name</t>
        </is>
      </c>
      <c r="B1" s="96" t="inlineStr">
        <is>
          <t>ALICE Household Survival Budget, New York State, 2023</t>
        </is>
      </c>
    </row>
    <row r="2">
      <c r="A2" s="97" t="inlineStr">
        <is>
          <t>Table/Figure/Both</t>
        </is>
      </c>
      <c r="B2" t="inlineStr">
        <is>
          <t>Table</t>
        </is>
      </c>
    </row>
    <row r="3">
      <c r="A3" s="97" t="inlineStr">
        <is>
          <t xml:space="preserve">Object ID  </t>
        </is>
      </c>
      <c r="B3">
        <f>IF($B$1="","",_xlfn.XLOOKUP($B$1,Master!$F$2:$F$308,Master!$G$2:$G$308,""))</f>
        <v/>
      </c>
    </row>
    <row r="4">
      <c r="A4" s="97" t="inlineStr">
        <is>
          <t>Figure ID</t>
        </is>
      </c>
      <c r="B4">
        <f>IF($B$1="","",_xlfn.XLOOKUP($B$1,Master!$F$2:$F$308,Master!$H$2:$H$308,""))</f>
        <v/>
      </c>
      <c r="E4" s="13" t="n"/>
      <c r="F4" s="13" t="n"/>
      <c r="G4" s="16" t="inlineStr">
        <is>
          <t>currency2</t>
        </is>
      </c>
      <c r="H4" s="16" t="inlineStr">
        <is>
          <t>currency2</t>
        </is>
      </c>
      <c r="I4" s="16" t="inlineStr">
        <is>
          <t>currency2</t>
        </is>
      </c>
      <c r="J4" s="16" t="inlineStr">
        <is>
          <t>currency2</t>
        </is>
      </c>
      <c r="K4" s="16" t="inlineStr">
        <is>
          <t>currency2</t>
        </is>
      </c>
      <c r="L4" s="16" t="inlineStr">
        <is>
          <t>currency2</t>
        </is>
      </c>
      <c r="M4" s="16" t="inlineStr">
        <is>
          <t>currency2</t>
        </is>
      </c>
      <c r="N4" s="16" t="inlineStr">
        <is>
          <t>currency2</t>
        </is>
      </c>
      <c r="O4" s="16" t="n"/>
    </row>
    <row r="5">
      <c r="A5" s="98" t="inlineStr">
        <is>
          <t>Table Rules</t>
        </is>
      </c>
      <c r="E5" s="100" t="inlineStr">
        <is>
          <t xml:space="preserve">Enter Data </t>
        </is>
      </c>
      <c r="G5" t="inlineStr">
        <is>
          <t>Single Adult</t>
        </is>
      </c>
      <c r="H5" t="inlineStr">
        <is>
          <t>One Adult, One Child</t>
        </is>
      </c>
      <c r="I5" t="inlineStr">
        <is>
          <t>One Adult, One in Child Care</t>
        </is>
      </c>
      <c r="J5" t="inlineStr">
        <is>
          <t>Two Adults</t>
        </is>
      </c>
      <c r="K5" t="inlineStr">
        <is>
          <t>Two Adults, Two Children</t>
        </is>
      </c>
      <c r="L5" t="inlineStr">
        <is>
          <t>Two Adults, Two in Child Care</t>
        </is>
      </c>
      <c r="M5" t="inlineStr">
        <is>
          <t>Single Adult 65+</t>
        </is>
      </c>
      <c r="N5" t="inlineStr">
        <is>
          <t>Two Adults 65+</t>
        </is>
      </c>
    </row>
    <row r="6" ht="15" customHeight="1" s="99">
      <c r="A6" t="inlineStr">
        <is>
          <t>Multilevel Headers</t>
        </is>
      </c>
      <c r="B6" t="b">
        <v>0</v>
      </c>
      <c r="F6" t="inlineStr">
        <is>
          <t>Housing</t>
        </is>
      </c>
      <c r="G6" s="41" t="n">
        <v>1103</v>
      </c>
      <c r="H6" s="41" t="n">
        <v>1189</v>
      </c>
      <c r="I6" s="41" t="n">
        <v>1189</v>
      </c>
      <c r="J6" s="41" t="n">
        <v>1189</v>
      </c>
      <c r="K6" s="41" t="n">
        <v>1437</v>
      </c>
      <c r="L6" s="41" t="n">
        <v>1437</v>
      </c>
      <c r="M6" s="41" t="n">
        <v>1103</v>
      </c>
      <c r="N6" s="41" t="n">
        <v>1189</v>
      </c>
    </row>
    <row r="7" ht="15.75" customHeight="1" s="99">
      <c r="F7" t="inlineStr">
        <is>
          <t>Child Care</t>
        </is>
      </c>
      <c r="G7" s="41" t="n">
        <v>0</v>
      </c>
      <c r="H7" s="41" t="n">
        <v>423</v>
      </c>
      <c r="I7" s="41" t="n">
        <v>1126</v>
      </c>
      <c r="J7" s="41" t="n">
        <v>0</v>
      </c>
      <c r="K7" s="41" t="n">
        <v>844</v>
      </c>
      <c r="L7" s="41" t="n">
        <v>2345</v>
      </c>
      <c r="M7" s="41" t="n">
        <v>0</v>
      </c>
      <c r="N7" s="41" t="n">
        <v>0</v>
      </c>
    </row>
    <row r="8">
      <c r="F8" t="inlineStr">
        <is>
          <t>Food</t>
        </is>
      </c>
      <c r="G8" s="41" t="n">
        <v>516</v>
      </c>
      <c r="H8" s="41" t="n">
        <v>873</v>
      </c>
      <c r="I8" s="41" t="n">
        <v>783</v>
      </c>
      <c r="J8" s="41" t="n">
        <v>946</v>
      </c>
      <c r="K8" s="41" t="n">
        <v>1587</v>
      </c>
      <c r="L8" s="41" t="n">
        <v>1400</v>
      </c>
      <c r="M8" s="41" t="n">
        <v>475</v>
      </c>
      <c r="N8" s="41" t="n">
        <v>870</v>
      </c>
    </row>
    <row r="9">
      <c r="A9" s="98" t="inlineStr">
        <is>
          <t>Figure Rules</t>
        </is>
      </c>
      <c r="F9" t="inlineStr">
        <is>
          <t>Transportation</t>
        </is>
      </c>
      <c r="G9" s="41" t="n">
        <v>401</v>
      </c>
      <c r="H9" s="41" t="n">
        <v>535</v>
      </c>
      <c r="I9" s="41" t="n">
        <v>506</v>
      </c>
      <c r="J9" s="41" t="n">
        <v>617</v>
      </c>
      <c r="K9" s="41" t="n">
        <v>957</v>
      </c>
      <c r="L9" s="41" t="n">
        <v>899</v>
      </c>
      <c r="M9" s="41" t="n">
        <v>346</v>
      </c>
      <c r="N9" s="41" t="n">
        <v>508</v>
      </c>
    </row>
    <row r="10">
      <c r="A10" t="inlineStr">
        <is>
          <t>Figure Type</t>
        </is>
      </c>
      <c r="F10" t="inlineStr">
        <is>
          <t>Health Care</t>
        </is>
      </c>
      <c r="G10" s="41" t="n">
        <v>196</v>
      </c>
      <c r="H10" s="41" t="n">
        <v>452</v>
      </c>
      <c r="I10" s="41" t="n">
        <v>452</v>
      </c>
      <c r="J10" s="41" t="n">
        <v>452</v>
      </c>
      <c r="K10" s="41" t="n">
        <v>775</v>
      </c>
      <c r="L10" s="41" t="n">
        <v>775</v>
      </c>
      <c r="M10" s="41" t="n">
        <v>543</v>
      </c>
      <c r="N10" s="41" t="n">
        <v>1086</v>
      </c>
    </row>
    <row r="11">
      <c r="A11" t="inlineStr">
        <is>
          <t>X Column</t>
        </is>
      </c>
      <c r="F11" t="inlineStr">
        <is>
          <t>Technology</t>
        </is>
      </c>
      <c r="G11" s="41" t="n">
        <v>86</v>
      </c>
      <c r="H11" s="41" t="n">
        <v>86</v>
      </c>
      <c r="I11" s="41" t="n">
        <v>86</v>
      </c>
      <c r="J11" s="41" t="n">
        <v>116</v>
      </c>
      <c r="K11" s="41" t="n">
        <v>116</v>
      </c>
      <c r="L11" s="41" t="n">
        <v>116</v>
      </c>
      <c r="M11" s="41" t="n">
        <v>86</v>
      </c>
      <c r="N11" s="41" t="n">
        <v>116</v>
      </c>
    </row>
    <row r="12">
      <c r="A12" t="inlineStr">
        <is>
          <t>Y Column</t>
        </is>
      </c>
      <c r="F12" t="inlineStr">
        <is>
          <t>Miscellaneous</t>
        </is>
      </c>
      <c r="G12" s="41" t="n">
        <v>230</v>
      </c>
      <c r="H12" s="41" t="n">
        <v>356</v>
      </c>
      <c r="I12" s="41" t="n">
        <v>414</v>
      </c>
      <c r="J12" s="41" t="n">
        <v>332</v>
      </c>
      <c r="K12" s="41" t="n">
        <v>572</v>
      </c>
      <c r="L12" s="41" t="n">
        <v>697</v>
      </c>
      <c r="M12" s="41" t="n">
        <v>255</v>
      </c>
      <c r="N12" s="41" t="n">
        <v>377</v>
      </c>
    </row>
    <row r="13">
      <c r="A13" t="inlineStr">
        <is>
          <t>X Axis Title</t>
        </is>
      </c>
      <c r="F13" t="inlineStr">
        <is>
          <t>Taxes</t>
        </is>
      </c>
      <c r="G13" s="41" t="n">
        <v>439</v>
      </c>
      <c r="H13" s="41" t="n">
        <v>461</v>
      </c>
      <c r="I13" s="41" t="n">
        <v>625</v>
      </c>
      <c r="J13" s="41" t="n">
        <v>529</v>
      </c>
      <c r="K13" s="41" t="n">
        <v>684</v>
      </c>
      <c r="L13" s="41" t="n">
        <v>1037</v>
      </c>
      <c r="M13" s="41" t="n">
        <v>510</v>
      </c>
      <c r="N13" s="41" t="n">
        <v>861</v>
      </c>
    </row>
    <row r="14">
      <c r="A14" t="inlineStr">
        <is>
          <t>Y Axis Title</t>
        </is>
      </c>
      <c r="F14" t="inlineStr">
        <is>
          <t>Monthly Total</t>
        </is>
      </c>
      <c r="G14" s="41" t="n">
        <v>2971</v>
      </c>
      <c r="H14" s="41" t="n">
        <v>4375</v>
      </c>
      <c r="I14" s="41" t="n">
        <v>5181</v>
      </c>
      <c r="J14" s="41" t="n">
        <v>4181</v>
      </c>
      <c r="K14" s="41" t="n">
        <v>6972</v>
      </c>
      <c r="L14" s="41" t="n">
        <v>8706</v>
      </c>
      <c r="M14" s="41" t="n">
        <v>3318</v>
      </c>
      <c r="N14" s="41" t="n">
        <v>5007</v>
      </c>
    </row>
    <row r="15">
      <c r="A15" t="inlineStr">
        <is>
          <t>Start at Zero</t>
        </is>
      </c>
      <c r="F15" t="inlineStr">
        <is>
          <t>ANNUAL TOTAL</t>
        </is>
      </c>
      <c r="G15" s="41" t="n">
        <v>35652</v>
      </c>
      <c r="H15" s="41" t="n">
        <v>52500</v>
      </c>
      <c r="I15" s="41" t="n">
        <v>62172</v>
      </c>
      <c r="J15" s="41" t="n">
        <v>50172</v>
      </c>
      <c r="K15" s="41" t="n">
        <v>83664</v>
      </c>
      <c r="L15" s="41" t="n">
        <v>104472</v>
      </c>
      <c r="M15" s="41" t="n">
        <v>39816</v>
      </c>
      <c r="N15" s="41" t="n">
        <v>60084</v>
      </c>
    </row>
    <row r="16">
      <c r="F16" t="inlineStr">
        <is>
          <t>Hourly Wage</t>
        </is>
      </c>
      <c r="G16" s="41" t="n">
        <v>17.83</v>
      </c>
      <c r="H16" s="41" t="n">
        <v>26.25</v>
      </c>
      <c r="I16" s="41" t="n">
        <v>31.09</v>
      </c>
      <c r="J16" s="41" t="n">
        <v>25.09</v>
      </c>
      <c r="K16" s="41" t="n">
        <v>41.83</v>
      </c>
      <c r="L16" s="41" t="n">
        <v>52.24</v>
      </c>
      <c r="M16" s="41" t="n">
        <v>19.91</v>
      </c>
      <c r="N16" s="41" t="n">
        <v>30.04</v>
      </c>
    </row>
    <row r="17"/>
    <row r="18">
      <c r="A18" s="98" t="inlineStr">
        <is>
          <t>Source Specifications</t>
        </is>
      </c>
    </row>
    <row r="19">
      <c r="A19" t="inlineStr">
        <is>
          <t>Table ID</t>
        </is>
      </c>
    </row>
    <row r="20">
      <c r="A20" t="inlineStr">
        <is>
          <t>URL</t>
        </is>
      </c>
      <c r="B20" t="inlineStr">
        <is>
          <t>https://www.unitedforalice.org/county-reports/new-york</t>
        </is>
      </c>
    </row>
    <row r="21">
      <c r="A21" t="inlineStr">
        <is>
          <t>Data Year</t>
        </is>
      </c>
      <c r="B21" t="n">
        <v>2023</v>
      </c>
    </row>
    <row r="22">
      <c r="A22" t="inlineStr">
        <is>
          <t>Estimate Type</t>
        </is>
      </c>
    </row>
    <row r="23">
      <c r="A23" t="inlineStr">
        <is>
          <t>Citation Month</t>
        </is>
      </c>
      <c r="B23" t="inlineStr">
        <is>
          <t>April</t>
        </is>
      </c>
    </row>
    <row r="24">
      <c r="A24" t="inlineStr">
        <is>
          <t>Citation Year</t>
        </is>
      </c>
      <c r="B24" t="n">
        <v>2025</v>
      </c>
    </row>
    <row r="25">
      <c r="A25" t="inlineStr">
        <is>
          <t>Custom Text</t>
        </is>
      </c>
      <c r="B25" t="inlineStr">
        <is>
          <t>United For ALICE, 2023 County Reports, April 2025</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G4:O4" showDropDown="0" showInputMessage="1" showErrorMessage="1" allowBlank="1" type="list">
      <formula1>"integer, number, percent1,currency,currency2"</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 showDropDown="0" showInputMessage="1" showErrorMessage="1" allowBlank="1" type="list">
      <formula1>"True,False"</formula1>
    </dataValidation>
  </dataValidations>
  <pageMargins left="0.75" right="0.75" top="1" bottom="1" header="0.5" footer="0.5"/>
</worksheet>
</file>

<file path=xl/worksheets/sheet112.xml><?xml version="1.0" encoding="utf-8"?>
<worksheet xmlns="http://schemas.openxmlformats.org/spreadsheetml/2006/main">
  <sheetPr>
    <outlinePr summaryBelow="1" summaryRight="1"/>
    <pageSetUpPr/>
  </sheetPr>
  <dimension ref="A1:O57"/>
  <sheetViews>
    <sheetView workbookViewId="0">
      <selection activeCell="B12" sqref="B12"/>
    </sheetView>
  </sheetViews>
  <sheetFormatPr baseColWidth="10" defaultColWidth="8.6640625" defaultRowHeight="15"/>
  <cols>
    <col width="20" bestFit="1" customWidth="1" style="99" min="1" max="1"/>
    <col width="16.6640625" customWidth="1" style="99" min="2" max="2"/>
    <col width="6.6640625" customWidth="1" style="99" min="5" max="5"/>
    <col width="18.3320312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2.1640625" bestFit="1" customWidth="1" style="99" min="13" max="13"/>
    <col width="12.33203125" bestFit="1" customWidth="1" style="99" min="14" max="14"/>
    <col width="11" bestFit="1" customWidth="1" style="99" min="15" max="15"/>
  </cols>
  <sheetData>
    <row r="1">
      <c r="A1" s="97" t="inlineStr">
        <is>
          <t>Name</t>
        </is>
      </c>
      <c r="B1" s="96" t="inlineStr">
        <is>
          <t>ALICE Threshold Percentage, 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3"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inlineStr">
        <is>
          <t>ALICE</t>
        </is>
      </c>
      <c r="G6" s="14" t="n">
        <v>31</v>
      </c>
      <c r="H6" s="14" t="n">
        <v>33</v>
      </c>
      <c r="I6" s="14" t="n">
        <v>32</v>
      </c>
      <c r="J6" s="14" t="n">
        <v>38</v>
      </c>
      <c r="K6" s="14" t="n">
        <v>30</v>
      </c>
      <c r="L6" s="14" t="n">
        <v>32</v>
      </c>
      <c r="M6" s="14" t="n">
        <v>28</v>
      </c>
      <c r="N6" s="14" t="n">
        <v>33</v>
      </c>
    </row>
    <row r="7" ht="15.75" customHeight="1" s="99">
      <c r="F7" t="inlineStr">
        <is>
          <t>Poverty</t>
        </is>
      </c>
      <c r="G7" s="14" t="n">
        <v>6</v>
      </c>
      <c r="H7" s="14" t="n">
        <v>10</v>
      </c>
      <c r="I7" s="14" t="n">
        <v>6</v>
      </c>
      <c r="J7" s="14" t="n">
        <v>12</v>
      </c>
      <c r="K7" s="14" t="n">
        <v>15</v>
      </c>
      <c r="L7" s="14" t="n">
        <v>10</v>
      </c>
      <c r="M7" s="14" t="n">
        <v>10</v>
      </c>
      <c r="N7" s="14" t="n">
        <v>14</v>
      </c>
    </row>
    <row r="8">
      <c r="F8" t="inlineStr">
        <is>
          <t>Above ALICE Threshold</t>
        </is>
      </c>
      <c r="G8" s="14" t="n">
        <v>62</v>
      </c>
      <c r="H8" s="14" t="n">
        <v>57</v>
      </c>
      <c r="I8" s="14" t="n">
        <v>63</v>
      </c>
      <c r="J8" s="14" t="n">
        <v>50</v>
      </c>
      <c r="K8" s="14" t="n">
        <v>54</v>
      </c>
      <c r="L8" s="14" t="n">
        <v>58</v>
      </c>
      <c r="M8" s="14" t="n">
        <v>61</v>
      </c>
      <c r="N8" s="14" t="n">
        <v>52</v>
      </c>
    </row>
    <row r="9">
      <c r="A9" s="98" t="inlineStr">
        <is>
          <t>Figure Rules</t>
        </is>
      </c>
    </row>
    <row r="10">
      <c r="A10" t="inlineStr">
        <is>
          <t>Figure Type</t>
        </is>
      </c>
      <c r="B10" t="inlineStr">
        <is>
          <t>Stacked Bar</t>
        </is>
      </c>
    </row>
    <row r="11">
      <c r="A11" t="inlineStr">
        <is>
          <t>X Column</t>
        </is>
      </c>
      <c r="B11" t="inlineStr">
        <is>
          <t>Category</t>
        </is>
      </c>
    </row>
    <row r="12">
      <c r="A12" t="inlineStr">
        <is>
          <t>Y Column</t>
        </is>
      </c>
    </row>
    <row r="13">
      <c r="A13" t="inlineStr">
        <is>
          <t>X Axis Title</t>
        </is>
      </c>
    </row>
    <row r="14">
      <c r="A14" t="inlineStr">
        <is>
          <t>Y Axis Title</t>
        </is>
      </c>
      <c r="B14" s="82"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c r="B20" t="inlineStr">
        <is>
          <t>https://www.unitedforalice.org/county-reports/new-york</t>
        </is>
      </c>
    </row>
    <row r="21">
      <c r="A21" t="inlineStr">
        <is>
          <t>Data Year</t>
        </is>
      </c>
      <c r="B21" t="n">
        <v>2023</v>
      </c>
    </row>
    <row r="22">
      <c r="A22" t="inlineStr">
        <is>
          <t>Estimate Type</t>
        </is>
      </c>
    </row>
    <row r="23">
      <c r="A23" t="inlineStr">
        <is>
          <t>Citation Month</t>
        </is>
      </c>
      <c r="B23" t="inlineStr">
        <is>
          <t>April</t>
        </is>
      </c>
    </row>
    <row r="24">
      <c r="A24" t="inlineStr">
        <is>
          <t>Citation Year</t>
        </is>
      </c>
      <c r="B24" t="n">
        <v>2025</v>
      </c>
    </row>
    <row r="25">
      <c r="A25" t="inlineStr">
        <is>
          <t>Custom Text</t>
        </is>
      </c>
      <c r="B25" t="inlineStr">
        <is>
          <t>United For ALICE, 2023 County Reports, April 2025</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O4" showDropDown="0" showInputMessage="1" showErrorMessage="1" allowBlank="1" type="list">
      <formula1>"integer, number, percent1"</formula1>
    </dataValidation>
  </dataValidations>
  <pageMargins left="0.75" right="0.75" top="1" bottom="1" header="0.5" footer="0.5"/>
</worksheet>
</file>

<file path=xl/worksheets/sheet113.xml><?xml version="1.0" encoding="utf-8"?>
<worksheet xmlns="http://schemas.openxmlformats.org/spreadsheetml/2006/main">
  <sheetPr>
    <outlinePr summaryBelow="1" summaryRight="1"/>
    <pageSetUpPr/>
  </sheetPr>
  <dimension ref="A1:O57"/>
  <sheetViews>
    <sheetView workbookViewId="0">
      <selection activeCell="C13" sqref="C13"/>
    </sheetView>
  </sheetViews>
  <sheetFormatPr baseColWidth="10" defaultColWidth="8.6640625" defaultRowHeight="15"/>
  <cols>
    <col width="20" bestFit="1" customWidth="1" style="99" min="1" max="1"/>
    <col width="55.6640625" bestFit="1"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1640625" bestFit="1" customWidth="1" style="99" min="13" max="13"/>
    <col width="12.33203125" bestFit="1" customWidth="1" style="99" min="14" max="14"/>
    <col width="11" bestFit="1" customWidth="1" style="99" min="15" max="15"/>
  </cols>
  <sheetData>
    <row r="1">
      <c r="A1" s="97" t="inlineStr">
        <is>
          <t>Name</t>
        </is>
      </c>
      <c r="B1" s="96" t="inlineStr">
        <is>
          <t>High School Graduation Rate, 2021-2023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F5" t="inlineStr">
        <is>
          <t>Year</t>
        </is>
      </c>
      <c r="G5" s="114" t="inlineStr">
        <is>
          <t>Dutchess</t>
        </is>
      </c>
      <c r="H5" s="114" t="inlineStr">
        <is>
          <t>Orange</t>
        </is>
      </c>
      <c r="I5" s="114" t="inlineStr">
        <is>
          <t>Putnam</t>
        </is>
      </c>
      <c r="J5" s="114" t="inlineStr">
        <is>
          <t>Rockland</t>
        </is>
      </c>
      <c r="K5" s="114" t="inlineStr">
        <is>
          <t>Sullivan</t>
        </is>
      </c>
      <c r="L5" s="114" t="inlineStr">
        <is>
          <t>Ulster</t>
        </is>
      </c>
      <c r="M5" s="114" t="inlineStr">
        <is>
          <t>Westchester</t>
        </is>
      </c>
      <c r="N5" s="114" t="inlineStr">
        <is>
          <t>NYS</t>
        </is>
      </c>
    </row>
    <row r="6" ht="15" customHeight="1" s="99">
      <c r="A6" t="inlineStr">
        <is>
          <t>Multilevel Headers</t>
        </is>
      </c>
      <c r="B6" t="b">
        <v>0</v>
      </c>
      <c r="F6" s="114" t="n">
        <v>2021</v>
      </c>
      <c r="G6" s="42" t="n">
        <v>87</v>
      </c>
      <c r="H6" s="42" t="n">
        <v>89</v>
      </c>
      <c r="I6" s="42" t="n">
        <v>94</v>
      </c>
      <c r="J6" s="42" t="n">
        <v>90</v>
      </c>
      <c r="K6" s="42" t="n">
        <v>82</v>
      </c>
      <c r="L6" s="42" t="n">
        <v>87</v>
      </c>
      <c r="M6" s="42" t="n">
        <v>91</v>
      </c>
      <c r="N6" s="42" t="n">
        <v>86</v>
      </c>
    </row>
    <row r="7" ht="15.75" customHeight="1" s="99">
      <c r="F7" s="114" t="n">
        <v>2022</v>
      </c>
      <c r="G7" s="42" t="n">
        <v>86</v>
      </c>
      <c r="H7" s="42" t="n">
        <v>89</v>
      </c>
      <c r="I7" s="42" t="n">
        <v>94</v>
      </c>
      <c r="J7" s="42" t="n">
        <v>88</v>
      </c>
      <c r="K7" s="42" t="n">
        <v>78</v>
      </c>
      <c r="L7" s="42" t="n">
        <v>87</v>
      </c>
      <c r="M7" s="42" t="n">
        <v>92</v>
      </c>
      <c r="N7" s="42" t="n">
        <v>87</v>
      </c>
    </row>
    <row r="8">
      <c r="F8" s="114" t="n">
        <v>2023</v>
      </c>
      <c r="G8" s="42" t="n">
        <v>87</v>
      </c>
      <c r="H8" s="42" t="n">
        <v>89</v>
      </c>
      <c r="I8" s="42" t="n">
        <v>91</v>
      </c>
      <c r="J8" s="42" t="n">
        <v>86</v>
      </c>
      <c r="K8" s="42" t="n">
        <v>76</v>
      </c>
      <c r="L8" s="42" t="n">
        <v>87</v>
      </c>
      <c r="M8" s="42" t="n">
        <v>91</v>
      </c>
      <c r="N8" s="42" t="n">
        <v>86</v>
      </c>
    </row>
    <row r="9">
      <c r="A9" s="98" t="inlineStr">
        <is>
          <t>Figure Rules</t>
        </is>
      </c>
    </row>
    <row r="10">
      <c r="A10" t="inlineStr">
        <is>
          <t>Figure Type</t>
        </is>
      </c>
      <c r="B10" t="inlineStr">
        <is>
          <t>Clustered Bar</t>
        </is>
      </c>
    </row>
    <row r="11">
      <c r="A11" t="inlineStr">
        <is>
          <t>X Column</t>
        </is>
      </c>
      <c r="B11" t="inlineStr">
        <is>
          <t>County</t>
        </is>
      </c>
    </row>
    <row r="12">
      <c r="A12" t="inlineStr">
        <is>
          <t>Y Column</t>
        </is>
      </c>
    </row>
    <row r="13">
      <c r="A13" t="inlineStr">
        <is>
          <t>X Axis Title</t>
        </is>
      </c>
      <c r="B13" t="inlineStr">
        <is>
          <t>County</t>
        </is>
      </c>
    </row>
    <row r="14">
      <c r="A14" t="inlineStr">
        <is>
          <t>Y Axis Title</t>
        </is>
      </c>
      <c r="B14" s="82" t="inlineStr">
        <is>
          <t>Percent</t>
        </is>
      </c>
    </row>
    <row r="15">
      <c r="A15" t="inlineStr">
        <is>
          <t>Start at Zero</t>
        </is>
      </c>
      <c r="B15" t="b">
        <v>0</v>
      </c>
    </row>
    <row r="16">
      <c r="A16" t="inlineStr">
        <is>
          <t>Pivot For Chart</t>
        </is>
      </c>
      <c r="B16" t="b">
        <v>1</v>
      </c>
    </row>
    <row r="17"/>
    <row r="18">
      <c r="A18" s="98" t="inlineStr">
        <is>
          <t>Source Specifications</t>
        </is>
      </c>
    </row>
    <row r="19">
      <c r="A19" t="inlineStr">
        <is>
          <t>Table ID</t>
        </is>
      </c>
      <c r="B19" s="118" t="n"/>
    </row>
    <row r="20">
      <c r="A20" t="inlineStr">
        <is>
          <t>URL</t>
        </is>
      </c>
      <c r="B20" s="118" t="inlineStr">
        <is>
          <t>https://data.nysed.gov/gradrate.php</t>
        </is>
      </c>
    </row>
    <row r="21">
      <c r="A21" t="inlineStr">
        <is>
          <t>Data Year</t>
        </is>
      </c>
      <c r="B21" s="118" t="n">
        <v>2023</v>
      </c>
    </row>
    <row r="22">
      <c r="A22" t="inlineStr">
        <is>
          <t>Estimate Type</t>
        </is>
      </c>
      <c r="B22" s="118" t="n"/>
    </row>
    <row r="23">
      <c r="A23" t="inlineStr">
        <is>
          <t>Citation Month</t>
        </is>
      </c>
      <c r="B23" s="118" t="inlineStr">
        <is>
          <t>April</t>
        </is>
      </c>
    </row>
    <row r="24">
      <c r="A24" t="inlineStr">
        <is>
          <t>Citation Year</t>
        </is>
      </c>
      <c r="B24" s="118" t="n">
        <v>2025</v>
      </c>
    </row>
    <row r="25">
      <c r="A25" t="inlineStr">
        <is>
          <t>Custom Text</t>
        </is>
      </c>
      <c r="B25" s="118" t="inlineStr">
        <is>
          <t>NYS Education Department, Graduation Rate Data, April 2025</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4.xml><?xml version="1.0" encoding="utf-8"?>
<worksheet xmlns="http://schemas.openxmlformats.org/spreadsheetml/2006/main">
  <sheetPr>
    <outlinePr summaryBelow="1" summaryRight="1"/>
    <pageSetUpPr/>
  </sheetPr>
  <dimension ref="A1:O57"/>
  <sheetViews>
    <sheetView workbookViewId="0">
      <selection activeCell="M31" sqref="M31"/>
    </sheetView>
  </sheetViews>
  <sheetFormatPr baseColWidth="10" defaultColWidth="8.6640625" defaultRowHeight="15"/>
  <cols>
    <col width="20" bestFit="1" customWidth="1" style="99" min="1" max="1"/>
    <col width="16.6640625" customWidth="1" style="99" min="2" max="2"/>
    <col width="6.6640625" customWidth="1" style="99" min="5" max="5"/>
    <col width="31.6640625" bestFit="1" customWidth="1" style="99" min="6" max="6"/>
    <col width="9" bestFit="1" customWidth="1" style="99" min="7" max="7"/>
    <col width="8.6640625" bestFit="1" customWidth="1" style="99" min="8" max="9"/>
    <col width="9" bestFit="1" customWidth="1" style="99" min="10" max="10"/>
    <col width="8.6640625" bestFit="1" customWidth="1" style="99" min="11" max="12"/>
    <col width="12.1640625" bestFit="1" customWidth="1" style="99" min="13" max="13"/>
    <col width="8.6640625" bestFit="1" customWidth="1" style="99" min="14" max="14"/>
    <col width="11" bestFit="1" customWidth="1" style="99" min="15" max="15"/>
  </cols>
  <sheetData>
    <row r="1">
      <c r="A1" s="97" t="inlineStr">
        <is>
          <t>Name</t>
        </is>
      </c>
      <c r="B1" s="96" t="inlineStr">
        <is>
          <t>High School Graduation Rate, by Race and Ethnicity, 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3"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F5" t="inlineStr">
        <is>
          <t>Race and Ethnicity</t>
        </is>
      </c>
      <c r="G5" s="114" t="inlineStr">
        <is>
          <t>Dutchess</t>
        </is>
      </c>
      <c r="H5" s="114" t="inlineStr">
        <is>
          <t>Orange</t>
        </is>
      </c>
      <c r="I5" s="114" t="inlineStr">
        <is>
          <t>Putnam</t>
        </is>
      </c>
      <c r="J5" s="114" t="inlineStr">
        <is>
          <t>Rockland</t>
        </is>
      </c>
      <c r="K5" s="114" t="inlineStr">
        <is>
          <t>Sullivan</t>
        </is>
      </c>
      <c r="L5" s="114" t="inlineStr">
        <is>
          <t>Ulster</t>
        </is>
      </c>
      <c r="M5" s="114" t="inlineStr">
        <is>
          <t>Westchester</t>
        </is>
      </c>
      <c r="N5" s="114" t="inlineStr">
        <is>
          <t>NYS</t>
        </is>
      </c>
    </row>
    <row r="6" ht="15" customHeight="1" s="99">
      <c r="A6" t="inlineStr">
        <is>
          <t>Multilevel Headers</t>
        </is>
      </c>
      <c r="B6" t="b">
        <v>0</v>
      </c>
      <c r="F6" s="114" t="inlineStr">
        <is>
          <t>Asian or Native Hawaiian/Other Pacific Islander</t>
        </is>
      </c>
      <c r="G6" s="114" t="n">
        <v>91</v>
      </c>
      <c r="H6" s="114" t="n">
        <v>96</v>
      </c>
      <c r="I6" s="114" t="n">
        <v>100</v>
      </c>
      <c r="J6" s="114" t="n">
        <v>97</v>
      </c>
      <c r="K6" s="114" t="inlineStr">
        <is>
          <t>s</t>
        </is>
      </c>
      <c r="L6" s="114" t="inlineStr">
        <is>
          <t>s</t>
        </is>
      </c>
      <c r="M6" s="114" t="n">
        <v>97</v>
      </c>
      <c r="N6" s="114" t="n">
        <v>93</v>
      </c>
    </row>
    <row r="7" ht="15.75" customHeight="1" s="99">
      <c r="F7" s="114" t="inlineStr">
        <is>
          <t>Black or African American</t>
        </is>
      </c>
      <c r="G7" s="114" t="n">
        <v>78</v>
      </c>
      <c r="H7" s="114" t="n">
        <v>85</v>
      </c>
      <c r="I7" s="114" t="n">
        <v>97</v>
      </c>
      <c r="J7" s="114" t="n">
        <v>86</v>
      </c>
      <c r="K7" s="114" t="n">
        <v>66</v>
      </c>
      <c r="L7" s="114" t="n">
        <v>84</v>
      </c>
      <c r="M7" s="114" t="n">
        <v>83</v>
      </c>
      <c r="N7" s="114" t="n">
        <v>81</v>
      </c>
    </row>
    <row r="8">
      <c r="F8" s="114" t="inlineStr">
        <is>
          <t>White</t>
        </is>
      </c>
      <c r="G8" s="114" t="n">
        <v>92</v>
      </c>
      <c r="H8" s="114" t="n">
        <v>93</v>
      </c>
      <c r="I8" s="114" t="n">
        <v>95</v>
      </c>
      <c r="J8" s="114" t="n">
        <v>94</v>
      </c>
      <c r="K8" s="114" t="n">
        <v>84</v>
      </c>
      <c r="L8" s="114" t="n">
        <v>90</v>
      </c>
      <c r="M8" s="114" t="n">
        <v>96</v>
      </c>
      <c r="N8" s="114" t="n">
        <v>91</v>
      </c>
    </row>
    <row r="9">
      <c r="A9" s="98" t="inlineStr">
        <is>
          <t>Figure Rules</t>
        </is>
      </c>
      <c r="F9" s="114" t="inlineStr">
        <is>
          <t>Multiracial</t>
        </is>
      </c>
      <c r="G9" s="114" t="n">
        <v>80</v>
      </c>
      <c r="H9" s="114" t="n">
        <v>88</v>
      </c>
      <c r="I9" s="114" t="inlineStr">
        <is>
          <t>s</t>
        </is>
      </c>
      <c r="J9" s="114" t="inlineStr">
        <is>
          <t>s</t>
        </is>
      </c>
      <c r="K9" s="114" t="n">
        <v>68</v>
      </c>
      <c r="L9" s="114" t="n">
        <v>74</v>
      </c>
      <c r="M9" s="114" t="n">
        <v>94</v>
      </c>
      <c r="N9" s="114" t="n">
        <v>84</v>
      </c>
    </row>
    <row r="10">
      <c r="A10" t="inlineStr">
        <is>
          <t>Figure Type</t>
        </is>
      </c>
      <c r="B10" t="inlineStr">
        <is>
          <t>Clustered Bar</t>
        </is>
      </c>
      <c r="F10" s="114" t="inlineStr">
        <is>
          <t>Hispanic</t>
        </is>
      </c>
      <c r="G10" s="114" t="n">
        <v>79</v>
      </c>
      <c r="H10" s="114" t="n">
        <v>83</v>
      </c>
      <c r="I10" s="114" t="n">
        <v>80</v>
      </c>
      <c r="J10" s="114" t="n">
        <v>74</v>
      </c>
      <c r="K10" s="114" t="n">
        <v>63</v>
      </c>
      <c r="L10" s="114" t="n">
        <v>80</v>
      </c>
      <c r="M10" s="114" t="n">
        <v>85</v>
      </c>
      <c r="N10" s="114" t="n">
        <v>81</v>
      </c>
    </row>
    <row r="11">
      <c r="A11" t="inlineStr">
        <is>
          <t>X Column</t>
        </is>
      </c>
      <c r="B11" t="inlineStr">
        <is>
          <t>Race and Ethnicity</t>
        </is>
      </c>
    </row>
    <row r="12">
      <c r="A12" t="inlineStr">
        <is>
          <t>Y Column</t>
        </is>
      </c>
      <c r="B12" t="inlineStr">
        <is>
          <t>Percent</t>
        </is>
      </c>
    </row>
    <row r="13">
      <c r="A13" t="inlineStr">
        <is>
          <t>X Axis Title</t>
        </is>
      </c>
      <c r="B13" t="inlineStr">
        <is>
          <t>County</t>
        </is>
      </c>
    </row>
    <row r="14">
      <c r="A14" t="inlineStr">
        <is>
          <t>Y Axis Title</t>
        </is>
      </c>
      <c r="B14" s="82" t="inlineStr">
        <is>
          <t>Percent</t>
        </is>
      </c>
    </row>
    <row r="15">
      <c r="A15" t="inlineStr">
        <is>
          <t>Start at Zero</t>
        </is>
      </c>
      <c r="B15" t="b">
        <v>1</v>
      </c>
    </row>
    <row r="16">
      <c r="A16" t="inlineStr">
        <is>
          <t>Pivot For Chart</t>
        </is>
      </c>
      <c r="B16" t="b">
        <v>0</v>
      </c>
    </row>
    <row r="17"/>
    <row r="18">
      <c r="A18" s="98" t="inlineStr">
        <is>
          <t>Source Specifications</t>
        </is>
      </c>
    </row>
    <row r="19">
      <c r="A19" t="inlineStr">
        <is>
          <t>Table ID</t>
        </is>
      </c>
      <c r="B19" s="118" t="n"/>
    </row>
    <row r="20">
      <c r="A20" t="inlineStr">
        <is>
          <t>URL</t>
        </is>
      </c>
      <c r="B20" s="118" t="inlineStr">
        <is>
          <t>https://data.nysed.gov/gradrate.php</t>
        </is>
      </c>
    </row>
    <row r="21">
      <c r="A21" t="inlineStr">
        <is>
          <t>Data Year</t>
        </is>
      </c>
      <c r="B21" s="118" t="n">
        <v>2023</v>
      </c>
    </row>
    <row r="22">
      <c r="A22" t="inlineStr">
        <is>
          <t>Estimate Type</t>
        </is>
      </c>
      <c r="B22" s="118" t="n"/>
    </row>
    <row r="23">
      <c r="A23" t="inlineStr">
        <is>
          <t>Citation Month</t>
        </is>
      </c>
      <c r="B23" s="118" t="inlineStr">
        <is>
          <t>April</t>
        </is>
      </c>
    </row>
    <row r="24">
      <c r="A24" t="inlineStr">
        <is>
          <t>Citation Year</t>
        </is>
      </c>
      <c r="B24" s="118" t="n">
        <v>2025</v>
      </c>
    </row>
    <row r="25">
      <c r="A25" t="inlineStr">
        <is>
          <t>Custom Text</t>
        </is>
      </c>
      <c r="B25" s="118" t="inlineStr">
        <is>
          <t>NYS Education Department, Graduation Rate Data, April 2025</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O4" showDropDown="0" showInputMessage="1" showErrorMessage="1" allowBlank="1" type="list">
      <formula1>"integer, number, percent1"</formula1>
    </dataValidation>
  </dataValidations>
  <pageMargins left="0.75" right="0.75" top="1" bottom="1" header="0.5" footer="0.5"/>
</worksheet>
</file>

<file path=xl/worksheets/sheet115.xml><?xml version="1.0" encoding="utf-8"?>
<worksheet xmlns="http://schemas.openxmlformats.org/spreadsheetml/2006/main">
  <sheetPr>
    <outlinePr summaryBelow="1" summaryRight="1"/>
    <pageSetUpPr/>
  </sheetPr>
  <dimension ref="A1:O57"/>
  <sheetViews>
    <sheetView workbookViewId="0">
      <selection activeCell="M27" sqref="M27"/>
    </sheetView>
  </sheetViews>
  <sheetFormatPr baseColWidth="10" defaultColWidth="8.6640625" defaultRowHeight="15"/>
  <cols>
    <col width="20" bestFit="1" customWidth="1" style="99" min="1" max="1"/>
    <col width="16.6640625" customWidth="1" style="99" min="2" max="2"/>
    <col width="6.6640625" customWidth="1" style="99" min="5" max="5"/>
    <col width="30.3320312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Rate of Higher Education Attainment, 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3"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F5" t="inlineStr">
        <is>
          <t>Education Level</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inlineStr">
        <is>
          <t>Some college, no degree</t>
        </is>
      </c>
      <c r="G6" s="14" t="n">
        <v>16.9</v>
      </c>
      <c r="H6" s="14" t="n">
        <v>19.1</v>
      </c>
      <c r="I6" s="14" t="n">
        <v>16.5</v>
      </c>
      <c r="J6" s="14" t="n">
        <v>16.2</v>
      </c>
      <c r="K6" s="14" t="n">
        <v>17.9</v>
      </c>
      <c r="L6" s="14" t="n">
        <v>17.1</v>
      </c>
      <c r="M6" s="14" t="n">
        <v>12.6</v>
      </c>
      <c r="N6" s="14" t="n">
        <v>14.9</v>
      </c>
    </row>
    <row r="7" ht="15.75" customHeight="1" s="99">
      <c r="F7" t="inlineStr">
        <is>
          <t>Associate's degree</t>
        </is>
      </c>
      <c r="G7" s="14" t="n">
        <v>10.1</v>
      </c>
      <c r="H7" s="14" t="n">
        <v>10.3</v>
      </c>
      <c r="I7" s="14" t="n">
        <v>8.4</v>
      </c>
      <c r="J7" s="14" t="n">
        <v>7.8</v>
      </c>
      <c r="K7" s="14" t="n">
        <v>10.3</v>
      </c>
      <c r="L7" s="14" t="n">
        <v>9.6</v>
      </c>
      <c r="M7" s="14" t="n">
        <v>6.4</v>
      </c>
      <c r="N7" s="14" t="n">
        <v>8.9</v>
      </c>
    </row>
    <row r="8">
      <c r="F8" t="inlineStr">
        <is>
          <t>Bachelor's degree</t>
        </is>
      </c>
      <c r="G8" s="14" t="n">
        <v>21</v>
      </c>
      <c r="H8" s="14" t="n">
        <v>18.2</v>
      </c>
      <c r="I8" s="14" t="n">
        <v>24.2</v>
      </c>
      <c r="J8" s="14" t="n">
        <v>23.2</v>
      </c>
      <c r="K8" s="14" t="n">
        <v>17</v>
      </c>
      <c r="L8" s="14" t="n">
        <v>20.2</v>
      </c>
      <c r="M8" s="14" t="n">
        <v>26</v>
      </c>
      <c r="N8" s="14" t="n">
        <v>22</v>
      </c>
    </row>
    <row r="9">
      <c r="A9" s="98" t="inlineStr">
        <is>
          <t>Figure Rules</t>
        </is>
      </c>
      <c r="F9" t="inlineStr">
        <is>
          <t>Graduate or professional degree</t>
        </is>
      </c>
      <c r="G9" s="14" t="n">
        <v>18.7</v>
      </c>
      <c r="H9" s="14" t="n">
        <v>14.1</v>
      </c>
      <c r="I9" s="14" t="n">
        <v>19.3</v>
      </c>
      <c r="J9" s="14" t="n">
        <v>18.9</v>
      </c>
      <c r="K9" s="14" t="n">
        <v>12.7</v>
      </c>
      <c r="L9" s="14" t="n">
        <v>16.9</v>
      </c>
      <c r="M9" s="14" t="n">
        <v>26.5</v>
      </c>
      <c r="N9" s="14" t="n">
        <v>17.5</v>
      </c>
    </row>
    <row r="10">
      <c r="A10" t="inlineStr">
        <is>
          <t>Figure Type</t>
        </is>
      </c>
      <c r="B10" t="inlineStr">
        <is>
          <t>Stacked Bar</t>
        </is>
      </c>
    </row>
    <row r="11">
      <c r="A11" t="inlineStr">
        <is>
          <t>X Column</t>
        </is>
      </c>
      <c r="B11" t="inlineStr">
        <is>
          <t>Education Level</t>
        </is>
      </c>
    </row>
    <row r="12">
      <c r="A12" t="inlineStr">
        <is>
          <t>Y Column</t>
        </is>
      </c>
      <c r="B12" t="inlineStr">
        <is>
          <t>Percent</t>
        </is>
      </c>
    </row>
    <row r="13">
      <c r="A13" t="inlineStr">
        <is>
          <t>X Axis Title</t>
        </is>
      </c>
      <c r="B13" t="inlineStr">
        <is>
          <t>Education Level</t>
        </is>
      </c>
    </row>
    <row r="14">
      <c r="A14" t="inlineStr">
        <is>
          <t>Y Axis Title</t>
        </is>
      </c>
      <c r="B14" s="82" t="inlineStr">
        <is>
          <t>Percent</t>
        </is>
      </c>
    </row>
    <row r="15">
      <c r="A15" t="inlineStr">
        <is>
          <t>Start at Zero</t>
        </is>
      </c>
      <c r="B15" t="b">
        <v>1</v>
      </c>
    </row>
    <row r="16">
      <c r="A16" t="inlineStr">
        <is>
          <t>Pivot For Chart</t>
        </is>
      </c>
      <c r="B16" t="b">
        <v>0</v>
      </c>
    </row>
    <row r="17"/>
    <row r="18">
      <c r="A18" s="98" t="inlineStr">
        <is>
          <t>Source Specifications</t>
        </is>
      </c>
    </row>
    <row r="19">
      <c r="A19" t="inlineStr">
        <is>
          <t>Table ID</t>
        </is>
      </c>
      <c r="B19" s="118" t="inlineStr">
        <is>
          <t>S1501</t>
        </is>
      </c>
    </row>
    <row r="20">
      <c r="A20" t="inlineStr">
        <is>
          <t>URL</t>
        </is>
      </c>
      <c r="B20" s="118" t="inlineStr">
        <is>
          <t>https://data.census.gov/table/ACSST5Y2023.S1501</t>
        </is>
      </c>
    </row>
    <row r="21">
      <c r="A21" t="inlineStr">
        <is>
          <t>Data Year</t>
        </is>
      </c>
      <c r="B21" s="118" t="n">
        <v>2023</v>
      </c>
    </row>
    <row r="22">
      <c r="A22" t="inlineStr">
        <is>
          <t>Estimate Type</t>
        </is>
      </c>
      <c r="B22" s="118" t="inlineStr">
        <is>
          <t>5-Year Estimates</t>
        </is>
      </c>
    </row>
    <row r="23">
      <c r="A23" t="inlineStr">
        <is>
          <t>Citation Month</t>
        </is>
      </c>
      <c r="B23" s="118" t="inlineStr">
        <is>
          <t>April</t>
        </is>
      </c>
    </row>
    <row r="24">
      <c r="A24" t="inlineStr">
        <is>
          <t>Citation Year</t>
        </is>
      </c>
      <c r="B24" s="118" t="n">
        <v>2025</v>
      </c>
    </row>
    <row r="25">
      <c r="A25" t="inlineStr">
        <is>
          <t>Custom Text</t>
        </is>
      </c>
      <c r="B25" s="118" t="n"/>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G4:O4" showDropDown="0" showInputMessage="1" showErrorMessage="1" allowBlank="1" type="list">
      <formula1>"integer, number, percent1"</formula1>
    </dataValidation>
  </dataValidations>
  <pageMargins left="0.75" right="0.75" top="1" bottom="1" header="0.5" footer="0.5"/>
</worksheet>
</file>

<file path=xl/worksheets/sheet116.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6.6640625" customWidth="1" style="99" min="2" max="2"/>
    <col width="6.6640625" customWidth="1" style="99" min="5" max="5"/>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Percentage of Population that Speaks English "Less Than Very Well", 5 Years and Older, 2021–2023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integer</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F6" t="n">
        <v>2021</v>
      </c>
      <c r="G6" t="n">
        <v>4.7</v>
      </c>
      <c r="H6" t="n">
        <v>10.6</v>
      </c>
      <c r="I6" t="n">
        <v>5.3</v>
      </c>
      <c r="J6" t="n">
        <v>18.6</v>
      </c>
      <c r="K6" t="n">
        <v>5.9</v>
      </c>
      <c r="L6" t="n">
        <v>2.9</v>
      </c>
      <c r="M6" t="n">
        <v>12.7</v>
      </c>
      <c r="N6" t="n">
        <v>13.1</v>
      </c>
    </row>
    <row r="7" ht="15.75" customHeight="1" s="99">
      <c r="F7" t="n">
        <v>2022</v>
      </c>
      <c r="G7" t="n">
        <v>4.8</v>
      </c>
      <c r="H7" t="n">
        <v>11.3</v>
      </c>
      <c r="I7" t="n">
        <v>5.6</v>
      </c>
      <c r="J7" t="n">
        <v>18.8</v>
      </c>
      <c r="K7" t="n">
        <v>7.3</v>
      </c>
      <c r="L7" t="n">
        <v>3</v>
      </c>
      <c r="M7" t="n">
        <v>12.2</v>
      </c>
      <c r="N7" t="n">
        <v>13.1</v>
      </c>
    </row>
    <row r="8">
      <c r="F8" t="n">
        <v>2023</v>
      </c>
      <c r="G8" t="n">
        <v>5.4</v>
      </c>
      <c r="H8" t="n">
        <v>12.2</v>
      </c>
      <c r="I8" t="n">
        <v>6</v>
      </c>
      <c r="J8" t="n">
        <v>20</v>
      </c>
      <c r="K8" t="n">
        <v>8</v>
      </c>
      <c r="L8" t="n">
        <v>3.4</v>
      </c>
      <c r="M8" t="n">
        <v>12.4</v>
      </c>
      <c r="N8" t="n">
        <v>13.3</v>
      </c>
    </row>
    <row r="9">
      <c r="A9" s="98" t="inlineStr">
        <is>
          <t>Figure Rules</t>
        </is>
      </c>
    </row>
    <row r="10">
      <c r="A10" t="inlineStr">
        <is>
          <t>Figure Type</t>
        </is>
      </c>
      <c r="B10" t="inlineStr">
        <is>
          <t>Clustered Bar</t>
        </is>
      </c>
    </row>
    <row r="11">
      <c r="A11" t="inlineStr">
        <is>
          <t>X Column</t>
        </is>
      </c>
      <c r="B11" t="inlineStr">
        <is>
          <t>County</t>
        </is>
      </c>
    </row>
    <row r="12">
      <c r="A12" t="inlineStr">
        <is>
          <t>Y Column</t>
        </is>
      </c>
    </row>
    <row r="13">
      <c r="A13" t="inlineStr">
        <is>
          <t>X Axis Title</t>
        </is>
      </c>
    </row>
    <row r="14">
      <c r="A14" t="inlineStr">
        <is>
          <t>Y Axis Title</t>
        </is>
      </c>
      <c r="B14" s="82" t="inlineStr">
        <is>
          <t>Percent</t>
        </is>
      </c>
    </row>
    <row r="15">
      <c r="A15" t="inlineStr">
        <is>
          <t>Start at Zero</t>
        </is>
      </c>
      <c r="B15" t="b">
        <v>0</v>
      </c>
    </row>
    <row r="16">
      <c r="A16" t="inlineStr">
        <is>
          <t>Pivot For Chart</t>
        </is>
      </c>
      <c r="B16" t="b">
        <v>1</v>
      </c>
    </row>
    <row r="17"/>
    <row r="18">
      <c r="A18" s="98" t="inlineStr">
        <is>
          <t>Source Specifications</t>
        </is>
      </c>
    </row>
    <row r="19">
      <c r="A19" t="inlineStr">
        <is>
          <t>Table ID</t>
        </is>
      </c>
      <c r="B19" t="inlineStr">
        <is>
          <t>S1601</t>
        </is>
      </c>
    </row>
    <row r="20">
      <c r="A20" t="inlineStr">
        <is>
          <t>URL</t>
        </is>
      </c>
      <c r="B20" t="inlineStr">
        <is>
          <t>https://data.census.gov/table/ACSST5Y2023.S1601</t>
        </is>
      </c>
    </row>
    <row r="21">
      <c r="A21" t="inlineStr">
        <is>
          <t>Data Year</t>
        </is>
      </c>
      <c r="B21" t="n">
        <v>2023</v>
      </c>
    </row>
    <row r="22">
      <c r="A22" t="inlineStr">
        <is>
          <t>Estimate Type</t>
        </is>
      </c>
      <c r="B22" t="inlineStr">
        <is>
          <t>5-Year Estimates</t>
        </is>
      </c>
    </row>
    <row r="23">
      <c r="A23" t="inlineStr">
        <is>
          <t>Citation Month</t>
        </is>
      </c>
      <c r="B23" t="inlineStr">
        <is>
          <t>April</t>
        </is>
      </c>
    </row>
    <row r="24">
      <c r="A24" t="inlineStr">
        <is>
          <t>Citation Year</t>
        </is>
      </c>
      <c r="B24" t="n">
        <v>2025</v>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7.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6.6640625"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2.33203125" bestFit="1" customWidth="1" style="99" min="14" max="14"/>
    <col width="11" bestFit="1" customWidth="1" style="99" min="15" max="15"/>
  </cols>
  <sheetData>
    <row r="1">
      <c r="A1" s="97" t="inlineStr">
        <is>
          <t>Name</t>
        </is>
      </c>
      <c r="B1" s="96" t="inlineStr">
        <is>
          <t>Percentage of Disconnected Youth, 16–19 Years Old, 2014–2023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inlineStr">
        <is>
          <t>2014–2018</t>
        </is>
      </c>
      <c r="G6" s="42" t="n">
        <v>4</v>
      </c>
      <c r="H6" s="42" t="n">
        <v>8</v>
      </c>
      <c r="I6" s="42" t="n">
        <v>4</v>
      </c>
      <c r="J6" s="42" t="n">
        <v>5</v>
      </c>
      <c r="K6" s="42" t="n">
        <v>12</v>
      </c>
      <c r="L6" s="42" t="n">
        <v>6</v>
      </c>
      <c r="M6" s="42" t="n">
        <v>6</v>
      </c>
      <c r="N6" s="42" t="n">
        <v>6</v>
      </c>
    </row>
    <row r="7" ht="15.75" customHeight="1" s="99">
      <c r="F7" t="inlineStr">
        <is>
          <t>2015–2019</t>
        </is>
      </c>
      <c r="G7" s="42" t="n">
        <v>5</v>
      </c>
      <c r="H7" s="42" t="n">
        <v>8</v>
      </c>
      <c r="I7" s="42" t="inlineStr">
        <is>
          <t>s</t>
        </is>
      </c>
      <c r="J7" s="42" t="n">
        <v>5</v>
      </c>
      <c r="K7" s="42" t="n">
        <v>12</v>
      </c>
      <c r="L7" s="42" t="n">
        <v>6</v>
      </c>
      <c r="M7" s="42" t="n">
        <v>6</v>
      </c>
      <c r="N7" s="42" t="n">
        <v>6</v>
      </c>
    </row>
    <row r="8">
      <c r="F8" t="inlineStr">
        <is>
          <t>2016–2020</t>
        </is>
      </c>
      <c r="G8" s="42" t="n">
        <v>5</v>
      </c>
      <c r="H8" s="42" t="n">
        <v>10</v>
      </c>
      <c r="I8" s="42" t="inlineStr">
        <is>
          <t>s</t>
        </is>
      </c>
      <c r="J8" s="42" t="n">
        <v>5</v>
      </c>
      <c r="K8" s="42" t="n">
        <v>17</v>
      </c>
      <c r="L8" s="42" t="n">
        <v>6</v>
      </c>
      <c r="M8" s="42" t="n">
        <v>4</v>
      </c>
      <c r="N8" s="42" t="n">
        <v>6</v>
      </c>
    </row>
    <row r="9">
      <c r="A9" s="98" t="inlineStr">
        <is>
          <t>Figure Rules</t>
        </is>
      </c>
      <c r="F9" t="inlineStr">
        <is>
          <t>2017–2021</t>
        </is>
      </c>
      <c r="G9" s="42" t="n">
        <v>6</v>
      </c>
      <c r="H9" s="42" t="n">
        <v>8</v>
      </c>
      <c r="I9" s="42" t="inlineStr">
        <is>
          <t>s</t>
        </is>
      </c>
      <c r="J9" s="42" t="n">
        <v>4</v>
      </c>
      <c r="K9" s="42" t="n">
        <v>17</v>
      </c>
      <c r="L9" s="42" t="n">
        <v>6</v>
      </c>
      <c r="M9" s="42" t="n">
        <v>4</v>
      </c>
      <c r="N9" s="42" t="n">
        <v>6</v>
      </c>
    </row>
    <row r="10">
      <c r="A10" t="inlineStr">
        <is>
          <t>Figure Type</t>
        </is>
      </c>
      <c r="B10" t="inlineStr">
        <is>
          <t>Line</t>
        </is>
      </c>
      <c r="F10" t="inlineStr">
        <is>
          <t>2018–2022</t>
        </is>
      </c>
      <c r="G10" s="42" t="n">
        <v>7</v>
      </c>
      <c r="H10" s="42" t="n">
        <v>8</v>
      </c>
      <c r="I10" s="42" t="inlineStr">
        <is>
          <t>s</t>
        </is>
      </c>
      <c r="J10" s="42" t="n">
        <v>6</v>
      </c>
      <c r="K10" s="42" t="n">
        <v>25</v>
      </c>
      <c r="L10" s="42" t="n">
        <v>9</v>
      </c>
      <c r="M10" s="42" t="n">
        <v>5</v>
      </c>
      <c r="N10" s="42" t="n">
        <v>7</v>
      </c>
    </row>
    <row r="11">
      <c r="A11" t="inlineStr">
        <is>
          <t>X Column</t>
        </is>
      </c>
      <c r="B11" t="inlineStr">
        <is>
          <t>Period</t>
        </is>
      </c>
      <c r="F11" t="inlineStr">
        <is>
          <t>2019–2023</t>
        </is>
      </c>
      <c r="G11" s="42" t="n">
        <v>6</v>
      </c>
      <c r="H11" s="42" t="n">
        <v>8</v>
      </c>
      <c r="I11" s="42" t="inlineStr">
        <is>
          <t>s</t>
        </is>
      </c>
      <c r="J11" s="42" t="n">
        <v>6</v>
      </c>
      <c r="K11" s="42" t="n">
        <v>24</v>
      </c>
      <c r="L11" s="42" t="n">
        <v>9</v>
      </c>
      <c r="M11" s="42" t="n">
        <v>5</v>
      </c>
      <c r="N11" s="42" t="n">
        <v>7</v>
      </c>
    </row>
    <row r="12">
      <c r="A12" t="inlineStr">
        <is>
          <t>Y Column</t>
        </is>
      </c>
    </row>
    <row r="13">
      <c r="A13" t="inlineStr">
        <is>
          <t>X Axis Title</t>
        </is>
      </c>
    </row>
    <row r="14">
      <c r="A14" t="inlineStr">
        <is>
          <t>Y Axis Title</t>
        </is>
      </c>
      <c r="B14" s="82" t="inlineStr">
        <is>
          <t>Percent</t>
        </is>
      </c>
    </row>
    <row r="15">
      <c r="A15" t="inlineStr">
        <is>
          <t>Start at Zero</t>
        </is>
      </c>
      <c r="B15" t="b">
        <v>0</v>
      </c>
    </row>
    <row r="16">
      <c r="A16" t="inlineStr">
        <is>
          <t>Pivot For Chart</t>
        </is>
      </c>
      <c r="B16" t="b">
        <v>1</v>
      </c>
    </row>
    <row r="17"/>
    <row r="18">
      <c r="A18" s="98" t="inlineStr">
        <is>
          <t>Source Specifications</t>
        </is>
      </c>
    </row>
    <row r="19">
      <c r="A19" t="inlineStr">
        <is>
          <t>Table ID</t>
        </is>
      </c>
      <c r="B19" t="inlineStr">
        <is>
          <t>S1401</t>
        </is>
      </c>
    </row>
    <row r="20">
      <c r="A20" t="inlineStr">
        <is>
          <t>URL</t>
        </is>
      </c>
      <c r="B20" t="inlineStr">
        <is>
          <t>https://data.census.gov/table/ACSST5Y2023.S1401</t>
        </is>
      </c>
    </row>
    <row r="21">
      <c r="A21" t="inlineStr">
        <is>
          <t>Data Year</t>
        </is>
      </c>
      <c r="B21" t="n">
        <v>2023</v>
      </c>
    </row>
    <row r="22">
      <c r="A22" t="inlineStr">
        <is>
          <t>Estimate Type</t>
        </is>
      </c>
      <c r="B22" t="inlineStr">
        <is>
          <t>5-Year Estimates</t>
        </is>
      </c>
    </row>
    <row r="23">
      <c r="A23" t="inlineStr">
        <is>
          <t>Citation Month</t>
        </is>
      </c>
      <c r="B23" t="inlineStr">
        <is>
          <t>April</t>
        </is>
      </c>
    </row>
    <row r="24">
      <c r="A24" t="inlineStr">
        <is>
          <t>Citation Year</t>
        </is>
      </c>
      <c r="B24" t="n">
        <v>2025</v>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18.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6.6640625"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Index Score of Residential Segregation, 2013–2023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inlineStr">
        <is>
          <t>2013-2017</t>
        </is>
      </c>
      <c r="G6" s="42" t="n">
        <v>52</v>
      </c>
      <c r="H6" s="42" t="n">
        <v>44</v>
      </c>
      <c r="I6" s="42" t="n">
        <v>39</v>
      </c>
      <c r="J6" s="42" t="n">
        <v>58</v>
      </c>
      <c r="K6" s="42" t="n">
        <v>46</v>
      </c>
      <c r="L6" s="42" t="n">
        <v>49</v>
      </c>
      <c r="M6" s="42" t="n">
        <v>62</v>
      </c>
      <c r="N6" s="42" t="n">
        <v>74</v>
      </c>
    </row>
    <row r="7" ht="15.75" customHeight="1" s="99">
      <c r="F7" t="inlineStr">
        <is>
          <t>2016–2020</t>
        </is>
      </c>
      <c r="G7" s="42" t="n">
        <v>50</v>
      </c>
      <c r="H7" s="42" t="n">
        <v>45</v>
      </c>
      <c r="I7" s="42" t="n">
        <v>44</v>
      </c>
      <c r="J7" s="42" t="n">
        <v>55</v>
      </c>
      <c r="K7" s="42" t="n">
        <v>50</v>
      </c>
      <c r="L7" s="42" t="n">
        <v>50</v>
      </c>
      <c r="M7" s="42" t="n">
        <v>59</v>
      </c>
      <c r="N7" s="42" t="n">
        <v>74</v>
      </c>
    </row>
    <row r="8">
      <c r="F8" t="inlineStr">
        <is>
          <t>2017–2021</t>
        </is>
      </c>
      <c r="G8" s="42" t="n">
        <v>47</v>
      </c>
      <c r="H8" s="42" t="n">
        <v>47</v>
      </c>
      <c r="I8" s="42" t="n">
        <v>38</v>
      </c>
      <c r="J8" s="42" t="n">
        <v>58</v>
      </c>
      <c r="K8" s="42" t="n">
        <v>55</v>
      </c>
      <c r="L8" s="42" t="n">
        <v>46</v>
      </c>
      <c r="M8" s="42" t="n">
        <v>59</v>
      </c>
      <c r="N8" s="42" t="n">
        <v>74</v>
      </c>
    </row>
    <row r="9">
      <c r="A9" s="98" t="inlineStr">
        <is>
          <t>Figure Rules</t>
        </is>
      </c>
      <c r="F9" t="inlineStr">
        <is>
          <t>2018–2022</t>
        </is>
      </c>
      <c r="G9" s="42" t="n">
        <v>46</v>
      </c>
      <c r="H9" s="42" t="n">
        <v>49</v>
      </c>
      <c r="I9" s="42" t="n">
        <v>45</v>
      </c>
      <c r="J9" s="42" t="n">
        <v>56</v>
      </c>
      <c r="K9" s="42" t="n">
        <v>51</v>
      </c>
      <c r="L9" s="42" t="n">
        <v>43</v>
      </c>
      <c r="M9" s="42" t="n">
        <v>60</v>
      </c>
      <c r="N9" s="42" t="n">
        <v>74</v>
      </c>
    </row>
    <row r="10">
      <c r="A10" t="inlineStr">
        <is>
          <t>Figure Type</t>
        </is>
      </c>
      <c r="B10" t="inlineStr">
        <is>
          <t>Line</t>
        </is>
      </c>
      <c r="F10" t="inlineStr">
        <is>
          <t>2019–2023</t>
        </is>
      </c>
      <c r="G10" s="42" t="n">
        <v>49</v>
      </c>
      <c r="H10" s="42" t="n">
        <v>48</v>
      </c>
      <c r="I10" s="42" t="n">
        <v>49</v>
      </c>
      <c r="J10" s="42" t="n">
        <v>58</v>
      </c>
      <c r="K10" s="42" t="n">
        <v>43</v>
      </c>
      <c r="L10" s="42" t="inlineStr">
        <is>
          <t>s</t>
        </is>
      </c>
      <c r="M10" s="42" t="n">
        <v>63</v>
      </c>
      <c r="N10" s="42" t="n">
        <v>74</v>
      </c>
    </row>
    <row r="11">
      <c r="A11" t="inlineStr">
        <is>
          <t>X Column</t>
        </is>
      </c>
      <c r="B11" t="inlineStr">
        <is>
          <t>Period</t>
        </is>
      </c>
      <c r="G11" s="42" t="n"/>
      <c r="H11" s="42" t="n"/>
      <c r="I11" s="42" t="n"/>
      <c r="J11" s="42" t="n"/>
      <c r="K11" s="42" t="n"/>
      <c r="L11" s="42" t="n"/>
      <c r="M11" s="42" t="n"/>
      <c r="N11" s="42" t="n"/>
    </row>
    <row r="12">
      <c r="A12" t="inlineStr">
        <is>
          <t>Y Column</t>
        </is>
      </c>
    </row>
    <row r="13">
      <c r="A13" t="inlineStr">
        <is>
          <t>X Axis Title</t>
        </is>
      </c>
    </row>
    <row r="14">
      <c r="A14" t="inlineStr">
        <is>
          <t>Y Axis Title</t>
        </is>
      </c>
      <c r="B14" t="inlineStr">
        <is>
          <t>Index</t>
        </is>
      </c>
    </row>
    <row r="15">
      <c r="A15" t="inlineStr">
        <is>
          <t>Start at Zero</t>
        </is>
      </c>
      <c r="B15" t="b">
        <v>0</v>
      </c>
    </row>
    <row r="16">
      <c r="A16" t="inlineStr">
        <is>
          <t>Pivot For Chart</t>
        </is>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3">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19.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6.6640625"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Percentage of Adults Who Did Not Receive Medical Care Due to Cost,  2016, 2018,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n">
        <v>2016</v>
      </c>
      <c r="G6" s="42" t="n">
        <v>8.6</v>
      </c>
      <c r="H6" s="42" t="n">
        <v>11.1</v>
      </c>
      <c r="I6" s="42" t="n">
        <v>13.5</v>
      </c>
      <c r="J6" s="42" t="n">
        <v>11.8</v>
      </c>
      <c r="K6" s="42" t="n">
        <v>20.9</v>
      </c>
      <c r="L6" s="42" t="n">
        <v>11.2</v>
      </c>
      <c r="M6" s="42" t="n">
        <v>12.4</v>
      </c>
      <c r="N6" s="42" t="n">
        <v>11.5</v>
      </c>
    </row>
    <row r="7" ht="15.75" customHeight="1" s="99">
      <c r="F7" t="n">
        <v>2018</v>
      </c>
      <c r="G7" s="42" t="n">
        <v>7.7</v>
      </c>
      <c r="H7" s="42" t="n">
        <v>8.5</v>
      </c>
      <c r="I7" s="42" t="n">
        <v>11.4</v>
      </c>
      <c r="J7" s="42" t="n">
        <v>11.8</v>
      </c>
      <c r="K7" s="42" t="n">
        <v>11.3</v>
      </c>
      <c r="L7" s="42" t="n">
        <v>12.7</v>
      </c>
      <c r="M7" s="42" t="n">
        <v>7.5</v>
      </c>
      <c r="N7" s="42" t="n">
        <v>11.3</v>
      </c>
    </row>
    <row r="8">
      <c r="F8" t="n">
        <v>2021</v>
      </c>
      <c r="G8" s="42" t="n">
        <v>8.699999999999999</v>
      </c>
      <c r="H8" s="42" t="inlineStr">
        <is>
          <t>5.0*</t>
        </is>
      </c>
      <c r="I8" s="42" t="n">
        <v>9.9</v>
      </c>
      <c r="J8" s="42" t="n">
        <v>8.4</v>
      </c>
      <c r="K8" s="42" t="n">
        <v>4.9</v>
      </c>
      <c r="L8" s="42" t="n">
        <v>5.3</v>
      </c>
      <c r="M8" s="42" t="n">
        <v>8.300000000000001</v>
      </c>
      <c r="N8" s="42" t="n">
        <v>8.4</v>
      </c>
    </row>
    <row r="9">
      <c r="A9" s="98" t="inlineStr">
        <is>
          <t>Figure Rules</t>
        </is>
      </c>
      <c r="G9" s="42" t="n"/>
      <c r="H9" s="42" t="n"/>
      <c r="I9" s="42" t="n"/>
      <c r="J9" s="42" t="n"/>
      <c r="K9" s="42" t="n"/>
      <c r="L9" s="42" t="n"/>
      <c r="M9" s="42" t="n"/>
      <c r="N9" s="42" t="n"/>
    </row>
    <row r="10">
      <c r="A10" t="inlineStr">
        <is>
          <t>Figure Type</t>
        </is>
      </c>
      <c r="B10" t="inlineStr">
        <is>
          <t>Line</t>
        </is>
      </c>
      <c r="G10" s="42" t="n"/>
      <c r="H10" s="42" t="n"/>
      <c r="I10" s="42" t="n"/>
      <c r="J10" s="42" t="n"/>
      <c r="K10" s="42" t="n"/>
      <c r="L10" s="42" t="n"/>
      <c r="M10" s="42" t="n"/>
      <c r="N10" s="42" t="n"/>
    </row>
    <row r="11">
      <c r="A11" t="inlineStr">
        <is>
          <t>X Column</t>
        </is>
      </c>
      <c r="B11" t="inlineStr">
        <is>
          <t>Period</t>
        </is>
      </c>
      <c r="G11" s="42" t="n"/>
      <c r="H11" s="42" t="n"/>
      <c r="I11" s="42" t="n"/>
      <c r="J11" s="42" t="n"/>
      <c r="K11" s="42" t="n"/>
      <c r="L11" s="42" t="n"/>
      <c r="M11" s="42" t="n"/>
      <c r="N11" s="42" t="n"/>
    </row>
    <row r="12">
      <c r="A12" t="inlineStr">
        <is>
          <t>Y Column</t>
        </is>
      </c>
    </row>
    <row r="13">
      <c r="A13" t="inlineStr">
        <is>
          <t>X Axis Title</t>
        </is>
      </c>
    </row>
    <row r="14">
      <c r="A14" t="inlineStr">
        <is>
          <t>Y Axis Title</t>
        </is>
      </c>
      <c r="B14" s="82" t="inlineStr">
        <is>
          <t>Percent</t>
        </is>
      </c>
    </row>
    <row r="15">
      <c r="A15" t="inlineStr">
        <is>
          <t>Start at Zero</t>
        </is>
      </c>
      <c r="B15" t="b">
        <v>1</v>
      </c>
    </row>
    <row r="16">
      <c r="A16" t="inlineStr">
        <is>
          <t>Pivot For Chart</t>
        </is>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20.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8.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Percentage of Children Without Health Insurance, 2020–2023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n">
        <v>2020</v>
      </c>
      <c r="G6" s="42" t="n">
        <v>2.4</v>
      </c>
      <c r="H6" s="42" t="n">
        <v>2.3</v>
      </c>
      <c r="I6" s="42" t="n">
        <v>2.5</v>
      </c>
      <c r="J6" s="42" t="n">
        <v>2.4</v>
      </c>
      <c r="K6" s="42" t="n">
        <v>4.1</v>
      </c>
      <c r="L6" s="42" t="n">
        <v>2.5</v>
      </c>
      <c r="M6" s="42" t="n">
        <v>2.7</v>
      </c>
      <c r="N6" s="42" t="n">
        <v>2.5</v>
      </c>
    </row>
    <row r="7" ht="15.75" customHeight="1" s="99">
      <c r="F7" t="n">
        <v>2021</v>
      </c>
      <c r="G7" s="42" t="n">
        <v>2.7</v>
      </c>
      <c r="H7" s="42" t="n">
        <v>2.8</v>
      </c>
      <c r="I7" s="42" t="n">
        <v>2.5</v>
      </c>
      <c r="J7" s="42" t="n">
        <v>2.3</v>
      </c>
      <c r="K7" s="42" t="n">
        <v>3.2</v>
      </c>
      <c r="L7" s="42" t="n">
        <v>2.8</v>
      </c>
      <c r="M7" s="42" t="n">
        <v>3.2</v>
      </c>
      <c r="N7" s="42" t="n">
        <v>2.6</v>
      </c>
    </row>
    <row r="8">
      <c r="F8" t="n">
        <v>2022</v>
      </c>
      <c r="G8" s="42" t="n">
        <v>2.3</v>
      </c>
      <c r="H8" s="42" t="n">
        <v>2.8</v>
      </c>
      <c r="I8" s="42" t="n">
        <v>2.5</v>
      </c>
      <c r="J8" s="42" t="n">
        <v>3</v>
      </c>
      <c r="K8" s="42" t="n">
        <v>3.4</v>
      </c>
      <c r="L8" s="42" t="n">
        <v>2.7</v>
      </c>
      <c r="M8" s="42" t="n">
        <v>2.3</v>
      </c>
      <c r="N8" s="42" t="n">
        <v>2.5</v>
      </c>
    </row>
    <row r="9">
      <c r="A9" s="98" t="inlineStr">
        <is>
          <t>Figure Rules</t>
        </is>
      </c>
      <c r="F9" t="n">
        <v>2023</v>
      </c>
      <c r="G9" s="42" t="n">
        <v>2.6</v>
      </c>
      <c r="H9" s="42" t="n">
        <v>2.7</v>
      </c>
      <c r="I9" s="42" t="n">
        <v>2.4</v>
      </c>
      <c r="J9" s="42" t="n">
        <v>2.8</v>
      </c>
      <c r="K9" s="42" t="n">
        <v>3.5</v>
      </c>
      <c r="L9" s="42" t="n">
        <v>3</v>
      </c>
      <c r="M9" s="42" t="n">
        <v>2.8</v>
      </c>
      <c r="N9" s="42" t="n">
        <v>2.8</v>
      </c>
    </row>
    <row r="10">
      <c r="A10" t="inlineStr">
        <is>
          <t>Figure Type</t>
        </is>
      </c>
      <c r="B10" t="inlineStr">
        <is>
          <t>Line</t>
        </is>
      </c>
      <c r="G10" s="42" t="n"/>
      <c r="H10" s="42" t="n"/>
      <c r="I10" s="42" t="n"/>
      <c r="J10" s="42" t="n"/>
      <c r="K10" s="42" t="n"/>
      <c r="L10" s="42" t="n"/>
      <c r="M10" s="42" t="n"/>
      <c r="N10" s="42" t="n"/>
    </row>
    <row r="11">
      <c r="A11" t="inlineStr">
        <is>
          <t>X Column</t>
        </is>
      </c>
      <c r="B11" t="inlineStr">
        <is>
          <t>Period</t>
        </is>
      </c>
      <c r="G11" s="42" t="n"/>
      <c r="H11" s="42" t="n"/>
      <c r="I11" s="42" t="n"/>
      <c r="J11" s="42" t="n"/>
      <c r="K11" s="42" t="n"/>
      <c r="L11" s="42" t="n"/>
      <c r="M11" s="42" t="n"/>
      <c r="N11" s="42" t="n"/>
    </row>
    <row r="12">
      <c r="A12" t="inlineStr">
        <is>
          <t>Y Column</t>
        </is>
      </c>
    </row>
    <row r="13">
      <c r="A13" t="inlineStr">
        <is>
          <t>X Axis Title</t>
        </is>
      </c>
    </row>
    <row r="14">
      <c r="A14" t="inlineStr">
        <is>
          <t>Y Axis Title</t>
        </is>
      </c>
      <c r="B14" s="82" t="inlineStr">
        <is>
          <t>Percent</t>
        </is>
      </c>
    </row>
    <row r="15">
      <c r="A15" t="inlineStr">
        <is>
          <t>Start at Zero</t>
        </is>
      </c>
      <c r="B15" t="b">
        <v>1</v>
      </c>
    </row>
    <row r="16">
      <c r="A16" t="inlineStr">
        <is>
          <t>Pivot For Chart</t>
        </is>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F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1.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8.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Percentage of Adults with Health Insurance, 2020–2023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n">
        <v>2020</v>
      </c>
      <c r="G6" s="42" t="n">
        <v>94.5</v>
      </c>
      <c r="H6" s="42" t="n">
        <v>93.2</v>
      </c>
      <c r="I6" s="42" t="n">
        <v>95.09999999999999</v>
      </c>
      <c r="J6" s="42" t="n">
        <v>93.3</v>
      </c>
      <c r="K6" s="42" t="n">
        <v>92.59999999999999</v>
      </c>
      <c r="L6" s="42" t="n">
        <v>92.59999999999999</v>
      </c>
      <c r="M6" s="42" t="n">
        <v>93.2</v>
      </c>
      <c r="N6" s="42" t="n">
        <v>92.7</v>
      </c>
    </row>
    <row r="7" ht="15.75" customHeight="1" s="99">
      <c r="F7" t="n">
        <v>2021</v>
      </c>
      <c r="G7" s="42" t="n">
        <v>94.2</v>
      </c>
      <c r="H7" s="42" t="n">
        <v>93.5</v>
      </c>
      <c r="I7" s="42" t="n">
        <v>94.59999999999999</v>
      </c>
      <c r="J7" s="42" t="n">
        <v>93.3</v>
      </c>
      <c r="K7" s="42" t="n">
        <v>92.40000000000001</v>
      </c>
      <c r="L7" s="42" t="n">
        <v>92.7</v>
      </c>
      <c r="M7" s="42" t="n">
        <v>93</v>
      </c>
      <c r="N7" s="42" t="n">
        <v>92.59999999999999</v>
      </c>
    </row>
    <row r="8">
      <c r="F8" t="n">
        <v>2022</v>
      </c>
      <c r="G8" s="42" t="n">
        <v>94.59999999999999</v>
      </c>
      <c r="H8" s="42" t="n">
        <v>93.3</v>
      </c>
      <c r="I8" s="42" t="n">
        <v>95</v>
      </c>
      <c r="J8" s="42" t="n">
        <v>93.59999999999999</v>
      </c>
      <c r="K8" s="42" t="n">
        <v>92.90000000000001</v>
      </c>
      <c r="L8" s="42" t="n">
        <v>91.8</v>
      </c>
      <c r="M8" s="42" t="n">
        <v>93.59999999999999</v>
      </c>
      <c r="N8" s="42" t="n">
        <v>93.2</v>
      </c>
    </row>
    <row r="9">
      <c r="A9" s="98" t="inlineStr">
        <is>
          <t>Figure Rules</t>
        </is>
      </c>
      <c r="F9" t="n">
        <v>2023</v>
      </c>
      <c r="G9" s="42" t="n">
        <v>94.40000000000001</v>
      </c>
      <c r="H9" s="42" t="n">
        <v>93</v>
      </c>
      <c r="I9" s="42" t="n">
        <v>94.90000000000001</v>
      </c>
      <c r="J9" s="42" t="n">
        <v>92.3</v>
      </c>
      <c r="K9" s="42" t="n">
        <v>92.5</v>
      </c>
      <c r="L9" s="42" t="n">
        <v>92</v>
      </c>
      <c r="M9" s="42" t="n">
        <v>93.59999999999999</v>
      </c>
      <c r="N9" s="42" t="n">
        <v>93.2</v>
      </c>
    </row>
    <row r="10">
      <c r="A10" t="inlineStr">
        <is>
          <t>Figure Type</t>
        </is>
      </c>
      <c r="B10" t="inlineStr">
        <is>
          <t>Line</t>
        </is>
      </c>
      <c r="G10" s="42" t="n"/>
      <c r="H10" s="42" t="n"/>
      <c r="I10" s="42" t="n"/>
      <c r="J10" s="42" t="n"/>
      <c r="K10" s="42" t="n"/>
      <c r="L10" s="42" t="n"/>
      <c r="M10" s="42" t="n"/>
      <c r="N10" s="42" t="n"/>
    </row>
    <row r="11">
      <c r="A11" t="inlineStr">
        <is>
          <t>X Column</t>
        </is>
      </c>
      <c r="B11" t="inlineStr">
        <is>
          <t>Period</t>
        </is>
      </c>
      <c r="G11" s="42" t="n"/>
      <c r="H11" s="42" t="n"/>
      <c r="I11" s="42" t="n"/>
      <c r="J11" s="42" t="n"/>
      <c r="K11" s="42" t="n"/>
      <c r="L11" s="42" t="n"/>
      <c r="M11" s="42" t="n"/>
      <c r="N11" s="42" t="n"/>
    </row>
    <row r="12">
      <c r="A12" t="inlineStr">
        <is>
          <t>Y Column</t>
        </is>
      </c>
    </row>
    <row r="13">
      <c r="A13" t="inlineStr">
        <is>
          <t>X Axis Title</t>
        </is>
      </c>
    </row>
    <row r="14">
      <c r="A14" t="inlineStr">
        <is>
          <t>Y Axis Title</t>
        </is>
      </c>
      <c r="B14" s="82" t="inlineStr">
        <is>
          <t>Percent</t>
        </is>
      </c>
    </row>
    <row r="15">
      <c r="A15" t="inlineStr">
        <is>
          <t>Start at Zero</t>
        </is>
      </c>
      <c r="B15" t="b">
        <v>0</v>
      </c>
    </row>
    <row r="16">
      <c r="A16" t="inlineStr">
        <is>
          <t>Pivot For Chart</t>
        </is>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F4:O4" showDropDown="0" showInputMessage="1" showErrorMessage="1" allowBlank="1" type="list">
      <formula1>"integer, number, percent1"</formula1>
    </dataValidation>
  </dataValidations>
  <pageMargins left="0.75" right="0.75" top="1" bottom="1" header="0.5" footer="0.5"/>
</worksheet>
</file>

<file path=xl/worksheets/sheet122.xml><?xml version="1.0" encoding="utf-8"?>
<worksheet xmlns="http://schemas.openxmlformats.org/spreadsheetml/2006/main">
  <sheetPr>
    <outlinePr summaryBelow="1" summaryRight="1"/>
    <pageSetUpPr/>
  </sheetPr>
  <dimension ref="A1:O57"/>
  <sheetViews>
    <sheetView workbookViewId="0">
      <selection activeCell="A1" sqref="A1"/>
    </sheetView>
  </sheetViews>
  <sheetFormatPr baseColWidth="10" defaultColWidth="8.6640625" defaultRowHeight="15"/>
  <cols>
    <col width="20" bestFit="1" customWidth="1" style="99" min="1" max="1"/>
    <col width="18.5" bestFit="1" customWidth="1" style="99" min="2" max="2"/>
    <col width="6.6640625" customWidth="1" style="99" min="5" max="5"/>
    <col width="15.1640625" bestFit="1" customWidth="1" style="99" min="6" max="6"/>
    <col width="48.6640625" bestFit="1" customWidth="1" style="99" min="7" max="7"/>
    <col width="35.33203125" bestFit="1" customWidth="1" style="99" min="8" max="8"/>
    <col width="8.6640625" bestFit="1" customWidth="1" style="99" min="9" max="9"/>
    <col width="14" bestFit="1" customWidth="1" style="99" min="10" max="10"/>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Medically Underserved Areas and Populations</t>
        </is>
      </c>
    </row>
    <row r="2">
      <c r="A2" s="97" t="inlineStr">
        <is>
          <t>Table/Figure/Both</t>
        </is>
      </c>
      <c r="B2" t="inlineStr">
        <is>
          <t>Table</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integer</t>
        </is>
      </c>
      <c r="H4" s="16" t="inlineStr">
        <is>
          <t>integer</t>
        </is>
      </c>
      <c r="I4" s="16" t="inlineStr">
        <is>
          <t>integer</t>
        </is>
      </c>
      <c r="J4" s="16" t="inlineStr">
        <is>
          <t>date</t>
        </is>
      </c>
      <c r="K4" s="16" t="n"/>
      <c r="L4" s="16" t="n"/>
      <c r="M4" s="16" t="n"/>
      <c r="N4" s="16" t="n"/>
      <c r="O4" s="16" t="n"/>
    </row>
    <row r="5">
      <c r="A5" s="98" t="inlineStr">
        <is>
          <t>Table Rules</t>
        </is>
      </c>
      <c r="E5" s="100" t="inlineStr">
        <is>
          <t xml:space="preserve">Enter Data </t>
        </is>
      </c>
      <c r="G5" t="inlineStr">
        <is>
          <t>Area Name</t>
        </is>
      </c>
      <c r="H5" t="inlineStr">
        <is>
          <t>Designation Type</t>
        </is>
      </c>
      <c r="I5" t="inlineStr">
        <is>
          <t>IMU Score</t>
        </is>
      </c>
      <c r="J5" t="inlineStr">
        <is>
          <t>Designation Date</t>
        </is>
      </c>
    </row>
    <row r="6" ht="15" customHeight="1" s="99">
      <c r="A6" t="inlineStr">
        <is>
          <t>Multilevel Headers</t>
        </is>
      </c>
      <c r="B6" t="b">
        <v>0</v>
      </c>
      <c r="F6" t="inlineStr">
        <is>
          <t>Dutchess</t>
        </is>
      </c>
      <c r="G6" s="42" t="inlineStr">
        <is>
          <t>Low Income - Poughkeepsie</t>
        </is>
      </c>
      <c r="H6" s="42" t="inlineStr">
        <is>
          <t>MUP Low Income</t>
        </is>
      </c>
      <c r="I6" s="42" t="n">
        <v>59.2</v>
      </c>
      <c r="J6" s="44" t="n">
        <v>37036</v>
      </c>
      <c r="K6" s="42" t="n"/>
      <c r="L6" s="42" t="n"/>
      <c r="M6" s="42" t="n"/>
      <c r="N6" s="42" t="n"/>
    </row>
    <row r="7" ht="15.75" customHeight="1" s="99">
      <c r="F7" t="inlineStr">
        <is>
          <t>Dutchess</t>
        </is>
      </c>
      <c r="G7" s="42" t="inlineStr">
        <is>
          <t>Migrant &amp; Seasonal Farm Worker - East Dutchess</t>
        </is>
      </c>
      <c r="H7" s="42" t="inlineStr">
        <is>
          <t>MUP Low Income</t>
        </is>
      </c>
      <c r="I7" s="42" t="n">
        <v>44.8</v>
      </c>
      <c r="J7" s="44" t="n">
        <v>36997</v>
      </c>
      <c r="K7" s="42" t="n"/>
      <c r="L7" s="42" t="n"/>
      <c r="M7" s="42" t="n"/>
      <c r="N7" s="42" t="n"/>
    </row>
    <row r="8">
      <c r="F8" t="inlineStr">
        <is>
          <t>Dutchess</t>
        </is>
      </c>
      <c r="G8" s="42" t="inlineStr">
        <is>
          <t>Medicaid Eligible and Medically Indigent - Beacon Service Area</t>
        </is>
      </c>
      <c r="H8" s="42" t="inlineStr">
        <is>
          <t>MUP Other Population Governor's Exception</t>
        </is>
      </c>
      <c r="I8" s="42" t="inlineStr">
        <is>
          <t>N/A</t>
        </is>
      </c>
      <c r="J8" s="44" t="n">
        <v>34156</v>
      </c>
      <c r="K8" s="42" t="n"/>
      <c r="L8" s="42" t="n"/>
      <c r="M8" s="42" t="n"/>
      <c r="N8" s="42" t="n"/>
    </row>
    <row r="9">
      <c r="A9" s="98" t="inlineStr">
        <is>
          <t>Figure Rules</t>
        </is>
      </c>
      <c r="F9" t="inlineStr">
        <is>
          <t>Orange</t>
        </is>
      </c>
      <c r="G9" s="42" t="inlineStr">
        <is>
          <t>Orange County Service Area</t>
        </is>
      </c>
      <c r="H9" s="42" t="inlineStr">
        <is>
          <t>Medically Underserved Area</t>
        </is>
      </c>
      <c r="I9" s="42" t="n">
        <v>55.5</v>
      </c>
      <c r="J9" s="44" t="n">
        <v>34458</v>
      </c>
      <c r="K9" s="42" t="n"/>
      <c r="L9" s="42" t="n"/>
      <c r="M9" s="42" t="n"/>
      <c r="N9" s="42" t="n"/>
    </row>
    <row r="10">
      <c r="A10" t="inlineStr">
        <is>
          <t>Figure Type</t>
        </is>
      </c>
      <c r="F10" t="inlineStr">
        <is>
          <t>Orange</t>
        </is>
      </c>
      <c r="G10" s="42" t="inlineStr">
        <is>
          <t>Village of Walden Service Area</t>
        </is>
      </c>
      <c r="H10" s="42" t="inlineStr">
        <is>
          <t>Medically Underserved Area</t>
        </is>
      </c>
      <c r="I10" s="42" t="n">
        <v>60.8</v>
      </c>
      <c r="J10" s="44" t="n">
        <v>36340</v>
      </c>
      <c r="K10" s="42" t="n"/>
      <c r="L10" s="42" t="n"/>
      <c r="M10" s="42" t="n"/>
      <c r="N10" s="42" t="n"/>
    </row>
    <row r="11">
      <c r="A11" t="inlineStr">
        <is>
          <t>X Column</t>
        </is>
      </c>
      <c r="F11" t="inlineStr">
        <is>
          <t>Orange</t>
        </is>
      </c>
      <c r="G11" s="42" t="inlineStr">
        <is>
          <t>Village of Kiryas Joel Service Area</t>
        </is>
      </c>
      <c r="H11" s="42" t="inlineStr">
        <is>
          <t>Medically Underserved Area</t>
        </is>
      </c>
      <c r="I11" s="42" t="n">
        <v>45</v>
      </c>
      <c r="J11" s="44" t="n">
        <v>34171</v>
      </c>
      <c r="K11" s="42" t="n"/>
      <c r="L11" s="42" t="n"/>
      <c r="M11" s="42" t="n"/>
      <c r="N11" s="42" t="n"/>
    </row>
    <row r="12">
      <c r="A12" t="inlineStr">
        <is>
          <t>Y Column</t>
        </is>
      </c>
      <c r="F12" t="inlineStr">
        <is>
          <t>Orange</t>
        </is>
      </c>
      <c r="G12" t="inlineStr">
        <is>
          <t>Low Income - Middletown Service Area</t>
        </is>
      </c>
      <c r="H12" t="inlineStr">
        <is>
          <t>MUP Low Income</t>
        </is>
      </c>
      <c r="I12" t="n">
        <v>58.2</v>
      </c>
      <c r="J12" s="45" t="n">
        <v>34432</v>
      </c>
    </row>
    <row r="13">
      <c r="A13" t="inlineStr">
        <is>
          <t>X Axis Title</t>
        </is>
      </c>
      <c r="F13" t="inlineStr">
        <is>
          <t>Rockland</t>
        </is>
      </c>
      <c r="G13" t="inlineStr">
        <is>
          <t>Village of New Square Service Area</t>
        </is>
      </c>
      <c r="H13" t="inlineStr">
        <is>
          <t>Medically Underserved Area</t>
        </is>
      </c>
      <c r="I13" t="n">
        <v>45.5</v>
      </c>
      <c r="J13" s="45" t="n">
        <v>34184</v>
      </c>
    </row>
    <row r="14">
      <c r="A14" t="inlineStr">
        <is>
          <t>Y Axis Title</t>
        </is>
      </c>
      <c r="F14" t="inlineStr">
        <is>
          <t>Rockland</t>
        </is>
      </c>
      <c r="G14" t="inlineStr">
        <is>
          <t>Low Income - Haverstraw</t>
        </is>
      </c>
      <c r="H14" t="inlineStr">
        <is>
          <t>MUP Low Income</t>
        </is>
      </c>
      <c r="I14" t="n">
        <v>61.6</v>
      </c>
      <c r="J14" s="45" t="n">
        <v>38925</v>
      </c>
    </row>
    <row r="15">
      <c r="A15" t="inlineStr">
        <is>
          <t>Start at Zero</t>
        </is>
      </c>
      <c r="F15" t="inlineStr">
        <is>
          <t>Sullivan</t>
        </is>
      </c>
      <c r="G15" t="inlineStr">
        <is>
          <t>Low Income - Western Sullivan Service Area</t>
        </is>
      </c>
      <c r="H15" t="inlineStr">
        <is>
          <t>MUP Low Income</t>
        </is>
      </c>
      <c r="I15" t="n">
        <v>59.3</v>
      </c>
      <c r="J15" s="45" t="n">
        <v>37407</v>
      </c>
    </row>
    <row r="16">
      <c r="A16" t="inlineStr">
        <is>
          <t>Pivot For Chart</t>
        </is>
      </c>
      <c r="F16" t="inlineStr">
        <is>
          <t>Sullivan</t>
        </is>
      </c>
      <c r="G16" t="inlineStr">
        <is>
          <t>Low Income - Monticello</t>
        </is>
      </c>
      <c r="H16" t="inlineStr">
        <is>
          <t>MUP Low Income</t>
        </is>
      </c>
      <c r="I16" t="n">
        <v>61.4</v>
      </c>
      <c r="J16" s="45" t="n">
        <v>38162</v>
      </c>
    </row>
    <row r="17">
      <c r="F17" t="inlineStr">
        <is>
          <t>Sullivan and Ulster</t>
        </is>
      </c>
      <c r="G17" t="inlineStr">
        <is>
          <t>Low Income - Wawarsing/Fallsburg Service Area</t>
        </is>
      </c>
      <c r="H17" t="inlineStr">
        <is>
          <t>MUP Low Income</t>
        </is>
      </c>
      <c r="I17" t="n">
        <v>61.8</v>
      </c>
      <c r="J17" s="45" t="n">
        <v>37425</v>
      </c>
    </row>
    <row r="18">
      <c r="A18" s="98" t="inlineStr">
        <is>
          <t>Source Specifications</t>
        </is>
      </c>
      <c r="F18" t="inlineStr">
        <is>
          <t>Ulster</t>
        </is>
      </c>
      <c r="G18" t="inlineStr">
        <is>
          <t>Plattekill Town - County</t>
        </is>
      </c>
      <c r="H18" t="inlineStr">
        <is>
          <t>Medically Underserved Area</t>
        </is>
      </c>
      <c r="I18" t="n">
        <v>58.8</v>
      </c>
      <c r="J18" s="45" t="n">
        <v>29713</v>
      </c>
    </row>
    <row r="19">
      <c r="A19" t="inlineStr">
        <is>
          <t>Table ID</t>
        </is>
      </c>
      <c r="F19" t="inlineStr">
        <is>
          <t>Westchester</t>
        </is>
      </c>
      <c r="G19" t="inlineStr">
        <is>
          <t>Westchester Service Area - Elmsford</t>
        </is>
      </c>
      <c r="H19" t="inlineStr">
        <is>
          <t>Medically Underserved Area</t>
        </is>
      </c>
      <c r="I19" t="n">
        <v>61.6</v>
      </c>
      <c r="J19" s="45" t="n">
        <v>34520</v>
      </c>
    </row>
    <row r="20">
      <c r="A20" t="inlineStr">
        <is>
          <t>URL</t>
        </is>
      </c>
      <c r="F20" t="inlineStr">
        <is>
          <t>Westchester</t>
        </is>
      </c>
      <c r="G20" t="inlineStr">
        <is>
          <t>Westchester Service Area - Mount Vernon</t>
        </is>
      </c>
      <c r="H20" t="inlineStr">
        <is>
          <t>Medically Underserved Area</t>
        </is>
      </c>
      <c r="I20" t="n">
        <v>54</v>
      </c>
      <c r="J20" s="45" t="n">
        <v>28586</v>
      </c>
    </row>
    <row r="21">
      <c r="A21" t="inlineStr">
        <is>
          <t>Data Year</t>
        </is>
      </c>
      <c r="F21" t="inlineStr">
        <is>
          <t>Westchester</t>
        </is>
      </c>
      <c r="G21" t="inlineStr">
        <is>
          <t>Low Income - Mount Kisco</t>
        </is>
      </c>
      <c r="H21" t="inlineStr">
        <is>
          <t>MUP Other Population Governor's Exception</t>
        </is>
      </c>
      <c r="I21" t="inlineStr">
        <is>
          <t>N/A</t>
        </is>
      </c>
      <c r="J21" s="45" t="n">
        <v>37680</v>
      </c>
    </row>
    <row r="22">
      <c r="A22" t="inlineStr">
        <is>
          <t>Estimate Type</t>
        </is>
      </c>
      <c r="F22" t="inlineStr">
        <is>
          <t>Westchester</t>
        </is>
      </c>
      <c r="G22" t="inlineStr">
        <is>
          <t>Westchester Service Area - Peekskill</t>
        </is>
      </c>
      <c r="H22" t="inlineStr">
        <is>
          <t>Medically Underserved Area</t>
        </is>
      </c>
      <c r="I22" t="n">
        <v>58.8</v>
      </c>
      <c r="J22" s="45" t="n">
        <v>34458</v>
      </c>
    </row>
    <row r="23">
      <c r="A23" t="inlineStr">
        <is>
          <t>Citation Month</t>
        </is>
      </c>
      <c r="F23" t="inlineStr">
        <is>
          <t>Westchester</t>
        </is>
      </c>
      <c r="G23" t="inlineStr">
        <is>
          <t>Medicaid Eligible and Medically Indigent - Port Chester</t>
        </is>
      </c>
      <c r="H23" t="inlineStr">
        <is>
          <t>MUP Other Population Governor's Exception</t>
        </is>
      </c>
      <c r="I23" t="inlineStr">
        <is>
          <t>N/A</t>
        </is>
      </c>
      <c r="J23" s="45" t="n">
        <v>34067</v>
      </c>
    </row>
    <row r="24">
      <c r="A24" t="inlineStr">
        <is>
          <t>Citation Year</t>
        </is>
      </c>
      <c r="F24" t="inlineStr">
        <is>
          <t>Westchester</t>
        </is>
      </c>
      <c r="G24" t="inlineStr">
        <is>
          <t>Westchester Service Area - Yonkers</t>
        </is>
      </c>
      <c r="H24" t="inlineStr">
        <is>
          <t>Medically Underserved Area</t>
        </is>
      </c>
      <c r="I24" t="n">
        <v>41.2</v>
      </c>
      <c r="J24" s="45" t="n">
        <v>32423</v>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K4: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3.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8.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Ratio of Residents to Primary Care Providers, 2019–2022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ratio</t>
        </is>
      </c>
      <c r="H4" s="16" t="inlineStr">
        <is>
          <t>ratio</t>
        </is>
      </c>
      <c r="I4" s="16" t="inlineStr">
        <is>
          <t>ratio</t>
        </is>
      </c>
      <c r="J4" s="16" t="inlineStr">
        <is>
          <t>ratio</t>
        </is>
      </c>
      <c r="K4" s="16" t="inlineStr">
        <is>
          <t>ratio</t>
        </is>
      </c>
      <c r="L4" s="16" t="inlineStr">
        <is>
          <t>ratio</t>
        </is>
      </c>
      <c r="M4" s="16" t="inlineStr">
        <is>
          <t>ratio</t>
        </is>
      </c>
      <c r="N4" s="16" t="inlineStr">
        <is>
          <t>ratio</t>
        </is>
      </c>
      <c r="O4" s="16" t="n"/>
    </row>
    <row r="5">
      <c r="A5" s="98" t="inlineStr">
        <is>
          <t>Table Rules</t>
        </is>
      </c>
      <c r="E5" s="100"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row>
    <row r="6" ht="15" customHeight="1" s="99">
      <c r="A6" t="inlineStr">
        <is>
          <t>Multilevel Headers</t>
        </is>
      </c>
      <c r="B6" t="b">
        <v>0</v>
      </c>
      <c r="F6" t="n">
        <v>2019</v>
      </c>
      <c r="G6" s="114" t="inlineStr">
        <is>
          <t>1,500:1</t>
        </is>
      </c>
      <c r="H6" s="114" t="inlineStr">
        <is>
          <t>1,450:1</t>
        </is>
      </c>
      <c r="I6" s="114" t="inlineStr">
        <is>
          <t>2,090:1</t>
        </is>
      </c>
      <c r="J6" s="114" t="inlineStr">
        <is>
          <t>1,100:1</t>
        </is>
      </c>
      <c r="K6" s="114" t="inlineStr">
        <is>
          <t>2,900:1</t>
        </is>
      </c>
      <c r="L6" s="114" t="inlineStr">
        <is>
          <t>1,480:1</t>
        </is>
      </c>
      <c r="M6" s="114" t="inlineStr">
        <is>
          <t>720:1</t>
        </is>
      </c>
      <c r="N6" s="114" t="inlineStr">
        <is>
          <t>1,180:1</t>
        </is>
      </c>
    </row>
    <row r="7" ht="15.75" customHeight="1" s="99">
      <c r="F7" t="n">
        <v>2020</v>
      </c>
      <c r="G7" s="114" t="inlineStr">
        <is>
          <t>1,440:1</t>
        </is>
      </c>
      <c r="H7" s="114" t="inlineStr">
        <is>
          <t>1,440:1</t>
        </is>
      </c>
      <c r="I7" s="114" t="inlineStr">
        <is>
          <t>1,970:1</t>
        </is>
      </c>
      <c r="J7" s="114" t="inlineStr">
        <is>
          <t>1,130:1</t>
        </is>
      </c>
      <c r="K7" s="114" t="inlineStr">
        <is>
          <t>2,710:1</t>
        </is>
      </c>
      <c r="L7" s="114" t="inlineStr">
        <is>
          <t>840:1</t>
        </is>
      </c>
      <c r="M7" s="114" t="inlineStr">
        <is>
          <t>720:1</t>
        </is>
      </c>
      <c r="N7" s="114" t="inlineStr">
        <is>
          <t>1,170:1</t>
        </is>
      </c>
    </row>
    <row r="8">
      <c r="F8" t="n">
        <v>2021</v>
      </c>
      <c r="G8" s="114" t="inlineStr">
        <is>
          <t>1,410:1</t>
        </is>
      </c>
      <c r="H8" s="114" t="inlineStr">
        <is>
          <t>1,500:1</t>
        </is>
      </c>
      <c r="I8" s="114" t="inlineStr">
        <is>
          <t>1,880:1</t>
        </is>
      </c>
      <c r="J8" s="114" t="inlineStr">
        <is>
          <t>1,180:1</t>
        </is>
      </c>
      <c r="K8" s="114" t="inlineStr">
        <is>
          <t>3,070:1</t>
        </is>
      </c>
      <c r="L8" s="114" t="inlineStr">
        <is>
          <t>1,680:1</t>
        </is>
      </c>
      <c r="M8" s="114" t="inlineStr">
        <is>
          <t>760:1</t>
        </is>
      </c>
      <c r="N8" s="114" t="inlineStr">
        <is>
          <t>1,240:1</t>
        </is>
      </c>
    </row>
    <row r="9">
      <c r="A9" s="98" t="inlineStr">
        <is>
          <t>Figure Rules</t>
        </is>
      </c>
      <c r="G9" s="42" t="n"/>
      <c r="H9" s="42" t="n"/>
      <c r="I9" s="42" t="n"/>
      <c r="J9" s="42" t="n"/>
      <c r="K9" s="42" t="n"/>
      <c r="L9" s="42" t="n"/>
      <c r="M9" s="42" t="n"/>
      <c r="N9" s="42" t="n"/>
    </row>
    <row r="10">
      <c r="A10" t="inlineStr">
        <is>
          <t>Figure Type</t>
        </is>
      </c>
      <c r="B10" t="inlineStr">
        <is>
          <t>Line</t>
        </is>
      </c>
      <c r="G10" s="42" t="n"/>
      <c r="H10" s="42" t="n"/>
      <c r="I10" s="42" t="n"/>
      <c r="J10" s="42" t="n"/>
      <c r="K10" s="42" t="n"/>
      <c r="L10" s="42" t="n"/>
      <c r="M10" s="42" t="n"/>
      <c r="N10" s="42" t="n"/>
    </row>
    <row r="11">
      <c r="A11" t="inlineStr">
        <is>
          <t>X Column</t>
        </is>
      </c>
      <c r="B11" t="inlineStr">
        <is>
          <t>Period</t>
        </is>
      </c>
      <c r="G11" s="42" t="n"/>
      <c r="H11" s="42" t="n"/>
      <c r="I11" s="42" t="n"/>
      <c r="J11" s="42" t="n"/>
      <c r="K11" s="42" t="n"/>
      <c r="L11" s="42" t="n"/>
      <c r="M11" s="42" t="n"/>
      <c r="N11" s="42" t="n"/>
    </row>
    <row r="12">
      <c r="A12" t="inlineStr">
        <is>
          <t>Y Column</t>
        </is>
      </c>
    </row>
    <row r="13">
      <c r="A13" t="inlineStr">
        <is>
          <t>X Axis Title</t>
        </is>
      </c>
    </row>
    <row r="14">
      <c r="A14" t="inlineStr">
        <is>
          <t>Y Axis Title</t>
        </is>
      </c>
      <c r="B14" t="inlineStr">
        <is>
          <t>Ratio</t>
        </is>
      </c>
    </row>
    <row r="15">
      <c r="A15" t="inlineStr">
        <is>
          <t>Start at Zero</t>
        </is>
      </c>
      <c r="B15" t="b">
        <v>0</v>
      </c>
    </row>
    <row r="16">
      <c r="A16" t="inlineStr">
        <is>
          <t>Pivot For Chart</t>
        </is>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4.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8.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Ratio of Residents to Dentists, 2019–2022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ratio</t>
        </is>
      </c>
      <c r="H4" s="16" t="inlineStr">
        <is>
          <t>ratio</t>
        </is>
      </c>
      <c r="I4" s="16" t="inlineStr">
        <is>
          <t>ratio</t>
        </is>
      </c>
      <c r="J4" s="16" t="inlineStr">
        <is>
          <t>ratio</t>
        </is>
      </c>
      <c r="K4" s="16" t="inlineStr">
        <is>
          <t>ratio</t>
        </is>
      </c>
      <c r="L4" s="16" t="inlineStr">
        <is>
          <t>ratio</t>
        </is>
      </c>
      <c r="M4" s="16" t="inlineStr">
        <is>
          <t>ratio</t>
        </is>
      </c>
      <c r="N4" s="16" t="inlineStr">
        <is>
          <t>ratio</t>
        </is>
      </c>
      <c r="O4" s="16" t="n"/>
    </row>
    <row r="5">
      <c r="A5" s="98" t="inlineStr">
        <is>
          <t>Table Rules</t>
        </is>
      </c>
      <c r="E5" s="100"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row>
    <row r="6" ht="15" customHeight="1" s="99">
      <c r="A6" t="inlineStr">
        <is>
          <t>Multilevel Headers</t>
        </is>
      </c>
      <c r="B6" t="b">
        <v>0</v>
      </c>
      <c r="F6" t="n">
        <v>2019</v>
      </c>
      <c r="G6" s="114" t="inlineStr">
        <is>
          <t>1,370:1</t>
        </is>
      </c>
      <c r="H6" s="114" t="inlineStr">
        <is>
          <t>1,420:1</t>
        </is>
      </c>
      <c r="I6" s="114" t="inlineStr">
        <is>
          <t>1,670:1</t>
        </is>
      </c>
      <c r="J6" s="114" t="inlineStr">
        <is>
          <t>980:1</t>
        </is>
      </c>
      <c r="K6" s="114" t="inlineStr">
        <is>
          <t>2,430:1</t>
        </is>
      </c>
      <c r="L6" s="114" t="inlineStr">
        <is>
          <t>1,570:1</t>
        </is>
      </c>
      <c r="M6" s="114" t="inlineStr">
        <is>
          <t>890:1</t>
        </is>
      </c>
      <c r="N6" s="114" t="inlineStr">
        <is>
          <t>1,170:1</t>
        </is>
      </c>
    </row>
    <row r="7" ht="15.75" customHeight="1" s="99">
      <c r="F7" t="n">
        <v>2020</v>
      </c>
      <c r="G7" s="114" t="inlineStr">
        <is>
          <t>1,380:1</t>
        </is>
      </c>
      <c r="H7" s="114" t="inlineStr">
        <is>
          <t>1,460:1</t>
        </is>
      </c>
      <c r="I7" s="114" t="inlineStr">
        <is>
          <t>1,700:1</t>
        </is>
      </c>
      <c r="J7" s="114" t="inlineStr">
        <is>
          <t>1,020:1</t>
        </is>
      </c>
      <c r="K7" s="114" t="inlineStr">
        <is>
          <t>2,370:1</t>
        </is>
      </c>
      <c r="L7" s="114" t="inlineStr">
        <is>
          <t>1,480:1</t>
        </is>
      </c>
      <c r="M7" s="114" t="inlineStr">
        <is>
          <t>900:1</t>
        </is>
      </c>
      <c r="N7" s="114" t="inlineStr">
        <is>
          <t>1,190:1</t>
        </is>
      </c>
    </row>
    <row r="8">
      <c r="F8" t="n">
        <v>2021</v>
      </c>
      <c r="G8" s="114" t="inlineStr">
        <is>
          <t>1,410:1</t>
        </is>
      </c>
      <c r="H8" s="114" t="inlineStr">
        <is>
          <t>1,490:1</t>
        </is>
      </c>
      <c r="I8" s="114" t="inlineStr">
        <is>
          <t>1,660:1</t>
        </is>
      </c>
      <c r="J8" s="114" t="inlineStr">
        <is>
          <t>1,060:1</t>
        </is>
      </c>
      <c r="K8" s="114" t="inlineStr">
        <is>
          <t>2,490:1</t>
        </is>
      </c>
      <c r="L8" s="114" t="inlineStr">
        <is>
          <t>1,490:1</t>
        </is>
      </c>
      <c r="M8" s="114" t="inlineStr">
        <is>
          <t>930:1</t>
        </is>
      </c>
      <c r="N8" s="114" t="inlineStr">
        <is>
          <t>1,220:1</t>
        </is>
      </c>
    </row>
    <row r="9">
      <c r="A9" s="98" t="inlineStr">
        <is>
          <t>Figure Rules</t>
        </is>
      </c>
      <c r="F9" t="n">
        <v>2022</v>
      </c>
      <c r="G9" s="114" t="inlineStr">
        <is>
          <t>1,400:1</t>
        </is>
      </c>
      <c r="H9" s="114" t="inlineStr">
        <is>
          <t>1,500:1</t>
        </is>
      </c>
      <c r="I9" s="114" t="inlineStr">
        <is>
          <t>1,610:1</t>
        </is>
      </c>
      <c r="J9" s="114" t="inlineStr">
        <is>
          <t>1,060:1</t>
        </is>
      </c>
      <c r="K9" s="114" t="inlineStr">
        <is>
          <t>2,410:1</t>
        </is>
      </c>
      <c r="L9" s="114" t="inlineStr">
        <is>
          <t>1,470:1</t>
        </is>
      </c>
      <c r="M9" s="114" t="inlineStr">
        <is>
          <t>910:1</t>
        </is>
      </c>
      <c r="N9" s="114" t="inlineStr">
        <is>
          <t>1,200:1</t>
        </is>
      </c>
    </row>
    <row r="10">
      <c r="A10" t="inlineStr">
        <is>
          <t>Figure Type</t>
        </is>
      </c>
      <c r="B10" t="inlineStr">
        <is>
          <t>Line</t>
        </is>
      </c>
      <c r="G10" s="42" t="n"/>
      <c r="H10" s="42" t="n"/>
      <c r="I10" s="42" t="n"/>
      <c r="J10" s="42" t="n"/>
      <c r="K10" s="42" t="n"/>
      <c r="L10" s="42" t="n"/>
      <c r="M10" s="42" t="n"/>
      <c r="N10" s="42" t="n"/>
    </row>
    <row r="11">
      <c r="A11" t="inlineStr">
        <is>
          <t>X Column</t>
        </is>
      </c>
      <c r="B11" t="inlineStr">
        <is>
          <t>Period</t>
        </is>
      </c>
      <c r="G11" s="42" t="n"/>
      <c r="H11" s="42" t="n"/>
      <c r="I11" s="42" t="n"/>
      <c r="J11" s="42" t="n"/>
      <c r="K11" s="42" t="n"/>
      <c r="L11" s="42" t="n"/>
      <c r="M11" s="42" t="n"/>
      <c r="N11" s="42" t="n"/>
    </row>
    <row r="12">
      <c r="A12" t="inlineStr">
        <is>
          <t>Y Column</t>
        </is>
      </c>
    </row>
    <row r="13">
      <c r="A13" t="inlineStr">
        <is>
          <t>X Axis Title</t>
        </is>
      </c>
    </row>
    <row r="14">
      <c r="A14" t="inlineStr">
        <is>
          <t>Y Axis Title</t>
        </is>
      </c>
      <c r="B14" t="inlineStr">
        <is>
          <t>Ratio</t>
        </is>
      </c>
    </row>
    <row r="15">
      <c r="A15" t="inlineStr">
        <is>
          <t>Start at Zero</t>
        </is>
      </c>
      <c r="B15" t="b">
        <v>0</v>
      </c>
    </row>
    <row r="16">
      <c r="A16" t="inlineStr">
        <is>
          <t>Pivot For Chart</t>
        </is>
      </c>
    </row>
    <row r="17"/>
    <row r="18">
      <c r="A18" s="98" t="inlineStr">
        <is>
          <t>Source Specifications</t>
        </is>
      </c>
    </row>
    <row r="19">
      <c r="A19" t="inlineStr">
        <is>
          <t>Table ID</t>
        </is>
      </c>
    </row>
    <row r="20">
      <c r="A20" t="inlineStr">
        <is>
          <t>URL</t>
        </is>
      </c>
    </row>
    <row r="21">
      <c r="A21" t="inlineStr">
        <is>
          <t>Data Year</t>
        </is>
      </c>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O4" showDropDown="0" showInputMessage="1" showErrorMessage="1" allowBlank="1" type="list">
      <formula1>"integer, number, percent1"</formula1>
    </dataValidation>
  </dataValidations>
  <pageMargins left="0.75" right="0.75" top="1" bottom="1" header="0.5" footer="0.5"/>
</worksheet>
</file>

<file path=xl/worksheets/sheet125.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8.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Ratio of Residents to Mental Health Providers, 2021–2024</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ratio</t>
        </is>
      </c>
      <c r="H4" s="16" t="inlineStr">
        <is>
          <t>ratio</t>
        </is>
      </c>
      <c r="I4" s="16" t="inlineStr">
        <is>
          <t>ratio</t>
        </is>
      </c>
      <c r="J4" s="16" t="inlineStr">
        <is>
          <t>ratio</t>
        </is>
      </c>
      <c r="K4" s="16" t="inlineStr">
        <is>
          <t>ratio</t>
        </is>
      </c>
      <c r="L4" s="16" t="inlineStr">
        <is>
          <t>ratio</t>
        </is>
      </c>
      <c r="M4" s="16" t="inlineStr">
        <is>
          <t>ratio</t>
        </is>
      </c>
      <c r="N4" s="16" t="inlineStr">
        <is>
          <t>ratio</t>
        </is>
      </c>
      <c r="O4" s="16" t="n"/>
    </row>
    <row r="5">
      <c r="A5" s="98" t="inlineStr">
        <is>
          <t>Table Rules</t>
        </is>
      </c>
      <c r="E5" s="100"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c r="O5" s="46" t="n"/>
    </row>
    <row r="6" ht="15" customHeight="1" s="99">
      <c r="A6" t="inlineStr">
        <is>
          <t>Multilevel Headers</t>
        </is>
      </c>
      <c r="B6" t="b">
        <v>0</v>
      </c>
      <c r="F6" t="n">
        <v>2021</v>
      </c>
      <c r="G6" s="46" t="inlineStr">
        <is>
          <t>320:1</t>
        </is>
      </c>
      <c r="H6" s="46" t="inlineStr">
        <is>
          <t>390:1</t>
        </is>
      </c>
      <c r="I6" s="46" t="inlineStr">
        <is>
          <t>260:1</t>
        </is>
      </c>
      <c r="J6" s="46" t="inlineStr">
        <is>
          <t>340:1</t>
        </is>
      </c>
      <c r="K6" s="46" t="inlineStr">
        <is>
          <t>510:1</t>
        </is>
      </c>
      <c r="L6" s="46" t="inlineStr">
        <is>
          <t>270:1</t>
        </is>
      </c>
      <c r="M6" s="46" t="inlineStr">
        <is>
          <t>230:1</t>
        </is>
      </c>
      <c r="N6" s="46" t="inlineStr">
        <is>
          <t>310:1</t>
        </is>
      </c>
      <c r="O6" s="46" t="n"/>
    </row>
    <row r="7" ht="15.75" customHeight="1" s="99">
      <c r="F7" t="n">
        <v>2022</v>
      </c>
      <c r="G7" s="46" t="inlineStr">
        <is>
          <t>310:1</t>
        </is>
      </c>
      <c r="H7" s="46" t="inlineStr">
        <is>
          <t>390:1</t>
        </is>
      </c>
      <c r="I7" s="46" t="inlineStr">
        <is>
          <t>240:1</t>
        </is>
      </c>
      <c r="J7" s="46" t="inlineStr">
        <is>
          <t>330:1</t>
        </is>
      </c>
      <c r="K7" s="46" t="inlineStr">
        <is>
          <t>490:1</t>
        </is>
      </c>
      <c r="L7" s="46" t="inlineStr">
        <is>
          <t>260:1</t>
        </is>
      </c>
      <c r="M7" s="46" t="inlineStr">
        <is>
          <t>230:1</t>
        </is>
      </c>
      <c r="N7" s="46" t="inlineStr">
        <is>
          <t>300:1</t>
        </is>
      </c>
      <c r="O7" s="46" t="n"/>
    </row>
    <row r="8">
      <c r="F8" t="n">
        <v>2023</v>
      </c>
      <c r="G8" s="46" t="inlineStr">
        <is>
          <t>300:1</t>
        </is>
      </c>
      <c r="H8" s="46" t="inlineStr">
        <is>
          <t>370:1</t>
        </is>
      </c>
      <c r="I8" s="46" t="inlineStr">
        <is>
          <t>230:1</t>
        </is>
      </c>
      <c r="J8" s="46" t="inlineStr">
        <is>
          <t>300:1</t>
        </is>
      </c>
      <c r="K8" s="46" t="inlineStr">
        <is>
          <t>450:1</t>
        </is>
      </c>
      <c r="L8" s="46" t="inlineStr">
        <is>
          <t>250:1</t>
        </is>
      </c>
      <c r="M8" s="46" t="inlineStr">
        <is>
          <t>220:1</t>
        </is>
      </c>
      <c r="N8" s="46" t="inlineStr">
        <is>
          <t>280:1</t>
        </is>
      </c>
      <c r="O8" s="46" t="n"/>
    </row>
    <row r="9">
      <c r="A9" s="98" t="inlineStr">
        <is>
          <t>Figure Rules</t>
        </is>
      </c>
      <c r="F9" t="n">
        <v>2024</v>
      </c>
      <c r="G9" s="46" t="inlineStr">
        <is>
          <t>290:1</t>
        </is>
      </c>
      <c r="H9" s="46" t="inlineStr">
        <is>
          <t>350:1</t>
        </is>
      </c>
      <c r="I9" s="46" t="inlineStr">
        <is>
          <t>210:1</t>
        </is>
      </c>
      <c r="J9" s="46" t="inlineStr">
        <is>
          <t>290:1</t>
        </is>
      </c>
      <c r="K9" s="46" t="inlineStr">
        <is>
          <t>450:1</t>
        </is>
      </c>
      <c r="L9" s="46" t="inlineStr">
        <is>
          <t>240:1</t>
        </is>
      </c>
      <c r="M9" s="46" t="inlineStr">
        <is>
          <t>200:1</t>
        </is>
      </c>
      <c r="N9" s="46" t="inlineStr">
        <is>
          <t>260:1</t>
        </is>
      </c>
      <c r="O9" s="46" t="n"/>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Ratio</t>
        </is>
      </c>
      <c r="F14" s="46" t="n"/>
      <c r="G14" s="48" t="n"/>
      <c r="H14" s="47" t="n"/>
      <c r="I14" s="47" t="n"/>
      <c r="J14" s="47" t="n"/>
      <c r="K14" s="47" t="n"/>
      <c r="L14" s="47" t="n"/>
      <c r="M14" s="47" t="n"/>
      <c r="N14" s="47" t="n"/>
      <c r="O14" s="46" t="n"/>
    </row>
    <row r="15">
      <c r="A15" t="inlineStr">
        <is>
          <t>Start at Zero</t>
        </is>
      </c>
      <c r="B15" t="b">
        <v>0</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O4" showDropDown="0" showInputMessage="1" showErrorMessage="1" allowBlank="1" type="list">
      <formula1>"integer, number, percent1"</formula1>
    </dataValidation>
    <dataValidation sqref="B10" showDropDown="0" showInputMessage="1" showErrorMessage="1" allowBlank="1" type="list">
      <formula1>"Line,Clustered Bar,Stacked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6.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8.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Percentage of Adults Who Have a Regular Health Care Provider, 2016, 2018,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100"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Mid-Hudson</t>
        </is>
      </c>
      <c r="O5" s="46" t="inlineStr">
        <is>
          <t>NYS</t>
        </is>
      </c>
    </row>
    <row r="6" ht="15" customHeight="1" s="99">
      <c r="A6" t="inlineStr">
        <is>
          <t>Multilevel Headers</t>
        </is>
      </c>
      <c r="B6" t="b">
        <v>0</v>
      </c>
      <c r="F6" t="n">
        <v>2016</v>
      </c>
      <c r="G6" t="n">
        <v>82.8</v>
      </c>
      <c r="H6" t="n">
        <v>81.8</v>
      </c>
      <c r="I6" t="n">
        <v>86.7</v>
      </c>
      <c r="J6" t="n">
        <v>84.09999999999999</v>
      </c>
      <c r="K6" t="n">
        <v>84.59999999999999</v>
      </c>
      <c r="L6" t="n">
        <v>82.5</v>
      </c>
      <c r="M6" t="n">
        <v>79.2</v>
      </c>
      <c r="N6" s="49" t="inlineStr">
        <is>
          <t>N/A</t>
        </is>
      </c>
      <c r="O6" t="n">
        <v>82.59999999999999</v>
      </c>
    </row>
    <row r="7" ht="15.75" customHeight="1" s="99">
      <c r="F7" t="n">
        <v>2018</v>
      </c>
      <c r="G7" t="n">
        <v>85.7</v>
      </c>
      <c r="H7" t="n">
        <v>80.7</v>
      </c>
      <c r="I7" t="n">
        <v>89</v>
      </c>
      <c r="J7" t="n">
        <v>83.8</v>
      </c>
      <c r="K7" t="n">
        <v>75</v>
      </c>
      <c r="L7" t="n">
        <v>78.3</v>
      </c>
      <c r="M7" t="n">
        <v>81.40000000000001</v>
      </c>
      <c r="N7" s="49" t="inlineStr">
        <is>
          <t>N/A</t>
        </is>
      </c>
      <c r="O7" t="n">
        <v>79.09999999999999</v>
      </c>
    </row>
    <row r="8">
      <c r="F8" t="n">
        <v>2021</v>
      </c>
      <c r="G8" t="n">
        <v>81.59999999999999</v>
      </c>
      <c r="H8" t="n">
        <v>88.90000000000001</v>
      </c>
      <c r="I8" t="n">
        <v>90.5</v>
      </c>
      <c r="J8" t="n">
        <v>84.09999999999999</v>
      </c>
      <c r="K8" t="n">
        <v>76.90000000000001</v>
      </c>
      <c r="L8" t="n">
        <v>89.5</v>
      </c>
      <c r="M8" t="n">
        <v>84.90000000000001</v>
      </c>
      <c r="N8" t="n">
        <v>86.5</v>
      </c>
      <c r="O8" t="n">
        <v>85</v>
      </c>
    </row>
    <row r="9">
      <c r="A9" s="98" t="inlineStr">
        <is>
          <t>Figure Rules</t>
        </is>
      </c>
      <c r="G9" s="46" t="n"/>
      <c r="H9" s="46" t="n"/>
      <c r="I9" s="46" t="n"/>
      <c r="J9" s="46" t="n"/>
      <c r="K9" s="46" t="n"/>
      <c r="L9" s="46" t="n"/>
      <c r="M9" s="46" t="n"/>
      <c r="N9" s="46" t="n"/>
      <c r="O9" s="46" t="n"/>
    </row>
    <row r="10">
      <c r="A10" t="inlineStr">
        <is>
          <t>Figure Type</t>
        </is>
      </c>
      <c r="B10" t="inlineStr">
        <is>
          <t>Clustered Bar</t>
        </is>
      </c>
      <c r="F10" s="46" t="n"/>
      <c r="G10" s="47" t="n"/>
      <c r="H10" s="47" t="n"/>
      <c r="I10" s="47" t="n"/>
      <c r="J10" s="47" t="n"/>
      <c r="K10" s="47" t="n"/>
      <c r="L10" s="47" t="n"/>
      <c r="M10" s="47" t="n"/>
      <c r="N10" s="47" t="n"/>
      <c r="O10" s="46" t="n"/>
    </row>
    <row r="11">
      <c r="A11" t="inlineStr">
        <is>
          <t>X Column</t>
        </is>
      </c>
      <c r="B11" t="inlineStr">
        <is>
          <t>County</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Percent</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formula1>
    </dataValidation>
    <dataValidation sqref="O4" showDropDown="0" showInputMessage="1" showErrorMessage="1" allowBlank="1" type="list">
      <formula1>"integer, number, percent1"</formula1>
    </dataValidation>
  </dataValidations>
  <pageMargins left="0.75" right="0.75" top="1" bottom="1" header="0.5" footer="0.5"/>
</worksheet>
</file>

<file path=xl/worksheets/sheet127.xml><?xml version="1.0" encoding="utf-8"?>
<worksheet xmlns="http://schemas.openxmlformats.org/spreadsheetml/2006/main">
  <sheetPr>
    <outlinePr summaryBelow="1" summaryRight="1"/>
    <pageSetUpPr/>
  </sheetPr>
  <dimension ref="A1:O57"/>
  <sheetViews>
    <sheetView workbookViewId="0">
      <selection activeCell="F5" sqref="F5"/>
    </sheetView>
  </sheetViews>
  <sheetFormatPr baseColWidth="10" defaultColWidth="8.6640625" defaultRowHeight="15"/>
  <cols>
    <col width="20" bestFit="1" customWidth="1" style="99" min="1" max="1"/>
    <col width="18.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 xml:space="preserve">Potentially Preventable Hospitalizations, Age-Adjusted Rate per 10,000 Population, 2020–2022 </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row>
    <row r="5">
      <c r="A5" s="98" t="inlineStr">
        <is>
          <t>Table Rules</t>
        </is>
      </c>
      <c r="E5" s="100"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 excl NYC</t>
        </is>
      </c>
      <c r="O5" s="46" t="inlineStr">
        <is>
          <t>NYS</t>
        </is>
      </c>
    </row>
    <row r="6" ht="15" customHeight="1" s="99">
      <c r="A6" t="inlineStr">
        <is>
          <t>Multilevel Headers</t>
        </is>
      </c>
      <c r="B6" t="b">
        <v>0</v>
      </c>
      <c r="F6" t="inlineStr">
        <is>
          <t>2020–2022</t>
        </is>
      </c>
      <c r="G6" t="n">
        <v>86.40000000000001</v>
      </c>
      <c r="H6" t="n">
        <v>106.3</v>
      </c>
      <c r="I6" t="n">
        <v>60.2</v>
      </c>
      <c r="J6" t="n">
        <v>76.7</v>
      </c>
      <c r="K6" t="n">
        <v>100.9</v>
      </c>
      <c r="L6" t="n">
        <v>95.7</v>
      </c>
      <c r="M6" t="n">
        <v>77.09999999999999</v>
      </c>
      <c r="N6" s="49" t="n">
        <v>92.7</v>
      </c>
      <c r="O6" t="n">
        <v>97.3</v>
      </c>
    </row>
    <row r="7" ht="15.75" customHeight="1" s="99">
      <c r="N7" s="49" t="n"/>
    </row>
    <row r="8"/>
    <row r="9">
      <c r="A9" s="98" t="inlineStr">
        <is>
          <t>Figure Rules</t>
        </is>
      </c>
      <c r="G9" s="46" t="n"/>
      <c r="H9" s="46" t="n"/>
      <c r="I9" s="46" t="n"/>
      <c r="J9" s="46" t="n"/>
      <c r="K9" s="46" t="n"/>
      <c r="L9" s="46" t="n"/>
      <c r="M9" s="46" t="n"/>
      <c r="N9" s="46" t="n"/>
      <c r="O9" s="46" t="n"/>
    </row>
    <row r="10">
      <c r="A10" t="inlineStr">
        <is>
          <t>Figure Type</t>
        </is>
      </c>
      <c r="B10" t="inlineStr">
        <is>
          <t>Bar</t>
        </is>
      </c>
      <c r="F10" s="46" t="n"/>
      <c r="G10" s="47" t="n"/>
      <c r="H10" s="47" t="n"/>
      <c r="I10" s="47" t="n"/>
      <c r="J10" s="47" t="n"/>
      <c r="K10" s="47" t="n"/>
      <c r="L10" s="47" t="n"/>
      <c r="M10" s="47" t="n"/>
      <c r="N10" s="47" t="n"/>
      <c r="O10" s="46" t="n"/>
    </row>
    <row r="11">
      <c r="A11" t="inlineStr">
        <is>
          <t>X Column</t>
        </is>
      </c>
      <c r="B11" t="inlineStr">
        <is>
          <t>County</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Rate per 10,000</t>
        </is>
      </c>
      <c r="F14" s="46" t="n"/>
      <c r="G14" s="48" t="n"/>
      <c r="H14" s="47" t="n"/>
      <c r="I14" s="47" t="n"/>
      <c r="J14" s="47" t="n"/>
      <c r="K14" s="47" t="n"/>
      <c r="L14" s="47" t="n"/>
      <c r="M14" s="47" t="n"/>
      <c r="N14" s="47" t="n"/>
      <c r="O14" s="46" t="n"/>
    </row>
    <row r="15">
      <c r="A15" t="inlineStr">
        <is>
          <t>Start at Zero</t>
        </is>
      </c>
      <c r="B15" t="b">
        <v>0</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O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28.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Potentially Preventable Hospitalizations, Rate Difference Between Black Non-Hispanics and White Non-Hispanics, 2016–2022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Mid-Hudson</t>
        </is>
      </c>
      <c r="O5" s="46" t="inlineStr">
        <is>
          <t>NYS excl NYC</t>
        </is>
      </c>
      <c r="P5" t="inlineStr">
        <is>
          <t>NYS</t>
        </is>
      </c>
    </row>
    <row r="6" ht="15" customHeight="1" s="99">
      <c r="A6" t="inlineStr">
        <is>
          <t>Multilevel Headers</t>
        </is>
      </c>
      <c r="B6" t="b">
        <v>0</v>
      </c>
      <c r="F6" t="n">
        <v>2019</v>
      </c>
      <c r="G6" t="n">
        <v>-37.5</v>
      </c>
      <c r="H6" t="n">
        <v>115.9</v>
      </c>
      <c r="I6" t="inlineStr">
        <is>
          <t>-42.1*</t>
        </is>
      </c>
      <c r="J6" t="n">
        <v>58.5</v>
      </c>
      <c r="K6" t="n">
        <v>111</v>
      </c>
      <c r="L6" t="n">
        <v>51.5</v>
      </c>
      <c r="M6" t="n">
        <v>145.3</v>
      </c>
      <c r="N6" s="49" t="n">
        <v>95.3</v>
      </c>
      <c r="O6" t="n">
        <v>20.2</v>
      </c>
      <c r="P6" t="n">
        <v>117.6</v>
      </c>
    </row>
    <row r="7" ht="15.75" customHeight="1" s="99">
      <c r="F7" t="n">
        <v>2020</v>
      </c>
      <c r="G7" t="n">
        <v>-20.1</v>
      </c>
      <c r="H7" t="n">
        <v>108.9</v>
      </c>
      <c r="I7" t="inlineStr">
        <is>
          <t>-21.2*</t>
        </is>
      </c>
      <c r="J7" t="n">
        <v>62.4</v>
      </c>
      <c r="K7" t="n">
        <v>75.90000000000001</v>
      </c>
      <c r="L7" t="n">
        <v>31.5</v>
      </c>
      <c r="M7" t="n">
        <v>115.1</v>
      </c>
      <c r="N7" s="49" t="n">
        <v>78.7</v>
      </c>
      <c r="O7" t="n">
        <v>19.7</v>
      </c>
      <c r="P7" t="n">
        <v>99</v>
      </c>
    </row>
    <row r="8">
      <c r="F8" t="n">
        <v>2021</v>
      </c>
      <c r="G8" t="n">
        <v>-15.4</v>
      </c>
      <c r="H8" t="n">
        <v>77.59999999999999</v>
      </c>
      <c r="I8" t="inlineStr">
        <is>
          <t>s</t>
        </is>
      </c>
      <c r="J8" t="n">
        <v>49.7</v>
      </c>
      <c r="K8" t="n">
        <v>41.9</v>
      </c>
      <c r="L8" t="n">
        <v>46.7</v>
      </c>
      <c r="M8" t="n">
        <v>106.9</v>
      </c>
      <c r="N8" t="n">
        <v>71.40000000000001</v>
      </c>
      <c r="O8" t="n">
        <v>22.2</v>
      </c>
      <c r="P8" t="n">
        <v>103.3</v>
      </c>
    </row>
    <row r="9">
      <c r="A9" s="98" t="inlineStr">
        <is>
          <t>Figure Rules</t>
        </is>
      </c>
      <c r="F9" t="n">
        <v>2022</v>
      </c>
      <c r="G9" s="46" t="inlineStr">
        <is>
          <t>-21.9</t>
        </is>
      </c>
      <c r="H9" s="46" t="inlineStr">
        <is>
          <t>69.1</t>
        </is>
      </c>
      <c r="I9" s="46" t="inlineStr">
        <is>
          <t>-12.3</t>
        </is>
      </c>
      <c r="J9" s="46" t="inlineStr">
        <is>
          <t>53.9</t>
        </is>
      </c>
      <c r="K9" s="46" t="inlineStr">
        <is>
          <t>154.3</t>
        </is>
      </c>
      <c r="L9" s="46" t="inlineStr">
        <is>
          <t>82.3</t>
        </is>
      </c>
      <c r="M9" s="46" t="inlineStr">
        <is>
          <t>102.7</t>
        </is>
      </c>
      <c r="N9" s="46" t="inlineStr">
        <is>
          <t>71.1</t>
        </is>
      </c>
      <c r="O9" s="46" t="inlineStr">
        <is>
          <t>21.7</t>
        </is>
      </c>
      <c r="P9" t="n">
        <v>101.5</v>
      </c>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Rate per 10,000</t>
        </is>
      </c>
      <c r="F14" s="46" t="n"/>
      <c r="G14" s="48" t="n"/>
      <c r="H14" s="47" t="n"/>
      <c r="I14" s="47" t="n"/>
      <c r="J14" s="47" t="n"/>
      <c r="K14" s="47" t="n"/>
      <c r="L14" s="47" t="n"/>
      <c r="M14" s="47" t="n"/>
      <c r="N14" s="47" t="n"/>
      <c r="O14" s="46" t="n"/>
    </row>
    <row r="15">
      <c r="A15" t="inlineStr">
        <is>
          <t>Start at Zero</t>
        </is>
      </c>
      <c r="B15" t="b">
        <v>0</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NYS Prevention Agenda Tracking Dashboard, August 2025 sourced from NY Statewide Planning and Research Cooperative System https://apps.health.ny.gov/public/tabvis/PHIG_Public/pa/reports/#county</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O4:P4" showDropDown="0" showInputMessage="1" showErrorMessage="1" allowBlank="1" type="list">
      <formula1>"integer, number, percent1"</formula1>
    </dataValidation>
  </dataValidations>
  <pageMargins left="0.75" right="0.75" top="1" bottom="1" header="0.5" footer="0.5"/>
</worksheet>
</file>

<file path=xl/worksheets/sheet129.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Potentially Preventable Hospitalizations, Rate Difference Between Hispanics and White Non-Hispanics, 2016–2022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Mid-Hudson</t>
        </is>
      </c>
      <c r="O5" s="46" t="inlineStr">
        <is>
          <t>NYS excl NYC</t>
        </is>
      </c>
      <c r="P5" t="inlineStr">
        <is>
          <t>NYS</t>
        </is>
      </c>
    </row>
    <row r="6" ht="15" customHeight="1" s="99">
      <c r="A6" t="inlineStr">
        <is>
          <t>Multilevel Headers</t>
        </is>
      </c>
      <c r="B6" t="b">
        <v>0</v>
      </c>
      <c r="F6" t="n">
        <v>2019</v>
      </c>
      <c r="G6" t="n">
        <v>-18</v>
      </c>
      <c r="H6" t="n">
        <v>-6.4</v>
      </c>
      <c r="I6" t="n">
        <v>-22.3</v>
      </c>
      <c r="J6" t="n">
        <v>29.6</v>
      </c>
      <c r="K6" t="n">
        <v>2.4</v>
      </c>
      <c r="L6" t="n">
        <v>-8.5</v>
      </c>
      <c r="M6" t="n">
        <v>-8.9</v>
      </c>
      <c r="N6" s="49" t="n">
        <v>-10.8</v>
      </c>
      <c r="O6" t="n">
        <v>0.8</v>
      </c>
      <c r="P6" t="n">
        <v>36.3</v>
      </c>
    </row>
    <row r="7" ht="15.75" customHeight="1" s="99">
      <c r="F7" t="n">
        <v>2020</v>
      </c>
      <c r="G7" t="n">
        <v>-12.6</v>
      </c>
      <c r="H7" t="n">
        <v>10.9</v>
      </c>
      <c r="I7" t="n">
        <v>-22.7</v>
      </c>
      <c r="J7" t="n">
        <v>28.1</v>
      </c>
      <c r="K7" t="n">
        <v>-21.3</v>
      </c>
      <c r="L7" t="n">
        <v>5.6</v>
      </c>
      <c r="M7" t="n">
        <v>7</v>
      </c>
      <c r="N7" s="49" t="n">
        <v>1.2</v>
      </c>
      <c r="O7" t="n">
        <v>8.1</v>
      </c>
      <c r="P7" t="n">
        <v>29.7</v>
      </c>
    </row>
    <row r="8">
      <c r="F8" t="n">
        <v>2021</v>
      </c>
      <c r="G8" t="n">
        <v>-18.3</v>
      </c>
      <c r="H8" t="n">
        <v>-8.699999999999999</v>
      </c>
      <c r="I8" t="n">
        <v>-25.5</v>
      </c>
      <c r="J8" t="n">
        <v>18.1</v>
      </c>
      <c r="K8" t="n">
        <v>-12</v>
      </c>
      <c r="L8" t="n">
        <v>8.1</v>
      </c>
      <c r="M8" t="n">
        <v>7.5</v>
      </c>
      <c r="N8" t="n">
        <v>-1.6</v>
      </c>
      <c r="O8" t="n">
        <v>4.1</v>
      </c>
      <c r="P8" t="n">
        <v>30.1</v>
      </c>
    </row>
    <row r="9">
      <c r="A9" s="98" t="inlineStr">
        <is>
          <t>Figure Rules</t>
        </is>
      </c>
      <c r="F9" t="n">
        <v>2022</v>
      </c>
      <c r="G9" s="46" t="inlineStr">
        <is>
          <t>-1.0</t>
        </is>
      </c>
      <c r="H9" s="46" t="inlineStr">
        <is>
          <t>-7.7</t>
        </is>
      </c>
      <c r="I9" s="46" t="inlineStr">
        <is>
          <t>-20.8</t>
        </is>
      </c>
      <c r="J9" s="46" t="inlineStr">
        <is>
          <t>12.2</t>
        </is>
      </c>
      <c r="K9" s="46" t="inlineStr">
        <is>
          <t>0.8</t>
        </is>
      </c>
      <c r="L9" s="46" t="inlineStr">
        <is>
          <t>-3.0</t>
        </is>
      </c>
      <c r="M9" s="46" t="inlineStr">
        <is>
          <t>8.2</t>
        </is>
      </c>
      <c r="N9" s="46" t="inlineStr">
        <is>
          <t>-0.8</t>
        </is>
      </c>
      <c r="O9" s="46" t="inlineStr">
        <is>
          <t>7.1</t>
        </is>
      </c>
      <c r="P9" t="n">
        <v>29.5</v>
      </c>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Rate per 10,000</t>
        </is>
      </c>
      <c r="F14" s="46" t="n"/>
      <c r="G14" s="48" t="n"/>
      <c r="H14" s="47" t="n"/>
      <c r="I14" s="47" t="n"/>
      <c r="J14" s="47" t="n"/>
      <c r="K14" s="47" t="n"/>
      <c r="L14" s="47" t="n"/>
      <c r="M14" s="47" t="n"/>
      <c r="N14" s="47" t="n"/>
      <c r="O14" s="46" t="n"/>
    </row>
    <row r="15">
      <c r="A15" t="inlineStr">
        <is>
          <t>Start at Zero</t>
        </is>
      </c>
      <c r="B15" t="b">
        <v>0</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NYS Prevention Agenda Tracking Dashboard, July 2025 sourced from NY Statewide Planning and Research Cooperative
System https://apps.health.ny.gov/public/tabvis/PHIG_Public/pa/reports/#county</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O4: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0.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Index of Factors that Contribute to a Healthy Food Environment, 2018, 2019, and 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row>
    <row r="5">
      <c r="A5" s="98" t="inlineStr">
        <is>
          <t>Table Rules</t>
        </is>
      </c>
      <c r="E5" s="100"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c r="O5" s="46" t="n"/>
    </row>
    <row r="6" ht="15" customHeight="1" s="99">
      <c r="A6" t="inlineStr">
        <is>
          <t>Multilevel Headers</t>
        </is>
      </c>
      <c r="B6" t="b">
        <v>0</v>
      </c>
      <c r="F6" t="n">
        <v>2018</v>
      </c>
      <c r="G6" t="n">
        <v>8.6</v>
      </c>
      <c r="H6" t="n">
        <v>8.6</v>
      </c>
      <c r="I6" t="n">
        <v>8.199999999999999</v>
      </c>
      <c r="J6" t="n">
        <v>8.699999999999999</v>
      </c>
      <c r="K6" t="n">
        <v>8.199999999999999</v>
      </c>
      <c r="L6" t="n">
        <v>8</v>
      </c>
      <c r="M6" t="n">
        <v>9.199999999999999</v>
      </c>
      <c r="N6" s="49" t="n">
        <v>9</v>
      </c>
    </row>
    <row r="7" ht="15.75" customHeight="1" s="99">
      <c r="F7" t="n">
        <v>2019</v>
      </c>
      <c r="G7" t="n">
        <v>8.6</v>
      </c>
      <c r="H7" t="n">
        <v>8.5</v>
      </c>
      <c r="I7" t="n">
        <v>9</v>
      </c>
      <c r="J7" t="n">
        <v>8.699999999999999</v>
      </c>
      <c r="K7" t="n">
        <v>8.300000000000001</v>
      </c>
      <c r="L7" t="n">
        <v>8.1</v>
      </c>
      <c r="M7" t="n">
        <v>9.300000000000001</v>
      </c>
      <c r="N7" s="49" t="n">
        <v>9</v>
      </c>
    </row>
    <row r="8">
      <c r="F8" t="n">
        <v>2022</v>
      </c>
      <c r="G8" t="n">
        <v>8.699999999999999</v>
      </c>
      <c r="H8" t="n">
        <v>8.4</v>
      </c>
      <c r="I8" t="n">
        <v>9</v>
      </c>
      <c r="J8" t="n">
        <v>8.6</v>
      </c>
      <c r="K8" t="n">
        <v>8.300000000000001</v>
      </c>
      <c r="L8" t="n">
        <v>8.1</v>
      </c>
      <c r="M8" t="n">
        <v>9.300000000000001</v>
      </c>
      <c r="N8" t="n">
        <v>8.699999999999999</v>
      </c>
    </row>
    <row r="9">
      <c r="A9" s="98" t="inlineStr">
        <is>
          <t>Figure Rules</t>
        </is>
      </c>
      <c r="G9" s="46" t="n"/>
      <c r="H9" s="46" t="n"/>
      <c r="I9" s="46" t="n"/>
      <c r="J9" s="46" t="n"/>
      <c r="K9" s="46" t="n"/>
      <c r="L9" s="46" t="n"/>
      <c r="M9" s="46" t="n"/>
      <c r="N9" s="46" t="n"/>
      <c r="O9" s="46" t="n"/>
    </row>
    <row r="10">
      <c r="A10" t="inlineStr">
        <is>
          <t>Figure Type</t>
        </is>
      </c>
      <c r="B10" t="inlineStr">
        <is>
          <t>Clustered Bar</t>
        </is>
      </c>
      <c r="F10" s="46" t="n"/>
      <c r="G10" s="47" t="n"/>
      <c r="H10" s="47" t="n"/>
      <c r="I10" s="47" t="n"/>
      <c r="J10" s="47" t="n"/>
      <c r="K10" s="47" t="n"/>
      <c r="L10" s="47" t="n"/>
      <c r="M10" s="47" t="n"/>
      <c r="N10" s="47" t="n"/>
      <c r="O10" s="46" t="n"/>
    </row>
    <row r="11">
      <c r="A11" t="inlineStr">
        <is>
          <t>X Column</t>
        </is>
      </c>
      <c r="B11" t="inlineStr">
        <is>
          <t>County</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Percent</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B16" t="b">
        <v>1</v>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O4:P4" showDropDown="0" showInputMessage="1" showErrorMessage="1" allowBlank="1" type="list">
      <formula1>"integer, number, percent1"</formula1>
    </dataValidation>
  </dataValidations>
  <pageMargins left="0.75" right="0.75" top="1" bottom="1" header="0.5" footer="0.5"/>
</worksheet>
</file>

<file path=xl/worksheets/sheet131.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Percentage of Population with Limited Access to Healthy Foods, 2015 and 2019</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row>
    <row r="5">
      <c r="A5" s="98" t="inlineStr">
        <is>
          <t>Table Rules</t>
        </is>
      </c>
      <c r="E5" s="100"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c r="O5" s="46" t="n"/>
    </row>
    <row r="6" ht="15" customHeight="1" s="99">
      <c r="A6" t="inlineStr">
        <is>
          <t>Multilevel Headers</t>
        </is>
      </c>
      <c r="B6" t="b">
        <v>0</v>
      </c>
      <c r="F6" t="n">
        <v>2015</v>
      </c>
      <c r="G6" s="14" t="n">
        <v>6.1</v>
      </c>
      <c r="H6" s="14" t="n">
        <v>6.4</v>
      </c>
      <c r="I6" s="14" t="n">
        <v>7.5</v>
      </c>
      <c r="J6" s="14" t="n">
        <v>3.7</v>
      </c>
      <c r="K6" s="14" t="n">
        <v>2.2</v>
      </c>
      <c r="L6" s="14" t="n">
        <v>7.5</v>
      </c>
      <c r="M6" s="14" t="n">
        <v>1.4</v>
      </c>
      <c r="N6" s="14" t="n">
        <v>3.7</v>
      </c>
    </row>
    <row r="7" ht="15.75" customHeight="1" s="99">
      <c r="F7" t="n">
        <v>2019</v>
      </c>
      <c r="G7" s="14" t="n">
        <v>5.7</v>
      </c>
      <c r="H7" s="14" t="n">
        <v>6</v>
      </c>
      <c r="I7" s="14" t="n">
        <v>6.7</v>
      </c>
      <c r="J7" s="14" t="n">
        <v>4.4</v>
      </c>
      <c r="K7" s="14" t="n">
        <v>2.9</v>
      </c>
      <c r="L7" s="14" t="n">
        <v>6.1</v>
      </c>
      <c r="M7" s="14" t="n">
        <v>1.4</v>
      </c>
      <c r="N7" s="14" t="n">
        <v>2</v>
      </c>
    </row>
    <row r="8">
      <c r="G8" s="14" t="n"/>
      <c r="H8" s="14" t="n"/>
      <c r="I8" s="14" t="n"/>
      <c r="J8" s="14" t="n"/>
      <c r="K8" s="14" t="n"/>
      <c r="L8" s="14" t="n"/>
      <c r="M8" s="14" t="n"/>
      <c r="N8" s="14" t="n"/>
    </row>
    <row r="9">
      <c r="A9" s="98" t="inlineStr">
        <is>
          <t>Figure Rules</t>
        </is>
      </c>
      <c r="G9" s="46" t="n"/>
      <c r="H9" s="46" t="n"/>
      <c r="I9" s="46" t="n"/>
      <c r="J9" s="46" t="n"/>
      <c r="K9" s="46" t="n"/>
      <c r="L9" s="46" t="n"/>
      <c r="M9" s="46" t="n"/>
      <c r="N9" s="46" t="n"/>
      <c r="O9" s="46" t="n"/>
    </row>
    <row r="10">
      <c r="A10" t="inlineStr">
        <is>
          <t>Figure Type</t>
        </is>
      </c>
      <c r="B10" t="inlineStr">
        <is>
          <t>Clustered Bar</t>
        </is>
      </c>
      <c r="F10" s="46" t="n"/>
      <c r="G10" s="47" t="n"/>
      <c r="H10" s="47" t="n"/>
      <c r="I10" s="47" t="n"/>
      <c r="J10" s="47" t="n"/>
      <c r="K10" s="47" t="n"/>
      <c r="L10" s="47" t="n"/>
      <c r="M10" s="47" t="n"/>
      <c r="N10" s="47" t="n"/>
      <c r="O10" s="46" t="n"/>
    </row>
    <row r="11">
      <c r="A11" t="inlineStr">
        <is>
          <t>X Column</t>
        </is>
      </c>
      <c r="B11" t="inlineStr">
        <is>
          <t>County</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Percent</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University of Wisconsin Population Health Institute. County Health Rankings &amp; Roadmaps, July 2025 sourced from US
Department of Agriculture - Food Environment Atlas and Feeding America - Map the Meal Gap
https://www.countyhealthrankings.org/health-data/new-york?year=2025&amp;measure=Food+Environment+Index&amp;tab=1</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O4: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2.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Violent Crimes, Rate per 100,000 Population, 2018–2021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 excl NYC</t>
        </is>
      </c>
      <c r="O5" s="46" t="inlineStr">
        <is>
          <t>NYS</t>
        </is>
      </c>
    </row>
    <row r="6" ht="15" customHeight="1" s="99">
      <c r="A6" t="inlineStr">
        <is>
          <t>Multilevel Headers</t>
        </is>
      </c>
      <c r="B6" t="b">
        <v>0</v>
      </c>
      <c r="F6" t="n">
        <v>2018</v>
      </c>
      <c r="G6" s="14" t="n">
        <v>186.4</v>
      </c>
      <c r="H6" s="14" t="n">
        <v>210.7</v>
      </c>
      <c r="I6" s="14" t="n">
        <v>55.4</v>
      </c>
      <c r="J6" s="14" t="n">
        <v>113.5</v>
      </c>
      <c r="K6" s="14" t="n">
        <v>264.2</v>
      </c>
      <c r="L6" s="14" t="n">
        <v>161.1</v>
      </c>
      <c r="M6" s="14" t="n">
        <v>173.6</v>
      </c>
      <c r="N6" s="14" t="n">
        <v>204</v>
      </c>
      <c r="O6" t="n">
        <v>351</v>
      </c>
    </row>
    <row r="7" ht="15.75" customHeight="1" s="99">
      <c r="F7" t="n">
        <v>2019</v>
      </c>
      <c r="G7" s="14" t="n">
        <v>194.8</v>
      </c>
      <c r="H7" s="14" t="n">
        <v>190.9</v>
      </c>
      <c r="I7" s="14" t="n">
        <v>49.9</v>
      </c>
      <c r="J7" s="14" t="n">
        <v>115.5</v>
      </c>
      <c r="K7" s="14" t="n">
        <v>249.9</v>
      </c>
      <c r="L7" s="14" t="n">
        <v>145.6</v>
      </c>
      <c r="M7" s="14" t="n">
        <v>169.3</v>
      </c>
      <c r="N7" s="14" t="n">
        <v>199.4</v>
      </c>
      <c r="O7" t="n">
        <v>359.4</v>
      </c>
    </row>
    <row r="8">
      <c r="F8" t="n">
        <v>2020</v>
      </c>
      <c r="G8" s="14" t="n">
        <v>198</v>
      </c>
      <c r="H8" s="14" t="n">
        <v>174.6</v>
      </c>
      <c r="I8" s="14" t="n">
        <v>37.9</v>
      </c>
      <c r="J8" s="14" t="n">
        <v>104.9</v>
      </c>
      <c r="K8" s="14" t="n">
        <v>196.7</v>
      </c>
      <c r="L8" s="14" t="n">
        <v>128.5</v>
      </c>
      <c r="M8" s="14" t="n">
        <v>164.4</v>
      </c>
      <c r="N8" s="14" t="n">
        <v>206.2</v>
      </c>
      <c r="O8" t="n">
        <v>365.7</v>
      </c>
    </row>
    <row r="9">
      <c r="A9" s="98" t="inlineStr">
        <is>
          <t>Figure Rules</t>
        </is>
      </c>
      <c r="F9" t="n">
        <v>2021</v>
      </c>
      <c r="G9" s="46" t="inlineStr">
        <is>
          <t>180.7</t>
        </is>
      </c>
      <c r="H9" s="46" t="inlineStr">
        <is>
          <t>192.4</t>
        </is>
      </c>
      <c r="I9" s="46" t="inlineStr">
        <is>
          <t>48.5</t>
        </is>
      </c>
      <c r="J9" s="46" t="inlineStr">
        <is>
          <t>97.9</t>
        </is>
      </c>
      <c r="K9" s="46" t="inlineStr">
        <is>
          <t>168.8</t>
        </is>
      </c>
      <c r="L9" s="46" t="inlineStr">
        <is>
          <t>130.9</t>
        </is>
      </c>
      <c r="M9" s="46" t="inlineStr">
        <is>
          <t>151.5</t>
        </is>
      </c>
      <c r="N9" s="46" t="inlineStr">
        <is>
          <t>201.3</t>
        </is>
      </c>
      <c r="O9" s="46" t="inlineStr">
        <is>
          <t>384.4</t>
        </is>
      </c>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Rate per 100,000</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NYS Division of Criminal Justice Services, Uniform Crime and Incident-Based Reporting System, July 2025
https://www.criminaljustice.ny.gov/crimnet/ojsa/countycrimestats.htm</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33.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Average Daily Density of Fine Particulate Matter, 2014, 2016, 2018, and 2020</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c r="O5" s="46" t="n"/>
    </row>
    <row r="6" ht="15" customHeight="1" s="99">
      <c r="A6" t="inlineStr">
        <is>
          <t>Multilevel Headers</t>
        </is>
      </c>
      <c r="B6" t="b">
        <v>0</v>
      </c>
      <c r="F6" t="n">
        <v>2014</v>
      </c>
      <c r="G6" s="14" t="n">
        <v>9.300000000000001</v>
      </c>
      <c r="H6" s="14" t="n">
        <v>9</v>
      </c>
      <c r="I6" s="14" t="n">
        <v>9.300000000000001</v>
      </c>
      <c r="J6" s="14" t="n">
        <v>9.699999999999999</v>
      </c>
      <c r="K6" s="14" t="n">
        <v>8.4</v>
      </c>
      <c r="L6" s="14" t="n">
        <v>8.9</v>
      </c>
      <c r="M6" s="14" t="n">
        <v>10.4</v>
      </c>
      <c r="N6" s="14" t="n">
        <v>8.5</v>
      </c>
    </row>
    <row r="7" ht="15.75" customHeight="1" s="99">
      <c r="F7" t="n">
        <v>2016</v>
      </c>
      <c r="G7" s="14" t="n">
        <v>7.9</v>
      </c>
      <c r="H7" s="14" t="n">
        <v>6.2</v>
      </c>
      <c r="I7" s="14" t="n">
        <v>8</v>
      </c>
      <c r="J7" s="14" t="n">
        <v>8.5</v>
      </c>
      <c r="K7" s="14" t="n">
        <v>7.3</v>
      </c>
      <c r="L7" s="14" t="n">
        <v>7.5</v>
      </c>
      <c r="M7" s="14" t="n">
        <v>9</v>
      </c>
      <c r="N7" s="14" t="n">
        <v>6.6</v>
      </c>
    </row>
    <row r="8">
      <c r="F8" t="n">
        <v>2018</v>
      </c>
      <c r="G8" s="14" t="n">
        <v>7.7</v>
      </c>
      <c r="H8" s="14" t="n">
        <v>6.4</v>
      </c>
      <c r="I8" s="14" t="n">
        <v>7.9</v>
      </c>
      <c r="J8" s="14" t="n">
        <v>8.800000000000001</v>
      </c>
      <c r="K8" s="14" t="n">
        <v>7.2</v>
      </c>
      <c r="L8" s="14" t="n">
        <v>7.4</v>
      </c>
      <c r="M8" s="14" t="n">
        <v>9.300000000000001</v>
      </c>
      <c r="N8" s="14" t="n">
        <v>6.9</v>
      </c>
    </row>
    <row r="9">
      <c r="A9" s="98" t="inlineStr">
        <is>
          <t>Figure Rules</t>
        </is>
      </c>
      <c r="F9" t="n">
        <v>2020</v>
      </c>
      <c r="G9" s="46" t="inlineStr">
        <is>
          <t>8.3</t>
        </is>
      </c>
      <c r="H9" s="46" t="inlineStr">
        <is>
          <t>8.1</t>
        </is>
      </c>
      <c r="I9" s="46" t="inlineStr">
        <is>
          <t>8.2</t>
        </is>
      </c>
      <c r="J9" s="46" t="inlineStr">
        <is>
          <t>8.4</t>
        </is>
      </c>
      <c r="K9" s="46" t="inlineStr">
        <is>
          <t>6.9</t>
        </is>
      </c>
      <c r="L9" s="46" t="inlineStr">
        <is>
          <t>8.0</t>
        </is>
      </c>
      <c r="M9" s="46" t="inlineStr">
        <is>
          <t>8.8</t>
        </is>
      </c>
      <c r="N9" s="46" t="inlineStr">
        <is>
          <t>6.9</t>
        </is>
      </c>
      <c r="O9" s="46" t="n"/>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Micrograms per Cubic Meter</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University of Wisconsin Population Health Institute. County Health Rankings &amp; Roadmaps, July 2025 sourced from US Environmental Protection Agency's Air Quality System - Environmental Public Health Tracking Network https://www.countyhealthrankings.org/health-data/new-york?year=2025&amp;measure=Air+Pollution%3A+Particulate+Matter&amp;tab=1</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4.xml><?xml version="1.0" encoding="utf-8"?>
<worksheet xmlns="http://schemas.openxmlformats.org/spreadsheetml/2006/main">
  <sheetPr>
    <outlinePr summaryBelow="1" summaryRight="1"/>
    <pageSetUpPr/>
  </sheetPr>
  <dimension ref="A1:P57"/>
  <sheetViews>
    <sheetView topLeftCell="A2"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Percentage of Children Tested for Lead Before 36 Months of Age, 2013, 2016, 2017, and 2019</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Mid-Hudson</t>
        </is>
      </c>
      <c r="O5" s="46" t="inlineStr">
        <is>
          <t>NYS</t>
        </is>
      </c>
    </row>
    <row r="6" ht="15" customHeight="1" s="99">
      <c r="A6" t="inlineStr">
        <is>
          <t>Multilevel Headers</t>
        </is>
      </c>
      <c r="B6" t="b">
        <v>0</v>
      </c>
      <c r="F6" t="n">
        <v>2013</v>
      </c>
      <c r="G6" s="14" t="n">
        <v>57.2</v>
      </c>
      <c r="H6" s="14" t="n">
        <v>53.4</v>
      </c>
      <c r="I6" s="14" t="n">
        <v>61.3</v>
      </c>
      <c r="J6" s="14" t="n">
        <v>71.3</v>
      </c>
      <c r="K6" s="14" t="n">
        <v>36.4</v>
      </c>
      <c r="L6" s="14" t="n">
        <v>51.7</v>
      </c>
      <c r="M6" s="14" t="n">
        <v>65.5</v>
      </c>
      <c r="N6" s="14" t="n">
        <v>61.6</v>
      </c>
      <c r="O6" t="n">
        <v>62.8</v>
      </c>
    </row>
    <row r="7" ht="15.75" customHeight="1" s="99">
      <c r="F7" t="n">
        <v>2016</v>
      </c>
      <c r="G7" s="14" t="n">
        <v>58.8</v>
      </c>
      <c r="H7" s="14" t="n">
        <v>52.3</v>
      </c>
      <c r="I7" s="14" t="n">
        <v>62.4</v>
      </c>
      <c r="J7" s="14" t="n">
        <v>60.3</v>
      </c>
      <c r="K7" s="14" t="n">
        <v>46.1</v>
      </c>
      <c r="L7" s="14" t="n">
        <v>53.5</v>
      </c>
      <c r="M7" s="14" t="n">
        <v>64.3</v>
      </c>
      <c r="N7" s="14" t="n">
        <v>59.4</v>
      </c>
      <c r="O7" t="n">
        <v>63.3</v>
      </c>
    </row>
    <row r="8">
      <c r="F8" t="n">
        <v>2017</v>
      </c>
      <c r="G8" s="14" t="n">
        <v>60.7</v>
      </c>
      <c r="H8" s="14" t="n">
        <v>51</v>
      </c>
      <c r="I8" s="14" t="n">
        <v>60.8</v>
      </c>
      <c r="J8" s="14" t="n">
        <v>57</v>
      </c>
      <c r="K8" s="14" t="n">
        <v>44.4</v>
      </c>
      <c r="L8" s="14" t="n">
        <v>55.3</v>
      </c>
      <c r="M8" s="14" t="n">
        <v>63.6</v>
      </c>
      <c r="N8" s="14" t="n">
        <v>58.4</v>
      </c>
      <c r="O8" t="n">
        <v>62.4</v>
      </c>
    </row>
    <row r="9">
      <c r="A9" s="98" t="inlineStr">
        <is>
          <t>Figure Rules</t>
        </is>
      </c>
      <c r="F9" t="n">
        <v>2019</v>
      </c>
      <c r="G9" s="46" t="inlineStr">
        <is>
          <t>53.3</t>
        </is>
      </c>
      <c r="H9" s="46" t="inlineStr">
        <is>
          <t>41.4</t>
        </is>
      </c>
      <c r="I9" s="46" t="inlineStr">
        <is>
          <t>58.0</t>
        </is>
      </c>
      <c r="J9" s="46" t="inlineStr">
        <is>
          <t>43.8</t>
        </is>
      </c>
      <c r="K9" s="46" t="inlineStr">
        <is>
          <t>36.6</t>
        </is>
      </c>
      <c r="L9" s="46" t="inlineStr">
        <is>
          <t>49.5</t>
        </is>
      </c>
      <c r="M9" s="46" t="inlineStr">
        <is>
          <t>60.2</t>
        </is>
      </c>
      <c r="N9" s="46" t="inlineStr">
        <is>
          <t>50.9</t>
        </is>
      </c>
      <c r="O9" s="46" t="inlineStr">
        <is>
          <t>59.3</t>
        </is>
      </c>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Percent</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NYS Community Health Indicator Reports Dashboard, July 2025 sourced from NYS Child Health Lead Poisoning Prevention Program https://apps.health.ny.gov/public/tabvis/PHIG_Public/chirs/reports/#county</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35.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10"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Percentage of Households with Severe Housing Problems, 2017–2021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c r="O5" s="46" t="inlineStr">
        <is>
          <t>US</t>
        </is>
      </c>
    </row>
    <row r="6" ht="15" customHeight="1" s="99">
      <c r="A6" t="inlineStr">
        <is>
          <t>Multilevel Headers</t>
        </is>
      </c>
      <c r="B6" t="b">
        <v>0</v>
      </c>
      <c r="F6" t="inlineStr">
        <is>
          <t>2017–2021</t>
        </is>
      </c>
      <c r="G6" s="14" t="n">
        <v>17</v>
      </c>
      <c r="H6" s="14" t="n">
        <v>21</v>
      </c>
      <c r="I6" s="14" t="n">
        <v>17</v>
      </c>
      <c r="J6" s="14" t="n">
        <v>26</v>
      </c>
      <c r="K6" s="14" t="n">
        <v>16</v>
      </c>
      <c r="L6" s="14" t="n">
        <v>18</v>
      </c>
      <c r="M6" s="14" t="n">
        <v>22</v>
      </c>
      <c r="N6" s="14" t="n">
        <v>23</v>
      </c>
      <c r="O6" s="14" t="n">
        <v>17</v>
      </c>
    </row>
    <row r="7" ht="15.75" customHeight="1" s="99">
      <c r="G7" s="14" t="n"/>
      <c r="H7" s="14" t="n"/>
      <c r="I7" s="14" t="n"/>
      <c r="J7" s="14" t="n"/>
      <c r="K7" s="14" t="n"/>
      <c r="L7" s="14" t="n"/>
      <c r="M7" s="14" t="n"/>
      <c r="N7" s="14" t="n"/>
    </row>
    <row r="8">
      <c r="G8" s="14" t="n"/>
      <c r="H8" s="14" t="n"/>
      <c r="I8" s="14" t="n"/>
      <c r="J8" s="14" t="n"/>
      <c r="K8" s="14" t="n"/>
      <c r="L8" s="14" t="n"/>
      <c r="M8" s="14" t="n"/>
      <c r="N8" s="14" t="n"/>
    </row>
    <row r="9">
      <c r="A9" s="98" t="inlineStr">
        <is>
          <t>Figure Rules</t>
        </is>
      </c>
      <c r="G9" s="46" t="n"/>
      <c r="H9" s="46" t="n"/>
      <c r="I9" s="46" t="n"/>
      <c r="J9" s="46" t="n"/>
      <c r="K9" s="46" t="n"/>
      <c r="L9" s="46" t="n"/>
      <c r="M9" s="46" t="n"/>
      <c r="N9" s="46" t="n"/>
      <c r="O9" s="46" t="n"/>
    </row>
    <row r="10">
      <c r="A10" t="inlineStr">
        <is>
          <t>Figure Type</t>
        </is>
      </c>
      <c r="B10" t="inlineStr">
        <is>
          <t>Bar</t>
        </is>
      </c>
      <c r="F10" s="46" t="n"/>
      <c r="G10" s="47" t="n"/>
      <c r="H10" s="47" t="n"/>
      <c r="I10" s="47" t="n"/>
      <c r="J10" s="47" t="n"/>
      <c r="K10" s="47" t="n"/>
      <c r="L10" s="47" t="n"/>
      <c r="M10" s="47" t="n"/>
      <c r="N10" s="47" t="n"/>
      <c r="O10" s="46" t="n"/>
    </row>
    <row r="11">
      <c r="A11" t="inlineStr">
        <is>
          <t>X Column</t>
        </is>
      </c>
      <c r="B11" t="inlineStr">
        <is>
          <t>County</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Percent</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University of Wisconsin Population Health Institute. County Health Rankings &amp; Roadmaps, July 2025 sourced from US Census Bureau, Comprehensive Housing Affordability Strategy data https://www.countyhealthrankings.org/health-data/newyork?year=2025&amp;measure=Severe+Housing+Problems&amp;tab=1https%3A%2F%2Fwebbi1.health.ny.gov%2FSASStoredProcess%2Fguest %3F_program%3D%2FEBI%2FPHIG%2Fapps%2Fchir_dashboard%2Fchir_dashboard&amp;p=it&amp;ind_id=Cg27</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36.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Percentage of Households with No Vehicles Available, 2021–2023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row>
    <row r="5">
      <c r="A5" s="98" t="inlineStr">
        <is>
          <t>Table Rules</t>
        </is>
      </c>
      <c r="E5" s="100" t="inlineStr">
        <is>
          <t xml:space="preserve">Enter Data </t>
        </is>
      </c>
      <c r="F5"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c r="O5" s="46" t="n"/>
    </row>
    <row r="6" ht="15" customHeight="1" s="99">
      <c r="A6" t="inlineStr">
        <is>
          <t>Multilevel Headers</t>
        </is>
      </c>
      <c r="B6" t="b">
        <v>0</v>
      </c>
      <c r="F6" t="n">
        <v>2021</v>
      </c>
      <c r="G6" s="14" t="n">
        <v>7.2</v>
      </c>
      <c r="H6" s="14" t="n">
        <v>8.9</v>
      </c>
      <c r="I6" s="14" t="n">
        <v>4.7</v>
      </c>
      <c r="J6" s="14" t="n">
        <v>10.4</v>
      </c>
      <c r="K6" s="14" t="n">
        <v>10.4</v>
      </c>
      <c r="L6" s="14" t="n">
        <v>6.8</v>
      </c>
      <c r="M6" s="14" t="n">
        <v>14.3</v>
      </c>
      <c r="N6" s="14" t="n">
        <v>28.9</v>
      </c>
    </row>
    <row r="7" ht="15.75" customHeight="1" s="99">
      <c r="F7" t="n">
        <v>2022</v>
      </c>
      <c r="G7" s="14" t="n">
        <v>7.2</v>
      </c>
      <c r="H7" s="14" t="n">
        <v>8.6</v>
      </c>
      <c r="I7" s="14" t="n">
        <v>4.1</v>
      </c>
      <c r="J7" s="14" t="n">
        <v>9.9</v>
      </c>
      <c r="K7" s="14" t="n">
        <v>9.9</v>
      </c>
      <c r="L7" s="14" t="n">
        <v>7.2</v>
      </c>
      <c r="M7" s="14" t="n">
        <v>14.2</v>
      </c>
      <c r="N7" s="14" t="n">
        <v>29</v>
      </c>
    </row>
    <row r="8">
      <c r="F8" t="n">
        <v>2023</v>
      </c>
      <c r="G8" s="14" t="n">
        <v>7</v>
      </c>
      <c r="H8" s="14" t="n">
        <v>8.6</v>
      </c>
      <c r="I8" s="14" t="n">
        <v>4.2</v>
      </c>
      <c r="J8" s="14" t="n">
        <v>9.699999999999999</v>
      </c>
      <c r="K8" s="14" t="n">
        <v>8.800000000000001</v>
      </c>
      <c r="L8" s="14" t="n">
        <v>7.5</v>
      </c>
      <c r="M8" s="14" t="n">
        <v>14.2</v>
      </c>
      <c r="N8" s="14" t="n">
        <v>29</v>
      </c>
    </row>
    <row r="9">
      <c r="A9" s="98" t="inlineStr">
        <is>
          <t>Figure Rules</t>
        </is>
      </c>
      <c r="G9" s="46" t="n"/>
      <c r="H9" s="46" t="n"/>
      <c r="I9" s="46" t="n"/>
      <c r="J9" s="46" t="n"/>
      <c r="K9" s="46" t="n"/>
      <c r="L9" s="46" t="n"/>
      <c r="M9" s="46" t="n"/>
      <c r="N9" s="46" t="n"/>
      <c r="O9" s="46" t="n"/>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Percent</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US Census Bureau; American Community Survey, 2023 American Community Survey 5-Year Estimates, Table DP04, April 2025 https://data.census.gov/table/ACSDP5Y2022.DP04?q=dp04&amp;g=050XX00US36105,36027,36071,36119,36087,36079,36111_04 0XX00US36</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7.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Percentage of Workers by Mode of Transportation to Work, 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c r="P4" s="16" t="n"/>
    </row>
    <row r="5">
      <c r="A5" s="98" t="inlineStr">
        <is>
          <t>Table Rules</t>
        </is>
      </c>
      <c r="E5" s="100" t="inlineStr">
        <is>
          <t xml:space="preserve">Enter Data </t>
        </is>
      </c>
      <c r="F5" s="46" t="inlineStr">
        <is>
          <t>County</t>
        </is>
      </c>
      <c r="G5" s="46" t="inlineStr">
        <is>
          <t>Drove Alone</t>
        </is>
      </c>
      <c r="H5" s="46" t="inlineStr">
        <is>
          <t>Carpooled</t>
        </is>
      </c>
      <c r="I5" s="46" t="inlineStr">
        <is>
          <t>Public transportation</t>
        </is>
      </c>
      <c r="J5" s="46" t="inlineStr">
        <is>
          <t>Walked</t>
        </is>
      </c>
      <c r="K5" s="46" t="inlineStr">
        <is>
          <t>Taxicab, motorcycle, bicycle, or other means</t>
        </is>
      </c>
      <c r="L5" s="46" t="inlineStr">
        <is>
          <t>Worked from home</t>
        </is>
      </c>
      <c r="M5" s="46" t="n"/>
      <c r="N5" s="46" t="n"/>
      <c r="O5" s="46" t="n"/>
    </row>
    <row r="6" ht="15" customHeight="1" s="99">
      <c r="A6" t="inlineStr">
        <is>
          <t>Multilevel Headers</t>
        </is>
      </c>
      <c r="B6" t="b">
        <v>0</v>
      </c>
      <c r="F6" t="inlineStr">
        <is>
          <t>Dutchess</t>
        </is>
      </c>
      <c r="G6" s="14" t="n">
        <v>71.40000000000001</v>
      </c>
      <c r="H6" s="14" t="n">
        <v>7.5</v>
      </c>
      <c r="I6" s="14" t="n">
        <v>3.7</v>
      </c>
      <c r="J6" s="14" t="n">
        <v>2.3</v>
      </c>
      <c r="K6" s="14" t="n">
        <v>1.7</v>
      </c>
      <c r="L6" s="14" t="n">
        <v>13.4</v>
      </c>
      <c r="M6" s="14" t="n"/>
      <c r="N6" s="14" t="n"/>
    </row>
    <row r="7" ht="15.75" customHeight="1" s="99">
      <c r="F7" t="inlineStr">
        <is>
          <t>Orange</t>
        </is>
      </c>
      <c r="G7" s="14" t="n">
        <v>69.8</v>
      </c>
      <c r="H7" s="14" t="n">
        <v>9.6</v>
      </c>
      <c r="I7" s="14" t="n">
        <v>4.4</v>
      </c>
      <c r="J7" s="14" t="n">
        <v>3.1</v>
      </c>
      <c r="K7" s="14" t="n">
        <v>2</v>
      </c>
      <c r="L7" s="14" t="n">
        <v>11.1</v>
      </c>
      <c r="M7" s="14" t="n"/>
      <c r="N7" s="14" t="n"/>
    </row>
    <row r="8">
      <c r="F8" t="inlineStr">
        <is>
          <t>Putnam</t>
        </is>
      </c>
      <c r="G8" s="14" t="n">
        <v>70.59999999999999</v>
      </c>
      <c r="H8" s="14" t="n">
        <v>7.6</v>
      </c>
      <c r="I8" s="14" t="n">
        <v>5.6</v>
      </c>
      <c r="J8" s="14" t="n">
        <v>1.5</v>
      </c>
      <c r="K8" s="14" t="n">
        <v>1</v>
      </c>
      <c r="L8" s="14" t="n">
        <v>13.7</v>
      </c>
      <c r="M8" s="14" t="n"/>
      <c r="N8" s="14" t="n"/>
    </row>
    <row r="9">
      <c r="A9" s="98" t="inlineStr">
        <is>
          <t>Figure Rules</t>
        </is>
      </c>
      <c r="F9" t="inlineStr">
        <is>
          <t>Rockland</t>
        </is>
      </c>
      <c r="G9" s="46" t="inlineStr">
        <is>
          <t>66.6</t>
        </is>
      </c>
      <c r="H9" s="46" t="inlineStr">
        <is>
          <t>8.5</t>
        </is>
      </c>
      <c r="I9" s="46" t="inlineStr">
        <is>
          <t>6.2</t>
        </is>
      </c>
      <c r="J9" s="46" t="inlineStr">
        <is>
          <t>3.1</t>
        </is>
      </c>
      <c r="K9" s="46" t="inlineStr">
        <is>
          <t>2.8</t>
        </is>
      </c>
      <c r="L9" s="46" t="inlineStr">
        <is>
          <t>12.7</t>
        </is>
      </c>
      <c r="M9" s="46" t="n"/>
      <c r="N9" s="46" t="n"/>
      <c r="O9" s="46" t="n"/>
    </row>
    <row r="10">
      <c r="A10" t="inlineStr">
        <is>
          <t>Figure Type</t>
        </is>
      </c>
      <c r="B10" t="inlineStr">
        <is>
          <t>Clustered Bar</t>
        </is>
      </c>
      <c r="F10" s="46" t="inlineStr">
        <is>
          <t>Sullivan</t>
        </is>
      </c>
      <c r="G10" s="47" t="inlineStr">
        <is>
          <t>74.1</t>
        </is>
      </c>
      <c r="H10" s="47" t="inlineStr">
        <is>
          <t>8.8</t>
        </is>
      </c>
      <c r="I10" s="47" t="inlineStr">
        <is>
          <t>1.2</t>
        </is>
      </c>
      <c r="J10" s="47" t="inlineStr">
        <is>
          <t>2.4</t>
        </is>
      </c>
      <c r="K10" s="47" t="inlineStr">
        <is>
          <t>1.9</t>
        </is>
      </c>
      <c r="L10" s="47" t="inlineStr">
        <is>
          <t>11.6</t>
        </is>
      </c>
      <c r="M10" s="47" t="n"/>
      <c r="N10" s="47" t="n"/>
      <c r="O10" s="46" t="n"/>
    </row>
    <row r="11">
      <c r="A11" t="inlineStr">
        <is>
          <t>X Column</t>
        </is>
      </c>
      <c r="B11" t="inlineStr">
        <is>
          <t>Category</t>
        </is>
      </c>
      <c r="F11" s="46" t="inlineStr">
        <is>
          <t>Ulster</t>
        </is>
      </c>
      <c r="G11" s="47" t="inlineStr">
        <is>
          <t>71.7</t>
        </is>
      </c>
      <c r="H11" s="47" t="inlineStr">
        <is>
          <t>6.7</t>
        </is>
      </c>
      <c r="I11" s="47" t="inlineStr">
        <is>
          <t>2.1</t>
        </is>
      </c>
      <c r="J11" s="47" t="inlineStr">
        <is>
          <t>2.4</t>
        </is>
      </c>
      <c r="K11" s="47" t="inlineStr">
        <is>
          <t>1.8</t>
        </is>
      </c>
      <c r="L11" s="47" t="inlineStr">
        <is>
          <t>15.3</t>
        </is>
      </c>
      <c r="M11" s="47" t="n"/>
      <c r="N11" s="47" t="n"/>
      <c r="O11" s="46" t="n"/>
    </row>
    <row r="12">
      <c r="A12" t="inlineStr">
        <is>
          <t>Y Column</t>
        </is>
      </c>
      <c r="F12" s="46" t="inlineStr">
        <is>
          <t>Westchester</t>
        </is>
      </c>
      <c r="G12" s="46" t="inlineStr">
        <is>
          <t>51.9</t>
        </is>
      </c>
      <c r="H12" s="46" t="inlineStr">
        <is>
          <t>7.2</t>
        </is>
      </c>
      <c r="I12" s="46" t="inlineStr">
        <is>
          <t>17.8</t>
        </is>
      </c>
      <c r="J12" s="46" t="inlineStr">
        <is>
          <t>3.7</t>
        </is>
      </c>
      <c r="K12" s="46" t="inlineStr">
        <is>
          <t>2.1</t>
        </is>
      </c>
      <c r="L12" s="46" t="inlineStr">
        <is>
          <t>17.3</t>
        </is>
      </c>
      <c r="M12" s="46" t="n"/>
      <c r="N12" s="46" t="n"/>
      <c r="O12" s="46" t="n"/>
    </row>
    <row r="13">
      <c r="A13" t="inlineStr">
        <is>
          <t>X Axis Title</t>
        </is>
      </c>
      <c r="F13" s="46" t="inlineStr">
        <is>
          <t>NYS</t>
        </is>
      </c>
      <c r="G13" s="46" t="inlineStr">
        <is>
          <t>50.0</t>
        </is>
      </c>
      <c r="H13" s="46" t="inlineStr">
        <is>
          <t>6.3</t>
        </is>
      </c>
      <c r="I13" s="46" t="inlineStr">
        <is>
          <t>22.4</t>
        </is>
      </c>
      <c r="J13" s="46" t="inlineStr">
        <is>
          <t>5.3</t>
        </is>
      </c>
      <c r="K13" s="46" t="inlineStr">
        <is>
          <t>2.6</t>
        </is>
      </c>
      <c r="L13" s="46" t="inlineStr">
        <is>
          <t>13.3</t>
        </is>
      </c>
      <c r="M13" s="46" t="n"/>
      <c r="N13" s="46" t="n"/>
      <c r="O13" s="46" t="n"/>
    </row>
    <row r="14">
      <c r="A14" t="inlineStr">
        <is>
          <t>Y Axis Title</t>
        </is>
      </c>
      <c r="B14" t="inlineStr">
        <is>
          <t>Percent</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US Census Bureau; American Community Survey, 2023 American Community Survey 5-Year Estimates, Table B08141, April 2025 https://data.census.gov/table/ACSDT5Y2023.B08141?q=b08141&amp;g=050XX00US36105,36027,36071,36119,36087,36079,3611 1_040XX00US36</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38.xml><?xml version="1.0" encoding="utf-8"?>
<worksheet xmlns="http://schemas.openxmlformats.org/spreadsheetml/2006/main">
  <sheetPr>
    <outlinePr summaryBelow="1" summaryRight="1"/>
    <pageSetUpPr/>
  </sheetPr>
  <dimension ref="A1:P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Mean Travel Time to Work, 2021–2023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s="82" t="inlineStr">
        <is>
          <t>Year</t>
        </is>
      </c>
      <c r="G5" s="46" t="inlineStr">
        <is>
          <t>Dutchess</t>
        </is>
      </c>
      <c r="H5" s="46" t="inlineStr">
        <is>
          <t>Orange</t>
        </is>
      </c>
      <c r="I5" s="46" t="inlineStr">
        <is>
          <t>Putnam</t>
        </is>
      </c>
      <c r="J5" s="46" t="inlineStr">
        <is>
          <t>Rockland</t>
        </is>
      </c>
      <c r="K5" s="46" t="inlineStr">
        <is>
          <t>Sullivan</t>
        </is>
      </c>
      <c r="L5" s="46" t="inlineStr">
        <is>
          <t>Ulster</t>
        </is>
      </c>
      <c r="M5" s="46" t="inlineStr">
        <is>
          <t>Westchester</t>
        </is>
      </c>
      <c r="N5" s="46" t="inlineStr">
        <is>
          <t>NYS</t>
        </is>
      </c>
      <c r="O5" s="46" t="n"/>
    </row>
    <row r="6" ht="15" customHeight="1" s="99">
      <c r="A6" t="inlineStr">
        <is>
          <t>Multilevel Headers</t>
        </is>
      </c>
      <c r="B6" t="b">
        <v>0</v>
      </c>
      <c r="F6" t="n">
        <v>2021</v>
      </c>
      <c r="G6" s="14" t="n">
        <v>32</v>
      </c>
      <c r="H6" s="14" t="n">
        <v>34.1</v>
      </c>
      <c r="I6" s="14" t="n">
        <v>39.2</v>
      </c>
      <c r="J6" s="14" t="n">
        <v>31.2</v>
      </c>
      <c r="K6" s="14" t="n">
        <v>28.6</v>
      </c>
      <c r="L6" s="14" t="n">
        <v>28.6</v>
      </c>
      <c r="M6" s="14" t="n">
        <v>34.8</v>
      </c>
      <c r="N6" s="14" t="n">
        <v>33.3</v>
      </c>
    </row>
    <row r="7" ht="15.75" customHeight="1" s="99">
      <c r="F7" t="n">
        <v>2022</v>
      </c>
      <c r="G7" s="14" t="n">
        <v>32.3</v>
      </c>
      <c r="H7" s="14" t="n">
        <v>34.1</v>
      </c>
      <c r="I7" s="14" t="n">
        <v>39.9</v>
      </c>
      <c r="J7" s="14" t="n">
        <v>31</v>
      </c>
      <c r="K7" s="14" t="n">
        <v>28.1</v>
      </c>
      <c r="L7" s="14" t="n">
        <v>28.1</v>
      </c>
      <c r="M7" s="14" t="n">
        <v>34.8</v>
      </c>
      <c r="N7" s="14" t="n">
        <v>33.2</v>
      </c>
    </row>
    <row r="8">
      <c r="F8" t="n">
        <v>2023</v>
      </c>
      <c r="G8" s="14" t="n">
        <v>31.4</v>
      </c>
      <c r="H8" s="14" t="n">
        <v>34.2</v>
      </c>
      <c r="I8" s="14" t="n">
        <v>39.5</v>
      </c>
      <c r="J8" s="14" t="n">
        <v>30.3</v>
      </c>
      <c r="K8" s="14" t="n">
        <v>27.8</v>
      </c>
      <c r="L8" s="14" t="n">
        <v>27.8</v>
      </c>
      <c r="M8" s="14" t="n">
        <v>34.7</v>
      </c>
      <c r="N8" s="14" t="n">
        <v>32.8</v>
      </c>
    </row>
    <row r="9">
      <c r="A9" s="98" t="inlineStr">
        <is>
          <t>Figure Rules</t>
        </is>
      </c>
      <c r="G9" s="46" t="n"/>
      <c r="H9" s="46" t="n"/>
      <c r="I9" s="46" t="n"/>
      <c r="J9" s="46" t="n"/>
      <c r="K9" s="46" t="n"/>
      <c r="L9" s="46" t="n"/>
      <c r="M9" s="46" t="n"/>
      <c r="N9" s="46" t="n"/>
      <c r="O9" s="46" t="n"/>
    </row>
    <row r="10">
      <c r="A10" t="inlineStr">
        <is>
          <t>Figure Type</t>
        </is>
      </c>
      <c r="B10" t="inlineStr">
        <is>
          <t>Line</t>
        </is>
      </c>
      <c r="F10" s="46" t="n"/>
      <c r="G10" s="47" t="n"/>
      <c r="H10" s="47" t="n"/>
      <c r="I10" s="47" t="n"/>
      <c r="J10" s="47" t="n"/>
      <c r="K10" s="47" t="n"/>
      <c r="L10" s="47" t="n"/>
      <c r="M10" s="47" t="n"/>
      <c r="N10" s="47" t="n"/>
      <c r="O10" s="46" t="n"/>
    </row>
    <row r="11">
      <c r="A11" t="inlineStr">
        <is>
          <t>X Column</t>
        </is>
      </c>
      <c r="B11" t="inlineStr">
        <is>
          <t>Period</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B14" t="inlineStr">
        <is>
          <t>Minutes</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c r="B25" t="inlineStr">
        <is>
          <t>Source: US Census Bureau; American Community Survey, 2023 American Community Survey 5-Year Estimates, Table DP03, April 2025 https://data.census.gov/table/ACSDP5Y2023.DP03?q=DP03&amp;g=050XX00US36105,36027,36071,36119,36087,36079,36111_04 0XX00US36</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3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10" defaultColWidth="8.83203125" defaultRowHeight="15"/>
  <sheetData/>
  <pageMargins left="0.7" right="0.7" top="0.75" bottom="0.75" header="0.3" footer="0.3"/>
</worksheet>
</file>

<file path=xl/worksheets/sheet140.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9" min="1" max="1"/>
    <col width="22.1640625" bestFit="1" customWidth="1" style="99" min="2" max="2"/>
    <col width="6.6640625" customWidth="1" style="99" min="5" max="5"/>
    <col width="9.5" bestFit="1" customWidth="1" style="99" min="6" max="6"/>
    <col width="9.5"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Dutchess County Resident Prevention Agenda Priority Area Voting, 2025</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s="46" t="inlineStr">
        <is>
          <t>Mental Wellbeing &amp; Substance Use</t>
        </is>
      </c>
      <c r="G5" s="46" t="inlineStr">
        <is>
          <t>Health Insurance Coverage &amp; Access to Care</t>
        </is>
      </c>
      <c r="H5" s="46" t="inlineStr">
        <is>
          <t>Safe &amp; Healthy Communities</t>
        </is>
      </c>
      <c r="I5" s="46" t="inlineStr">
        <is>
          <t>Healthy Children</t>
        </is>
      </c>
      <c r="J5" s="46" t="inlineStr">
        <is>
          <t>Student Success &amp; Educational Attainment</t>
        </is>
      </c>
      <c r="K5" s="46" t="inlineStr">
        <is>
          <t>Economic Wellbeing</t>
        </is>
      </c>
      <c r="L5" s="46" t="n"/>
      <c r="M5" s="46" t="n"/>
      <c r="N5" s="46" t="n"/>
      <c r="O5" s="46" t="n"/>
    </row>
    <row r="6" ht="15" customHeight="1" s="99">
      <c r="A6" t="inlineStr">
        <is>
          <t>Multilevel Headers</t>
        </is>
      </c>
      <c r="B6" t="b">
        <v>0</v>
      </c>
      <c r="F6" t="n">
        <v>412</v>
      </c>
      <c r="G6" s="14" t="n">
        <v>324</v>
      </c>
      <c r="H6" s="14" t="n">
        <v>265</v>
      </c>
      <c r="I6" s="14" t="n">
        <v>286</v>
      </c>
      <c r="J6" s="14" t="n">
        <v>206</v>
      </c>
      <c r="K6" s="14" t="n">
        <v>167</v>
      </c>
      <c r="L6" s="14" t="n"/>
      <c r="M6" s="14" t="n"/>
      <c r="N6" s="14" t="n"/>
    </row>
    <row r="7" ht="15.75" customHeight="1" s="99">
      <c r="G7" s="14" t="n"/>
      <c r="H7" s="14" t="n"/>
      <c r="I7" s="14" t="n"/>
      <c r="J7" s="14" t="n"/>
      <c r="K7" s="14" t="n"/>
      <c r="L7" s="14" t="n"/>
      <c r="M7" s="14" t="n"/>
      <c r="N7" s="14" t="n"/>
    </row>
    <row r="8">
      <c r="G8" s="14" t="n"/>
      <c r="H8" s="14" t="n"/>
      <c r="I8" s="14" t="n"/>
      <c r="J8" s="14" t="n"/>
      <c r="K8" s="14" t="n"/>
      <c r="L8" s="14" t="n"/>
      <c r="M8" s="14" t="n"/>
      <c r="N8" s="14" t="n"/>
    </row>
    <row r="9">
      <c r="A9" s="98" t="inlineStr">
        <is>
          <t>Figure Rules</t>
        </is>
      </c>
      <c r="G9" s="46" t="n"/>
      <c r="H9" s="46" t="n"/>
      <c r="I9" s="46" t="n"/>
      <c r="J9" s="46" t="n"/>
      <c r="K9" s="46" t="n"/>
      <c r="L9" s="46" t="n"/>
      <c r="M9" s="46" t="n"/>
      <c r="N9" s="46" t="n"/>
      <c r="O9" s="46" t="n"/>
    </row>
    <row r="10">
      <c r="A10" t="inlineStr">
        <is>
          <t>Figure Type</t>
        </is>
      </c>
      <c r="B10" t="inlineStr">
        <is>
          <t>Bar</t>
        </is>
      </c>
      <c r="F10" s="46" t="n"/>
      <c r="G10" s="47" t="n"/>
      <c r="H10" s="47" t="n"/>
      <c r="I10" s="47" t="n"/>
      <c r="J10" s="47" t="n"/>
      <c r="K10" s="47" t="n"/>
      <c r="L10" s="47" t="n"/>
      <c r="M10" s="47" t="n"/>
      <c r="N10" s="47" t="n"/>
      <c r="O10" s="46" t="n"/>
    </row>
    <row r="11">
      <c r="A11" t="inlineStr">
        <is>
          <t>X Column</t>
        </is>
      </c>
      <c r="B11" t="inlineStr">
        <is>
          <t>Category</t>
        </is>
      </c>
      <c r="F11" s="46" t="n"/>
      <c r="G11" s="47" t="n"/>
      <c r="H11" s="47" t="n"/>
      <c r="I11" s="47" t="n"/>
      <c r="J11" s="47" t="n"/>
      <c r="K11" s="47" t="n"/>
      <c r="L11" s="47" t="n"/>
      <c r="M11" s="47" t="n"/>
      <c r="N11" s="47" t="n"/>
      <c r="O11" s="46" t="n"/>
    </row>
    <row r="12">
      <c r="A12" t="inlineStr">
        <is>
          <t>Y Column</t>
        </is>
      </c>
      <c r="F12" s="46" t="n"/>
      <c r="G12" s="46" t="n"/>
      <c r="H12" s="46" t="n"/>
      <c r="I12" s="46" t="n"/>
      <c r="J12" s="46" t="n"/>
      <c r="K12" s="46" t="n"/>
      <c r="L12" s="46" t="n"/>
      <c r="M12" s="46" t="n"/>
      <c r="N12" s="46" t="n"/>
      <c r="O12" s="46" t="n"/>
    </row>
    <row r="13">
      <c r="A13" t="inlineStr">
        <is>
          <t>X Axis Title</t>
        </is>
      </c>
      <c r="F13" s="46" t="n"/>
      <c r="G13" s="46" t="n"/>
      <c r="H13" s="46" t="n"/>
      <c r="I13" s="46" t="n"/>
      <c r="J13" s="46" t="n"/>
      <c r="K13" s="46" t="n"/>
      <c r="L13" s="46" t="n"/>
      <c r="M13" s="46" t="n"/>
      <c r="N13" s="46" t="n"/>
      <c r="O13" s="46" t="n"/>
    </row>
    <row r="14">
      <c r="A14" t="inlineStr">
        <is>
          <t>Y Axis Title</t>
        </is>
      </c>
      <c r="F14" s="46" t="n"/>
      <c r="G14" s="48" t="n"/>
      <c r="H14" s="47" t="n"/>
      <c r="I14" s="47" t="n"/>
      <c r="J14" s="47" t="n"/>
      <c r="K14" s="47" t="n"/>
      <c r="L14" s="47" t="n"/>
      <c r="M14" s="47" t="n"/>
      <c r="N14" s="47" t="n"/>
      <c r="O14" s="46" t="n"/>
    </row>
    <row r="15">
      <c r="A15" t="inlineStr">
        <is>
          <t>Start at Zero</t>
        </is>
      </c>
      <c r="B15" t="b">
        <v>1</v>
      </c>
      <c r="F15" s="46" t="n"/>
      <c r="G15" s="48" t="n"/>
      <c r="H15" s="47" t="n"/>
      <c r="I15" s="47" t="n"/>
      <c r="J15" s="47" t="n"/>
      <c r="K15" s="47" t="n"/>
      <c r="L15" s="47" t="n"/>
      <c r="M15" s="47" t="n"/>
      <c r="N15" s="47" t="n"/>
      <c r="O15" s="46" t="n"/>
    </row>
    <row r="16">
      <c r="A16" t="inlineStr">
        <is>
          <t>Pivot For Chart</t>
        </is>
      </c>
      <c r="F16" s="46" t="n"/>
      <c r="G16" s="48" t="n"/>
      <c r="H16" s="47" t="n"/>
      <c r="I16" s="47" t="n"/>
      <c r="J16" s="47" t="n"/>
      <c r="K16" s="47" t="n"/>
      <c r="L16" s="47" t="n"/>
      <c r="M16" s="47" t="n"/>
      <c r="N16" s="47" t="n"/>
      <c r="O16" s="46" t="n"/>
    </row>
    <row r="17">
      <c r="F17" s="46" t="n"/>
      <c r="G17" s="48" t="n"/>
      <c r="H17" s="47" t="n"/>
      <c r="I17" s="47" t="n"/>
      <c r="J17" s="47" t="n"/>
      <c r="K17" s="47" t="n"/>
      <c r="L17" s="47" t="n"/>
      <c r="M17" s="47" t="n"/>
      <c r="N17" s="47" t="n"/>
      <c r="O17" s="46" t="n"/>
    </row>
    <row r="18">
      <c r="A18" s="98" t="inlineStr">
        <is>
          <t>Source Specifications</t>
        </is>
      </c>
      <c r="F18" s="46" t="n"/>
      <c r="G18" s="46" t="n"/>
      <c r="H18" s="46" t="n"/>
      <c r="I18" s="46" t="n"/>
      <c r="J18" s="46" t="n"/>
      <c r="K18" s="46" t="n"/>
      <c r="L18" s="46" t="n"/>
      <c r="M18" s="46" t="n"/>
      <c r="N18" s="46" t="n"/>
      <c r="O18" s="46" t="n"/>
    </row>
    <row r="19">
      <c r="A19" t="inlineStr">
        <is>
          <t>Table ID</t>
        </is>
      </c>
      <c r="F19" s="46" t="n"/>
      <c r="G19" s="46" t="n"/>
      <c r="H19" s="46" t="n"/>
      <c r="I19" s="46" t="n"/>
      <c r="J19" s="46" t="n"/>
      <c r="K19" s="46" t="n"/>
      <c r="L19" s="46" t="n"/>
      <c r="M19" s="46" t="n"/>
      <c r="N19" s="46" t="n"/>
      <c r="O19" s="46" t="n"/>
    </row>
    <row r="20">
      <c r="A20" t="inlineStr">
        <is>
          <t>URL</t>
        </is>
      </c>
      <c r="F20" s="46" t="n"/>
      <c r="G20" s="46" t="n"/>
      <c r="H20" s="46" t="n"/>
      <c r="I20" s="46" t="n"/>
      <c r="J20" s="46" t="n"/>
      <c r="K20" s="46" t="n"/>
      <c r="L20" s="46" t="n"/>
      <c r="M20" s="46" t="n"/>
      <c r="N20" s="46" t="n"/>
      <c r="O20" s="46" t="n"/>
    </row>
    <row r="21">
      <c r="A21" t="inlineStr">
        <is>
          <t>Data Year</t>
        </is>
      </c>
      <c r="F21" s="46" t="n"/>
      <c r="G21" s="46" t="n"/>
      <c r="H21" s="46" t="n"/>
      <c r="I21" s="46" t="n"/>
      <c r="J21" s="46" t="n"/>
      <c r="K21" s="46" t="n"/>
      <c r="L21" s="46" t="n"/>
      <c r="M21" s="46" t="n"/>
      <c r="N21" s="46" t="n"/>
      <c r="O21" s="46" t="n"/>
    </row>
    <row r="22">
      <c r="A22" t="inlineStr">
        <is>
          <t>Estimate Type</t>
        </is>
      </c>
    </row>
    <row r="23">
      <c r="A23" t="inlineStr">
        <is>
          <t>Citation Month</t>
        </is>
      </c>
    </row>
    <row r="24">
      <c r="A24" t="inlineStr">
        <is>
          <t>Citation Year</t>
        </is>
      </c>
    </row>
    <row r="25">
      <c r="A25" t="inlineStr">
        <is>
          <t>Custom Text</t>
        </is>
      </c>
    </row>
    <row r="26"/>
    <row r="27">
      <c r="A27" s="101" t="inlineStr">
        <is>
          <t>Note Specfications</t>
        </is>
      </c>
    </row>
    <row r="28"/>
    <row r="29"/>
    <row r="30"/>
    <row r="31"/>
    <row r="32"/>
    <row r="33"/>
    <row r="34"/>
    <row r="35"/>
    <row r="36"/>
    <row r="37"/>
    <row r="38"/>
    <row r="39"/>
    <row r="40"/>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41.xml><?xml version="1.0" encoding="utf-8"?>
<worksheet xmlns="http://schemas.openxmlformats.org/spreadsheetml/2006/main">
  <sheetPr>
    <outlinePr summaryBelow="1" summaryRight="1"/>
    <pageSetUpPr/>
  </sheetPr>
  <dimension ref="A1:P57"/>
  <sheetViews>
    <sheetView workbookViewId="0">
      <selection activeCell="F21" sqref="F21"/>
    </sheetView>
  </sheetViews>
  <sheetFormatPr baseColWidth="10" defaultColWidth="8.6640625" defaultRowHeight="15"/>
  <cols>
    <col width="20" bestFit="1" customWidth="1" style="99" min="1" max="1"/>
    <col width="22.1640625" bestFit="1" customWidth="1" style="99" min="2" max="2"/>
    <col width="6.6640625" customWidth="1" style="99" min="5" max="5"/>
    <col width="38" bestFit="1" customWidth="1" style="99" min="6" max="6"/>
    <col width="8" bestFit="1"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Rockland County Community Health Assessment Demographics</t>
        </is>
      </c>
    </row>
    <row r="2">
      <c r="A2" s="97" t="inlineStr">
        <is>
          <t>Table/Figure/Both</t>
        </is>
      </c>
      <c r="B2" t="inlineStr">
        <is>
          <t>Table</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number</t>
        </is>
      </c>
      <c r="H4" s="16" t="inlineStr">
        <is>
          <t>percent2</t>
        </is>
      </c>
      <c r="I4" s="16" t="n"/>
      <c r="J4" s="16" t="n"/>
      <c r="K4" s="16" t="n"/>
      <c r="L4" s="16" t="n"/>
      <c r="M4" s="16" t="n"/>
      <c r="N4" s="16" t="n"/>
      <c r="O4" s="16" t="n"/>
      <c r="P4" s="16" t="n"/>
    </row>
    <row r="5">
      <c r="A5" s="98" t="inlineStr">
        <is>
          <t>Table Rules</t>
        </is>
      </c>
      <c r="E5" s="100" t="inlineStr">
        <is>
          <t xml:space="preserve">Enter Data </t>
        </is>
      </c>
      <c r="F5" s="46" t="n"/>
      <c r="G5" s="46" t="inlineStr">
        <is>
          <t>Count</t>
        </is>
      </c>
      <c r="H5" s="46" t="inlineStr">
        <is>
          <t>Percent</t>
        </is>
      </c>
      <c r="J5" s="46" t="n"/>
      <c r="K5" s="46" t="n"/>
      <c r="L5" s="46" t="n"/>
      <c r="M5" s="46" t="n"/>
      <c r="N5" s="46" t="n"/>
      <c r="O5" s="46" t="n"/>
    </row>
    <row r="6" ht="15" customHeight="1" s="99">
      <c r="A6" t="inlineStr">
        <is>
          <t>Multilevel Headers</t>
        </is>
      </c>
      <c r="B6" t="b">
        <v>1</v>
      </c>
      <c r="F6" s="101" t="inlineStr">
        <is>
          <t>Sex</t>
        </is>
      </c>
      <c r="J6" s="14" t="n"/>
      <c r="K6" s="14" t="n"/>
      <c r="L6" s="14" t="n"/>
      <c r="M6" s="14" t="n"/>
      <c r="N6" s="14" t="n"/>
    </row>
    <row r="7" ht="15.75" customHeight="1" s="99">
      <c r="F7" s="116" t="inlineStr">
        <is>
          <t>Male</t>
        </is>
      </c>
      <c r="G7" s="116" t="n">
        <v>180</v>
      </c>
      <c r="H7" s="116" t="n">
        <v>29.9</v>
      </c>
      <c r="J7" s="14" t="n"/>
      <c r="K7" s="14" t="n"/>
      <c r="L7" s="14" t="n"/>
      <c r="M7" s="14" t="n"/>
      <c r="N7" s="14" t="n"/>
    </row>
    <row r="8">
      <c r="F8" s="116" t="inlineStr">
        <is>
          <t>Female</t>
        </is>
      </c>
      <c r="G8" s="116" t="n">
        <v>410</v>
      </c>
      <c r="H8" s="116" t="n">
        <v>68</v>
      </c>
      <c r="J8" s="14" t="n"/>
      <c r="K8" s="14" t="n"/>
      <c r="L8" s="14" t="n"/>
      <c r="M8" s="14" t="n"/>
      <c r="N8" s="14" t="n"/>
    </row>
    <row r="9">
      <c r="A9" s="98" t="inlineStr">
        <is>
          <t>Figure Rules</t>
        </is>
      </c>
      <c r="F9" s="101" t="inlineStr">
        <is>
          <t>Age</t>
        </is>
      </c>
      <c r="J9" s="46" t="n"/>
      <c r="K9" s="46" t="n"/>
      <c r="L9" s="46" t="n"/>
      <c r="M9" s="46" t="n"/>
      <c r="N9" s="46" t="n"/>
      <c r="O9" s="46" t="n"/>
    </row>
    <row r="10">
      <c r="A10" t="inlineStr">
        <is>
          <t>Figure Type</t>
        </is>
      </c>
      <c r="F10" s="116" t="inlineStr">
        <is>
          <t>18-29</t>
        </is>
      </c>
      <c r="G10" s="116" t="n">
        <v>90</v>
      </c>
      <c r="H10" s="116" t="n">
        <v>14.9</v>
      </c>
      <c r="J10" s="47" t="n"/>
      <c r="K10" s="47" t="n"/>
      <c r="L10" s="47" t="n"/>
      <c r="M10" s="47" t="n"/>
      <c r="N10" s="47" t="n"/>
      <c r="O10" s="46" t="n"/>
    </row>
    <row r="11">
      <c r="A11" t="inlineStr">
        <is>
          <t>X Column</t>
        </is>
      </c>
      <c r="F11" s="119" t="inlineStr">
        <is>
          <t>30-39</t>
        </is>
      </c>
      <c r="G11" s="119" t="inlineStr">
        <is>
          <t>122</t>
        </is>
      </c>
      <c r="H11" s="119" t="inlineStr">
        <is>
          <t>20.2%</t>
        </is>
      </c>
      <c r="J11" s="47" t="n"/>
      <c r="K11" s="47" t="n"/>
      <c r="L11" s="47" t="n"/>
      <c r="M11" s="47" t="n"/>
      <c r="N11" s="47" t="n"/>
      <c r="O11" s="46" t="n"/>
    </row>
    <row r="12">
      <c r="A12" t="inlineStr">
        <is>
          <t>Y Column</t>
        </is>
      </c>
      <c r="F12" s="47" t="inlineStr">
        <is>
          <t>40-49</t>
        </is>
      </c>
      <c r="G12" s="47" t="inlineStr">
        <is>
          <t>104</t>
        </is>
      </c>
      <c r="H12" s="47" t="inlineStr">
        <is>
          <t>17.2%</t>
        </is>
      </c>
      <c r="J12" s="46" t="n"/>
      <c r="K12" s="46" t="n"/>
      <c r="L12" s="46" t="n"/>
      <c r="M12" s="46" t="n"/>
      <c r="N12" s="46" t="n"/>
      <c r="O12" s="46" t="n"/>
    </row>
    <row r="13">
      <c r="A13" t="inlineStr">
        <is>
          <t>X Axis Title</t>
        </is>
      </c>
      <c r="F13" s="47" t="inlineStr">
        <is>
          <t>50-59</t>
        </is>
      </c>
      <c r="G13" s="47" t="inlineStr">
        <is>
          <t>102</t>
        </is>
      </c>
      <c r="H13" s="47" t="inlineStr">
        <is>
          <t>16.9%</t>
        </is>
      </c>
      <c r="I13" s="46" t="n"/>
      <c r="J13" s="46" t="n"/>
      <c r="K13" s="46" t="n"/>
      <c r="L13" s="46" t="n"/>
      <c r="M13" s="46" t="n"/>
      <c r="N13" s="46" t="n"/>
      <c r="O13" s="46" t="n"/>
    </row>
    <row r="14">
      <c r="A14" t="inlineStr">
        <is>
          <t>Y Axis Title</t>
        </is>
      </c>
      <c r="F14" s="119" t="inlineStr">
        <is>
          <t>60+</t>
        </is>
      </c>
      <c r="G14" s="119" t="inlineStr">
        <is>
          <t>185</t>
        </is>
      </c>
      <c r="H14" s="119" t="inlineStr">
        <is>
          <t>30.7%</t>
        </is>
      </c>
      <c r="I14" s="46" t="n"/>
      <c r="J14" s="47" t="n"/>
      <c r="K14" s="47" t="n"/>
      <c r="L14" s="47" t="n"/>
      <c r="M14" s="47" t="n"/>
      <c r="N14" s="47" t="n"/>
      <c r="O14" s="46" t="n"/>
    </row>
    <row r="15">
      <c r="A15" t="inlineStr">
        <is>
          <t>Start at Zero</t>
        </is>
      </c>
      <c r="F15" s="101" t="inlineStr">
        <is>
          <t>Race and Ethnicity</t>
        </is>
      </c>
      <c r="I15" s="46" t="n"/>
      <c r="J15" s="47" t="n"/>
      <c r="K15" s="47" t="n"/>
      <c r="L15" s="47" t="n"/>
      <c r="M15" s="47" t="n"/>
      <c r="N15" s="47" t="n"/>
      <c r="O15" s="46" t="n"/>
    </row>
    <row r="16">
      <c r="A16" t="inlineStr">
        <is>
          <t>Pivot For Chart</t>
        </is>
      </c>
      <c r="F16" s="101" t="inlineStr">
        <is>
          <t>White or Caucasian</t>
        </is>
      </c>
      <c r="G16" s="119" t="inlineStr">
        <is>
          <t>344</t>
        </is>
      </c>
      <c r="H16" s="119" t="inlineStr">
        <is>
          <t>55.2%</t>
        </is>
      </c>
      <c r="I16" s="46" t="n"/>
      <c r="J16" s="47" t="n"/>
      <c r="K16" s="47" t="n"/>
      <c r="L16" s="47" t="n"/>
      <c r="M16" s="47" t="n"/>
      <c r="N16" s="47" t="n"/>
      <c r="O16" s="46" t="n"/>
    </row>
    <row r="17">
      <c r="F17" s="101" t="inlineStr">
        <is>
          <t>Black or African American</t>
        </is>
      </c>
      <c r="G17" s="119" t="inlineStr">
        <is>
          <t>79</t>
        </is>
      </c>
      <c r="H17" s="119" t="inlineStr">
        <is>
          <t>12.7%</t>
        </is>
      </c>
      <c r="I17" s="46" t="n"/>
      <c r="J17" s="47" t="n"/>
      <c r="K17" s="47" t="n"/>
      <c r="L17" s="47" t="n"/>
      <c r="M17" s="47" t="n"/>
      <c r="N17" s="47" t="n"/>
      <c r="O17" s="46" t="n"/>
    </row>
    <row r="18">
      <c r="A18" s="98" t="inlineStr">
        <is>
          <t>Source Specifications</t>
        </is>
      </c>
      <c r="F18" s="101" t="inlineStr">
        <is>
          <t>Hispanic or Latino or Latinx</t>
        </is>
      </c>
      <c r="G18" s="119" t="inlineStr">
        <is>
          <t>88</t>
        </is>
      </c>
      <c r="H18" s="119" t="inlineStr">
        <is>
          <t>14.1%</t>
        </is>
      </c>
      <c r="I18" s="46" t="n"/>
      <c r="J18" s="46" t="n"/>
      <c r="K18" s="46" t="n"/>
      <c r="L18" s="46" t="n"/>
      <c r="M18" s="46" t="n"/>
      <c r="N18" s="46" t="n"/>
      <c r="O18" s="46" t="n"/>
    </row>
    <row r="19">
      <c r="A19" t="inlineStr">
        <is>
          <t>Table ID</t>
        </is>
      </c>
      <c r="F19" s="101" t="inlineStr">
        <is>
          <t>Asian or Asian American 25</t>
        </is>
      </c>
      <c r="G19" s="119" t="inlineStr">
        <is>
          <t>25</t>
        </is>
      </c>
      <c r="H19" s="119" t="inlineStr">
        <is>
          <t>4.0%</t>
        </is>
      </c>
      <c r="I19" s="46" t="n"/>
      <c r="J19" s="46" t="n"/>
      <c r="K19" s="46" t="n"/>
      <c r="L19" s="46" t="n"/>
      <c r="M19" s="46" t="n"/>
      <c r="N19" s="46" t="n"/>
      <c r="O19" s="46" t="n"/>
    </row>
    <row r="20">
      <c r="A20" t="inlineStr">
        <is>
          <t>URL</t>
        </is>
      </c>
      <c r="F20" s="101" t="inlineStr">
        <is>
          <t>American Indian or Alaskan Native</t>
        </is>
      </c>
      <c r="G20" s="119" t="inlineStr">
        <is>
          <t>2</t>
        </is>
      </c>
      <c r="H20" s="119" t="inlineStr">
        <is>
          <t>0.3%</t>
        </is>
      </c>
      <c r="I20" s="46" t="n"/>
      <c r="J20" s="46" t="n"/>
      <c r="K20" s="46" t="n"/>
      <c r="L20" s="46" t="n"/>
      <c r="M20" s="46" t="n"/>
      <c r="N20" s="46" t="n"/>
      <c r="O20" s="46" t="n"/>
    </row>
    <row r="21">
      <c r="A21" t="inlineStr">
        <is>
          <t>Data Year</t>
        </is>
      </c>
      <c r="F21" s="101" t="inlineStr">
        <is>
          <t>Native Hawaiian or Other Pacific Islander</t>
        </is>
      </c>
      <c r="G21" s="119" t="inlineStr">
        <is>
          <t>0</t>
        </is>
      </c>
      <c r="H21" s="119" t="inlineStr">
        <is>
          <t>0.0%</t>
        </is>
      </c>
      <c r="I21" s="46" t="n"/>
      <c r="J21" s="46" t="n"/>
      <c r="K21" s="46" t="n"/>
      <c r="L21" s="46" t="n"/>
      <c r="M21" s="46" t="n"/>
      <c r="N21" s="46" t="n"/>
      <c r="O21" s="46" t="n"/>
    </row>
    <row r="22">
      <c r="A22" t="inlineStr">
        <is>
          <t>Estimate Type</t>
        </is>
      </c>
      <c r="F22" s="101" t="inlineStr">
        <is>
          <t>2 or more selected</t>
        </is>
      </c>
      <c r="G22" s="119" t="inlineStr">
        <is>
          <t>10</t>
        </is>
      </c>
      <c r="H22" s="119" t="inlineStr">
        <is>
          <t>1.6%</t>
        </is>
      </c>
      <c r="I22" s="46" t="n"/>
    </row>
    <row r="23">
      <c r="A23" t="inlineStr">
        <is>
          <t>Citation Month</t>
        </is>
      </c>
      <c r="F23" s="101" t="inlineStr">
        <is>
          <t>Other</t>
        </is>
      </c>
      <c r="G23" s="119" t="inlineStr">
        <is>
          <t>16</t>
        </is>
      </c>
      <c r="H23" s="119" t="inlineStr">
        <is>
          <t>2.6%</t>
        </is>
      </c>
      <c r="I23" s="46" t="n"/>
    </row>
    <row r="24">
      <c r="A24" t="inlineStr">
        <is>
          <t>Citation Year</t>
        </is>
      </c>
      <c r="F24" s="119" t="inlineStr">
        <is>
          <t>Income</t>
        </is>
      </c>
      <c r="I24" s="46" t="n"/>
    </row>
    <row r="25">
      <c r="A25" t="inlineStr">
        <is>
          <t>Custom Text</t>
        </is>
      </c>
      <c r="F25" s="119" t="inlineStr">
        <is>
          <t>0-29,999</t>
        </is>
      </c>
      <c r="G25" s="119" t="inlineStr">
        <is>
          <t>71</t>
        </is>
      </c>
      <c r="H25" s="119" t="inlineStr">
        <is>
          <t>11.8%</t>
        </is>
      </c>
      <c r="I25" s="46" t="n"/>
    </row>
    <row r="26">
      <c r="F26" s="101" t="inlineStr">
        <is>
          <t>30,000-69,999</t>
        </is>
      </c>
      <c r="G26" s="101" t="n">
        <v>98</v>
      </c>
      <c r="H26" s="70" t="n">
        <v>0.163</v>
      </c>
      <c r="I26" s="46" t="n"/>
    </row>
    <row r="27">
      <c r="A27" s="101" t="inlineStr">
        <is>
          <t>Note Specfications</t>
        </is>
      </c>
      <c r="F27" s="101" t="inlineStr">
        <is>
          <t>70,000-109,999</t>
        </is>
      </c>
      <c r="G27" s="101" t="n">
        <v>116</v>
      </c>
      <c r="H27" s="70" t="n">
        <v>0.192</v>
      </c>
      <c r="I27" s="46" t="n"/>
    </row>
    <row r="28">
      <c r="F28" s="101" t="inlineStr">
        <is>
          <t>110,000-140,999</t>
        </is>
      </c>
      <c r="G28" s="101" t="n">
        <v>86</v>
      </c>
      <c r="H28" s="70" t="n">
        <v>0.143</v>
      </c>
      <c r="I28" s="46" t="n"/>
    </row>
    <row r="29">
      <c r="F29" s="101" t="inlineStr">
        <is>
          <t>150,000-189,999</t>
        </is>
      </c>
      <c r="G29" s="101" t="n">
        <v>46</v>
      </c>
      <c r="H29" s="70" t="n">
        <v>0.076</v>
      </c>
      <c r="I29" s="46" t="n"/>
    </row>
    <row r="30">
      <c r="F30" s="101" t="inlineStr">
        <is>
          <t>190,000-229,999</t>
        </is>
      </c>
      <c r="G30" s="101" t="n">
        <v>37</v>
      </c>
      <c r="H30" s="70" t="n">
        <v>0.061</v>
      </c>
      <c r="I30" s="46" t="n"/>
    </row>
    <row r="31">
      <c r="F31" s="101" t="inlineStr">
        <is>
          <t>230,000+</t>
        </is>
      </c>
      <c r="G31" s="101" t="n">
        <v>50</v>
      </c>
      <c r="H31" s="70" t="n">
        <v>0.083</v>
      </c>
      <c r="I31" s="46" t="n"/>
    </row>
    <row r="32">
      <c r="F32" s="101" t="inlineStr">
        <is>
          <t>Household Size</t>
        </is>
      </c>
      <c r="I32" s="46" t="n"/>
    </row>
    <row r="33">
      <c r="F33" s="101" t="n">
        <v>1</v>
      </c>
      <c r="G33" s="101" t="n">
        <v>75</v>
      </c>
      <c r="H33" s="70" t="n">
        <v>0.124</v>
      </c>
      <c r="I33" s="46" t="n"/>
    </row>
    <row r="34">
      <c r="F34" s="101" t="n">
        <v>2</v>
      </c>
      <c r="G34" s="101" t="n">
        <v>164</v>
      </c>
      <c r="H34" s="70" t="n">
        <v>0.272</v>
      </c>
      <c r="I34" s="47" t="n"/>
    </row>
    <row r="35">
      <c r="F35" s="101" t="n">
        <v>3</v>
      </c>
      <c r="G35" s="101" t="n">
        <v>107</v>
      </c>
      <c r="H35" s="70" t="n">
        <v>0.177</v>
      </c>
      <c r="I35" s="47" t="n"/>
    </row>
    <row r="36">
      <c r="F36" s="101" t="n">
        <v>4</v>
      </c>
      <c r="G36" s="101" t="n">
        <v>126</v>
      </c>
      <c r="H36" s="70" t="n">
        <v>0.209</v>
      </c>
      <c r="I36" s="47" t="n"/>
    </row>
    <row r="37">
      <c r="F37" s="101" t="inlineStr">
        <is>
          <t>5+</t>
        </is>
      </c>
      <c r="G37" s="101" t="n">
        <v>117</v>
      </c>
      <c r="H37" s="70" t="n">
        <v>0.194</v>
      </c>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11">
    <mergeCell ref="B1:O1"/>
    <mergeCell ref="F6:H6"/>
    <mergeCell ref="E5:E57"/>
    <mergeCell ref="A9:B9"/>
    <mergeCell ref="A5:B5"/>
    <mergeCell ref="F32:H32"/>
    <mergeCell ref="F9:H9"/>
    <mergeCell ref="A18:B18"/>
    <mergeCell ref="A27:B27"/>
    <mergeCell ref="F15:H15"/>
    <mergeCell ref="F24:H24"/>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2.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9" min="1" max="1"/>
    <col width="22.1640625" bestFit="1" customWidth="1" style="99" min="2" max="2"/>
    <col width="6.6640625" customWidth="1" style="99" min="5" max="5"/>
    <col width="9.1640625" bestFit="1" customWidth="1" style="99" min="6" max="6"/>
    <col width="8" bestFit="1" customWidth="1" style="99" min="7" max="7"/>
    <col width="13.5" customWidth="1" style="99" min="8" max="8"/>
    <col width="11" customWidth="1" style="99" min="9" max="9"/>
    <col width="10.6640625"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Respondents by Zip Code</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n"/>
      <c r="I4" s="16" t="n"/>
      <c r="J4" s="16" t="n"/>
      <c r="K4" s="16" t="n"/>
      <c r="L4" s="16" t="n"/>
      <c r="M4" s="16" t="n"/>
      <c r="N4" s="16" t="n"/>
      <c r="O4" s="16" t="n"/>
      <c r="P4" s="16" t="n"/>
    </row>
    <row r="5">
      <c r="A5" s="98" t="inlineStr">
        <is>
          <t>Table Rules</t>
        </is>
      </c>
      <c r="E5" s="100" t="inlineStr">
        <is>
          <t xml:space="preserve">Enter Data </t>
        </is>
      </c>
      <c r="F5" s="76" t="n">
        <v>10901</v>
      </c>
      <c r="G5" s="77" t="n">
        <v>0.1144278606965174</v>
      </c>
      <c r="H5" s="46" t="n"/>
      <c r="I5" s="46" t="n"/>
      <c r="J5" s="46" t="n"/>
      <c r="K5" s="46" t="n"/>
      <c r="L5" s="46" t="n"/>
      <c r="M5" s="46" t="n"/>
      <c r="N5" s="46" t="n"/>
      <c r="O5" s="46" t="n"/>
    </row>
    <row r="6" ht="15" customHeight="1" s="99">
      <c r="A6" t="inlineStr">
        <is>
          <t>Multilevel Headers</t>
        </is>
      </c>
      <c r="B6" t="b">
        <v>0</v>
      </c>
      <c r="F6" s="76" t="n">
        <v>10911</v>
      </c>
      <c r="G6" s="77" t="n">
        <v>0.004975124378109453</v>
      </c>
      <c r="J6" s="14" t="n"/>
      <c r="K6" s="14" t="n"/>
      <c r="L6" s="14" t="n"/>
      <c r="M6" s="14" t="n"/>
      <c r="N6" s="14" t="n"/>
    </row>
    <row r="7" ht="15.75" customHeight="1" s="99">
      <c r="F7" s="76" t="n">
        <v>10913</v>
      </c>
      <c r="G7" s="77" t="n">
        <v>0.01990049751243781</v>
      </c>
      <c r="H7" s="116" t="n"/>
      <c r="J7" s="14" t="n"/>
      <c r="K7" s="14" t="n"/>
      <c r="L7" s="14" t="n"/>
      <c r="M7" s="14" t="n"/>
      <c r="N7" s="14" t="n"/>
    </row>
    <row r="8">
      <c r="F8" s="76" t="n">
        <v>10920</v>
      </c>
      <c r="G8" s="77" t="n">
        <v>0.01990049751243781</v>
      </c>
      <c r="H8" s="116" t="n"/>
      <c r="J8" s="14" t="n"/>
      <c r="K8" s="14" t="n"/>
      <c r="L8" s="14" t="n"/>
      <c r="M8" s="14" t="n"/>
      <c r="N8" s="14" t="n"/>
    </row>
    <row r="9">
      <c r="A9" s="98" t="inlineStr">
        <is>
          <t>Figure Rules</t>
        </is>
      </c>
      <c r="F9" s="76" t="n">
        <v>10923</v>
      </c>
      <c r="G9" s="77" t="n">
        <v>0.04809286898839138</v>
      </c>
      <c r="J9" s="46" t="n"/>
      <c r="K9" s="46" t="n"/>
      <c r="L9" s="46" t="n"/>
      <c r="M9" s="46" t="n"/>
      <c r="N9" s="46" t="n"/>
      <c r="O9" s="46" t="n"/>
    </row>
    <row r="10">
      <c r="A10" t="inlineStr">
        <is>
          <t>Figure Type</t>
        </is>
      </c>
      <c r="B10" t="inlineStr">
        <is>
          <t>Bar</t>
        </is>
      </c>
      <c r="F10" s="76" t="n">
        <v>10927</v>
      </c>
      <c r="G10" s="77" t="n">
        <v>0.04477611940298507</v>
      </c>
      <c r="H10" s="116" t="n"/>
      <c r="J10" s="47" t="n"/>
      <c r="K10" s="47" t="n"/>
      <c r="L10" s="47" t="n"/>
      <c r="M10" s="47" t="n"/>
      <c r="N10" s="47" t="n"/>
      <c r="O10" s="46" t="n"/>
    </row>
    <row r="11">
      <c r="A11" t="inlineStr">
        <is>
          <t>X Column</t>
        </is>
      </c>
      <c r="B11" t="inlineStr">
        <is>
          <t>Zip Code</t>
        </is>
      </c>
      <c r="F11" s="76" t="n">
        <v>10931</v>
      </c>
      <c r="G11" s="77" t="n">
        <v>0.008291873963515755</v>
      </c>
      <c r="H11" s="119" t="n"/>
      <c r="J11" s="47" t="n"/>
      <c r="K11" s="47" t="n"/>
      <c r="L11" s="47" t="n"/>
      <c r="M11" s="47" t="n"/>
      <c r="N11" s="47" t="n"/>
      <c r="O11" s="46" t="n"/>
    </row>
    <row r="12">
      <c r="A12" t="inlineStr">
        <is>
          <t>Y Column</t>
        </is>
      </c>
      <c r="F12" s="76" t="n">
        <v>10952</v>
      </c>
      <c r="G12" s="77" t="n">
        <v>0.07296849087893864</v>
      </c>
      <c r="H12" s="47" t="n"/>
      <c r="J12" s="46" t="n"/>
      <c r="K12" s="46" t="n"/>
      <c r="L12" s="46" t="n"/>
      <c r="M12" s="46" t="n"/>
      <c r="N12" s="46" t="n"/>
      <c r="O12" s="46" t="n"/>
    </row>
    <row r="13">
      <c r="A13" t="inlineStr">
        <is>
          <t>X Axis Title</t>
        </is>
      </c>
      <c r="F13" s="76" t="n">
        <v>10954</v>
      </c>
      <c r="G13" s="77" t="n">
        <v>0.07960199004975124</v>
      </c>
      <c r="H13" s="47" t="n"/>
      <c r="I13" s="46" t="n"/>
      <c r="J13" s="46" t="n"/>
      <c r="K13" s="46" t="n"/>
      <c r="L13" s="46" t="n"/>
      <c r="M13" s="46" t="n"/>
      <c r="N13" s="46" t="n"/>
      <c r="O13" s="46" t="n"/>
    </row>
    <row r="14">
      <c r="A14" t="inlineStr">
        <is>
          <t>Y Axis Title</t>
        </is>
      </c>
      <c r="B14" t="inlineStr">
        <is>
          <t>% of Respondents</t>
        </is>
      </c>
      <c r="F14" s="76" t="n">
        <v>10956</v>
      </c>
      <c r="G14" s="77" t="n">
        <v>0.1243781094527363</v>
      </c>
      <c r="H14" s="119" t="n"/>
      <c r="I14" s="46" t="n"/>
      <c r="J14" s="47" t="n"/>
      <c r="K14" s="47" t="n"/>
      <c r="L14" s="47" t="n"/>
      <c r="M14" s="47" t="n"/>
      <c r="N14" s="47" t="n"/>
      <c r="O14" s="46" t="n"/>
    </row>
    <row r="15">
      <c r="A15" t="inlineStr">
        <is>
          <t>Start at Zero</t>
        </is>
      </c>
      <c r="B15" t="b">
        <v>1</v>
      </c>
      <c r="F15" s="76" t="n">
        <v>10960</v>
      </c>
      <c r="G15" s="77" t="n">
        <v>0.06633499170812604</v>
      </c>
      <c r="H15" s="119" t="n"/>
      <c r="I15" s="46" t="n"/>
      <c r="J15" s="47" t="n"/>
      <c r="K15" s="47" t="n"/>
      <c r="L15" s="47" t="n"/>
      <c r="M15" s="47" t="n"/>
      <c r="N15" s="47" t="n"/>
      <c r="O15" s="46" t="n"/>
    </row>
    <row r="16">
      <c r="A16" t="inlineStr">
        <is>
          <t>Pivot For Chart</t>
        </is>
      </c>
      <c r="F16" s="76" t="n">
        <v>10962</v>
      </c>
      <c r="G16" s="77" t="n">
        <v>0.01160862354892206</v>
      </c>
      <c r="H16" s="119" t="n"/>
      <c r="I16" s="46" t="n"/>
      <c r="J16" s="47" t="n"/>
      <c r="K16" s="47" t="n"/>
      <c r="L16" s="47" t="n"/>
      <c r="M16" s="47" t="n"/>
      <c r="N16" s="47" t="n"/>
      <c r="O16" s="46" t="n"/>
    </row>
    <row r="17">
      <c r="F17" s="76" t="inlineStr">
        <is>
          <t>10964</t>
        </is>
      </c>
      <c r="G17" s="77" t="n">
        <v>0.001658374792703151</v>
      </c>
      <c r="H17" s="119" t="n"/>
      <c r="I17" s="46" t="n"/>
      <c r="J17" s="47" t="n"/>
      <c r="K17" s="47" t="n"/>
      <c r="L17" s="47" t="n"/>
      <c r="M17" s="47" t="n"/>
      <c r="N17" s="47" t="n"/>
      <c r="O17" s="46" t="n"/>
    </row>
    <row r="18">
      <c r="A18" s="98" t="inlineStr">
        <is>
          <t>Source Specifications</t>
        </is>
      </c>
      <c r="F18" s="76" t="n">
        <v>10965</v>
      </c>
      <c r="G18" s="77" t="n">
        <v>0.02819237147595357</v>
      </c>
      <c r="H18" s="119" t="n"/>
      <c r="I18" s="46" t="n"/>
      <c r="J18" s="46" t="n"/>
      <c r="K18" s="46" t="n"/>
      <c r="L18" s="46" t="n"/>
      <c r="M18" s="46" t="n"/>
      <c r="N18" s="46" t="n"/>
      <c r="O18" s="46" t="n"/>
    </row>
    <row r="19">
      <c r="A19" t="inlineStr">
        <is>
          <t>Table ID</t>
        </is>
      </c>
      <c r="F19" s="76" t="n">
        <v>10968</v>
      </c>
      <c r="G19" s="77" t="n">
        <v>0.004975124378109453</v>
      </c>
      <c r="H19" s="119" t="n"/>
      <c r="I19" s="46" t="n"/>
      <c r="J19" s="46" t="n"/>
      <c r="K19" s="46" t="n"/>
      <c r="L19" s="46" t="n"/>
      <c r="M19" s="46" t="n"/>
      <c r="N19" s="46" t="n"/>
      <c r="O19" s="46" t="n"/>
    </row>
    <row r="20">
      <c r="A20" t="inlineStr">
        <is>
          <t>URL</t>
        </is>
      </c>
      <c r="F20" s="76" t="n">
        <v>10970</v>
      </c>
      <c r="G20" s="77" t="n">
        <v>0.03814262023217247</v>
      </c>
      <c r="H20" s="119" t="n"/>
      <c r="I20" s="46" t="n"/>
      <c r="J20" s="46" t="n"/>
      <c r="K20" s="46" t="n"/>
      <c r="L20" s="46" t="n"/>
      <c r="M20" s="46" t="n"/>
      <c r="N20" s="46" t="n"/>
      <c r="O20" s="46" t="n"/>
    </row>
    <row r="21">
      <c r="A21" t="inlineStr">
        <is>
          <t>Data Year</t>
        </is>
      </c>
      <c r="F21" s="76" t="n">
        <v>10974</v>
      </c>
      <c r="G21" s="77" t="n">
        <v>0.01160862354892206</v>
      </c>
      <c r="H21" s="119" t="n"/>
      <c r="I21" s="46" t="n"/>
      <c r="J21" s="46" t="n"/>
      <c r="K21" s="46" t="n"/>
      <c r="L21" s="46" t="n"/>
      <c r="M21" s="46" t="n"/>
      <c r="N21" s="46" t="n"/>
      <c r="O21" s="46" t="n"/>
    </row>
    <row r="22">
      <c r="A22" t="inlineStr">
        <is>
          <t>Estimate Type</t>
        </is>
      </c>
      <c r="F22" s="76" t="n">
        <v>10976</v>
      </c>
      <c r="G22" s="77" t="n">
        <v>0.001658374792703151</v>
      </c>
      <c r="H22" s="119" t="n"/>
      <c r="I22" s="46" t="n"/>
    </row>
    <row r="23">
      <c r="A23" t="inlineStr">
        <is>
          <t>Citation Month</t>
        </is>
      </c>
      <c r="F23" s="76" t="n">
        <v>10977</v>
      </c>
      <c r="G23" s="77" t="n">
        <v>0.1442786069651741</v>
      </c>
      <c r="H23" s="119" t="n"/>
      <c r="I23" s="46" t="n"/>
    </row>
    <row r="24">
      <c r="A24" t="inlineStr">
        <is>
          <t>Citation Year</t>
        </is>
      </c>
      <c r="F24" s="76" t="n">
        <v>10980</v>
      </c>
      <c r="G24" s="77" t="n">
        <v>0.04975124378109453</v>
      </c>
      <c r="H24" s="46" t="n"/>
      <c r="I24" s="46" t="n"/>
    </row>
    <row r="25">
      <c r="A25" t="inlineStr">
        <is>
          <t>Custom Text</t>
        </is>
      </c>
      <c r="F25" s="76" t="inlineStr">
        <is>
          <t>10982</t>
        </is>
      </c>
      <c r="G25" s="77" t="n">
        <v>0.004975124378109453</v>
      </c>
      <c r="H25" s="119" t="n"/>
      <c r="I25" s="46" t="n"/>
    </row>
    <row r="26">
      <c r="F26" s="76" t="n">
        <v>10983</v>
      </c>
      <c r="G26" s="77" t="n">
        <v>0.01824212271973466</v>
      </c>
      <c r="H26" s="70" t="n"/>
      <c r="I26" s="46" t="n"/>
    </row>
    <row r="27">
      <c r="A27" s="101" t="inlineStr">
        <is>
          <t>Note Specfications</t>
        </is>
      </c>
      <c r="F27" s="76" t="n">
        <v>10984</v>
      </c>
      <c r="G27" s="77" t="n">
        <v>0.01658374792703151</v>
      </c>
      <c r="H27" s="70" t="n"/>
      <c r="I27" s="46" t="n"/>
    </row>
    <row r="28">
      <c r="F28" s="76" t="n">
        <v>10986</v>
      </c>
      <c r="G28" s="77" t="n">
        <v>0.006633499170812604</v>
      </c>
      <c r="H28" s="70" t="n"/>
      <c r="I28" s="46" t="n"/>
    </row>
    <row r="29">
      <c r="F29" s="76" t="n">
        <v>10989</v>
      </c>
      <c r="G29" s="77" t="n">
        <v>0.01824212271973466</v>
      </c>
      <c r="H29" s="70" t="n"/>
      <c r="I29" s="46" t="n"/>
    </row>
    <row r="30">
      <c r="F30" s="76" t="n">
        <v>10993</v>
      </c>
      <c r="G30" s="77" t="n">
        <v>0.01824212271973466</v>
      </c>
      <c r="H30" s="70" t="n"/>
      <c r="I30" s="46" t="n"/>
    </row>
    <row r="31">
      <c r="F31" s="76" t="n">
        <v>10994</v>
      </c>
      <c r="G31" s="77" t="n">
        <v>0.02155887230514096</v>
      </c>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43.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9" min="1" max="1"/>
    <col width="22.1640625" bestFit="1" customWidth="1" style="99" min="2" max="2"/>
    <col width="6.6640625" customWidth="1" style="99" min="5" max="5"/>
    <col width="19.33203125" bestFit="1" customWidth="1" style="99" min="6" max="6"/>
    <col width="28.6640625" bestFit="1" customWidth="1" style="99" min="7" max="7"/>
    <col width="13.5" customWidth="1" style="99" min="8" max="8"/>
    <col width="35" bestFit="1" customWidth="1" style="99" min="9" max="9"/>
    <col width="28.6640625" bestFit="1" customWidth="1" style="99" min="10" max="10"/>
    <col width="16" bestFit="1"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Respondents' Ratings of Quality of Life in Rockand County</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inlineStr">
        <is>
          <t>percent1</t>
        </is>
      </c>
      <c r="I4" s="16" t="inlineStr">
        <is>
          <t>percent1</t>
        </is>
      </c>
      <c r="J4" s="16" t="inlineStr">
        <is>
          <t>percent1</t>
        </is>
      </c>
      <c r="K4" s="16" t="inlineStr">
        <is>
          <t>percent1</t>
        </is>
      </c>
      <c r="L4" s="16" t="n"/>
      <c r="M4" s="16" t="n"/>
      <c r="N4" s="16" t="n"/>
      <c r="O4" s="16" t="n"/>
      <c r="P4" s="16" t="n"/>
    </row>
    <row r="5">
      <c r="A5" s="98" t="inlineStr">
        <is>
          <t>Table Rules</t>
        </is>
      </c>
      <c r="E5" s="100" t="inlineStr">
        <is>
          <t xml:space="preserve">Enter Data </t>
        </is>
      </c>
      <c r="F5" s="119" t="inlineStr">
        <is>
          <t>Excellent</t>
        </is>
      </c>
      <c r="G5" s="119" t="inlineStr">
        <is>
          <t>21.6</t>
        </is>
      </c>
      <c r="H5" s="46" t="n"/>
      <c r="I5" s="46" t="n"/>
      <c r="J5" s="46" t="n"/>
      <c r="K5" s="46" t="n"/>
      <c r="L5" s="46" t="n"/>
      <c r="M5" s="46" t="n"/>
      <c r="N5" s="46" t="n"/>
      <c r="O5" s="46" t="n"/>
    </row>
    <row r="6" ht="15" customHeight="1" s="99">
      <c r="A6" t="inlineStr">
        <is>
          <t>Multilevel Headers</t>
        </is>
      </c>
      <c r="B6" t="b">
        <v>0</v>
      </c>
      <c r="F6" s="101" t="inlineStr">
        <is>
          <t>Good</t>
        </is>
      </c>
      <c r="G6" s="101" t="n">
        <v>51.2</v>
      </c>
      <c r="J6" s="14" t="n"/>
      <c r="K6" s="14" t="n"/>
      <c r="L6" s="14" t="n"/>
      <c r="M6" s="14" t="n"/>
      <c r="N6" s="14" t="n"/>
    </row>
    <row r="7" ht="15.75" customHeight="1" s="99">
      <c r="F7" s="116" t="inlineStr">
        <is>
          <t>Fair</t>
        </is>
      </c>
      <c r="G7" s="116" t="n">
        <v>21.9</v>
      </c>
      <c r="H7" s="116" t="n"/>
      <c r="J7" s="14" t="n"/>
      <c r="K7" s="14" t="n"/>
      <c r="L7" s="14" t="n"/>
      <c r="M7" s="14" t="n"/>
      <c r="N7" s="14" t="n"/>
    </row>
    <row r="8">
      <c r="F8" s="116" t="inlineStr">
        <is>
          <t>Poor</t>
        </is>
      </c>
      <c r="G8" s="116" t="n">
        <v>4.1</v>
      </c>
      <c r="H8" s="116" t="n"/>
      <c r="J8" s="14" t="n"/>
      <c r="K8" s="14" t="n"/>
      <c r="L8" s="14" t="n"/>
      <c r="M8" s="14" t="n"/>
      <c r="N8" s="14" t="n"/>
    </row>
    <row r="9">
      <c r="A9" s="98" t="inlineStr">
        <is>
          <t>Figure Rules</t>
        </is>
      </c>
      <c r="F9" s="101" t="inlineStr">
        <is>
          <t>Very Poor</t>
        </is>
      </c>
      <c r="G9" s="101" t="n">
        <v>1.2</v>
      </c>
      <c r="J9" s="46" t="n"/>
      <c r="K9" s="46" t="n"/>
      <c r="L9" s="46" t="n"/>
      <c r="M9" s="46" t="n"/>
      <c r="N9" s="46" t="n"/>
      <c r="O9" s="46" t="n"/>
    </row>
    <row r="10">
      <c r="A10" t="inlineStr">
        <is>
          <t>Figure Type</t>
        </is>
      </c>
      <c r="B10" t="inlineStr">
        <is>
          <t>Bar</t>
        </is>
      </c>
      <c r="F10" s="116" t="n"/>
      <c r="G10" s="116" t="n"/>
      <c r="H10" s="116" t="n"/>
      <c r="J10" s="47" t="n"/>
      <c r="K10" s="47" t="n"/>
      <c r="L10" s="47" t="n"/>
      <c r="M10" s="47" t="n"/>
      <c r="N10" s="47" t="n"/>
      <c r="O10" s="46" t="n"/>
    </row>
    <row r="11">
      <c r="A11" t="inlineStr">
        <is>
          <t>X Column</t>
        </is>
      </c>
      <c r="F11" s="119" t="n"/>
      <c r="G11" s="119" t="n"/>
      <c r="H11" s="119" t="n"/>
      <c r="J11" s="47" t="n"/>
      <c r="K11" s="47" t="n"/>
      <c r="L11" s="47" t="n"/>
      <c r="M11" s="47" t="n"/>
      <c r="N11" s="47" t="n"/>
      <c r="O11" s="46" t="n"/>
    </row>
    <row r="12">
      <c r="A12" t="inlineStr">
        <is>
          <t>Y Column</t>
        </is>
      </c>
      <c r="F12" s="47" t="n"/>
      <c r="G12" s="47" t="n"/>
      <c r="H12" s="47" t="n"/>
      <c r="J12" s="46" t="n"/>
      <c r="K12" s="46" t="n"/>
      <c r="L12" s="4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 of Respondents</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44.xml><?xml version="1.0" encoding="utf-8"?>
<worksheet xmlns="http://schemas.openxmlformats.org/spreadsheetml/2006/main">
  <sheetPr>
    <outlinePr summaryBelow="1" summaryRight="1"/>
    <pageSetUpPr/>
  </sheetPr>
  <dimension ref="A1:R57"/>
  <sheetViews>
    <sheetView workbookViewId="0">
      <selection activeCell="A1" sqref="A1"/>
    </sheetView>
  </sheetViews>
  <sheetFormatPr baseColWidth="10" defaultColWidth="8.6640625" defaultRowHeight="15"/>
  <cols>
    <col width="20" bestFit="1" customWidth="1" style="99" min="1" max="1"/>
    <col width="22.1640625" bestFit="1" customWidth="1" style="99" min="2" max="2"/>
    <col width="6.6640625" customWidth="1" style="99" min="5" max="5"/>
    <col width="43" bestFit="1" customWidth="1" style="99" min="6" max="6"/>
    <col width="21.5" bestFit="1" customWidth="1" style="99" min="7" max="7"/>
    <col width="30.83203125" bestFit="1" customWidth="1" style="99" min="8" max="8"/>
    <col width="33.83203125" bestFit="1" customWidth="1" style="99" min="9" max="9"/>
    <col width="17" bestFit="1" customWidth="1" style="99" min="10" max="10"/>
    <col width="9.83203125" bestFit="1" customWidth="1" style="99" min="11" max="11"/>
    <col width="12.6640625" bestFit="1" customWidth="1" style="99" min="12" max="12"/>
    <col width="28.33203125" bestFit="1" customWidth="1" style="99" min="13" max="13"/>
    <col width="38.5" bestFit="1" customWidth="1" style="99" min="14" max="14"/>
    <col width="38.5" customWidth="1" style="99" min="15" max="15"/>
    <col width="49.6640625" bestFit="1" customWidth="1" style="99" min="16" max="16"/>
    <col width="49.33203125" bestFit="1" customWidth="1" style="99" min="17" max="17"/>
    <col width="19.33203125" bestFit="1" customWidth="1" style="99" min="18" max="18"/>
  </cols>
  <sheetData>
    <row r="1">
      <c r="A1" s="97" t="inlineStr">
        <is>
          <t>Name</t>
        </is>
      </c>
      <c r="B1" s="96" t="inlineStr">
        <is>
          <t>Top 3 Factors that Make a Positive Contribution to Healthy Living in Rockland County</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n"/>
      <c r="I4" s="16" t="n"/>
      <c r="J4" s="16" t="n"/>
      <c r="K4" s="16" t="n"/>
      <c r="L4" s="16" t="n"/>
      <c r="M4" s="16" t="n"/>
      <c r="N4" s="16" t="n"/>
      <c r="O4" s="16" t="n"/>
      <c r="P4" s="16" t="n"/>
      <c r="Q4" s="16" t="n"/>
      <c r="R4" s="16" t="n"/>
    </row>
    <row r="5">
      <c r="A5" s="98" t="inlineStr">
        <is>
          <t>Table Rules</t>
        </is>
      </c>
      <c r="E5" s="100" t="inlineStr">
        <is>
          <t xml:space="preserve">Enter Data </t>
        </is>
      </c>
      <c r="F5" s="116" t="inlineStr">
        <is>
          <t>Access to community services</t>
        </is>
      </c>
      <c r="G5" s="47" t="inlineStr">
        <is>
          <t>14.8</t>
        </is>
      </c>
      <c r="H5" s="46" t="n"/>
      <c r="I5" s="46" t="n"/>
      <c r="J5" s="46" t="n"/>
      <c r="K5" s="46" t="n"/>
      <c r="L5" s="46" t="n"/>
      <c r="M5" s="46" t="n"/>
      <c r="N5" s="46" t="n"/>
      <c r="O5" s="46" t="n"/>
      <c r="P5" s="46" t="n"/>
      <c r="Q5" s="46" t="n"/>
      <c r="R5" s="46" t="n"/>
    </row>
    <row r="6" ht="15" customHeight="1" s="99">
      <c r="A6" t="inlineStr">
        <is>
          <t>Multilevel Headers</t>
        </is>
      </c>
      <c r="B6" t="b">
        <v>0</v>
      </c>
      <c r="F6" t="inlineStr">
        <is>
          <t>Access to prenatal care</t>
        </is>
      </c>
      <c r="G6" s="47" t="n">
        <v>2.8</v>
      </c>
      <c r="J6" s="14" t="n"/>
      <c r="K6" s="14" t="n"/>
      <c r="L6" s="14" t="n"/>
      <c r="M6" s="14" t="n"/>
      <c r="N6" s="14" t="n"/>
      <c r="O6" s="14" t="n"/>
      <c r="P6" s="14" t="n"/>
      <c r="Q6" s="14" t="n"/>
      <c r="R6" s="14" t="n"/>
    </row>
    <row r="7" ht="15.75" customHeight="1" s="99">
      <c r="F7" s="116" t="inlineStr">
        <is>
          <t>Access to health care for children</t>
        </is>
      </c>
      <c r="G7" s="47" t="n">
        <v>10.6</v>
      </c>
      <c r="H7" s="116" t="n"/>
      <c r="J7" s="14" t="n"/>
      <c r="K7" s="14" t="n"/>
      <c r="L7" s="14" t="n"/>
      <c r="M7" s="14" t="n"/>
      <c r="N7" s="14" t="n"/>
      <c r="O7" s="14" t="n"/>
    </row>
    <row r="8">
      <c r="F8" s="119" t="inlineStr">
        <is>
          <t>Access to good public transportation</t>
        </is>
      </c>
      <c r="G8" s="47" t="n">
        <v>6.6</v>
      </c>
      <c r="H8" s="116" t="n"/>
      <c r="J8" s="14" t="n"/>
      <c r="K8" s="14" t="n"/>
      <c r="L8" s="14" t="n"/>
      <c r="M8" s="14" t="n"/>
      <c r="N8" s="14" t="n"/>
      <c r="O8" s="14" t="n"/>
    </row>
    <row r="9">
      <c r="A9" s="98" t="inlineStr">
        <is>
          <t>Figure Rules</t>
        </is>
      </c>
      <c r="F9" s="47" t="inlineStr">
        <is>
          <t>Clean enviorment</t>
        </is>
      </c>
      <c r="G9" s="47" t="n">
        <v>21.1</v>
      </c>
      <c r="J9" s="46" t="n"/>
      <c r="K9" s="46" t="n"/>
      <c r="L9" s="46" t="n"/>
      <c r="M9" s="46" t="n"/>
      <c r="N9" s="46" t="n"/>
      <c r="O9" s="46" t="n"/>
      <c r="P9" s="46" t="n"/>
    </row>
    <row r="10">
      <c r="A10" t="inlineStr">
        <is>
          <t>Figure Type</t>
        </is>
      </c>
      <c r="B10" t="inlineStr">
        <is>
          <t xml:space="preserve">Horizontal Bar </t>
        </is>
      </c>
      <c r="F10" s="47" t="inlineStr">
        <is>
          <t>Good jobs</t>
        </is>
      </c>
      <c r="G10" s="47" t="n">
        <v>16.4</v>
      </c>
      <c r="H10" s="116" t="n"/>
      <c r="J10" s="47" t="n"/>
      <c r="K10" s="47" t="n"/>
      <c r="L10" s="47" t="n"/>
      <c r="M10" s="47" t="n"/>
      <c r="N10" s="47" t="n"/>
      <c r="O10" s="47" t="n"/>
      <c r="P10" s="46" t="n"/>
    </row>
    <row r="11">
      <c r="A11" t="inlineStr">
        <is>
          <t>X Column</t>
        </is>
      </c>
      <c r="F11" s="119" t="inlineStr">
        <is>
          <t>Good schools</t>
        </is>
      </c>
      <c r="G11" s="47" t="n">
        <v>35</v>
      </c>
      <c r="H11" s="119" t="n"/>
      <c r="J11" s="47" t="n"/>
      <c r="K11" s="47" t="n"/>
      <c r="L11" s="47" t="n"/>
      <c r="M11" s="47" t="n"/>
      <c r="N11" s="47" t="n"/>
      <c r="O11" s="47" t="n"/>
      <c r="P11" s="46" t="n"/>
    </row>
    <row r="12">
      <c r="A12" t="inlineStr">
        <is>
          <t>Y Column</t>
        </is>
      </c>
      <c r="F12" s="119" t="inlineStr">
        <is>
          <t>Access to affordable child care</t>
        </is>
      </c>
      <c r="G12" s="47" t="n">
        <v>4.1</v>
      </c>
      <c r="J12" s="46" t="n"/>
      <c r="K12" s="46" t="n"/>
      <c r="L12" s="46" t="n"/>
      <c r="M12" s="46" t="n"/>
      <c r="N12" s="46" t="n"/>
      <c r="O12" s="46" t="n"/>
      <c r="P12" s="46" t="n"/>
    </row>
    <row r="13">
      <c r="A13" t="inlineStr">
        <is>
          <t>X Axis Title</t>
        </is>
      </c>
      <c r="F13" s="119" t="inlineStr">
        <is>
          <t>Access to affordable,high-quality housing</t>
        </is>
      </c>
      <c r="G13" s="47" t="n">
        <v>17.4</v>
      </c>
      <c r="I13" s="46" t="n"/>
      <c r="J13" s="46" t="n"/>
      <c r="K13" s="46" t="n"/>
      <c r="L13" s="46" t="n"/>
      <c r="M13" s="46" t="n"/>
      <c r="N13" s="46" t="n"/>
      <c r="O13" s="46" t="n"/>
      <c r="P13" s="46" t="n"/>
    </row>
    <row r="14">
      <c r="A14" t="inlineStr">
        <is>
          <t>Y Axis Title</t>
        </is>
      </c>
      <c r="B14" t="inlineStr">
        <is>
          <t>% of Respondents</t>
        </is>
      </c>
      <c r="F14" s="119" t="inlineStr">
        <is>
          <t>Access to healthy food</t>
        </is>
      </c>
      <c r="G14" s="47" t="n">
        <v>29.7</v>
      </c>
      <c r="I14" s="46" t="n"/>
      <c r="J14" s="47" t="n"/>
      <c r="K14" s="47" t="n"/>
      <c r="L14" s="47" t="n"/>
      <c r="M14" s="47" t="n"/>
      <c r="N14" s="47" t="n"/>
      <c r="O14" s="47" t="n"/>
      <c r="P14" s="46" t="n"/>
    </row>
    <row r="15">
      <c r="A15" t="inlineStr">
        <is>
          <t>Start at Zero</t>
        </is>
      </c>
      <c r="B15" t="b">
        <v>1</v>
      </c>
      <c r="F15" s="119" t="inlineStr">
        <is>
          <t>Opportunities for outdoor recreation/physical activity</t>
        </is>
      </c>
      <c r="G15" s="47" t="n">
        <v>41</v>
      </c>
      <c r="I15" s="46" t="n"/>
      <c r="J15" s="47" t="n"/>
      <c r="K15" s="47" t="n"/>
      <c r="L15" s="47" t="n"/>
      <c r="M15" s="47" t="n"/>
      <c r="N15" s="47" t="n"/>
      <c r="O15" s="47" t="n"/>
      <c r="P15" s="46" t="n"/>
    </row>
    <row r="16">
      <c r="A16" t="inlineStr">
        <is>
          <t>Pivot For Chart</t>
        </is>
      </c>
      <c r="F16" s="119" t="inlineStr">
        <is>
          <t>Access to services for mental health/substance abuse</t>
        </is>
      </c>
      <c r="G16" s="47" t="n">
        <v>12.1</v>
      </c>
      <c r="I16" s="46" t="n"/>
      <c r="J16" s="47" t="n"/>
      <c r="K16" s="47" t="n"/>
      <c r="L16" s="47" t="n"/>
      <c r="M16" s="47" t="n"/>
      <c r="N16" s="47" t="n"/>
      <c r="O16" s="47" t="n"/>
      <c r="P16" s="46" t="n"/>
    </row>
    <row r="17">
      <c r="F17" s="119" t="inlineStr">
        <is>
          <t>Safe Neighborhoods</t>
        </is>
      </c>
      <c r="G17" s="47" t="n">
        <v>61.5</v>
      </c>
      <c r="I17" s="46" t="n"/>
      <c r="J17" s="47" t="n"/>
      <c r="K17" s="47" t="n"/>
      <c r="L17" s="47" t="n"/>
      <c r="M17" s="47" t="n"/>
      <c r="N17" s="47" t="n"/>
      <c r="O17" s="47" t="n"/>
      <c r="P17" s="46" t="n"/>
    </row>
    <row r="18">
      <c r="A18" s="98" t="inlineStr">
        <is>
          <t>Source Specifications</t>
        </is>
      </c>
      <c r="F18" s="101" t="n"/>
      <c r="I18" s="46" t="n"/>
      <c r="J18" s="46" t="n"/>
      <c r="K18" s="46" t="n"/>
      <c r="L18" s="46" t="n"/>
      <c r="M18" s="46" t="n"/>
      <c r="N18" s="46" t="n"/>
      <c r="O18" s="46" t="n"/>
      <c r="P18" s="46" t="n"/>
    </row>
    <row r="19">
      <c r="A19" t="inlineStr">
        <is>
          <t>Table ID</t>
        </is>
      </c>
      <c r="F19" s="101" t="n"/>
      <c r="I19" s="46" t="n"/>
      <c r="J19" s="46" t="n"/>
      <c r="K19" s="46" t="n"/>
      <c r="L19" s="46" t="n"/>
      <c r="M19" s="46" t="n"/>
      <c r="N19" s="46" t="n"/>
      <c r="O19" s="46" t="n"/>
      <c r="P19" s="46" t="n"/>
    </row>
    <row r="20">
      <c r="A20" t="inlineStr">
        <is>
          <t>URL</t>
        </is>
      </c>
      <c r="F20" s="101" t="n"/>
      <c r="I20" s="46" t="n"/>
      <c r="J20" s="46" t="n"/>
      <c r="K20" s="46" t="n"/>
      <c r="L20" s="46" t="n"/>
      <c r="M20" s="46" t="n"/>
      <c r="N20" s="46" t="n"/>
      <c r="O20" s="46" t="n"/>
      <c r="P20" s="46" t="n"/>
    </row>
    <row r="21">
      <c r="A21" t="inlineStr">
        <is>
          <t>Data Year</t>
        </is>
      </c>
      <c r="F21" s="101" t="n"/>
      <c r="G21" s="119" t="n"/>
      <c r="I21" s="46" t="n"/>
      <c r="J21" s="46" t="n"/>
      <c r="K21" s="46" t="n"/>
      <c r="L21" s="46" t="n"/>
      <c r="M21" s="46" t="n"/>
      <c r="N21" s="46" t="n"/>
      <c r="O21" s="46" t="n"/>
      <c r="P21" s="46" t="n"/>
    </row>
    <row r="22">
      <c r="A22" t="inlineStr">
        <is>
          <t>Estimate Type</t>
        </is>
      </c>
      <c r="F22" s="101" t="n"/>
      <c r="G22" s="119" t="n"/>
      <c r="I22" s="46" t="n"/>
    </row>
    <row r="23">
      <c r="A23" t="inlineStr">
        <is>
          <t>Citation Month</t>
        </is>
      </c>
      <c r="F23" s="101" t="n"/>
      <c r="G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E5:E57"/>
    <mergeCell ref="A9:B9"/>
    <mergeCell ref="A5:B5"/>
    <mergeCell ref="B1:P1"/>
    <mergeCell ref="A18:B18"/>
    <mergeCell ref="A27:B27"/>
  </mergeCells>
  <dataValidations count="4">
    <dataValidation sqref="Q4:R4" showDropDown="0" showInputMessage="1" showErrorMessage="1" allowBlank="1" type="list">
      <formula1>"integer, number, percent1"</formula1>
    </dataValidation>
    <dataValidation sqref="B10" showDropDown="0" showInputMessage="1" showErrorMessage="1" allowBlank="1" type="list">
      <formula1>"Line,Clustered Bar,Stacked Bar,Bar,Horizontal Bar "</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5.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9" min="1" max="1"/>
    <col width="22.1640625" bestFit="1" customWidth="1" style="99" min="2" max="2"/>
    <col width="6.6640625" customWidth="1" style="99" min="5" max="5"/>
    <col width="29.5" bestFit="1" customWidth="1" style="99" min="6" max="6"/>
    <col width="28.6640625" bestFit="1" customWidth="1" style="99" min="7" max="7"/>
    <col width="13.5" customWidth="1" style="99" min="8" max="8"/>
    <col width="35" bestFit="1" customWidth="1" style="99" min="9" max="9"/>
    <col width="28.6640625" bestFit="1" customWidth="1" style="99" min="10" max="10"/>
    <col width="16" bestFit="1"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Top Selected Areas the Need Improvement</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inlineStr">
        <is>
          <t>percent1</t>
        </is>
      </c>
      <c r="G4" s="16" t="inlineStr">
        <is>
          <t>percent1</t>
        </is>
      </c>
      <c r="H4" s="16" t="n"/>
      <c r="I4" s="16" t="n"/>
      <c r="J4" s="16" t="n"/>
      <c r="K4" s="16" t="n"/>
      <c r="L4" s="16" t="n"/>
      <c r="M4" s="16" t="n"/>
      <c r="N4" s="16" t="n"/>
      <c r="O4" s="16" t="n"/>
      <c r="P4" s="16" t="n"/>
    </row>
    <row r="5">
      <c r="A5" s="98" t="inlineStr">
        <is>
          <t>Table Rules</t>
        </is>
      </c>
      <c r="E5" s="100" t="inlineStr">
        <is>
          <t xml:space="preserve">Enter Data </t>
        </is>
      </c>
      <c r="F5" s="116" t="inlineStr">
        <is>
          <t>Economic Wellbeing</t>
        </is>
      </c>
      <c r="G5" s="116" t="n">
        <v>73.3</v>
      </c>
      <c r="H5" s="46" t="n"/>
      <c r="I5" s="46" t="n"/>
      <c r="J5" s="46" t="n"/>
      <c r="K5" s="46" t="n"/>
      <c r="L5" s="46" t="n"/>
      <c r="M5" s="46" t="n"/>
      <c r="N5" s="46" t="n"/>
      <c r="O5" s="46" t="n"/>
    </row>
    <row r="6" ht="15" customHeight="1" s="99">
      <c r="A6" t="inlineStr">
        <is>
          <t>Multilevel Headers</t>
        </is>
      </c>
      <c r="B6" t="b">
        <v>0</v>
      </c>
      <c r="F6" t="inlineStr">
        <is>
          <t>Safe and Healthy Communities</t>
        </is>
      </c>
      <c r="G6" s="101" t="n">
        <v>71.5</v>
      </c>
      <c r="J6" s="14" t="n"/>
      <c r="K6" s="14" t="n"/>
      <c r="L6" s="14" t="n"/>
      <c r="M6" s="14" t="n"/>
      <c r="N6" s="14" t="n"/>
    </row>
    <row r="7" ht="15.75" customHeight="1" s="99">
      <c r="F7" s="116" t="inlineStr">
        <is>
          <t>Education</t>
        </is>
      </c>
      <c r="G7" s="116" t="n">
        <v>49.8</v>
      </c>
      <c r="H7" s="116" t="n"/>
      <c r="J7" s="14" t="n"/>
      <c r="K7" s="14" t="n"/>
      <c r="L7" s="14" t="n"/>
      <c r="M7" s="14" t="n"/>
      <c r="N7" s="14" t="n"/>
    </row>
    <row r="8">
      <c r="F8" s="119" t="inlineStr">
        <is>
          <t xml:space="preserve">Mental Wellbeing and Substance Use </t>
        </is>
      </c>
      <c r="G8" s="119" t="n">
        <v>45.2</v>
      </c>
      <c r="H8" s="116" t="n"/>
      <c r="J8" s="14" t="n"/>
      <c r="K8" s="14" t="n"/>
      <c r="L8" s="14" t="n"/>
      <c r="M8" s="14" t="n"/>
      <c r="N8" s="14" t="n"/>
    </row>
    <row r="9">
      <c r="A9" s="98" t="inlineStr">
        <is>
          <t>Figure Rules</t>
        </is>
      </c>
      <c r="F9" s="47" t="inlineStr">
        <is>
          <t>Health Care Access and Quality</t>
        </is>
      </c>
      <c r="G9" s="47" t="n">
        <v>40.5</v>
      </c>
      <c r="J9" s="46" t="n"/>
      <c r="K9" s="46" t="n"/>
      <c r="L9" s="46" t="n"/>
      <c r="M9" s="46" t="n"/>
      <c r="N9" s="46" t="n"/>
      <c r="O9" s="46" t="n"/>
    </row>
    <row r="10">
      <c r="A10" t="inlineStr">
        <is>
          <t>Figure Type</t>
        </is>
      </c>
      <c r="B10" t="inlineStr">
        <is>
          <t>Bar</t>
        </is>
      </c>
      <c r="F10" s="47" t="inlineStr">
        <is>
          <t>Healthy Children</t>
        </is>
      </c>
      <c r="G10" s="47" t="n">
        <v>23.5</v>
      </c>
      <c r="H10" s="116" t="n"/>
      <c r="J10" s="47" t="n"/>
      <c r="K10" s="47" t="n"/>
      <c r="L10" s="47" t="n"/>
      <c r="M10" s="47" t="n"/>
      <c r="N10" s="47" t="n"/>
      <c r="O10" s="46" t="n"/>
    </row>
    <row r="11">
      <c r="A11" t="inlineStr">
        <is>
          <t>X Column</t>
        </is>
      </c>
      <c r="H11" s="119" t="n"/>
      <c r="J11" s="47" t="n"/>
      <c r="K11" s="47" t="n"/>
      <c r="L11" s="47" t="n"/>
      <c r="M11" s="47" t="n"/>
      <c r="N11" s="47" t="n"/>
      <c r="O11" s="46" t="n"/>
    </row>
    <row r="12">
      <c r="A12" t="inlineStr">
        <is>
          <t>Y Column</t>
        </is>
      </c>
      <c r="H12" s="47" t="n"/>
      <c r="J12" s="46" t="n"/>
      <c r="K12" s="46" t="n"/>
      <c r="L12" s="46" t="n"/>
      <c r="M12" s="46" t="n"/>
      <c r="N12" s="46" t="n"/>
      <c r="O12" s="46" t="n"/>
    </row>
    <row r="13">
      <c r="A13" t="inlineStr">
        <is>
          <t>X Axis Title</t>
        </is>
      </c>
      <c r="H13" s="47" t="n"/>
      <c r="I13" s="46" t="n"/>
      <c r="J13" s="46" t="n"/>
      <c r="K13" s="46" t="n"/>
      <c r="L13" s="46" t="n"/>
      <c r="M13" s="46" t="n"/>
      <c r="N13" s="46" t="n"/>
      <c r="O13" s="46" t="n"/>
    </row>
    <row r="14">
      <c r="A14" t="inlineStr">
        <is>
          <t>Y Axis Title</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6.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9" min="1" max="1"/>
    <col width="22.1640625" bestFit="1" customWidth="1" style="99" min="2" max="2"/>
    <col width="6.6640625" customWidth="1" style="99" min="5" max="5"/>
    <col width="20.33203125" bestFit="1" customWidth="1" style="99" min="6" max="6"/>
    <col width="28.6640625" bestFit="1" customWidth="1" style="99" min="7" max="7"/>
    <col width="13.5" customWidth="1" style="99" min="8" max="8"/>
    <col width="35" bestFit="1" customWidth="1" style="99" min="9" max="9"/>
    <col width="28.6640625" bestFit="1" customWidth="1" style="99" min="10" max="10"/>
    <col width="16" bestFit="1"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Economic Priorities that Need Improvement</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n"/>
      <c r="M4" s="16" t="n"/>
      <c r="N4" s="16" t="n"/>
      <c r="O4" s="16" t="n"/>
      <c r="P4" s="16" t="n"/>
    </row>
    <row r="5">
      <c r="A5" s="98" t="inlineStr">
        <is>
          <t>Table Rules</t>
        </is>
      </c>
      <c r="E5" s="100" t="inlineStr">
        <is>
          <t xml:space="preserve">Enter Data </t>
        </is>
      </c>
      <c r="F5" s="46" t="n"/>
      <c r="G5" s="46" t="inlineStr">
        <is>
          <t>1 (Needs Little)</t>
        </is>
      </c>
      <c r="H5" s="46" t="n">
        <v>2</v>
      </c>
      <c r="I5" s="46" t="n">
        <v>3</v>
      </c>
      <c r="J5" s="46" t="n">
        <v>4</v>
      </c>
      <c r="K5" s="46" t="inlineStr">
        <is>
          <t>5 (Needs a lot)</t>
        </is>
      </c>
      <c r="L5" s="46" t="inlineStr">
        <is>
          <t>No Opinion</t>
        </is>
      </c>
      <c r="M5" s="46" t="n"/>
      <c r="N5" s="46" t="n"/>
      <c r="O5" s="46" t="n"/>
    </row>
    <row r="6" ht="15" customHeight="1" s="99">
      <c r="A6" t="inlineStr">
        <is>
          <t>Multilevel Headers</t>
        </is>
      </c>
      <c r="B6" t="b">
        <v>0</v>
      </c>
      <c r="F6" s="72" t="inlineStr">
        <is>
          <t>Affordable Childcare</t>
        </is>
      </c>
      <c r="G6" s="73" t="n">
        <v>2.7</v>
      </c>
      <c r="H6" s="73" t="n">
        <v>5</v>
      </c>
      <c r="I6" s="73" t="n">
        <v>11.5</v>
      </c>
      <c r="J6" s="73" t="n">
        <v>16.3</v>
      </c>
      <c r="K6" s="73" t="n">
        <v>48</v>
      </c>
      <c r="L6" s="73" t="n">
        <v>16.5</v>
      </c>
      <c r="M6" s="71" t="n"/>
      <c r="N6" s="71" t="n"/>
    </row>
    <row r="7" ht="15.75" customHeight="1" s="99">
      <c r="F7" s="53" t="inlineStr">
        <is>
          <t>Availablity of Jobs</t>
        </is>
      </c>
      <c r="G7" s="116" t="n">
        <v>1.6</v>
      </c>
      <c r="H7" s="116" t="n">
        <v>4.1</v>
      </c>
      <c r="I7" s="101" t="n">
        <v>10.9</v>
      </c>
      <c r="J7" s="116" t="n">
        <v>20.1</v>
      </c>
      <c r="K7" s="116" t="n">
        <v>58.6</v>
      </c>
      <c r="L7" s="116" t="n">
        <v>4.8</v>
      </c>
      <c r="M7" s="14" t="n"/>
      <c r="N7" s="14" t="n"/>
    </row>
    <row r="8">
      <c r="F8" s="53" t="inlineStr">
        <is>
          <t>Affordable Housing</t>
        </is>
      </c>
      <c r="G8" s="116" t="n">
        <v>2</v>
      </c>
      <c r="H8" s="116" t="n">
        <v>2.3</v>
      </c>
      <c r="I8" s="101" t="n">
        <v>6.6</v>
      </c>
      <c r="J8" s="116" t="n">
        <v>12.4</v>
      </c>
      <c r="K8" s="116" t="n">
        <v>73.5</v>
      </c>
      <c r="L8" s="116" t="n">
        <v>3.2</v>
      </c>
      <c r="M8" s="14" t="n"/>
      <c r="N8" s="14" t="n"/>
    </row>
    <row r="9">
      <c r="A9" s="98" t="inlineStr">
        <is>
          <t>Figure Rules</t>
        </is>
      </c>
      <c r="F9" s="118" t="inlineStr">
        <is>
          <t>Affordable Food</t>
        </is>
      </c>
      <c r="G9" s="101" t="n">
        <v>11.3</v>
      </c>
      <c r="H9" s="101" t="n">
        <v>12.9</v>
      </c>
      <c r="I9" s="101" t="n">
        <v>24</v>
      </c>
      <c r="J9" s="119" t="inlineStr">
        <is>
          <t>18.6</t>
        </is>
      </c>
      <c r="K9" s="119" t="inlineStr">
        <is>
          <t>27.6</t>
        </is>
      </c>
      <c r="L9" s="119" t="inlineStr">
        <is>
          <t>5.7</t>
        </is>
      </c>
      <c r="M9" s="46" t="n"/>
      <c r="N9" s="46" t="n"/>
      <c r="O9" s="46" t="n"/>
    </row>
    <row r="10">
      <c r="A10" t="inlineStr">
        <is>
          <t>Figure Type</t>
        </is>
      </c>
      <c r="B10" t="inlineStr">
        <is>
          <t>Stacked Bar</t>
        </is>
      </c>
      <c r="F10" s="116" t="n"/>
      <c r="G10" s="116" t="n"/>
      <c r="H10" s="116" t="n"/>
      <c r="J10" s="47" t="n"/>
      <c r="K10" s="47" t="n"/>
      <c r="L10" s="47" t="n"/>
      <c r="M10" s="47" t="n"/>
      <c r="N10" s="47" t="n"/>
      <c r="O10" s="46" t="n"/>
    </row>
    <row r="11">
      <c r="A11" t="inlineStr">
        <is>
          <t>X Column</t>
        </is>
      </c>
      <c r="F11" s="119" t="n"/>
      <c r="G11" s="119" t="n"/>
      <c r="H11" s="119" t="n"/>
      <c r="J11" s="47" t="n"/>
      <c r="K11" s="47" t="n"/>
      <c r="L11" s="47" t="n"/>
      <c r="M11" s="47" t="n"/>
      <c r="N11" s="47" t="n"/>
      <c r="O11" s="46" t="n"/>
    </row>
    <row r="12">
      <c r="A12" t="inlineStr">
        <is>
          <t>Y Column</t>
        </is>
      </c>
      <c r="F12" s="47" t="n"/>
      <c r="G12" s="47" t="n"/>
      <c r="H12" s="47" t="n"/>
      <c r="J12" s="46" t="n"/>
      <c r="K12" s="46" t="n"/>
      <c r="L12" s="4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47.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9" min="1" max="1"/>
    <col width="22.1640625" bestFit="1" customWidth="1" style="99" min="2" max="2"/>
    <col width="6.6640625" customWidth="1" style="99" min="5" max="5"/>
    <col width="40.83203125" bestFit="1" customWidth="1" style="99" min="6" max="6"/>
    <col width="28.6640625" bestFit="1" customWidth="1" style="99" min="7" max="7"/>
    <col width="13.5" customWidth="1" style="99" min="8" max="8"/>
    <col width="35" bestFit="1" customWidth="1" style="99" min="9" max="9"/>
    <col width="28.6640625" bestFit="1" customWidth="1" style="99" min="10" max="10"/>
    <col width="16" bestFit="1"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Safe and Healthy Communties Priorities that Need Improvement</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c r="P4" s="16" t="n"/>
    </row>
    <row r="5">
      <c r="A5" s="98" t="inlineStr">
        <is>
          <t>Table Rules</t>
        </is>
      </c>
      <c r="E5" s="100" t="inlineStr">
        <is>
          <t xml:space="preserve">Enter Data </t>
        </is>
      </c>
      <c r="F5" s="46" t="n"/>
      <c r="G5" s="119" t="inlineStr">
        <is>
          <t>1 (Needs Little)</t>
        </is>
      </c>
      <c r="H5" s="119" t="n">
        <v>2</v>
      </c>
      <c r="I5" s="119" t="n">
        <v>3</v>
      </c>
      <c r="J5" s="119" t="n">
        <v>4</v>
      </c>
      <c r="K5" s="119" t="inlineStr">
        <is>
          <t>5 (Needs a lot)</t>
        </is>
      </c>
      <c r="L5" s="119" t="inlineStr">
        <is>
          <t>No Opinion</t>
        </is>
      </c>
      <c r="M5" s="46" t="n"/>
      <c r="N5" s="46" t="n"/>
      <c r="O5" s="46" t="n"/>
    </row>
    <row r="6" ht="15" customHeight="1" s="99">
      <c r="A6" t="inlineStr">
        <is>
          <t>Multilevel Headers</t>
        </is>
      </c>
      <c r="B6" t="b">
        <v>0</v>
      </c>
      <c r="F6" s="71" t="inlineStr">
        <is>
          <t>Public transportation availabilty</t>
        </is>
      </c>
      <c r="G6" s="75" t="n">
        <v>6</v>
      </c>
      <c r="H6" s="75" t="n">
        <v>8.6</v>
      </c>
      <c r="I6" s="75" t="n">
        <v>17.9</v>
      </c>
      <c r="J6" s="75" t="n">
        <v>17.6</v>
      </c>
      <c r="K6" s="75" t="n">
        <v>40.4</v>
      </c>
      <c r="L6" s="75" t="n">
        <v>9.5</v>
      </c>
      <c r="M6" s="71" t="n"/>
      <c r="N6" s="71" t="n"/>
    </row>
    <row r="7" ht="15.75" customHeight="1" s="99">
      <c r="F7" s="14" t="inlineStr">
        <is>
          <t>Drinking water quality</t>
        </is>
      </c>
      <c r="G7" s="116" t="n">
        <v>6</v>
      </c>
      <c r="H7" s="116" t="n">
        <v>9.5</v>
      </c>
      <c r="I7" s="116" t="n">
        <v>11.6</v>
      </c>
      <c r="J7" s="116" t="n">
        <v>20.4</v>
      </c>
      <c r="K7" s="116" t="n">
        <v>44.5</v>
      </c>
      <c r="L7" s="116" t="n">
        <v>7.9</v>
      </c>
      <c r="M7" s="14" t="n"/>
      <c r="N7" s="14" t="n"/>
    </row>
    <row r="8">
      <c r="F8" s="14" t="inlineStr">
        <is>
          <t>Traffic Safety</t>
        </is>
      </c>
      <c r="G8" s="116" t="n">
        <v>3.2</v>
      </c>
      <c r="H8" s="116" t="n">
        <v>7.4</v>
      </c>
      <c r="I8" s="116" t="n">
        <v>15.1</v>
      </c>
      <c r="J8" s="116" t="n">
        <v>19.5</v>
      </c>
      <c r="K8" s="116" t="n">
        <v>47.3</v>
      </c>
      <c r="L8" s="116" t="n">
        <v>7.4</v>
      </c>
      <c r="M8" s="14" t="n"/>
      <c r="N8" s="14" t="n"/>
    </row>
    <row r="9">
      <c r="A9" s="98" t="inlineStr">
        <is>
          <t>Figure Rules</t>
        </is>
      </c>
      <c r="F9" t="inlineStr">
        <is>
          <t>Injuries and Violence Prevention</t>
        </is>
      </c>
      <c r="G9" s="116" t="n">
        <v>7</v>
      </c>
      <c r="H9" s="116" t="n">
        <v>10.7</v>
      </c>
      <c r="I9" s="116" t="n">
        <v>25.8</v>
      </c>
      <c r="J9" s="116" t="inlineStr">
        <is>
          <t>20.9</t>
        </is>
      </c>
      <c r="K9" s="116" t="inlineStr">
        <is>
          <t>23.4</t>
        </is>
      </c>
      <c r="L9" s="116" t="inlineStr">
        <is>
          <t>12.3</t>
        </is>
      </c>
      <c r="M9" s="46" t="n"/>
      <c r="N9" s="46" t="n"/>
      <c r="O9" s="46" t="n"/>
    </row>
    <row r="10">
      <c r="A10" t="inlineStr">
        <is>
          <t>Figure Type</t>
        </is>
      </c>
      <c r="B10" t="inlineStr">
        <is>
          <t>Stacked Bar</t>
        </is>
      </c>
      <c r="F10" s="14" t="inlineStr">
        <is>
          <t>Access to community services and resources</t>
        </is>
      </c>
      <c r="G10" s="116" t="n">
        <v>11.6</v>
      </c>
      <c r="H10" s="116" t="n">
        <v>12.5</v>
      </c>
      <c r="I10" s="116" t="n">
        <v>24.4</v>
      </c>
      <c r="J10" s="42" t="inlineStr">
        <is>
          <t>19.0</t>
        </is>
      </c>
      <c r="K10" s="42" t="inlineStr">
        <is>
          <t>23.0</t>
        </is>
      </c>
      <c r="L10" s="42" t="inlineStr">
        <is>
          <t>9.5</t>
        </is>
      </c>
      <c r="M10" s="47" t="n"/>
      <c r="N10" s="47" t="n"/>
      <c r="O10" s="46" t="n"/>
    </row>
    <row r="11">
      <c r="A11" t="inlineStr">
        <is>
          <t>X Column</t>
        </is>
      </c>
      <c r="F11" s="46" t="inlineStr">
        <is>
          <t>Accees to classes, activities, and groups</t>
        </is>
      </c>
      <c r="G11" s="116" t="inlineStr">
        <is>
          <t>8.4</t>
        </is>
      </c>
      <c r="H11" s="116" t="inlineStr">
        <is>
          <t>12.5</t>
        </is>
      </c>
      <c r="I11" s="116" t="n">
        <v>23.4</v>
      </c>
      <c r="J11" s="42" t="inlineStr">
        <is>
          <t>22.0</t>
        </is>
      </c>
      <c r="K11" s="42" t="inlineStr">
        <is>
          <t>27.8</t>
        </is>
      </c>
      <c r="L11" s="42" t="inlineStr">
        <is>
          <t>5.8</t>
        </is>
      </c>
      <c r="M11" s="47" t="n"/>
      <c r="N11" s="47" t="n"/>
      <c r="O11" s="46" t="n"/>
    </row>
    <row r="12">
      <c r="A12" t="inlineStr">
        <is>
          <t>Y Column</t>
        </is>
      </c>
      <c r="F12" s="74" t="inlineStr">
        <is>
          <t>Access to community spaces</t>
        </is>
      </c>
      <c r="G12" s="42" t="inlineStr">
        <is>
          <t>15.5</t>
        </is>
      </c>
      <c r="H12" s="42" t="inlineStr">
        <is>
          <t>13.9</t>
        </is>
      </c>
      <c r="I12" s="116" t="n">
        <v>22.7</v>
      </c>
      <c r="J12" s="116" t="inlineStr">
        <is>
          <t>22.0</t>
        </is>
      </c>
      <c r="K12" s="116" t="inlineStr">
        <is>
          <t>22.0</t>
        </is>
      </c>
      <c r="L12" s="116" t="inlineStr">
        <is>
          <t>3.7</t>
        </is>
      </c>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48.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9" min="1" max="1"/>
    <col width="22.1640625" bestFit="1" customWidth="1" style="99" min="2" max="2"/>
    <col width="6.6640625" customWidth="1" style="99" min="5" max="5"/>
    <col width="33.5" bestFit="1" customWidth="1" style="99" min="6" max="6"/>
    <col width="28.6640625" bestFit="1" customWidth="1" style="99" min="7" max="7"/>
    <col width="13.5" customWidth="1" style="99" min="8" max="8"/>
    <col width="35" bestFit="1" customWidth="1" style="99" min="9" max="9"/>
    <col width="28.6640625" bestFit="1" customWidth="1" style="99" min="10" max="10"/>
    <col width="16" bestFit="1"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Education Priorities the Need Improvement</t>
        </is>
      </c>
    </row>
    <row r="2">
      <c r="A2" s="97" t="inlineStr">
        <is>
          <t>Table/Figure/Both</t>
        </is>
      </c>
      <c r="B2" t="inlineStr">
        <is>
          <t>Figure</t>
        </is>
      </c>
    </row>
    <row r="3">
      <c r="A3" s="97" t="inlineStr">
        <is>
          <t xml:space="preserve">Object ID  </t>
        </is>
      </c>
      <c r="B3">
        <f>IF($B$1="","",_xlfn.XLOOKUP($B$1,Master!$F$2:$F$308,Master!$G$2:$G$308,""))</f>
        <v/>
      </c>
    </row>
    <row r="4">
      <c r="A4" s="97"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n"/>
      <c r="N4" s="16" t="n"/>
      <c r="O4" s="16" t="n"/>
      <c r="P4" s="16" t="n"/>
    </row>
    <row r="5">
      <c r="A5" s="98" t="inlineStr">
        <is>
          <t>Table Rules</t>
        </is>
      </c>
      <c r="E5" s="100" t="inlineStr">
        <is>
          <t xml:space="preserve">Enter Data </t>
        </is>
      </c>
      <c r="F5" s="46" t="n"/>
      <c r="G5" s="119" t="inlineStr">
        <is>
          <t>1 (Needs Little)</t>
        </is>
      </c>
      <c r="H5" s="119" t="n">
        <v>2</v>
      </c>
      <c r="I5" s="119" t="n">
        <v>3</v>
      </c>
      <c r="J5" s="119" t="n">
        <v>4</v>
      </c>
      <c r="K5" s="119" t="inlineStr">
        <is>
          <t>5 (Needs a lot)</t>
        </is>
      </c>
      <c r="L5" s="119" t="inlineStr">
        <is>
          <t>No Opinion</t>
        </is>
      </c>
      <c r="M5" s="46" t="n"/>
      <c r="N5" s="46" t="n"/>
      <c r="O5" s="46" t="n"/>
    </row>
    <row r="6" ht="15" customHeight="1" s="99">
      <c r="A6" t="inlineStr">
        <is>
          <t>Multilevel Headers</t>
        </is>
      </c>
      <c r="B6" t="b">
        <v>0</v>
      </c>
      <c r="F6" s="71" t="inlineStr">
        <is>
          <t>Vocational Programs</t>
        </is>
      </c>
      <c r="G6" s="75" t="n">
        <v>2</v>
      </c>
      <c r="H6" s="75" t="n">
        <v>5.7</v>
      </c>
      <c r="I6" s="75" t="n">
        <v>16.3</v>
      </c>
      <c r="J6" s="75" t="n">
        <v>24.7</v>
      </c>
      <c r="K6" s="75" t="n">
        <v>40</v>
      </c>
      <c r="L6" s="75" t="n">
        <v>11.3</v>
      </c>
      <c r="M6" s="71" t="n"/>
      <c r="N6" s="71" t="n"/>
    </row>
    <row r="7" ht="15.75" customHeight="1" s="99">
      <c r="F7" s="14" t="inlineStr">
        <is>
          <t>Options for Continuing Education</t>
        </is>
      </c>
      <c r="G7" s="116" t="n">
        <v>4.3</v>
      </c>
      <c r="H7" s="116" t="n">
        <v>5.7</v>
      </c>
      <c r="I7" s="116" t="n">
        <v>19.3</v>
      </c>
      <c r="J7" s="116" t="n">
        <v>23.7</v>
      </c>
      <c r="K7" s="116" t="n">
        <v>38.7</v>
      </c>
      <c r="L7" s="116" t="n">
        <v>8.300000000000001</v>
      </c>
      <c r="M7" s="14" t="n"/>
      <c r="N7" s="14" t="n"/>
    </row>
    <row r="8">
      <c r="F8" s="14" t="inlineStr">
        <is>
          <t>Health and Wellness Prog in Schools</t>
        </is>
      </c>
      <c r="G8" s="116" t="n">
        <v>5</v>
      </c>
      <c r="H8" s="116" t="n">
        <v>6.3</v>
      </c>
      <c r="I8" s="116" t="n">
        <v>18.3</v>
      </c>
      <c r="J8" s="116" t="n">
        <v>22.3</v>
      </c>
      <c r="K8" s="116" t="n">
        <v>40.3</v>
      </c>
      <c r="L8" s="116" t="n">
        <v>7.7</v>
      </c>
      <c r="M8" s="14" t="n"/>
      <c r="N8" s="14" t="n"/>
    </row>
    <row r="9">
      <c r="A9" s="98" t="inlineStr">
        <is>
          <t>Figure Rules</t>
        </is>
      </c>
      <c r="G9" s="116" t="n"/>
      <c r="H9" s="116" t="n"/>
      <c r="I9" s="116" t="n"/>
      <c r="J9" s="116" t="n"/>
      <c r="K9" s="116" t="n"/>
      <c r="L9" s="116" t="n"/>
      <c r="M9" s="46" t="n"/>
      <c r="N9" s="46" t="n"/>
      <c r="O9" s="46" t="n"/>
    </row>
    <row r="10">
      <c r="A10" t="inlineStr">
        <is>
          <t>Figure Type</t>
        </is>
      </c>
      <c r="B10" t="inlineStr">
        <is>
          <t>Horizontal Stacked Bar</t>
        </is>
      </c>
      <c r="F10" s="14" t="n"/>
      <c r="G10" s="116" t="n"/>
      <c r="H10" s="116" t="n"/>
      <c r="I10" s="116" t="n"/>
      <c r="J10" s="42" t="n"/>
      <c r="K10" s="42" t="n"/>
      <c r="L10" s="42" t="n"/>
      <c r="M10" s="47" t="n"/>
      <c r="N10" s="47" t="n"/>
      <c r="O10" s="46" t="n"/>
    </row>
    <row r="11">
      <c r="A11" t="inlineStr">
        <is>
          <t>X Column</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49.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9" min="1" max="1"/>
    <col width="22.1640625" bestFit="1" customWidth="1" style="99" min="2" max="2"/>
    <col width="6.6640625" customWidth="1" style="99" min="5" max="5"/>
    <col width="33.5" bestFit="1" customWidth="1" style="99" min="6" max="6"/>
    <col width="28.6640625" bestFit="1" customWidth="1" style="99" min="7" max="7"/>
    <col width="13.5" customWidth="1" style="99" min="8" max="8"/>
    <col width="35" bestFit="1" customWidth="1" style="99" min="9" max="9"/>
    <col width="28.6640625" bestFit="1" customWidth="1" style="99" min="10" max="10"/>
    <col width="16" bestFit="1"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Coronary Heart Disease, Age-Adjusted Hospitalization Rate per 10,000 by Race/Ethnicity,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n"/>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s="46" t="inlineStr">
        <is>
          <t>Race and Ethnicity</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NYS excl NYC</t>
        </is>
      </c>
      <c r="O5" s="46" t="inlineStr">
        <is>
          <t>NYS</t>
        </is>
      </c>
    </row>
    <row r="6" ht="15" customHeight="1" s="99">
      <c r="A6" t="inlineStr">
        <is>
          <t>Multilevel Headers</t>
        </is>
      </c>
      <c r="B6" t="b">
        <v>0</v>
      </c>
      <c r="F6" s="71" t="inlineStr">
        <is>
          <t>Non-Hispanic White</t>
        </is>
      </c>
      <c r="G6" s="75" t="n">
        <v>15.2</v>
      </c>
      <c r="H6" s="75" t="n">
        <v>19.3</v>
      </c>
      <c r="I6" s="75" t="n">
        <v>13.7</v>
      </c>
      <c r="J6" s="75" t="n">
        <v>12.3</v>
      </c>
      <c r="K6" s="75" t="n">
        <v>24.8</v>
      </c>
      <c r="L6" s="75" t="n">
        <v>17.9</v>
      </c>
      <c r="M6" s="71" t="n">
        <v>11.4</v>
      </c>
      <c r="N6" s="71" t="n">
        <v>17.8</v>
      </c>
      <c r="O6" t="n">
        <v>16.8</v>
      </c>
    </row>
    <row r="7" ht="15.75" customHeight="1" s="99">
      <c r="F7" s="14" t="inlineStr">
        <is>
          <t>Non-Hispanic Black</t>
        </is>
      </c>
      <c r="G7" s="116" t="n">
        <v>5</v>
      </c>
      <c r="H7" s="116" t="n">
        <v>21.2</v>
      </c>
      <c r="I7" s="116" t="n">
        <v>13</v>
      </c>
      <c r="J7" s="116" t="n">
        <v>11.3</v>
      </c>
      <c r="K7" s="116" t="n">
        <v>30.4</v>
      </c>
      <c r="L7" s="116" t="n">
        <v>16.3</v>
      </c>
      <c r="M7" s="14" t="n">
        <v>14.7</v>
      </c>
      <c r="N7" s="14" t="n">
        <v>19.3</v>
      </c>
      <c r="O7" t="n">
        <v>17.1</v>
      </c>
    </row>
    <row r="8">
      <c r="F8" s="14" t="inlineStr">
        <is>
          <t>Asian/Pacific Islander</t>
        </is>
      </c>
      <c r="G8" s="116" t="n">
        <v>7.2</v>
      </c>
      <c r="H8" s="116" t="n">
        <v>9.300000000000001</v>
      </c>
      <c r="I8" s="116" t="inlineStr">
        <is>
          <t>s</t>
        </is>
      </c>
      <c r="J8" s="116" t="n">
        <v>14.7</v>
      </c>
      <c r="K8" s="116" t="n">
        <v>15.2</v>
      </c>
      <c r="L8" s="116" t="inlineStr">
        <is>
          <t>7.1*</t>
        </is>
      </c>
      <c r="M8" s="14" t="n">
        <v>8</v>
      </c>
      <c r="N8" s="14" t="n">
        <v>14.7</v>
      </c>
      <c r="O8" t="n">
        <v>13.5</v>
      </c>
    </row>
    <row r="9">
      <c r="A9" s="98" t="inlineStr">
        <is>
          <t>Figure Rules</t>
        </is>
      </c>
      <c r="F9" t="inlineStr">
        <is>
          <t>Hispanic</t>
        </is>
      </c>
      <c r="G9" s="116" t="n">
        <v>9.6</v>
      </c>
      <c r="H9" s="116" t="n">
        <v>17.6</v>
      </c>
      <c r="I9" s="116" t="n">
        <v>6.4</v>
      </c>
      <c r="J9" s="116" t="n">
        <v>14.2</v>
      </c>
      <c r="K9" s="116" t="n">
        <v>25.6</v>
      </c>
      <c r="L9" s="116" t="n">
        <v>13.6</v>
      </c>
      <c r="M9" s="46" t="inlineStr">
        <is>
          <t>8.3</t>
        </is>
      </c>
      <c r="N9" s="46" t="inlineStr">
        <is>
          <t>15.2</t>
        </is>
      </c>
      <c r="O9" s="46" t="inlineStr">
        <is>
          <t>17.2</t>
        </is>
      </c>
    </row>
    <row r="10">
      <c r="A10" t="inlineStr">
        <is>
          <t>Figure Type</t>
        </is>
      </c>
      <c r="B10" t="inlineStr">
        <is>
          <t>Clustered Bar</t>
        </is>
      </c>
      <c r="F10" s="14" t="n"/>
      <c r="G10" s="116" t="n"/>
      <c r="H10" s="116" t="n"/>
      <c r="I10" s="116" t="n"/>
      <c r="J10" s="42" t="n"/>
      <c r="K10" s="42" t="n"/>
      <c r="L10" s="42" t="n"/>
      <c r="M10" s="47" t="n"/>
      <c r="N10" s="47" t="n"/>
      <c r="O10" s="46" t="n"/>
    </row>
    <row r="11">
      <c r="A11" t="inlineStr">
        <is>
          <t>X Column</t>
        </is>
      </c>
      <c r="B11" t="inlineStr">
        <is>
          <t>Race and Ethnicity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0.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9" min="1" max="1"/>
    <col width="22.1640625" bestFit="1" customWidth="1" style="99" min="2" max="2"/>
    <col width="6.6640625" customWidth="1" style="99" min="5" max="5"/>
    <col width="33.5" bestFit="1" customWidth="1" style="99" min="6" max="6"/>
    <col width="28.6640625" bestFit="1" customWidth="1" style="99" min="7" max="7"/>
    <col width="13.5" customWidth="1" style="99" min="8" max="8"/>
    <col width="35" bestFit="1" customWidth="1" style="99" min="9" max="9"/>
    <col width="28.6640625" bestFit="1" customWidth="1" style="99" min="10" max="10"/>
    <col width="16" bestFit="1"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Heart Attack Mortality, Age-Adjusted Rate per 100,000 Population, 2018–2021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s="101" t="inlineStr">
        <is>
          <t>Three-Year Average</t>
        </is>
      </c>
      <c r="N5" s="101" t="inlineStr">
        <is>
          <t>Single-Year</t>
        </is>
      </c>
    </row>
    <row r="6" ht="15" customHeight="1" s="99">
      <c r="A6" t="inlineStr">
        <is>
          <t>Multilevel Headers</t>
        </is>
      </c>
      <c r="B6" t="b">
        <v>1</v>
      </c>
      <c r="F6" s="46" t="inlineStr">
        <is>
          <t>Period</t>
        </is>
      </c>
      <c r="G6" s="119" t="inlineStr">
        <is>
          <t>Dutchess</t>
        </is>
      </c>
      <c r="H6" s="119" t="inlineStr">
        <is>
          <t>Orange</t>
        </is>
      </c>
      <c r="I6" s="119" t="inlineStr">
        <is>
          <t>Putnam</t>
        </is>
      </c>
      <c r="J6" s="119" t="inlineStr">
        <is>
          <t>Rockland</t>
        </is>
      </c>
      <c r="K6" s="119" t="inlineStr">
        <is>
          <t>Sullivan</t>
        </is>
      </c>
      <c r="L6" s="119" t="inlineStr">
        <is>
          <t>Ulster</t>
        </is>
      </c>
      <c r="M6" s="46" t="inlineStr">
        <is>
          <t>Westchester</t>
        </is>
      </c>
      <c r="N6" s="46" t="inlineStr">
        <is>
          <t>NYS excl NYC</t>
        </is>
      </c>
      <c r="O6" s="46" t="inlineStr">
        <is>
          <t>NYS</t>
        </is>
      </c>
    </row>
    <row r="7" ht="15.75" customHeight="1" s="99">
      <c r="F7" s="71" t="n">
        <v>2018</v>
      </c>
      <c r="G7" s="75" t="n">
        <v>21.1</v>
      </c>
      <c r="H7" s="75" t="n">
        <v>22.3</v>
      </c>
      <c r="I7" s="75" t="n">
        <v>16.7</v>
      </c>
      <c r="J7" s="75" t="n">
        <v>35.9</v>
      </c>
      <c r="K7" s="75" t="n">
        <v>39.9</v>
      </c>
      <c r="L7" s="75" t="n">
        <v>20.9</v>
      </c>
      <c r="M7" s="71" t="n">
        <v>15.9</v>
      </c>
      <c r="N7" s="71" t="n">
        <v>25.9</v>
      </c>
      <c r="O7" t="n">
        <v>22.8</v>
      </c>
    </row>
    <row r="8">
      <c r="F8" s="14" t="n">
        <v>2019</v>
      </c>
      <c r="G8" s="116" t="n">
        <v>24.7</v>
      </c>
      <c r="H8" s="116" t="n">
        <v>23.3</v>
      </c>
      <c r="I8" s="116" t="n">
        <v>17.4</v>
      </c>
      <c r="J8" s="116" t="n">
        <v>37.6</v>
      </c>
      <c r="K8" s="116" t="n">
        <v>44.4</v>
      </c>
      <c r="L8" s="116" t="n">
        <v>19.7</v>
      </c>
      <c r="M8" s="14" t="n">
        <v>16.1</v>
      </c>
      <c r="N8" s="14" t="n">
        <v>23.7</v>
      </c>
      <c r="O8" t="n">
        <v>21.7</v>
      </c>
    </row>
    <row r="9">
      <c r="A9" s="98" t="inlineStr">
        <is>
          <t>Figure Rules</t>
        </is>
      </c>
      <c r="F9" s="14" t="n">
        <v>2020</v>
      </c>
      <c r="G9" s="116" t="n">
        <v>27.2</v>
      </c>
      <c r="H9" s="116" t="n">
        <v>21.8</v>
      </c>
      <c r="I9" s="116" t="n">
        <v>16.7</v>
      </c>
      <c r="J9" s="116" t="n">
        <v>36.1</v>
      </c>
      <c r="K9" s="116" t="n">
        <v>41.7</v>
      </c>
      <c r="L9" s="116" t="n">
        <v>20.3</v>
      </c>
      <c r="M9" s="14" t="n">
        <v>15.6</v>
      </c>
      <c r="N9" s="14" t="n">
        <v>25.7</v>
      </c>
      <c r="O9" t="n">
        <v>22.6</v>
      </c>
    </row>
    <row r="10">
      <c r="A10" t="inlineStr">
        <is>
          <t>Figure Type</t>
        </is>
      </c>
      <c r="B10" t="inlineStr">
        <is>
          <t>Line</t>
        </is>
      </c>
      <c r="F10" t="n">
        <v>2021</v>
      </c>
      <c r="G10" s="116" t="n">
        <v>28.7</v>
      </c>
      <c r="H10" s="116" t="n">
        <v>20.7</v>
      </c>
      <c r="I10" s="116" t="n">
        <v>15.7</v>
      </c>
      <c r="J10" s="116" t="n">
        <v>33.2</v>
      </c>
      <c r="K10" s="116" t="n">
        <v>43.7</v>
      </c>
      <c r="L10" s="116" t="n">
        <v>19.2</v>
      </c>
      <c r="M10" s="46" t="inlineStr">
        <is>
          <t>15.9</t>
        </is>
      </c>
      <c r="N10" s="46" t="inlineStr">
        <is>
          <t>24.1</t>
        </is>
      </c>
      <c r="O10" s="46" t="inlineStr">
        <is>
          <t>20.3</t>
        </is>
      </c>
    </row>
    <row r="11">
      <c r="A11" t="inlineStr">
        <is>
          <t>X Column</t>
        </is>
      </c>
      <c r="B11" t="inlineStr">
        <is>
          <t>Mortality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0</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51.xml><?xml version="1.0" encoding="utf-8"?>
<worksheet xmlns="http://schemas.openxmlformats.org/spreadsheetml/2006/main">
  <sheetPr>
    <outlinePr summaryBelow="1" summaryRight="1"/>
    <pageSetUpPr/>
  </sheetPr>
  <dimension ref="A1:P57"/>
  <sheetViews>
    <sheetView workbookViewId="0">
      <selection activeCell="B14" sqref="B14"/>
    </sheetView>
  </sheetViews>
  <sheetFormatPr baseColWidth="10" defaultColWidth="8.6640625" defaultRowHeight="15"/>
  <cols>
    <col width="20" bestFit="1" customWidth="1" style="99" min="1" max="1"/>
    <col width="22.1640625" bestFit="1" customWidth="1" style="99" min="2" max="2"/>
    <col width="6.6640625" customWidth="1" style="99" min="5" max="5"/>
    <col width="33.5" bestFit="1" customWidth="1" style="99" min="6" max="6"/>
    <col width="28.6640625" bestFit="1" customWidth="1" style="99" min="7" max="7"/>
    <col width="13.5" customWidth="1" style="99" min="8" max="8"/>
    <col width="35" bestFit="1" customWidth="1" style="99" min="9" max="9"/>
    <col width="28.6640625" bestFit="1" customWidth="1" style="99" min="10" max="10"/>
    <col width="16" bestFit="1"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Congestive Heart Failure Mortality, Age-Adjusted Rate per 100,000 Population, 2018–2021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NYS excl NYC</t>
        </is>
      </c>
      <c r="O5" s="46" t="inlineStr">
        <is>
          <t>NYS</t>
        </is>
      </c>
    </row>
    <row r="6" ht="15" customHeight="1" s="99">
      <c r="A6" t="inlineStr">
        <is>
          <t>Multilevel Headers</t>
        </is>
      </c>
      <c r="B6" t="b">
        <v>0</v>
      </c>
      <c r="F6" s="85" t="n">
        <v>2018</v>
      </c>
      <c r="G6" s="75" t="n">
        <v>13.9</v>
      </c>
      <c r="H6" s="75" t="n">
        <v>18.1</v>
      </c>
      <c r="I6" s="75" t="n">
        <v>13.9</v>
      </c>
      <c r="J6" s="75" t="n">
        <v>13.1</v>
      </c>
      <c r="K6" s="75" t="n">
        <v>16.2</v>
      </c>
      <c r="L6" s="75" t="n">
        <v>16.4</v>
      </c>
      <c r="M6" s="71" t="n">
        <v>9.4</v>
      </c>
      <c r="N6" s="71" t="n">
        <v>15.4</v>
      </c>
      <c r="O6" t="n">
        <v>11.1</v>
      </c>
    </row>
    <row r="7" ht="15.75" customHeight="1" s="99">
      <c r="F7" s="63" t="n">
        <v>2019</v>
      </c>
      <c r="G7" s="116" t="n">
        <v>15.1</v>
      </c>
      <c r="H7" s="116" t="n">
        <v>16.3</v>
      </c>
      <c r="I7" s="116" t="n">
        <v>13.1</v>
      </c>
      <c r="J7" s="116" t="n">
        <v>13.6</v>
      </c>
      <c r="K7" s="116" t="n">
        <v>16.2</v>
      </c>
      <c r="L7" s="116" t="n">
        <v>14.3</v>
      </c>
      <c r="M7" s="14" t="n">
        <v>8.9</v>
      </c>
      <c r="N7" s="14" t="inlineStr">
        <is>
          <t>N/A</t>
        </is>
      </c>
      <c r="O7" t="n">
        <v>10.8</v>
      </c>
    </row>
    <row r="8">
      <c r="F8" s="63" t="n">
        <v>2020</v>
      </c>
      <c r="G8" s="116" t="n">
        <v>15.3</v>
      </c>
      <c r="H8" s="116" t="n">
        <v>17.6</v>
      </c>
      <c r="I8" s="116" t="n">
        <v>13</v>
      </c>
      <c r="J8" s="116" t="n">
        <v>13.4</v>
      </c>
      <c r="K8" s="116" t="n">
        <v>18.9</v>
      </c>
      <c r="L8" s="116" t="n">
        <v>12.3</v>
      </c>
      <c r="M8" s="14" t="n">
        <v>8.699999999999999</v>
      </c>
      <c r="N8" s="14" t="inlineStr">
        <is>
          <t>N/A</t>
        </is>
      </c>
      <c r="O8" t="n">
        <v>10.1</v>
      </c>
    </row>
    <row r="9">
      <c r="A9" s="98" t="inlineStr">
        <is>
          <t>Figure Rules</t>
        </is>
      </c>
      <c r="F9" s="63" t="n">
        <v>2021</v>
      </c>
      <c r="G9" s="116" t="n">
        <v>15.9</v>
      </c>
      <c r="H9" s="116" t="n">
        <v>16.3</v>
      </c>
      <c r="I9" s="116" t="n">
        <v>9.5</v>
      </c>
      <c r="J9" s="116" t="n">
        <v>13.7</v>
      </c>
      <c r="K9" s="116" t="n">
        <v>22.3</v>
      </c>
      <c r="L9" s="116" t="n">
        <v>13.8</v>
      </c>
      <c r="M9" s="46" t="inlineStr">
        <is>
          <t>8.5</t>
        </is>
      </c>
      <c r="N9" s="46" t="inlineStr">
        <is>
          <t>13.6</t>
        </is>
      </c>
      <c r="O9" s="46" t="inlineStr">
        <is>
          <t>11.2</t>
        </is>
      </c>
    </row>
    <row r="10">
      <c r="A10" t="inlineStr">
        <is>
          <t>Figure Type</t>
        </is>
      </c>
      <c r="B10" t="inlineStr">
        <is>
          <t>Line</t>
        </is>
      </c>
      <c r="F10" s="63" t="n"/>
      <c r="G10" s="116" t="n"/>
      <c r="H10" s="116" t="n"/>
      <c r="I10" s="116" t="n"/>
      <c r="J10" s="42" t="n"/>
      <c r="K10" s="42" t="n"/>
      <c r="L10" s="42" t="n"/>
      <c r="M10" s="47" t="n"/>
      <c r="N10" s="47" t="n"/>
      <c r="O10" s="46" t="n"/>
    </row>
    <row r="11">
      <c r="A11" t="inlineStr">
        <is>
          <t>X Column</t>
        </is>
      </c>
      <c r="B11" t="inlineStr">
        <is>
          <t>Heart Failure Mortality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0</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2.xml><?xml version="1.0" encoding="utf-8"?>
<worksheet xmlns="http://schemas.openxmlformats.org/spreadsheetml/2006/main">
  <sheetPr>
    <outlinePr summaryBelow="1" summaryRight="1"/>
    <pageSetUpPr/>
  </sheetPr>
  <dimension ref="A1:P57"/>
  <sheetViews>
    <sheetView workbookViewId="0">
      <selection activeCell="G17" sqref="G17"/>
    </sheetView>
  </sheetViews>
  <sheetFormatPr baseColWidth="10" defaultColWidth="8.6640625" defaultRowHeight="15"/>
  <cols>
    <col width="20" bestFit="1" customWidth="1" style="99" min="1" max="1"/>
    <col width="22.1640625" bestFit="1" customWidth="1" style="99" min="2" max="2"/>
    <col width="6.6640625" customWidth="1" style="99" min="5" max="5"/>
    <col width="7.33203125" bestFit="1" customWidth="1" style="99" min="6" max="6"/>
    <col width="28.6640625" bestFit="1" customWidth="1" style="99" min="7" max="7"/>
    <col width="13.5" customWidth="1" style="99" min="8" max="8"/>
    <col width="35" bestFit="1" customWidth="1" style="99" min="9" max="9"/>
    <col width="28.6640625" bestFit="1" customWidth="1" style="99" min="10" max="10"/>
    <col width="16" bestFit="1"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Percentage of Adults with Poor Mental Health for 14 or More Days in the Last Month, 2016, 2018,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46"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9">
      <c r="A6" t="inlineStr">
        <is>
          <t>Multilevel Headers</t>
        </is>
      </c>
      <c r="B6" t="b">
        <v>0</v>
      </c>
      <c r="F6" s="85" t="n">
        <v>2016</v>
      </c>
      <c r="G6" s="75" t="n">
        <v>13.7</v>
      </c>
      <c r="H6" s="75" t="n">
        <v>11.8</v>
      </c>
      <c r="I6" s="75" t="n">
        <v>8.5</v>
      </c>
      <c r="J6" s="75" t="n">
        <v>8</v>
      </c>
      <c r="K6" s="75" t="n">
        <v>14.9</v>
      </c>
      <c r="L6" s="75" t="n">
        <v>12.3</v>
      </c>
      <c r="M6" s="71" t="n">
        <v>9.1</v>
      </c>
      <c r="N6" s="71" t="n">
        <v>10.6</v>
      </c>
      <c r="O6" t="n">
        <v>11.2</v>
      </c>
      <c r="P6" t="n">
        <v>10.7</v>
      </c>
    </row>
    <row r="7" ht="15.75" customHeight="1" s="99">
      <c r="F7" s="63" t="n">
        <v>2018</v>
      </c>
      <c r="G7" s="116" t="n">
        <v>11.7</v>
      </c>
      <c r="H7" s="116" t="n">
        <v>8.6</v>
      </c>
      <c r="I7" s="116" t="n">
        <v>10</v>
      </c>
      <c r="J7" s="116" t="n">
        <v>9.199999999999999</v>
      </c>
      <c r="K7" s="116" t="n">
        <v>11.2</v>
      </c>
      <c r="L7" s="116" t="n">
        <v>11.6</v>
      </c>
      <c r="M7" s="14" t="n">
        <v>8.9</v>
      </c>
      <c r="N7" s="14" t="n">
        <v>9.1</v>
      </c>
      <c r="O7" t="n">
        <v>11.8</v>
      </c>
      <c r="P7" t="n">
        <v>11.2</v>
      </c>
    </row>
    <row r="8">
      <c r="F8" s="63" t="n">
        <v>2021</v>
      </c>
      <c r="G8" s="116" t="n">
        <v>10.7</v>
      </c>
      <c r="H8" s="116" t="n">
        <v>10.4</v>
      </c>
      <c r="I8" s="116" t="n">
        <v>17.4</v>
      </c>
      <c r="J8" s="116" t="n">
        <v>9.4</v>
      </c>
      <c r="K8" s="116" t="n">
        <v>16.3</v>
      </c>
      <c r="L8" s="116" t="n">
        <v>15.7</v>
      </c>
      <c r="M8" s="14" t="n">
        <v>10.4</v>
      </c>
      <c r="N8" s="14" t="n">
        <v>10.4</v>
      </c>
      <c r="O8" t="n">
        <v>13.2</v>
      </c>
      <c r="P8" t="n">
        <v>13.4</v>
      </c>
    </row>
    <row r="9">
      <c r="A9" s="98" t="inlineStr">
        <is>
          <t>Figure Rules</t>
        </is>
      </c>
      <c r="G9" s="116" t="n"/>
      <c r="H9" s="116" t="n"/>
      <c r="I9" s="116" t="n"/>
      <c r="J9" s="116" t="n"/>
      <c r="K9" s="116" t="n"/>
      <c r="L9" s="116" t="n"/>
      <c r="M9" s="46" t="n"/>
      <c r="N9" s="46" t="n"/>
      <c r="O9" s="46" t="n"/>
    </row>
    <row r="10">
      <c r="A10" t="inlineStr">
        <is>
          <t>Figure Type</t>
        </is>
      </c>
      <c r="B10" t="inlineStr">
        <is>
          <t>Clustered Bar</t>
        </is>
      </c>
      <c r="F10" s="14" t="n"/>
      <c r="G10" s="116" t="n"/>
      <c r="H10" s="116" t="n"/>
      <c r="I10" s="116" t="n"/>
      <c r="J10" s="42" t="n"/>
      <c r="K10" s="42" t="n"/>
      <c r="L10" s="42" t="n"/>
      <c r="M10" s="47" t="n"/>
      <c r="N10" s="47" t="n"/>
      <c r="O10" s="46" t="n"/>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B12" t="inlineStr">
        <is>
          <t>Percent</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53.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9" min="1" max="1"/>
    <col width="22.1640625" bestFit="1" customWidth="1" style="99" min="2" max="2"/>
    <col width="6.6640625" customWidth="1" style="99" min="5" max="5"/>
    <col width="7.33203125" bestFit="1" customWidth="1" style="99" min="6" max="6"/>
    <col width="28.6640625" bestFit="1" customWidth="1" style="99" min="7" max="7"/>
    <col width="13.5" customWidth="1" style="99" min="8" max="8"/>
    <col width="35" bestFit="1" customWidth="1" style="99" min="9" max="9"/>
    <col width="28.6640625" bestFit="1" customWidth="1" style="99" min="10" max="10"/>
    <col width="16" bestFit="1"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Percentage of Adults Reporting a Depressive Disorder, 2016, 2018,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46"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9">
      <c r="A6" t="inlineStr">
        <is>
          <t>Multilevel Headers</t>
        </is>
      </c>
      <c r="B6" t="b">
        <v>0</v>
      </c>
      <c r="F6" s="85" t="n">
        <v>2016</v>
      </c>
      <c r="G6" s="75" t="n">
        <v>12.9</v>
      </c>
      <c r="H6" s="75" t="n">
        <v>9.4</v>
      </c>
      <c r="I6" s="75" t="n">
        <v>8</v>
      </c>
      <c r="J6" s="75" t="n">
        <v>8.300000000000001</v>
      </c>
      <c r="K6" s="75" t="n">
        <v>19</v>
      </c>
      <c r="L6" s="75" t="n">
        <v>14.5</v>
      </c>
      <c r="M6" s="71" t="n">
        <v>10.7</v>
      </c>
      <c r="N6" s="71" t="n">
        <v>10.8</v>
      </c>
      <c r="O6" t="n">
        <v>13</v>
      </c>
      <c r="P6" t="n">
        <v>11.8</v>
      </c>
    </row>
    <row r="7" ht="15.75" customHeight="1" s="99">
      <c r="F7" s="63" t="n">
        <v>2018</v>
      </c>
      <c r="G7" s="116" t="n">
        <v>16.8</v>
      </c>
      <c r="H7" s="116" t="n">
        <v>11.6</v>
      </c>
      <c r="I7" s="116" t="n">
        <v>10.4</v>
      </c>
      <c r="J7" s="116" t="n">
        <v>12.5</v>
      </c>
      <c r="K7" s="116" t="n">
        <v>23.5</v>
      </c>
      <c r="L7" s="116" t="n">
        <v>21.4</v>
      </c>
      <c r="M7" s="14" t="n">
        <v>13.2</v>
      </c>
      <c r="N7" s="14" t="n">
        <v>13.6</v>
      </c>
      <c r="O7" t="n">
        <v>16.6</v>
      </c>
      <c r="P7" t="n">
        <v>15.3</v>
      </c>
    </row>
    <row r="8">
      <c r="F8" s="63" t="n">
        <v>2021</v>
      </c>
      <c r="G8" s="116" t="n">
        <v>19.5</v>
      </c>
      <c r="H8" s="116" t="n">
        <v>16.3</v>
      </c>
      <c r="I8" s="116" t="n">
        <v>16.6</v>
      </c>
      <c r="J8" s="116" t="n">
        <v>13.7</v>
      </c>
      <c r="K8" s="116" t="n">
        <v>19.7</v>
      </c>
      <c r="L8" s="116" t="n">
        <v>24.1</v>
      </c>
      <c r="M8" s="14" t="n">
        <v>12.4</v>
      </c>
      <c r="N8" s="14" t="n">
        <v>14.2</v>
      </c>
      <c r="O8" t="n">
        <v>18.7</v>
      </c>
      <c r="P8" t="n">
        <v>17.4</v>
      </c>
    </row>
    <row r="9">
      <c r="A9" s="98" t="inlineStr">
        <is>
          <t>Figure Rules</t>
        </is>
      </c>
      <c r="G9" s="116" t="n"/>
      <c r="H9" s="116" t="n"/>
      <c r="I9" s="116" t="n"/>
      <c r="J9" s="116" t="n"/>
      <c r="K9" s="116" t="n"/>
      <c r="L9" s="116" t="n"/>
      <c r="M9" s="46" t="n"/>
      <c r="N9" s="46" t="n"/>
      <c r="O9" s="46" t="n"/>
    </row>
    <row r="10">
      <c r="A10" t="inlineStr">
        <is>
          <t>Figure Type</t>
        </is>
      </c>
      <c r="B10" t="inlineStr">
        <is>
          <t>Clustered Bar</t>
        </is>
      </c>
      <c r="F10" s="14" t="n"/>
      <c r="G10" s="116" t="n"/>
      <c r="H10" s="116" t="n"/>
      <c r="I10" s="116" t="n"/>
      <c r="J10" s="42" t="n"/>
      <c r="K10" s="42" t="n"/>
      <c r="L10" s="42" t="n"/>
      <c r="M10" s="47" t="n"/>
      <c r="N10" s="47" t="n"/>
      <c r="O10" s="46" t="n"/>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B12" t="inlineStr">
        <is>
          <t>Percent</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4.xml><?xml version="1.0" encoding="utf-8"?>
<worksheet xmlns="http://schemas.openxmlformats.org/spreadsheetml/2006/main">
  <sheetPr>
    <outlinePr summaryBelow="1" summaryRight="1"/>
    <pageSetUpPr/>
  </sheetPr>
  <dimension ref="A1:P57"/>
  <sheetViews>
    <sheetView workbookViewId="0">
      <selection activeCell="A1" sqref="A1"/>
    </sheetView>
  </sheetViews>
  <sheetFormatPr baseColWidth="10" defaultColWidth="8.6640625" defaultRowHeight="15"/>
  <cols>
    <col width="20" bestFit="1" customWidth="1" style="99" min="1" max="1"/>
    <col width="22.1640625" bestFit="1" customWidth="1" style="99" min="2" max="2"/>
    <col width="6.6640625" customWidth="1" style="99" min="5" max="5"/>
    <col width="33.1640625" bestFit="1" customWidth="1" style="99" min="6" max="6"/>
    <col width="28.6640625" bestFit="1" customWidth="1" style="99" min="7" max="7"/>
    <col width="13.5" customWidth="1" style="99" min="8" max="8"/>
    <col width="35" bestFit="1" customWidth="1" style="99" min="9" max="9"/>
    <col width="28.6640625" bestFit="1" customWidth="1" style="99" min="10" max="10"/>
    <col width="16" bestFit="1" customWidth="1" style="99" min="11" max="11"/>
    <col width="12.33203125" bestFit="1" customWidth="1" style="99" min="12" max="12"/>
    <col width="10.5" bestFit="1" customWidth="1" style="99" min="13" max="13"/>
    <col width="12.33203125" bestFit="1" customWidth="1" style="99" min="14" max="14"/>
    <col width="11" bestFit="1" customWidth="1" style="99" min="15" max="15"/>
  </cols>
  <sheetData>
    <row r="1">
      <c r="A1" s="97" t="inlineStr">
        <is>
          <t>Name</t>
        </is>
      </c>
      <c r="B1" s="96" t="inlineStr">
        <is>
          <t>Increased Risk of Disease Incidence from Smoking, 2021</t>
        </is>
      </c>
    </row>
    <row r="2">
      <c r="A2" s="97" t="inlineStr">
        <is>
          <t>Table/Figure/Both</t>
        </is>
      </c>
      <c r="B2" t="inlineStr">
        <is>
          <t>Table</t>
        </is>
      </c>
    </row>
    <row r="3">
      <c r="A3" s="97" t="inlineStr">
        <is>
          <t xml:space="preserve">Object ID  </t>
        </is>
      </c>
      <c r="B3">
        <f>IF($B$1="","",_xlfn.XLOOKUP($B$1,Master!$F$2:$F$308,Master!$G$2:$G$308,""))</f>
        <v/>
      </c>
    </row>
    <row r="4">
      <c r="A4" s="97" t="inlineStr">
        <is>
          <t>Figure ID</t>
        </is>
      </c>
      <c r="B4">
        <f>IF($B$1="","",_xlfn.XLOOKUP($B$1,Master!$F$2:$F$308,Master!$H$2:$H$308,""))</f>
        <v/>
      </c>
      <c r="E4" s="13" t="n"/>
      <c r="F4" s="16" t="n"/>
      <c r="G4" s="16" t="n"/>
      <c r="H4" s="16" t="n"/>
      <c r="I4" s="16" t="n"/>
      <c r="J4" s="16" t="n"/>
      <c r="K4" s="16" t="n"/>
      <c r="L4" s="16" t="n"/>
      <c r="M4" s="16" t="n"/>
      <c r="N4" s="16" t="n"/>
      <c r="O4" s="16" t="n"/>
      <c r="P4" s="16" t="n"/>
    </row>
    <row r="5">
      <c r="A5" s="98" t="inlineStr">
        <is>
          <t>Table Rules</t>
        </is>
      </c>
      <c r="E5" s="100" t="inlineStr">
        <is>
          <t xml:space="preserve">Enter Data </t>
        </is>
      </c>
      <c r="F5" s="46" t="inlineStr">
        <is>
          <t>Disease</t>
        </is>
      </c>
      <c r="G5" s="119" t="inlineStr">
        <is>
          <t>Risk Increase</t>
        </is>
      </c>
      <c r="H5" s="119" t="n"/>
      <c r="I5" s="119" t="n"/>
      <c r="J5" s="119" t="n"/>
      <c r="K5" s="119" t="n"/>
      <c r="L5" s="119" t="n"/>
      <c r="M5" s="46" t="n"/>
      <c r="N5" s="46" t="n"/>
      <c r="O5" s="46" t="n"/>
    </row>
    <row r="6" ht="15" customHeight="1" s="99">
      <c r="A6" t="inlineStr">
        <is>
          <t>Multilevel Headers</t>
        </is>
      </c>
      <c r="B6" t="b">
        <v>0</v>
      </c>
      <c r="F6" s="85" t="inlineStr">
        <is>
          <t>Coronary Heart Disease Incidence</t>
        </is>
      </c>
      <c r="G6" s="75" t="inlineStr">
        <is>
          <t>2–4 times</t>
        </is>
      </c>
      <c r="H6" s="75" t="n"/>
      <c r="I6" s="75" t="n"/>
      <c r="J6" s="75" t="n"/>
      <c r="K6" s="75" t="n"/>
      <c r="L6" s="75" t="n"/>
      <c r="M6" s="71" t="n"/>
      <c r="N6" s="71" t="n"/>
    </row>
    <row r="7" ht="15.75" customHeight="1" s="99">
      <c r="F7" s="63" t="inlineStr">
        <is>
          <t>Stroke Incidence</t>
        </is>
      </c>
      <c r="G7" s="116" t="inlineStr">
        <is>
          <t>2–4 times</t>
        </is>
      </c>
      <c r="H7" s="116" t="n"/>
      <c r="I7" s="116" t="n"/>
      <c r="J7" s="116" t="n"/>
      <c r="K7" s="116" t="n"/>
      <c r="L7" s="116" t="n"/>
      <c r="M7" s="14" t="n"/>
      <c r="N7" s="14" t="n"/>
    </row>
    <row r="8">
      <c r="F8" s="63" t="inlineStr">
        <is>
          <t>Lung Cancer Incidence</t>
        </is>
      </c>
      <c r="G8" s="116" t="inlineStr">
        <is>
          <t>25 times</t>
        </is>
      </c>
      <c r="H8" s="116" t="n"/>
      <c r="I8" s="116" t="n"/>
      <c r="J8" s="116" t="n"/>
      <c r="K8" s="116" t="n"/>
      <c r="L8" s="116" t="n"/>
      <c r="M8" s="14" t="n"/>
      <c r="N8" s="14" t="n"/>
    </row>
    <row r="9">
      <c r="A9" s="98" t="inlineStr">
        <is>
          <t>Figure Rules</t>
        </is>
      </c>
      <c r="G9" s="116" t="n"/>
      <c r="H9" s="116" t="n"/>
      <c r="I9" s="116" t="n"/>
      <c r="J9" s="116" t="n"/>
      <c r="K9" s="116" t="n"/>
      <c r="L9" s="116" t="n"/>
      <c r="M9" s="46" t="n"/>
      <c r="N9" s="46" t="n"/>
      <c r="O9" s="46" t="n"/>
    </row>
    <row r="10">
      <c r="A10" t="inlineStr">
        <is>
          <t>Figure Type</t>
        </is>
      </c>
      <c r="F10" s="14" t="n"/>
      <c r="G10" s="116" t="n"/>
      <c r="H10" s="116" t="n"/>
      <c r="I10" s="116" t="n"/>
      <c r="J10" s="42" t="n"/>
      <c r="K10" s="42" t="n"/>
      <c r="L10" s="42" t="n"/>
      <c r="M10" s="47" t="n"/>
      <c r="N10" s="47" t="n"/>
      <c r="O10" s="46" t="n"/>
    </row>
    <row r="11">
      <c r="A11" t="inlineStr">
        <is>
          <t>X Column</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F14" s="119" t="n"/>
      <c r="G14" s="119" t="n"/>
      <c r="H14" s="119" t="n"/>
      <c r="I14" s="46" t="n"/>
      <c r="J14" s="47" t="n"/>
      <c r="K14" s="47" t="n"/>
      <c r="L14" s="47" t="n"/>
      <c r="M14" s="47" t="n"/>
      <c r="N14" s="47" t="n"/>
      <c r="O14" s="46" t="n"/>
    </row>
    <row r="15">
      <c r="A15" t="inlineStr">
        <is>
          <t>Start at Zero</t>
        </is>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55.xml><?xml version="1.0" encoding="utf-8"?>
<worksheet xmlns="http://schemas.openxmlformats.org/spreadsheetml/2006/main">
  <sheetPr>
    <outlinePr summaryBelow="1" summaryRight="1"/>
    <pageSetUpPr/>
  </sheetPr>
  <dimension ref="A1:P57"/>
  <sheetViews>
    <sheetView workbookViewId="0">
      <selection activeCell="L36" sqref="L36"/>
    </sheetView>
  </sheetViews>
  <sheetFormatPr baseColWidth="10" defaultColWidth="8.6640625" defaultRowHeight="15"/>
  <cols>
    <col width="20" bestFit="1" customWidth="1" style="99" min="1" max="1"/>
    <col width="22.1640625" bestFit="1" customWidth="1" style="99" min="2" max="2"/>
    <col width="6.6640625" customWidth="1" style="99" min="5" max="5"/>
    <col width="8" bestFit="1" customWidth="1" style="99" min="6" max="6"/>
    <col width="9" bestFit="1" customWidth="1" style="99" min="7" max="7"/>
    <col width="13.5" customWidth="1" style="99" min="8" max="8"/>
    <col width="8.83203125" bestFit="1" customWidth="1" style="99" min="9" max="9"/>
    <col width="9" bestFit="1" customWidth="1" style="99" min="10" max="10"/>
    <col width="8.83203125" bestFit="1" customWidth="1" style="99" min="11" max="11"/>
    <col width="12.33203125" bestFit="1" customWidth="1" style="99" min="12" max="12"/>
    <col width="12.1640625" bestFit="1" customWidth="1" style="99" min="13" max="13"/>
    <col width="12.33203125" bestFit="1" customWidth="1" style="99" min="14" max="14"/>
    <col width="12.5" bestFit="1" customWidth="1" style="99" min="15" max="15"/>
  </cols>
  <sheetData>
    <row r="1">
      <c r="A1" s="97" t="inlineStr">
        <is>
          <t>Name</t>
        </is>
      </c>
      <c r="B1" s="96" t="inlineStr">
        <is>
          <t>Percentage of Adults Who Are Current Smokers, 2016, 2018,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9">
      <c r="A6" t="inlineStr">
        <is>
          <t>Multilevel Headers</t>
        </is>
      </c>
      <c r="B6" t="b">
        <v>0</v>
      </c>
      <c r="F6" s="85" t="n">
        <v>2016</v>
      </c>
      <c r="G6" s="75" t="n">
        <v>16.4</v>
      </c>
      <c r="H6" s="75" t="n">
        <v>13.2</v>
      </c>
      <c r="I6" s="75" t="n">
        <v>18.3</v>
      </c>
      <c r="J6" s="75" t="n">
        <v>6.6</v>
      </c>
      <c r="K6" s="75" t="n">
        <v>20.1</v>
      </c>
      <c r="L6" s="75" t="n">
        <v>15.6</v>
      </c>
      <c r="M6" s="71" t="n">
        <v>9.4</v>
      </c>
      <c r="N6" s="71" t="n">
        <v>11.7</v>
      </c>
      <c r="O6" t="n">
        <v>17</v>
      </c>
      <c r="P6" t="n">
        <v>14.5</v>
      </c>
    </row>
    <row r="7" ht="15.75" customHeight="1" s="99">
      <c r="F7" s="63" t="n">
        <v>2018</v>
      </c>
      <c r="G7" s="116" t="n">
        <v>12.2</v>
      </c>
      <c r="H7" s="116" t="n">
        <v>11.7</v>
      </c>
      <c r="I7" s="116" t="n">
        <v>9</v>
      </c>
      <c r="J7" s="116" t="n">
        <v>7.6</v>
      </c>
      <c r="K7" s="116" t="n">
        <v>21.6</v>
      </c>
      <c r="L7" s="116" t="n">
        <v>14.7</v>
      </c>
      <c r="M7" s="14" t="n">
        <v>7.4</v>
      </c>
      <c r="N7" s="14" t="n">
        <v>10.2</v>
      </c>
      <c r="O7" t="n">
        <v>14.7</v>
      </c>
      <c r="P7" t="n">
        <v>13.2</v>
      </c>
    </row>
    <row r="8">
      <c r="F8" s="63" t="n">
        <v>2021</v>
      </c>
      <c r="G8" s="116" t="n">
        <v>17.4</v>
      </c>
      <c r="H8" s="116" t="n">
        <v>12</v>
      </c>
      <c r="I8" s="116" t="n">
        <v>16.7</v>
      </c>
      <c r="J8" s="116" t="n">
        <v>14</v>
      </c>
      <c r="K8" s="116" t="n">
        <v>13.3</v>
      </c>
      <c r="L8" s="116" t="n">
        <v>12.7</v>
      </c>
      <c r="M8" s="14" t="n">
        <v>6.3</v>
      </c>
      <c r="N8" s="14" t="n">
        <v>11.1</v>
      </c>
      <c r="O8" t="n">
        <v>14.1</v>
      </c>
      <c r="P8" t="n">
        <v>12.5</v>
      </c>
    </row>
    <row r="9">
      <c r="A9" s="98" t="inlineStr">
        <is>
          <t>Figure Rules</t>
        </is>
      </c>
      <c r="G9" s="116" t="n"/>
      <c r="H9" s="116" t="n"/>
      <c r="I9" s="116" t="n"/>
      <c r="J9" s="116" t="n"/>
      <c r="K9" s="116" t="n"/>
      <c r="L9" s="116" t="n"/>
      <c r="M9" s="46" t="n"/>
      <c r="N9" s="46" t="n"/>
      <c r="O9" s="46" t="n"/>
    </row>
    <row r="10">
      <c r="A10" t="inlineStr">
        <is>
          <t>Figure Type</t>
        </is>
      </c>
      <c r="B10" t="inlineStr">
        <is>
          <t>Clustered Bar</t>
        </is>
      </c>
      <c r="F10" s="14" t="n"/>
      <c r="G10" s="116" t="n"/>
      <c r="H10" s="116" t="n"/>
      <c r="I10" s="116" t="n"/>
      <c r="J10" s="42" t="n"/>
      <c r="K10" s="42" t="n"/>
      <c r="L10" s="42" t="n"/>
      <c r="M10" s="47" t="n"/>
      <c r="N10" s="47" t="n"/>
      <c r="O10" s="46" t="n"/>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6.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8" bestFit="1" customWidth="1" style="99" min="6" max="6"/>
    <col width="9" bestFit="1" customWidth="1" style="99" min="7" max="7"/>
    <col width="13.5" customWidth="1" style="99" min="8" max="8"/>
    <col width="8.83203125" bestFit="1" customWidth="1" style="99" min="9" max="9"/>
    <col width="9" bestFit="1" customWidth="1" style="99" min="10" max="10"/>
    <col width="8.83203125" bestFit="1" customWidth="1" style="99" min="11" max="11"/>
    <col width="12.33203125" bestFit="1" customWidth="1" style="99" min="12" max="12"/>
    <col width="12.1640625" bestFit="1" customWidth="1" style="99" min="13" max="13"/>
    <col width="12.33203125" bestFit="1" customWidth="1" style="99" min="14" max="14"/>
    <col width="12.5" bestFit="1" customWidth="1" style="99" min="15" max="15"/>
  </cols>
  <sheetData>
    <row r="1">
      <c r="A1" s="97" t="inlineStr">
        <is>
          <t>Name</t>
        </is>
      </c>
      <c r="B1" s="96" t="inlineStr">
        <is>
          <t>Percentage of Adults Binge Drinking During the Past Month, 2016, 2018,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9">
      <c r="A6" t="inlineStr">
        <is>
          <t>Multilevel Headers</t>
        </is>
      </c>
      <c r="B6" t="b">
        <v>0</v>
      </c>
      <c r="F6" s="85" t="n">
        <v>2016</v>
      </c>
      <c r="G6" s="75" t="n">
        <v>17.5</v>
      </c>
      <c r="H6" s="75" t="n">
        <v>15.7</v>
      </c>
      <c r="I6" s="75" t="n">
        <v>21.7</v>
      </c>
      <c r="J6" s="75" t="n">
        <v>11</v>
      </c>
      <c r="K6" s="75" t="n">
        <v>15.7</v>
      </c>
      <c r="L6" s="75" t="n">
        <v>22.2</v>
      </c>
      <c r="M6" s="71" t="n">
        <v>20.7</v>
      </c>
      <c r="N6" s="71" t="n">
        <v>18.1</v>
      </c>
      <c r="O6" t="n">
        <v>19.1</v>
      </c>
      <c r="P6" t="n">
        <v>18.3</v>
      </c>
    </row>
    <row r="7" ht="15.75" customHeight="1" s="99">
      <c r="F7" s="63" t="n">
        <v>2018</v>
      </c>
      <c r="G7" s="116" t="n">
        <v>20.7</v>
      </c>
      <c r="H7" s="116" t="n">
        <v>16.1</v>
      </c>
      <c r="I7" s="116" t="n">
        <v>14.1</v>
      </c>
      <c r="J7" s="116" t="n">
        <v>12.6</v>
      </c>
      <c r="K7" s="116" t="n">
        <v>22.1</v>
      </c>
      <c r="L7" s="116" t="n">
        <v>18.5</v>
      </c>
      <c r="M7" s="14" t="n">
        <v>16.7</v>
      </c>
      <c r="N7" s="14" t="n">
        <v>16.1</v>
      </c>
      <c r="O7" t="n">
        <v>18.4</v>
      </c>
      <c r="P7" t="n">
        <v>17.5</v>
      </c>
    </row>
    <row r="8">
      <c r="F8" s="63" t="n">
        <v>2021</v>
      </c>
      <c r="G8" s="116" t="n">
        <v>15.1</v>
      </c>
      <c r="H8" s="116" t="n">
        <v>13.8</v>
      </c>
      <c r="I8" s="116" t="n">
        <v>18.7</v>
      </c>
      <c r="J8" s="116" t="n">
        <v>12.2</v>
      </c>
      <c r="K8" s="116" t="n">
        <v>17.8</v>
      </c>
      <c r="L8" s="116" t="n">
        <v>13.9</v>
      </c>
      <c r="M8" s="14" t="n">
        <v>13</v>
      </c>
      <c r="N8" s="14" t="n">
        <v>13.1</v>
      </c>
      <c r="O8" t="n">
        <v>16.1</v>
      </c>
      <c r="P8" s="14" t="n">
        <v>16</v>
      </c>
    </row>
    <row r="9">
      <c r="A9" s="98" t="inlineStr">
        <is>
          <t>Figure Rules</t>
        </is>
      </c>
      <c r="G9" s="116" t="n"/>
      <c r="H9" s="116" t="n"/>
      <c r="I9" s="116" t="n"/>
      <c r="J9" s="116" t="n"/>
      <c r="K9" s="116" t="n"/>
      <c r="L9" s="116" t="n"/>
      <c r="M9" s="46" t="n"/>
      <c r="N9" s="46" t="n"/>
      <c r="O9" s="46" t="n"/>
    </row>
    <row r="10">
      <c r="A10" t="inlineStr">
        <is>
          <t>Figure Type</t>
        </is>
      </c>
      <c r="B10" t="inlineStr">
        <is>
          <t>Clustered Bar</t>
        </is>
      </c>
      <c r="F10" s="14" t="n"/>
      <c r="G10" s="116" t="n"/>
      <c r="H10" s="116" t="n"/>
      <c r="I10" s="116" t="n"/>
      <c r="J10" s="42" t="n"/>
      <c r="K10" s="42" t="n"/>
      <c r="L10" s="42" t="n"/>
      <c r="M10" s="47" t="n"/>
      <c r="N10" s="47" t="n"/>
      <c r="O10" s="46" t="n"/>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57.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9" min="1" max="1"/>
    <col width="22.1640625" bestFit="1" customWidth="1" style="99" min="2" max="2"/>
    <col width="6.6640625" customWidth="1" style="99" min="5" max="5"/>
    <col width="8" bestFit="1" customWidth="1" style="99" min="6" max="6"/>
    <col width="9" bestFit="1" customWidth="1" style="99" min="7" max="7"/>
    <col width="13.5" customWidth="1" style="99" min="8" max="8"/>
    <col width="8.83203125" bestFit="1" customWidth="1" style="99" min="9" max="9"/>
    <col width="9" bestFit="1" customWidth="1" style="99" min="10" max="10"/>
    <col width="8.83203125" bestFit="1" customWidth="1" style="99" min="11" max="11"/>
    <col width="12.33203125" bestFit="1" customWidth="1" style="99" min="12" max="12"/>
    <col width="12.1640625" bestFit="1" customWidth="1" style="99" min="13" max="13"/>
    <col width="12.33203125" bestFit="1" customWidth="1" style="99" min="14" max="14"/>
    <col width="12.5" bestFit="1" customWidth="1" style="99" min="15" max="15"/>
  </cols>
  <sheetData>
    <row r="1">
      <c r="A1" s="97" t="inlineStr">
        <is>
          <t>Name</t>
        </is>
      </c>
      <c r="B1" s="96" t="inlineStr">
        <is>
          <t>All Emergency Department Visits Involving Any Opioid Overdose, Age-Adjusted Rate per 100,000 Population, 2019–2022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9">
      <c r="A6" t="inlineStr">
        <is>
          <t>Multilevel Headers</t>
        </is>
      </c>
      <c r="B6" t="b">
        <v>0</v>
      </c>
      <c r="F6" s="85" t="n">
        <v>2019</v>
      </c>
      <c r="G6" s="75" t="n">
        <v>98.8</v>
      </c>
      <c r="H6" s="75" t="n">
        <v>62.8</v>
      </c>
      <c r="I6" s="75" t="n">
        <v>51.6</v>
      </c>
      <c r="J6" s="75" t="n">
        <v>29.1</v>
      </c>
      <c r="K6" s="75" t="n">
        <v>84.8</v>
      </c>
      <c r="L6" s="75" t="n">
        <v>94.09999999999999</v>
      </c>
      <c r="M6" s="71" t="n">
        <v>35.2</v>
      </c>
      <c r="N6" s="71" t="n">
        <v>53.7</v>
      </c>
      <c r="O6" t="n">
        <v>66.7</v>
      </c>
      <c r="P6" t="n">
        <v>54.1</v>
      </c>
    </row>
    <row r="7" ht="15.75" customHeight="1" s="99">
      <c r="F7" s="63" t="n">
        <v>2020</v>
      </c>
      <c r="G7" s="116" t="n">
        <v>88.90000000000001</v>
      </c>
      <c r="H7" s="116" t="n">
        <v>82.7</v>
      </c>
      <c r="I7" s="116" t="n">
        <v>55.7</v>
      </c>
      <c r="J7" s="116" t="n">
        <v>38.7</v>
      </c>
      <c r="K7" s="116" t="n">
        <v>154.3</v>
      </c>
      <c r="L7" s="116" t="n">
        <v>127.2</v>
      </c>
      <c r="M7" s="14" t="n">
        <v>34.1</v>
      </c>
      <c r="N7" s="14" t="n">
        <v>61.8</v>
      </c>
      <c r="O7" t="n">
        <v>74.3</v>
      </c>
      <c r="P7" t="n">
        <v>61</v>
      </c>
    </row>
    <row r="8">
      <c r="F8" s="63" t="n">
        <v>2021</v>
      </c>
      <c r="G8" s="116" t="n">
        <v>83.90000000000001</v>
      </c>
      <c r="H8" s="116" t="n">
        <v>64</v>
      </c>
      <c r="I8" s="116" t="n">
        <v>60.9</v>
      </c>
      <c r="J8" s="116" t="n">
        <v>36.1</v>
      </c>
      <c r="K8" s="116" t="n">
        <v>136.9</v>
      </c>
      <c r="L8" s="116" t="n">
        <v>113.9</v>
      </c>
      <c r="M8" s="14" t="n">
        <v>39.4</v>
      </c>
      <c r="N8" s="14" t="n">
        <v>58.8</v>
      </c>
      <c r="O8" t="n">
        <v>73.09999999999999</v>
      </c>
      <c r="P8" s="14" t="n">
        <v>67.2</v>
      </c>
    </row>
    <row r="9">
      <c r="A9" s="98" t="inlineStr">
        <is>
          <t>Figure Rules</t>
        </is>
      </c>
      <c r="F9" t="n">
        <v>2022</v>
      </c>
      <c r="G9" s="116" t="n">
        <v>77.90000000000001</v>
      </c>
      <c r="H9" s="116" t="n">
        <v>64.5</v>
      </c>
      <c r="I9" s="116" t="n">
        <v>40.1</v>
      </c>
      <c r="J9" s="116" t="n">
        <v>28.4</v>
      </c>
      <c r="K9" s="116" t="n">
        <v>123.9</v>
      </c>
      <c r="L9" s="116" t="n">
        <v>80.40000000000001</v>
      </c>
      <c r="M9" s="46" t="inlineStr">
        <is>
          <t>34.8</t>
        </is>
      </c>
      <c r="N9" s="46" t="inlineStr">
        <is>
          <t>51.1</t>
        </is>
      </c>
      <c r="O9" s="46" t="inlineStr">
        <is>
          <t>64.8</t>
        </is>
      </c>
      <c r="P9" t="n">
        <v>67.09999999999999</v>
      </c>
    </row>
    <row r="10">
      <c r="A10" t="inlineStr">
        <is>
          <t>Figure Type</t>
        </is>
      </c>
      <c r="B10" t="inlineStr">
        <is>
          <t>Line</t>
        </is>
      </c>
      <c r="F10" s="14" t="n"/>
      <c r="G10" s="116" t="n"/>
      <c r="H10" s="116" t="n"/>
      <c r="I10" s="116" t="n"/>
      <c r="J10" s="42" t="n"/>
      <c r="K10" s="42" t="n"/>
      <c r="L10" s="42" t="n"/>
      <c r="M10" s="47" t="n"/>
      <c r="N10" s="47" t="n"/>
      <c r="O10" s="46" t="n"/>
    </row>
    <row r="11">
      <c r="A11" t="inlineStr">
        <is>
          <t>X Column</t>
        </is>
      </c>
      <c r="B11" t="inlineStr">
        <is>
          <t>Year</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58.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9" min="1" max="1"/>
    <col width="22.1640625" bestFit="1" customWidth="1" style="99" min="2" max="2"/>
    <col width="6.6640625" customWidth="1" style="99" min="5" max="5"/>
    <col width="8" bestFit="1" customWidth="1" style="99" min="6" max="6"/>
    <col width="9" bestFit="1" customWidth="1" style="99" min="7" max="7"/>
    <col width="13.5" customWidth="1" style="99" min="8" max="8"/>
    <col width="8.83203125" bestFit="1" customWidth="1" style="99" min="9" max="9"/>
    <col width="9" bestFit="1" customWidth="1" style="99" min="10" max="10"/>
    <col width="8.83203125" bestFit="1" customWidth="1" style="99" min="11" max="11"/>
    <col width="12.33203125" bestFit="1" customWidth="1" style="99" min="12" max="12"/>
    <col width="12.1640625" bestFit="1" customWidth="1" style="99" min="13" max="13"/>
    <col width="12.33203125" bestFit="1" customWidth="1" style="99" min="14" max="14"/>
    <col width="12.5" bestFit="1" customWidth="1" style="99" min="15" max="15"/>
  </cols>
  <sheetData>
    <row r="1">
      <c r="A1" s="97" t="inlineStr">
        <is>
          <t>Name</t>
        </is>
      </c>
      <c r="B1" s="96" t="inlineStr">
        <is>
          <t>Hospital Discharges Involving Any Opioid Overdose, Age-Adjusted Rate per 100,000 Population, 2019–2022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82" t="inlineStr">
        <is>
          <t>Year</t>
        </is>
      </c>
      <c r="G5" s="47" t="inlineStr">
        <is>
          <t>Dutchess</t>
        </is>
      </c>
      <c r="H5" s="47" t="inlineStr">
        <is>
          <t>Orange</t>
        </is>
      </c>
      <c r="I5" s="47" t="inlineStr">
        <is>
          <t>Putnam</t>
        </is>
      </c>
      <c r="J5" s="47" t="inlineStr">
        <is>
          <t>Rockland</t>
        </is>
      </c>
      <c r="K5" s="47" t="inlineStr">
        <is>
          <t>Sullivan</t>
        </is>
      </c>
      <c r="L5" s="47" t="inlineStr">
        <is>
          <t>Ulster</t>
        </is>
      </c>
      <c r="M5" s="47" t="inlineStr">
        <is>
          <t>Westchester</t>
        </is>
      </c>
      <c r="N5" s="47" t="inlineStr">
        <is>
          <t>Mid-Hudson</t>
        </is>
      </c>
      <c r="O5" s="47" t="inlineStr">
        <is>
          <t>NYS excl NYC</t>
        </is>
      </c>
      <c r="P5" s="114" t="inlineStr">
        <is>
          <t>NYS</t>
        </is>
      </c>
    </row>
    <row r="6" ht="15" customHeight="1" s="99">
      <c r="A6" t="inlineStr">
        <is>
          <t>Multilevel Headers</t>
        </is>
      </c>
      <c r="B6" t="b">
        <v>0</v>
      </c>
      <c r="F6" s="90" t="n">
        <v>2019</v>
      </c>
      <c r="G6" s="88" t="n">
        <v>19.1</v>
      </c>
      <c r="H6" s="88" t="n">
        <v>13.8</v>
      </c>
      <c r="I6" s="88" t="n">
        <v>9.300000000000001</v>
      </c>
      <c r="J6" s="88" t="n">
        <v>8.800000000000001</v>
      </c>
      <c r="K6" s="88" t="n">
        <v>16.8</v>
      </c>
      <c r="L6" s="88" t="n">
        <v>18.4</v>
      </c>
      <c r="M6" s="89" t="n">
        <v>10.4</v>
      </c>
      <c r="N6" s="89" t="n">
        <v>12.6</v>
      </c>
      <c r="O6" s="114" t="n">
        <v>13.4</v>
      </c>
      <c r="P6" s="114" t="n">
        <v>13.6</v>
      </c>
    </row>
    <row r="7" ht="15.75" customHeight="1" s="99">
      <c r="F7" s="91" t="n">
        <v>2020</v>
      </c>
      <c r="G7" s="42" t="n">
        <v>17.3</v>
      </c>
      <c r="H7" s="42" t="n">
        <v>15</v>
      </c>
      <c r="I7" s="42" t="n">
        <v>13.7</v>
      </c>
      <c r="J7" s="42" t="n">
        <v>10</v>
      </c>
      <c r="K7" s="42" t="n">
        <v>28.1</v>
      </c>
      <c r="L7" s="42" t="n">
        <v>16</v>
      </c>
      <c r="M7" s="42" t="n">
        <v>10.1</v>
      </c>
      <c r="N7" s="42" t="n">
        <v>13</v>
      </c>
      <c r="O7" s="114" t="n">
        <v>14.3</v>
      </c>
      <c r="P7" s="114" t="n">
        <v>14.9</v>
      </c>
    </row>
    <row r="8">
      <c r="F8" s="91" t="n">
        <v>2021</v>
      </c>
      <c r="G8" s="42" t="n">
        <v>17</v>
      </c>
      <c r="H8" s="42" t="n">
        <v>11.5</v>
      </c>
      <c r="I8" s="42" t="inlineStr">
        <is>
          <t>9.5*</t>
        </is>
      </c>
      <c r="J8" s="42" t="n">
        <v>8.5</v>
      </c>
      <c r="K8" s="42" t="n">
        <v>22</v>
      </c>
      <c r="L8" s="42" t="n">
        <v>19.2</v>
      </c>
      <c r="M8" s="42" t="n">
        <v>11.9</v>
      </c>
      <c r="N8" s="42" t="n">
        <v>12.9</v>
      </c>
      <c r="O8" s="114" t="n">
        <v>13.7</v>
      </c>
      <c r="P8" s="42" t="n">
        <v>15.2</v>
      </c>
    </row>
    <row r="9">
      <c r="A9" s="98" t="inlineStr">
        <is>
          <t>Figure Rules</t>
        </is>
      </c>
      <c r="F9" s="114" t="n">
        <v>2022</v>
      </c>
      <c r="G9" s="42" t="n">
        <v>13.9</v>
      </c>
      <c r="H9" s="42" t="n">
        <v>13</v>
      </c>
      <c r="I9" s="42" t="n">
        <v>9.9</v>
      </c>
      <c r="J9" s="42" t="n">
        <v>9.6</v>
      </c>
      <c r="K9" s="42" t="n">
        <v>16.6</v>
      </c>
      <c r="L9" s="42" t="n">
        <v>14.7</v>
      </c>
      <c r="M9" s="47" t="inlineStr">
        <is>
          <t>8.0</t>
        </is>
      </c>
      <c r="N9" s="47" t="inlineStr">
        <is>
          <t>10.7</t>
        </is>
      </c>
      <c r="O9" s="47" t="inlineStr">
        <is>
          <t>12.1</t>
        </is>
      </c>
      <c r="P9" s="114" t="n">
        <v>15.8</v>
      </c>
    </row>
    <row r="10">
      <c r="A10" t="inlineStr">
        <is>
          <t>Figure Type</t>
        </is>
      </c>
      <c r="B10" t="inlineStr">
        <is>
          <t>Line</t>
        </is>
      </c>
      <c r="F10" s="14" t="n"/>
      <c r="G10" s="116" t="n"/>
      <c r="H10" s="116" t="n"/>
      <c r="I10" s="116" t="n"/>
      <c r="J10" s="42" t="n"/>
      <c r="K10" s="42" t="n"/>
      <c r="L10" s="42" t="n"/>
      <c r="M10" s="47" t="n"/>
      <c r="N10" s="47" t="n"/>
      <c r="O10" s="46" t="n"/>
    </row>
    <row r="11">
      <c r="A11" t="inlineStr">
        <is>
          <t>X Column</t>
        </is>
      </c>
      <c r="B11" t="inlineStr">
        <is>
          <t>Year</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59.xml><?xml version="1.0" encoding="utf-8"?>
<worksheet xmlns="http://schemas.openxmlformats.org/spreadsheetml/2006/main">
  <sheetPr>
    <outlinePr summaryBelow="1" summaryRight="1"/>
    <pageSetUpPr/>
  </sheetPr>
  <dimension ref="A1:P57"/>
  <sheetViews>
    <sheetView workbookViewId="0">
      <selection activeCell="F32" sqref="F32"/>
    </sheetView>
  </sheetViews>
  <sheetFormatPr baseColWidth="10" defaultColWidth="8.6640625" defaultRowHeight="15"/>
  <cols>
    <col width="20" bestFit="1" customWidth="1" style="99" min="1" max="1"/>
    <col width="22.1640625" bestFit="1" customWidth="1" style="99" min="2" max="2"/>
    <col width="6.6640625" customWidth="1" style="99" min="5" max="5"/>
    <col width="8" bestFit="1" customWidth="1" style="99" min="6" max="6"/>
    <col width="9" bestFit="1" customWidth="1" style="99" min="7" max="7"/>
    <col width="13.5" customWidth="1" style="99" min="8" max="8"/>
    <col width="8.83203125" bestFit="1" customWidth="1" style="99" min="9" max="9"/>
    <col width="9" bestFit="1" customWidth="1" style="99" min="10" max="10"/>
    <col width="8.83203125" bestFit="1" customWidth="1" style="99" min="11" max="11"/>
    <col width="12.33203125" bestFit="1" customWidth="1" style="99" min="12" max="12"/>
    <col width="12.1640625" bestFit="1" customWidth="1" style="99" min="13" max="13"/>
    <col width="12.33203125" bestFit="1" customWidth="1" style="99" min="14" max="14"/>
    <col width="12.5" bestFit="1" customWidth="1" style="99" min="15" max="15"/>
  </cols>
  <sheetData>
    <row r="1">
      <c r="A1" s="97" t="inlineStr">
        <is>
          <t>Name</t>
        </is>
      </c>
      <c r="B1" s="96" t="inlineStr">
        <is>
          <t>Individuals Enrolled in Treatment Programs Reporting Any Opioid as a Primary Substance, Crude Rate per 100,000 Population, 2020–2023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n"/>
      <c r="O4" s="16" t="n"/>
      <c r="P4" s="16" t="n"/>
    </row>
    <row r="5">
      <c r="A5" s="98" t="inlineStr">
        <is>
          <t>Table Rules</t>
        </is>
      </c>
      <c r="E5" s="100"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n"/>
      <c r="O5" s="46" t="n"/>
    </row>
    <row r="6" ht="15" customHeight="1" s="99">
      <c r="A6" t="inlineStr">
        <is>
          <t>Multilevel Headers</t>
        </is>
      </c>
      <c r="B6" t="b">
        <v>0</v>
      </c>
      <c r="F6" s="85" t="n">
        <v>2020</v>
      </c>
      <c r="G6" s="75" t="n">
        <v>459.9</v>
      </c>
      <c r="H6" s="75" t="n">
        <v>405.4</v>
      </c>
      <c r="I6" s="75" t="n">
        <v>248.8</v>
      </c>
      <c r="J6" s="75" t="n">
        <v>188.9</v>
      </c>
      <c r="K6" s="75" t="n">
        <v>693.2</v>
      </c>
      <c r="L6" s="75" t="n">
        <v>487.8</v>
      </c>
      <c r="M6" s="71" t="n">
        <v>255.1</v>
      </c>
      <c r="N6" s="71" t="n"/>
    </row>
    <row r="7" ht="15.75" customHeight="1" s="99">
      <c r="F7" s="63" t="n">
        <v>2021</v>
      </c>
      <c r="G7" s="116" t="n">
        <v>475</v>
      </c>
      <c r="H7" s="116" t="n">
        <v>393.7</v>
      </c>
      <c r="I7" s="116" t="n">
        <v>252.1</v>
      </c>
      <c r="J7" s="116" t="n">
        <v>197.9</v>
      </c>
      <c r="K7" s="116" t="n">
        <v>710.7</v>
      </c>
      <c r="L7" s="116" t="n">
        <v>531.2</v>
      </c>
      <c r="M7" s="14" t="n">
        <v>251.9</v>
      </c>
      <c r="N7" s="14" t="n"/>
    </row>
    <row r="8">
      <c r="F8" s="63" t="n">
        <v>2022</v>
      </c>
      <c r="G8" s="116" t="n">
        <v>460.8</v>
      </c>
      <c r="H8" s="116" t="n">
        <v>366.9</v>
      </c>
      <c r="I8" s="116" t="n">
        <v>250.1</v>
      </c>
      <c r="J8" s="116" t="n">
        <v>188.2</v>
      </c>
      <c r="K8" s="116" t="n">
        <v>777.4</v>
      </c>
      <c r="L8" s="116" t="n">
        <v>516</v>
      </c>
      <c r="M8" s="14" t="n">
        <v>244.4</v>
      </c>
      <c r="N8" s="14" t="n"/>
      <c r="P8" s="14" t="n"/>
    </row>
    <row r="9">
      <c r="A9" s="98" t="inlineStr">
        <is>
          <t>Figure Rules</t>
        </is>
      </c>
      <c r="F9" t="n">
        <v>2023</v>
      </c>
      <c r="G9" s="116" t="n">
        <v>447.6</v>
      </c>
      <c r="H9" s="116" t="n">
        <v>333.5</v>
      </c>
      <c r="I9" s="116" t="n">
        <v>224.5</v>
      </c>
      <c r="J9" s="116" t="n">
        <v>190.9</v>
      </c>
      <c r="K9" s="116" t="n">
        <v>778.3</v>
      </c>
      <c r="L9" s="116" t="n">
        <v>496.4</v>
      </c>
      <c r="M9" s="46" t="inlineStr">
        <is>
          <t>233.2</t>
        </is>
      </c>
      <c r="N9" s="46" t="n"/>
      <c r="O9" s="46" t="n"/>
    </row>
    <row r="10">
      <c r="A10" t="inlineStr">
        <is>
          <t>Figure Type</t>
        </is>
      </c>
      <c r="B10" t="inlineStr">
        <is>
          <t>Line</t>
        </is>
      </c>
      <c r="F10" s="14" t="n"/>
      <c r="G10" s="116" t="n"/>
      <c r="H10" s="116" t="n"/>
      <c r="I10" s="116" t="n"/>
      <c r="J10" s="42" t="n"/>
      <c r="K10" s="42" t="n"/>
      <c r="L10" s="42" t="n"/>
      <c r="M10" s="47" t="n"/>
      <c r="N10" s="47" t="n"/>
      <c r="O10" s="46" t="n"/>
    </row>
    <row r="11">
      <c r="A11" t="inlineStr">
        <is>
          <t>X Column</t>
        </is>
      </c>
      <c r="B11" t="inlineStr">
        <is>
          <t>Year</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0.xml><?xml version="1.0" encoding="utf-8"?>
<worksheet xmlns="http://schemas.openxmlformats.org/spreadsheetml/2006/main">
  <sheetPr>
    <outlinePr summaryBelow="1" summaryRight="1"/>
    <pageSetUpPr/>
  </sheetPr>
  <dimension ref="A1:P57"/>
  <sheetViews>
    <sheetView workbookViewId="0">
      <selection activeCell="I20" sqref="I20"/>
    </sheetView>
  </sheetViews>
  <sheetFormatPr baseColWidth="10" defaultColWidth="8.6640625" defaultRowHeight="15"/>
  <cols>
    <col width="20" bestFit="1" customWidth="1" style="99" min="1" max="1"/>
    <col width="22.1640625" bestFit="1" customWidth="1" style="99" min="2" max="2"/>
    <col width="6.6640625" customWidth="1" style="99" min="5" max="5"/>
    <col width="8" bestFit="1" customWidth="1" style="99" min="6" max="6"/>
    <col width="9" bestFit="1" customWidth="1" style="99" min="7" max="7"/>
    <col width="13.5" customWidth="1" style="99" min="8" max="8"/>
    <col width="8.83203125" bestFit="1" customWidth="1" style="99" min="9" max="9"/>
    <col width="9" bestFit="1" customWidth="1" style="99" min="10" max="10"/>
    <col width="8.83203125" bestFit="1" customWidth="1" style="99" min="11" max="11"/>
    <col width="12.33203125" bestFit="1" customWidth="1" style="99" min="12" max="12"/>
    <col width="12.1640625" bestFit="1" customWidth="1" style="99" min="13" max="13"/>
    <col width="12.33203125" bestFit="1" customWidth="1" style="99" min="14" max="14"/>
    <col width="12.5" bestFit="1" customWidth="1" style="99" min="15" max="15"/>
  </cols>
  <sheetData>
    <row r="1">
      <c r="A1" s="97" t="inlineStr">
        <is>
          <t>Name</t>
        </is>
      </c>
      <c r="B1" s="96" t="inlineStr">
        <is>
          <t>Overdose Deaths Involving Any Drug, Crude Rate per 100,000 Population, 2019–2022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9">
      <c r="A6" t="inlineStr">
        <is>
          <t>Multilevel Headers</t>
        </is>
      </c>
      <c r="B6" t="b">
        <v>0</v>
      </c>
      <c r="F6" s="85" t="n">
        <v>2019</v>
      </c>
      <c r="G6" s="75" t="n">
        <v>22.1</v>
      </c>
      <c r="H6" s="75" t="n">
        <v>20.7</v>
      </c>
      <c r="I6" s="75" t="n">
        <v>12.1</v>
      </c>
      <c r="J6" s="75" t="n">
        <v>14.1</v>
      </c>
      <c r="K6" s="75" t="n">
        <v>39.8</v>
      </c>
      <c r="L6" s="75" t="n">
        <v>17.9</v>
      </c>
      <c r="M6" s="71" t="n">
        <v>9.4</v>
      </c>
      <c r="N6" s="71" t="n">
        <v>15.3</v>
      </c>
      <c r="O6" t="n">
        <v>16.1</v>
      </c>
      <c r="P6" t="n">
        <v>15.1</v>
      </c>
    </row>
    <row r="7" ht="15.75" customHeight="1" s="99">
      <c r="F7" s="63" t="n">
        <v>2020</v>
      </c>
      <c r="G7" s="116" t="n">
        <v>35.7</v>
      </c>
      <c r="H7" s="116" t="n">
        <v>26.9</v>
      </c>
      <c r="I7" s="116" t="n">
        <v>18.2</v>
      </c>
      <c r="J7" s="116" t="n">
        <v>12.9</v>
      </c>
      <c r="K7" s="116" t="n">
        <v>63.7</v>
      </c>
      <c r="L7" s="116" t="n">
        <v>31.4</v>
      </c>
      <c r="M7" s="14" t="n">
        <v>13.8</v>
      </c>
      <c r="N7" s="14" t="n">
        <v>21.8</v>
      </c>
      <c r="O7" t="n">
        <v>22.7</v>
      </c>
      <c r="P7" t="n">
        <v>21.5</v>
      </c>
    </row>
    <row r="8">
      <c r="F8" s="63" t="n">
        <v>2021</v>
      </c>
      <c r="G8" s="116" t="n">
        <v>29.1</v>
      </c>
      <c r="H8" s="116" t="n">
        <v>33.8</v>
      </c>
      <c r="I8" s="116" t="n">
        <v>20.4</v>
      </c>
      <c r="J8" s="116" t="n">
        <v>19.1</v>
      </c>
      <c r="K8" s="116" t="n">
        <v>46.4</v>
      </c>
      <c r="L8" s="116" t="n">
        <v>25.6</v>
      </c>
      <c r="M8" s="14" t="n">
        <v>15</v>
      </c>
      <c r="N8" s="14" t="n">
        <v>22.6</v>
      </c>
      <c r="O8" t="n">
        <v>25.2</v>
      </c>
      <c r="P8" s="14" t="n">
        <v>25.1</v>
      </c>
    </row>
    <row r="9">
      <c r="A9" s="98" t="inlineStr">
        <is>
          <t>Figure Rules</t>
        </is>
      </c>
      <c r="F9" t="n">
        <v>2022</v>
      </c>
      <c r="G9" s="116" t="n">
        <v>39.3</v>
      </c>
      <c r="H9" s="116" t="n">
        <v>30.5</v>
      </c>
      <c r="I9" s="116" t="n">
        <v>22.4</v>
      </c>
      <c r="J9" s="116" t="n">
        <v>12.9</v>
      </c>
      <c r="K9" s="116" t="n">
        <v>61.5</v>
      </c>
      <c r="L9" s="116" t="n">
        <v>35.7</v>
      </c>
      <c r="M9" s="46" t="inlineStr">
        <is>
          <t>15.4</t>
        </is>
      </c>
      <c r="N9" s="46" t="inlineStr">
        <is>
          <t>24.0</t>
        </is>
      </c>
      <c r="O9" s="46" t="inlineStr">
        <is>
          <t>26.3</t>
        </is>
      </c>
      <c r="P9" t="n">
        <v>27.4</v>
      </c>
    </row>
    <row r="10">
      <c r="A10" t="inlineStr">
        <is>
          <t>Figure Type</t>
        </is>
      </c>
      <c r="B10" t="inlineStr">
        <is>
          <t>Line</t>
        </is>
      </c>
      <c r="F10" s="14" t="n"/>
      <c r="G10" s="116" t="n"/>
      <c r="H10" s="116" t="n"/>
      <c r="I10" s="116" t="n"/>
      <c r="J10" s="42" t="n"/>
      <c r="K10" s="42" t="n"/>
      <c r="L10" s="42" t="n"/>
      <c r="M10" s="47" t="n"/>
      <c r="N10" s="47" t="n"/>
      <c r="O10" s="46" t="n"/>
    </row>
    <row r="11">
      <c r="A11" t="inlineStr">
        <is>
          <t>X Column</t>
        </is>
      </c>
      <c r="B11" t="inlineStr">
        <is>
          <t>Overdose Deaths Involving Any Drug</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61.xml><?xml version="1.0" encoding="utf-8"?>
<worksheet xmlns="http://schemas.openxmlformats.org/spreadsheetml/2006/main">
  <sheetPr>
    <outlinePr summaryBelow="1" summaryRight="1"/>
    <pageSetUpPr/>
  </sheetPr>
  <dimension ref="A1:P57"/>
  <sheetViews>
    <sheetView workbookViewId="0">
      <selection activeCell="J45" sqref="J45"/>
    </sheetView>
  </sheetViews>
  <sheetFormatPr baseColWidth="10" defaultColWidth="8.6640625" defaultRowHeight="15"/>
  <cols>
    <col width="20" bestFit="1" customWidth="1" style="99" min="1" max="1"/>
    <col width="22.1640625" bestFit="1" customWidth="1" style="99" min="2" max="2"/>
    <col width="6.6640625" customWidth="1" style="99" min="5" max="5"/>
    <col width="38.5" bestFit="1" customWidth="1" style="99" min="6" max="6"/>
    <col width="9" bestFit="1" customWidth="1" style="99" min="7" max="7"/>
    <col width="13.5" customWidth="1" style="99" min="8" max="8"/>
    <col width="8.83203125" bestFit="1" customWidth="1" style="99" min="9" max="9"/>
    <col width="9" bestFit="1" customWidth="1" style="99" min="10" max="10"/>
    <col width="8.83203125" bestFit="1" customWidth="1" style="99" min="11" max="11"/>
    <col width="12.33203125" bestFit="1" customWidth="1" style="99" min="12" max="12"/>
    <col width="12.1640625" bestFit="1" customWidth="1" style="99" min="13" max="13"/>
    <col width="12.33203125" bestFit="1" customWidth="1" style="99" min="14" max="14"/>
    <col width="12.5" bestFit="1" customWidth="1" style="99" min="15" max="15"/>
  </cols>
  <sheetData>
    <row r="1">
      <c r="A1" s="97" t="inlineStr">
        <is>
          <t>Name</t>
        </is>
      </c>
      <c r="B1" s="96" t="inlineStr">
        <is>
          <t>Overdose Deaths Involving Opioid Pain Relievers, Heroin, and Synthetic Opioids Other than Methadone, Age-Adjusted Rate per 100,000 Population, 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46" t="n"/>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9">
      <c r="A6" t="inlineStr">
        <is>
          <t>Multilevel Headers</t>
        </is>
      </c>
      <c r="B6" t="b">
        <v>0</v>
      </c>
      <c r="F6" s="85" t="inlineStr">
        <is>
          <t>Opioid Pain Relievers</t>
        </is>
      </c>
      <c r="G6" s="75" t="n">
        <v>39.6</v>
      </c>
      <c r="H6" s="75" t="n">
        <v>31.1</v>
      </c>
      <c r="I6" s="75" t="n">
        <v>19.8</v>
      </c>
      <c r="J6" s="75" t="n">
        <v>14.2</v>
      </c>
      <c r="K6" s="75" t="n">
        <v>62.5</v>
      </c>
      <c r="L6" s="75" t="n">
        <v>34.7</v>
      </c>
      <c r="M6" s="71" t="n">
        <v>15.5</v>
      </c>
      <c r="N6" s="71" t="n">
        <v>24.1</v>
      </c>
      <c r="O6" t="n">
        <v>27.3</v>
      </c>
      <c r="P6" t="n">
        <v>26.3</v>
      </c>
    </row>
    <row r="7" ht="15.75" customHeight="1" s="99">
      <c r="F7" s="63" t="inlineStr">
        <is>
          <t>Heroin</t>
        </is>
      </c>
      <c r="G7" s="116" t="n">
        <v>3.5</v>
      </c>
      <c r="H7" s="116" t="n">
        <v>5.9</v>
      </c>
      <c r="I7" s="116" t="n">
        <v>2.2</v>
      </c>
      <c r="J7" s="116" t="n">
        <v>2.2</v>
      </c>
      <c r="K7" s="116" t="n">
        <v>10.1</v>
      </c>
      <c r="L7" s="116" t="n">
        <v>2.8</v>
      </c>
      <c r="M7" s="14" t="n">
        <v>2</v>
      </c>
      <c r="N7" s="14" t="n">
        <v>3.1</v>
      </c>
      <c r="O7" t="n">
        <v>2</v>
      </c>
      <c r="P7" t="n">
        <v>4.2</v>
      </c>
    </row>
    <row r="8">
      <c r="F8" s="63" t="inlineStr">
        <is>
          <t>Synthetic Opioids Other Than Methadone</t>
        </is>
      </c>
      <c r="G8" s="116" t="n">
        <v>37.2</v>
      </c>
      <c r="H8" s="116" t="n">
        <v>28</v>
      </c>
      <c r="I8" s="116" t="n">
        <v>18</v>
      </c>
      <c r="J8" s="116" t="n">
        <v>12.6</v>
      </c>
      <c r="K8" s="116" t="n">
        <v>58.1</v>
      </c>
      <c r="L8" s="116" t="n">
        <v>32.6</v>
      </c>
      <c r="M8" s="14" t="n">
        <v>13.8</v>
      </c>
      <c r="N8" s="14" t="n">
        <v>22</v>
      </c>
      <c r="O8" t="n">
        <v>25.4</v>
      </c>
      <c r="P8" s="14" t="n">
        <v>24.8</v>
      </c>
    </row>
    <row r="9">
      <c r="A9" s="98" t="inlineStr">
        <is>
          <t>Figure Rules</t>
        </is>
      </c>
      <c r="G9" s="116" t="n"/>
      <c r="H9" s="116" t="n"/>
      <c r="I9" s="116" t="n"/>
      <c r="J9" s="116" t="n"/>
      <c r="K9" s="116" t="n"/>
      <c r="L9" s="116" t="n"/>
      <c r="M9" s="46" t="n"/>
      <c r="N9" s="46" t="n"/>
      <c r="O9" s="46" t="n"/>
    </row>
    <row r="10">
      <c r="A10" t="inlineStr">
        <is>
          <t>Figure Type</t>
        </is>
      </c>
      <c r="B10" t="inlineStr">
        <is>
          <t>Clustered Bar</t>
        </is>
      </c>
      <c r="F10" s="14" t="n"/>
      <c r="G10" s="116" t="n"/>
      <c r="H10" s="116" t="n"/>
      <c r="I10" s="116" t="n"/>
      <c r="J10" s="42" t="n"/>
      <c r="K10" s="42" t="n"/>
      <c r="L10" s="42" t="n"/>
      <c r="M10" s="47" t="n"/>
      <c r="N10" s="47" t="n"/>
      <c r="O10" s="46" t="n"/>
    </row>
    <row r="11">
      <c r="A11" t="inlineStr">
        <is>
          <t>X Column</t>
        </is>
      </c>
      <c r="B11" t="inlineStr">
        <is>
          <t>Overdose Deaths Involving Opioid Pain Relievers, Heroin, and Synthetic Opioids Other than Methadone</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2.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9" min="1" max="1"/>
    <col width="22.1640625" bestFit="1" customWidth="1" style="99" min="2" max="2"/>
    <col width="6.6640625" customWidth="1" style="99" min="5" max="5"/>
    <col width="38.5" bestFit="1" customWidth="1" style="99" min="6" max="6"/>
    <col width="9" bestFit="1" customWidth="1" style="99" min="7" max="7"/>
    <col width="13.5" customWidth="1" style="99" min="8" max="8"/>
    <col width="8.83203125" bestFit="1" customWidth="1" style="99" min="9" max="9"/>
    <col width="9" bestFit="1" customWidth="1" style="99" min="10" max="10"/>
    <col width="8.83203125" bestFit="1" customWidth="1" style="99" min="11" max="11"/>
    <col width="12.33203125" bestFit="1" customWidth="1" style="99" min="12" max="12"/>
    <col width="12.1640625" bestFit="1" customWidth="1" style="99" min="13" max="13"/>
    <col width="12.33203125" bestFit="1" customWidth="1" style="99" min="14" max="14"/>
    <col width="12.5" bestFit="1" customWidth="1" style="99" min="15" max="15"/>
  </cols>
  <sheetData>
    <row r="1">
      <c r="A1" s="97" t="inlineStr">
        <is>
          <t>Name</t>
        </is>
      </c>
      <c r="B1" s="96" t="inlineStr">
        <is>
          <t>Overdose Deaths among Adults Involving Any Opioid, Crude Rate per 100,000 Population, 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46" t="inlineStr">
        <is>
          <t>Age Group</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9">
      <c r="A6" t="inlineStr">
        <is>
          <t>Multilevel Headers</t>
        </is>
      </c>
      <c r="B6" t="b">
        <v>0</v>
      </c>
      <c r="F6" s="85" t="inlineStr">
        <is>
          <t>18–44 years</t>
        </is>
      </c>
      <c r="G6" s="75" t="n">
        <v>63.1</v>
      </c>
      <c r="H6" s="75" t="n">
        <v>42</v>
      </c>
      <c r="I6" s="75" t="n">
        <v>31.9</v>
      </c>
      <c r="J6" s="75" t="n">
        <v>21.2</v>
      </c>
      <c r="K6" s="75" t="n">
        <v>99.90000000000001</v>
      </c>
      <c r="L6" s="75" t="n">
        <v>51.6</v>
      </c>
      <c r="M6" s="71" t="n">
        <v>24.4</v>
      </c>
      <c r="N6" s="71" t="n">
        <v>36.9</v>
      </c>
      <c r="O6" t="n">
        <v>42.4</v>
      </c>
      <c r="P6" t="n">
        <v>36.7</v>
      </c>
    </row>
    <row r="7" ht="15.75" customHeight="1" s="99">
      <c r="F7" s="63" t="inlineStr">
        <is>
          <t>45–64 years</t>
        </is>
      </c>
      <c r="G7" s="116" t="n">
        <v>55.4</v>
      </c>
      <c r="H7" s="116" t="n">
        <v>51</v>
      </c>
      <c r="I7" s="116" t="n">
        <v>34.4</v>
      </c>
      <c r="J7" s="116" t="n">
        <v>24.6</v>
      </c>
      <c r="K7" s="116" t="n">
        <v>89.3</v>
      </c>
      <c r="L7" s="116" t="n">
        <v>53.6</v>
      </c>
      <c r="M7" s="14" t="n">
        <v>22.7</v>
      </c>
      <c r="N7" s="14" t="n">
        <v>37</v>
      </c>
      <c r="O7" t="n">
        <v>39.2</v>
      </c>
      <c r="P7" t="n">
        <v>46.9</v>
      </c>
    </row>
    <row r="8">
      <c r="F8" s="63" t="n"/>
      <c r="G8" s="116" t="n"/>
      <c r="H8" s="116" t="n"/>
      <c r="I8" s="116" t="n"/>
      <c r="J8" s="116" t="n"/>
      <c r="K8" s="116" t="n"/>
      <c r="L8" s="116" t="n"/>
      <c r="M8" s="14" t="n"/>
      <c r="N8" s="14" t="n"/>
      <c r="P8" s="14" t="n"/>
    </row>
    <row r="9">
      <c r="A9" s="98" t="inlineStr">
        <is>
          <t>Figure Rules</t>
        </is>
      </c>
      <c r="G9" s="116" t="n"/>
      <c r="H9" s="116" t="n"/>
      <c r="I9" s="116" t="n"/>
      <c r="J9" s="116" t="n"/>
      <c r="K9" s="116" t="n"/>
      <c r="L9" s="116" t="n"/>
      <c r="M9" s="46" t="n"/>
      <c r="N9" s="46" t="n"/>
      <c r="O9" s="46" t="n"/>
    </row>
    <row r="10">
      <c r="A10" t="inlineStr">
        <is>
          <t>Figure Type</t>
        </is>
      </c>
      <c r="B10" t="inlineStr">
        <is>
          <t>Clustered Bar</t>
        </is>
      </c>
      <c r="F10" s="14" t="n"/>
      <c r="G10" s="116" t="n"/>
      <c r="H10" s="116" t="n"/>
      <c r="I10" s="116" t="n"/>
      <c r="J10" s="42" t="n"/>
      <c r="K10" s="42" t="n"/>
      <c r="L10" s="42" t="n"/>
      <c r="M10" s="47" t="n"/>
      <c r="N10" s="47" t="n"/>
      <c r="O10" s="46" t="n"/>
    </row>
    <row r="11">
      <c r="A11" t="inlineStr">
        <is>
          <t>X Column</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Age Group</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63.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38.5" bestFit="1" customWidth="1" style="99" min="6" max="6"/>
    <col width="9" bestFit="1" customWidth="1" style="99" min="7" max="7"/>
    <col width="13.5" customWidth="1" style="99" min="8" max="8"/>
    <col width="8.83203125" bestFit="1" customWidth="1" style="99" min="9" max="9"/>
    <col width="9" bestFit="1" customWidth="1" style="99" min="10" max="10"/>
    <col width="8.83203125" bestFit="1" customWidth="1" style="99" min="11" max="11"/>
    <col width="12.33203125" bestFit="1" customWidth="1" style="99" min="12" max="12"/>
    <col width="12.1640625" bestFit="1" customWidth="1" style="99" min="13" max="13"/>
    <col width="12.33203125" bestFit="1" customWidth="1" style="99" min="14" max="14"/>
    <col width="12.5" bestFit="1" customWidth="1" style="99" min="15" max="15"/>
  </cols>
  <sheetData>
    <row r="1">
      <c r="A1" s="97" t="inlineStr">
        <is>
          <t>Name</t>
        </is>
      </c>
      <c r="B1" s="96" t="inlineStr">
        <is>
          <t>Overdose Deaths among Adults Involving Heroin, Crude Rate per 100,000 Population, 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46" t="inlineStr">
        <is>
          <t>Age Group</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9">
      <c r="A6" t="inlineStr">
        <is>
          <t>Multilevel Headers</t>
        </is>
      </c>
      <c r="B6" t="b">
        <v>0</v>
      </c>
      <c r="F6" s="85" t="inlineStr">
        <is>
          <t>18–44 years</t>
        </is>
      </c>
      <c r="G6" s="75" t="inlineStr">
        <is>
          <t>5.8*</t>
        </is>
      </c>
      <c r="H6" s="75" t="inlineStr">
        <is>
          <t>6.4*</t>
        </is>
      </c>
      <c r="I6" s="75" t="inlineStr">
        <is>
          <t>3.2*</t>
        </is>
      </c>
      <c r="J6" s="75" t="inlineStr">
        <is>
          <t>0.9*</t>
        </is>
      </c>
      <c r="K6" s="75" t="inlineStr">
        <is>
          <t>11.5*</t>
        </is>
      </c>
      <c r="L6" s="75" t="inlineStr">
        <is>
          <t>4.8*</t>
        </is>
      </c>
      <c r="M6" s="71" t="n">
        <v>3.7</v>
      </c>
      <c r="N6" s="71" t="n">
        <v>4.4</v>
      </c>
      <c r="O6" t="n">
        <v>3.1</v>
      </c>
      <c r="P6" t="n">
        <v>4.5</v>
      </c>
    </row>
    <row r="7" ht="15.75" customHeight="1" s="99">
      <c r="F7" s="63" t="inlineStr">
        <is>
          <t>45–64 years</t>
        </is>
      </c>
      <c r="G7" s="116" t="inlineStr">
        <is>
          <t>6.0*</t>
        </is>
      </c>
      <c r="H7" s="116" t="n">
        <v>10.8</v>
      </c>
      <c r="I7" s="116" t="inlineStr">
        <is>
          <t>3.4*</t>
        </is>
      </c>
      <c r="J7" s="116" t="inlineStr">
        <is>
          <t>7.8*</t>
        </is>
      </c>
      <c r="K7" s="116" t="inlineStr">
        <is>
          <t>23.5*</t>
        </is>
      </c>
      <c r="L7" s="116" t="inlineStr">
        <is>
          <t>4.0*</t>
        </is>
      </c>
      <c r="M7" s="14" t="inlineStr">
        <is>
          <t>2.6*</t>
        </is>
      </c>
      <c r="N7" s="14" t="n">
        <v>5.8</v>
      </c>
      <c r="O7" t="n">
        <v>2.9</v>
      </c>
      <c r="P7" t="n">
        <v>9.1</v>
      </c>
    </row>
    <row r="8">
      <c r="F8" s="63" t="n"/>
      <c r="G8" s="116" t="n"/>
      <c r="H8" s="116" t="n"/>
      <c r="I8" s="116" t="n"/>
      <c r="J8" s="116" t="n"/>
      <c r="K8" s="116" t="n"/>
      <c r="L8" s="116" t="n"/>
      <c r="M8" s="14" t="n"/>
      <c r="N8" s="14" t="n"/>
      <c r="P8" s="14" t="n"/>
    </row>
    <row r="9">
      <c r="A9" s="98" t="inlineStr">
        <is>
          <t>Figure Rules</t>
        </is>
      </c>
      <c r="G9" s="116" t="n"/>
      <c r="H9" s="116" t="n"/>
      <c r="I9" s="116" t="n"/>
      <c r="J9" s="116" t="n"/>
      <c r="K9" s="116" t="n"/>
      <c r="L9" s="116" t="n"/>
      <c r="M9" s="46" t="n"/>
      <c r="N9" s="46" t="n"/>
      <c r="O9" s="46" t="n"/>
    </row>
    <row r="10">
      <c r="A10" t="inlineStr">
        <is>
          <t>Figure Type</t>
        </is>
      </c>
      <c r="B10" t="inlineStr">
        <is>
          <t>Clustered Bar</t>
        </is>
      </c>
      <c r="F10" s="14" t="n"/>
      <c r="G10" s="116" t="n"/>
      <c r="H10" s="116" t="n"/>
      <c r="I10" s="116" t="n"/>
      <c r="J10" s="42" t="n"/>
      <c r="K10" s="42" t="n"/>
      <c r="L10" s="42" t="n"/>
      <c r="M10" s="47" t="n"/>
      <c r="N10" s="47" t="n"/>
      <c r="O10" s="46" t="n"/>
    </row>
    <row r="11">
      <c r="A11" t="inlineStr">
        <is>
          <t>X Column</t>
        </is>
      </c>
      <c r="B11" t="inlineStr">
        <is>
          <t>Age Group</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Age Group</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4.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38.5" bestFit="1" customWidth="1" style="99" min="6" max="6"/>
    <col width="9" bestFit="1" customWidth="1" style="99" min="7" max="7"/>
    <col width="13.5" customWidth="1" style="99" min="8" max="8"/>
    <col width="8.83203125" bestFit="1" customWidth="1" style="99" min="9" max="9"/>
    <col width="9" bestFit="1" customWidth="1" style="99" min="10" max="10"/>
    <col width="8.83203125" bestFit="1" customWidth="1" style="99" min="11" max="11"/>
    <col width="12.33203125" bestFit="1" customWidth="1" style="99" min="12" max="12"/>
    <col width="12.1640625" bestFit="1" customWidth="1" style="99" min="13" max="13"/>
    <col width="12.33203125" bestFit="1" customWidth="1" style="99" min="14" max="14"/>
    <col width="12.5" bestFit="1" customWidth="1" style="99" min="15" max="15"/>
  </cols>
  <sheetData>
    <row r="1">
      <c r="A1" s="97" t="inlineStr">
        <is>
          <t>Name</t>
        </is>
      </c>
      <c r="B1" s="120" t="inlineStr">
        <is>
          <t>Overdose Deaths among Adults Involving Opioid Pain Relievers, Crude Rate per 100,000 Population, 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46" t="inlineStr">
        <is>
          <t>Age Group</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9">
      <c r="A6" t="inlineStr">
        <is>
          <t>Multilevel Headers</t>
        </is>
      </c>
      <c r="B6" t="b">
        <v>0</v>
      </c>
      <c r="F6" s="85" t="inlineStr">
        <is>
          <t>18–44 years</t>
        </is>
      </c>
      <c r="G6" s="75" t="n">
        <v>63.1</v>
      </c>
      <c r="H6" s="75" t="n">
        <v>42</v>
      </c>
      <c r="I6" s="75" t="inlineStr">
        <is>
          <t>28.7*</t>
        </is>
      </c>
      <c r="J6" s="75" t="n">
        <v>21.2</v>
      </c>
      <c r="K6" s="75" t="n">
        <v>99.90000000000001</v>
      </c>
      <c r="L6" s="75" t="n">
        <v>51.6</v>
      </c>
      <c r="M6" s="71" t="n">
        <v>24.4</v>
      </c>
      <c r="N6" s="71" t="n">
        <v>36.8</v>
      </c>
      <c r="O6" t="n">
        <v>41.9</v>
      </c>
      <c r="P6" t="n">
        <v>36.1</v>
      </c>
    </row>
    <row r="7" ht="15.75" customHeight="1" s="99">
      <c r="F7" s="63" t="inlineStr">
        <is>
          <t>45–64 years</t>
        </is>
      </c>
      <c r="G7" s="116" t="n">
        <v>55.4</v>
      </c>
      <c r="H7" s="116" t="n">
        <v>50</v>
      </c>
      <c r="I7" s="116" t="n">
        <v>34.4</v>
      </c>
      <c r="J7" s="116" t="n">
        <v>24.6</v>
      </c>
      <c r="K7" s="116" t="n">
        <v>89.3</v>
      </c>
      <c r="L7" s="116" t="n">
        <v>51.6</v>
      </c>
      <c r="M7" s="14" t="n">
        <v>22.4</v>
      </c>
      <c r="N7" s="14" t="n">
        <v>36.5</v>
      </c>
      <c r="O7" t="n">
        <v>38.8</v>
      </c>
      <c r="P7" t="n">
        <v>46.3</v>
      </c>
    </row>
    <row r="8">
      <c r="F8" s="63" t="n"/>
      <c r="G8" s="116" t="n"/>
      <c r="H8" s="116" t="n"/>
      <c r="I8" s="116" t="n"/>
      <c r="J8" s="116" t="n"/>
      <c r="K8" s="116" t="n"/>
      <c r="L8" s="116" t="n"/>
      <c r="M8" s="14" t="n"/>
      <c r="N8" s="14" t="n"/>
      <c r="P8" s="14" t="n"/>
    </row>
    <row r="9">
      <c r="A9" s="98" t="inlineStr">
        <is>
          <t>Figure Rules</t>
        </is>
      </c>
      <c r="G9" s="116" t="n"/>
      <c r="H9" s="116" t="n"/>
      <c r="I9" s="116" t="n"/>
      <c r="J9" s="116" t="n"/>
      <c r="K9" s="116" t="n"/>
      <c r="L9" s="116" t="n"/>
      <c r="M9" s="46" t="n"/>
      <c r="N9" s="46" t="n"/>
      <c r="O9" s="46" t="n"/>
    </row>
    <row r="10">
      <c r="A10" t="inlineStr">
        <is>
          <t>Figure Type</t>
        </is>
      </c>
      <c r="B10" t="inlineStr">
        <is>
          <t>Clustered Bar</t>
        </is>
      </c>
      <c r="F10" s="14" t="n"/>
      <c r="G10" s="116" t="n"/>
      <c r="H10" s="116" t="n"/>
      <c r="I10" s="116" t="n"/>
      <c r="J10" s="42" t="n"/>
      <c r="K10" s="42" t="n"/>
      <c r="L10" s="42" t="n"/>
      <c r="M10" s="47" t="n"/>
      <c r="N10" s="47" t="n"/>
      <c r="O10" s="46" t="n"/>
    </row>
    <row r="11">
      <c r="A11" t="inlineStr">
        <is>
          <t>X Column</t>
        </is>
      </c>
      <c r="B11" t="inlineStr">
        <is>
          <t>Age Group</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Age Group</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65.xml><?xml version="1.0" encoding="utf-8"?>
<worksheet xmlns="http://schemas.openxmlformats.org/spreadsheetml/2006/main">
  <sheetPr>
    <outlinePr summaryBelow="1" summaryRight="1"/>
    <pageSetUpPr/>
  </sheetPr>
  <dimension ref="A1:P57"/>
  <sheetViews>
    <sheetView workbookViewId="0">
      <selection activeCell="B12" sqref="B12"/>
    </sheetView>
  </sheetViews>
  <sheetFormatPr baseColWidth="10" defaultColWidth="8.6640625" defaultRowHeight="15"/>
  <cols>
    <col width="20" bestFit="1" customWidth="1" style="99" min="1" max="1"/>
    <col width="22.1640625" bestFit="1" customWidth="1" style="99" min="2" max="2"/>
    <col width="6.6640625" customWidth="1" style="99" min="5" max="5"/>
    <col width="8" bestFit="1" customWidth="1" style="99" min="6" max="6"/>
    <col width="9" bestFit="1" customWidth="1" style="99" min="7" max="7"/>
    <col width="13.5" customWidth="1" style="99" min="8" max="8"/>
    <col width="8.83203125" bestFit="1" customWidth="1" style="99" min="9" max="9"/>
    <col width="9" bestFit="1" customWidth="1" style="99" min="10" max="10"/>
    <col width="8.83203125" bestFit="1" customWidth="1" style="99" min="11" max="11"/>
    <col width="12.33203125" bestFit="1" customWidth="1" style="99" min="12" max="12"/>
    <col width="12.1640625" bestFit="1" customWidth="1" style="99" min="13" max="13"/>
    <col width="12.33203125" bestFit="1" customWidth="1" style="99" min="14" max="14"/>
    <col width="12.5" bestFit="1" customWidth="1" style="99" min="15" max="15"/>
  </cols>
  <sheetData>
    <row r="1">
      <c r="A1" s="97" t="inlineStr">
        <is>
          <t>Name</t>
        </is>
      </c>
      <c r="B1" s="120" t="inlineStr">
        <is>
          <t>Opioid Analgesics Prescriptions, Age-Adjusted Rate per 1,000 Population, 2020–2023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9">
      <c r="A6" t="inlineStr">
        <is>
          <t>Multilevel Headers</t>
        </is>
      </c>
      <c r="B6" t="b">
        <v>0</v>
      </c>
      <c r="F6" s="85" t="n">
        <v>2020</v>
      </c>
      <c r="G6" s="75" t="n">
        <v>348</v>
      </c>
      <c r="H6" s="75" t="n">
        <v>321.2</v>
      </c>
      <c r="I6" s="75" t="n">
        <v>300.1</v>
      </c>
      <c r="J6" s="75" t="n">
        <v>225.1</v>
      </c>
      <c r="K6" s="75" t="n">
        <v>502</v>
      </c>
      <c r="L6" s="75" t="n">
        <v>436.9</v>
      </c>
      <c r="M6" s="71" t="n">
        <v>202.3</v>
      </c>
      <c r="N6" s="71" t="n">
        <v>275.9</v>
      </c>
      <c r="O6" t="n">
        <v>342.4</v>
      </c>
      <c r="P6" t="n">
        <v>270.6</v>
      </c>
    </row>
    <row r="7" ht="15.75" customHeight="1" s="99">
      <c r="F7" s="63" t="n">
        <v>2021</v>
      </c>
      <c r="G7" s="116" t="n">
        <v>319</v>
      </c>
      <c r="H7" s="116" t="n">
        <v>292.5</v>
      </c>
      <c r="I7" s="116" t="n">
        <v>288.3</v>
      </c>
      <c r="J7" s="116" t="n">
        <v>211.3</v>
      </c>
      <c r="K7" s="116" t="n">
        <v>432.6</v>
      </c>
      <c r="L7" s="116" t="n">
        <v>398.9</v>
      </c>
      <c r="M7" s="14" t="n">
        <v>187.9</v>
      </c>
      <c r="N7" s="14" t="n">
        <v>253.7</v>
      </c>
      <c r="O7" t="n">
        <v>321.2</v>
      </c>
      <c r="P7" t="n">
        <v>254.1</v>
      </c>
    </row>
    <row r="8">
      <c r="F8" s="63" t="n">
        <v>2022</v>
      </c>
      <c r="G8" s="116" t="n">
        <v>296.2</v>
      </c>
      <c r="H8" s="116" t="n">
        <v>269.6</v>
      </c>
      <c r="I8" s="116" t="n">
        <v>261.7</v>
      </c>
      <c r="J8" s="116" t="n">
        <v>193.7</v>
      </c>
      <c r="K8" s="116" t="n">
        <v>398.5</v>
      </c>
      <c r="L8" s="116" t="n">
        <v>364.7</v>
      </c>
      <c r="M8" s="14" t="n">
        <v>173.3</v>
      </c>
      <c r="N8" s="14" t="n">
        <v>233.8</v>
      </c>
      <c r="O8" t="n">
        <v>300.2</v>
      </c>
      <c r="P8" s="14" t="n">
        <v>238.1</v>
      </c>
    </row>
    <row r="9">
      <c r="A9" s="98" t="inlineStr">
        <is>
          <t>Figure Rules</t>
        </is>
      </c>
      <c r="F9" t="n">
        <v>2023</v>
      </c>
      <c r="G9" s="116" t="n">
        <v>270.7</v>
      </c>
      <c r="H9" s="116" t="n">
        <v>250.5</v>
      </c>
      <c r="I9" s="116" t="n">
        <v>239.3</v>
      </c>
      <c r="J9" s="116" t="n">
        <v>179.4</v>
      </c>
      <c r="K9" s="116" t="n">
        <v>352.7</v>
      </c>
      <c r="L9" s="116" t="n">
        <v>333.4</v>
      </c>
      <c r="M9" s="46" t="inlineStr">
        <is>
          <t>162.9</t>
        </is>
      </c>
      <c r="N9" s="46" t="inlineStr">
        <is>
          <t>216.3</t>
        </is>
      </c>
      <c r="O9" s="46" t="inlineStr">
        <is>
          <t>283.8</t>
        </is>
      </c>
      <c r="P9" t="n">
        <v>225.6</v>
      </c>
    </row>
    <row r="10">
      <c r="A10" t="inlineStr">
        <is>
          <t>Figure Type</t>
        </is>
      </c>
      <c r="B10" t="inlineStr">
        <is>
          <t>Line</t>
        </is>
      </c>
      <c r="F10" s="14" t="n"/>
      <c r="G10" s="116" t="n"/>
      <c r="H10" s="116" t="n"/>
      <c r="I10" s="116" t="n"/>
      <c r="J10" s="42" t="n"/>
      <c r="K10" s="42" t="n"/>
      <c r="L10" s="42" t="n"/>
      <c r="M10" s="47" t="n"/>
      <c r="N10" s="47" t="n"/>
      <c r="O10" s="46" t="n"/>
    </row>
    <row r="11">
      <c r="A11" t="inlineStr">
        <is>
          <t>X Column</t>
        </is>
      </c>
      <c r="B11" t="inlineStr">
        <is>
          <t>Year</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6.xml><?xml version="1.0" encoding="utf-8"?>
<worksheet xmlns="http://schemas.openxmlformats.org/spreadsheetml/2006/main">
  <sheetPr>
    <outlinePr summaryBelow="1" summaryRight="1"/>
    <pageSetUpPr/>
  </sheetPr>
  <dimension ref="A1:P57"/>
  <sheetViews>
    <sheetView workbookViewId="0">
      <selection activeCell="B14" sqref="B14"/>
    </sheetView>
  </sheetViews>
  <sheetFormatPr baseColWidth="10" defaultColWidth="8.6640625" defaultRowHeight="15"/>
  <cols>
    <col width="20" bestFit="1" customWidth="1" style="99" min="1" max="1"/>
    <col width="22.1640625" bestFit="1" customWidth="1" style="99" min="2" max="2"/>
    <col width="6.6640625" customWidth="1" style="99" min="5" max="5"/>
    <col width="8" bestFit="1" customWidth="1" style="99" min="6" max="6"/>
    <col width="9" bestFit="1" customWidth="1" style="99" min="7" max="7"/>
    <col width="13.5" customWidth="1" style="99" min="8" max="8"/>
    <col width="8.83203125" bestFit="1" customWidth="1" style="99" min="9" max="9"/>
    <col width="9" bestFit="1" customWidth="1" style="99" min="10" max="10"/>
    <col width="8.83203125" bestFit="1" customWidth="1" style="99" min="11" max="11"/>
    <col width="12.33203125" bestFit="1" customWidth="1" style="99" min="12" max="12"/>
    <col width="12.1640625" bestFit="1" customWidth="1" style="99" min="13" max="13"/>
    <col width="12.33203125" bestFit="1" customWidth="1" style="99" min="14" max="14"/>
    <col width="12.5" bestFit="1" customWidth="1" style="99" min="15" max="15"/>
  </cols>
  <sheetData>
    <row r="1">
      <c r="A1" s="97" t="inlineStr">
        <is>
          <t>Name</t>
        </is>
      </c>
      <c r="B1" s="120" t="inlineStr">
        <is>
          <t>Patients Who Received at Least One Buprenorphine Prescription for Opioid Use Disorder, Age-Adjusted Rate per 100,000 Population, 2020–2023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82" t="inlineStr">
        <is>
          <t>Year</t>
        </is>
      </c>
      <c r="G5" s="119" t="inlineStr">
        <is>
          <t>Dutchess</t>
        </is>
      </c>
      <c r="H5" s="119" t="inlineStr">
        <is>
          <t>Orange</t>
        </is>
      </c>
      <c r="I5" s="119" t="inlineStr">
        <is>
          <t>Putnam</t>
        </is>
      </c>
      <c r="J5" s="119" t="inlineStr">
        <is>
          <t>Rockland</t>
        </is>
      </c>
      <c r="K5" s="119" t="inlineStr">
        <is>
          <t>Sullivan</t>
        </is>
      </c>
      <c r="L5" s="119" t="inlineStr">
        <is>
          <t>Ulster</t>
        </is>
      </c>
      <c r="M5" s="46" t="inlineStr">
        <is>
          <t>Westchester</t>
        </is>
      </c>
      <c r="N5" s="46" t="inlineStr">
        <is>
          <t>Mid-Hudson</t>
        </is>
      </c>
      <c r="O5" s="46" t="inlineStr">
        <is>
          <t>NYS excl NYC</t>
        </is>
      </c>
      <c r="P5" t="inlineStr">
        <is>
          <t>NYS</t>
        </is>
      </c>
    </row>
    <row r="6" ht="15" customHeight="1" s="99">
      <c r="A6" t="inlineStr">
        <is>
          <t>Multilevel Headers</t>
        </is>
      </c>
      <c r="B6" t="b">
        <v>0</v>
      </c>
      <c r="F6" s="85" t="n">
        <v>2020</v>
      </c>
      <c r="G6" s="75" t="n">
        <v>535.7</v>
      </c>
      <c r="H6" s="75" t="n">
        <v>608.7</v>
      </c>
      <c r="I6" s="75" t="n">
        <v>546.4</v>
      </c>
      <c r="J6" s="75" t="n">
        <v>251.4</v>
      </c>
      <c r="K6" s="75" t="n">
        <v>1392.5</v>
      </c>
      <c r="L6" s="75" t="n">
        <v>916.9</v>
      </c>
      <c r="M6" s="71" t="n">
        <v>197.2</v>
      </c>
      <c r="N6" s="71" t="n">
        <v>422.9</v>
      </c>
      <c r="O6" t="n">
        <v>638.4</v>
      </c>
      <c r="P6" t="n">
        <v>419.1</v>
      </c>
    </row>
    <row r="7" ht="15.75" customHeight="1" s="99">
      <c r="F7" s="63" t="n">
        <v>2021</v>
      </c>
      <c r="G7" s="116" t="n">
        <v>544.4</v>
      </c>
      <c r="H7" s="116" t="n">
        <v>527.6</v>
      </c>
      <c r="I7" s="116" t="n">
        <v>501.8</v>
      </c>
      <c r="J7" s="116" t="n">
        <v>237.5</v>
      </c>
      <c r="K7" s="116" t="n">
        <v>1261.5</v>
      </c>
      <c r="L7" s="116" t="n">
        <v>913.7</v>
      </c>
      <c r="M7" s="14" t="n">
        <v>183.3</v>
      </c>
      <c r="N7" s="14" t="n">
        <v>398.5</v>
      </c>
      <c r="O7" t="n">
        <v>637.7</v>
      </c>
      <c r="P7" t="n">
        <v>419.8</v>
      </c>
    </row>
    <row r="8">
      <c r="F8" s="63" t="n">
        <v>2022</v>
      </c>
      <c r="G8" s="116" t="n">
        <v>551.2</v>
      </c>
      <c r="H8" s="116" t="n">
        <v>514.2</v>
      </c>
      <c r="I8" s="116" t="n">
        <v>453.4</v>
      </c>
      <c r="J8" s="116" t="n">
        <v>234.2</v>
      </c>
      <c r="K8" s="116" t="n">
        <v>1303.8</v>
      </c>
      <c r="L8" s="116" t="n">
        <v>976.4</v>
      </c>
      <c r="M8" s="14" t="n">
        <v>187.8</v>
      </c>
      <c r="N8" s="14" t="n">
        <v>403.9</v>
      </c>
      <c r="O8" t="n">
        <v>657.2</v>
      </c>
      <c r="P8" s="14" t="n">
        <v>433.9</v>
      </c>
    </row>
    <row r="9">
      <c r="A9" s="98" t="inlineStr">
        <is>
          <t>Figure Rules</t>
        </is>
      </c>
      <c r="F9" t="n">
        <v>2023</v>
      </c>
      <c r="G9" s="116" t="n">
        <v>609.7</v>
      </c>
      <c r="H9" s="116" t="n">
        <v>520.4</v>
      </c>
      <c r="I9" s="116" t="n">
        <v>482.1</v>
      </c>
      <c r="J9" s="116" t="n">
        <v>217.9</v>
      </c>
      <c r="K9" s="116" t="n">
        <v>1529.8</v>
      </c>
      <c r="L9" s="116" t="n">
        <v>1048.4</v>
      </c>
      <c r="M9" s="46" t="inlineStr">
        <is>
          <t>215.3</t>
        </is>
      </c>
      <c r="N9" s="46" t="inlineStr">
        <is>
          <t>436.6</t>
        </is>
      </c>
      <c r="O9" s="46" t="inlineStr">
        <is>
          <t>705.4</t>
        </is>
      </c>
      <c r="P9" t="n">
        <v>464</v>
      </c>
    </row>
    <row r="10">
      <c r="A10" t="inlineStr">
        <is>
          <t>Figure Type</t>
        </is>
      </c>
      <c r="B10" t="inlineStr">
        <is>
          <t>Line</t>
        </is>
      </c>
      <c r="F10" s="14" t="n"/>
      <c r="G10" s="116" t="n"/>
      <c r="H10" s="116" t="n"/>
      <c r="I10" s="116" t="n"/>
      <c r="J10" s="42" t="n"/>
      <c r="K10" s="42" t="n"/>
      <c r="L10" s="42" t="n"/>
      <c r="M10" s="47" t="n"/>
      <c r="N10" s="47" t="n"/>
      <c r="O10" s="46" t="n"/>
    </row>
    <row r="11">
      <c r="A11" t="inlineStr">
        <is>
          <t>X Column</t>
        </is>
      </c>
      <c r="B11" t="inlineStr">
        <is>
          <t>Year</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67.xml><?xml version="1.0" encoding="utf-8"?>
<worksheet xmlns="http://schemas.openxmlformats.org/spreadsheetml/2006/main">
  <sheetPr>
    <outlinePr summaryBelow="1" summaryRight="1"/>
    <pageSetUpPr/>
  </sheetPr>
  <dimension ref="A1:P57"/>
  <sheetViews>
    <sheetView workbookViewId="0">
      <selection activeCell="G28" sqref="G28"/>
    </sheetView>
  </sheetViews>
  <sheetFormatPr baseColWidth="10" defaultColWidth="8.6640625" defaultRowHeight="15"/>
  <cols>
    <col width="20" bestFit="1" customWidth="1" style="99" min="1" max="1"/>
    <col width="22.1640625" bestFit="1" customWidth="1" style="99" min="2" max="2"/>
    <col width="6.6640625" customWidth="1" style="99" min="5" max="5"/>
    <col width="18.6640625" bestFit="1" customWidth="1" style="99" min="6" max="6"/>
    <col width="9" bestFit="1" customWidth="1" style="99" min="7" max="7"/>
    <col width="13.5" customWidth="1" style="99" min="8" max="8"/>
    <col width="8.83203125" bestFit="1" customWidth="1" style="99" min="9" max="9"/>
    <col width="9" bestFit="1" customWidth="1" style="99" min="10" max="10"/>
    <col width="8.83203125" bestFit="1" customWidth="1" style="99" min="11" max="11"/>
    <col width="12.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Suicide Mortality, Crude Rate per 100,000 Total Population Compared to Those 15–19 Years Old,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G5" s="119" t="inlineStr">
        <is>
          <t>Three-Year Average</t>
        </is>
      </c>
      <c r="N5" s="119" t="inlineStr">
        <is>
          <t>Single-Year</t>
        </is>
      </c>
    </row>
    <row r="6" ht="15" customHeight="1" s="99">
      <c r="A6" t="inlineStr">
        <is>
          <t>Multilevel Headers</t>
        </is>
      </c>
      <c r="B6" t="b">
        <v>1</v>
      </c>
      <c r="F6" s="85" t="n"/>
      <c r="G6" s="88" t="inlineStr">
        <is>
          <t>Dutchess</t>
        </is>
      </c>
      <c r="H6" s="88" t="inlineStr">
        <is>
          <t>Orange</t>
        </is>
      </c>
      <c r="I6" s="88" t="inlineStr">
        <is>
          <t>Putnam</t>
        </is>
      </c>
      <c r="J6" s="88" t="inlineStr">
        <is>
          <t>Rockland</t>
        </is>
      </c>
      <c r="K6" s="88" t="inlineStr">
        <is>
          <t>Sullivan</t>
        </is>
      </c>
      <c r="L6" s="89" t="inlineStr">
        <is>
          <t>Ulster</t>
        </is>
      </c>
      <c r="M6" s="89" t="inlineStr">
        <is>
          <t>Westchester</t>
        </is>
      </c>
      <c r="N6" s="114" t="inlineStr">
        <is>
          <t>Mid-Hudson</t>
        </is>
      </c>
      <c r="O6" s="114" t="inlineStr">
        <is>
          <t>NYS excl NYC</t>
        </is>
      </c>
      <c r="P6" s="114" t="inlineStr">
        <is>
          <t>NYS</t>
        </is>
      </c>
    </row>
    <row r="7" ht="15.75" customHeight="1" s="99">
      <c r="F7" s="63" t="inlineStr">
        <is>
          <t>Total Population</t>
        </is>
      </c>
      <c r="G7" s="42" t="n">
        <v>13.8</v>
      </c>
      <c r="H7" s="42" t="n">
        <v>9</v>
      </c>
      <c r="I7" s="42" t="n">
        <v>9.1</v>
      </c>
      <c r="J7" s="42" t="n">
        <v>4.5</v>
      </c>
      <c r="K7" s="42" t="n">
        <v>14.9</v>
      </c>
      <c r="L7" s="42" t="n">
        <v>14.5</v>
      </c>
      <c r="M7" s="42" t="n">
        <v>7.6</v>
      </c>
      <c r="N7" s="42" t="n">
        <v>8.6</v>
      </c>
      <c r="O7" s="114" t="n">
        <v>9.9</v>
      </c>
      <c r="P7" s="114" t="n">
        <v>8.300000000000001</v>
      </c>
    </row>
    <row r="8">
      <c r="F8" s="63" t="inlineStr">
        <is>
          <t>15–19 Years</t>
        </is>
      </c>
      <c r="G8" s="42" t="inlineStr">
        <is>
          <t>6.4*</t>
        </is>
      </c>
      <c r="H8" s="42" t="inlineStr">
        <is>
          <t>1.1*</t>
        </is>
      </c>
      <c r="I8" s="42" t="inlineStr">
        <is>
          <t>5.5*</t>
        </is>
      </c>
      <c r="J8" s="42" t="inlineStr">
        <is>
          <t>4.0*</t>
        </is>
      </c>
      <c r="K8" s="42" t="inlineStr">
        <is>
          <t>7.2*</t>
        </is>
      </c>
      <c r="L8" s="42" t="inlineStr">
        <is>
          <t>12.0*</t>
        </is>
      </c>
      <c r="M8" s="42" t="inlineStr">
        <is>
          <t>2.6*</t>
        </is>
      </c>
      <c r="N8" s="42" t="inlineStr">
        <is>
          <t>5.4*</t>
        </is>
      </c>
      <c r="O8" s="114" t="n">
        <v>6.7</v>
      </c>
      <c r="P8" s="42" t="n">
        <v>5.2</v>
      </c>
    </row>
    <row r="9">
      <c r="A9" s="98" t="inlineStr">
        <is>
          <t>Figure Rules</t>
        </is>
      </c>
      <c r="G9" s="116" t="n"/>
      <c r="H9" s="116" t="n"/>
      <c r="I9" s="116" t="n"/>
      <c r="J9" s="116" t="n"/>
      <c r="K9" s="116" t="n"/>
      <c r="L9" s="116" t="n"/>
      <c r="M9" s="46" t="n"/>
      <c r="N9" s="46" t="n"/>
      <c r="O9" s="46" t="n"/>
    </row>
    <row r="10">
      <c r="A10" t="inlineStr">
        <is>
          <t>Figure Type</t>
        </is>
      </c>
      <c r="B10" t="inlineStr">
        <is>
          <t>Clustered Bar</t>
        </is>
      </c>
      <c r="F10" s="14" t="n"/>
      <c r="G10" s="116" t="n"/>
      <c r="H10" s="116" t="n"/>
      <c r="I10" s="116" t="n"/>
      <c r="J10" s="42" t="n"/>
      <c r="K10" s="42" t="n"/>
      <c r="L10" s="42" t="n"/>
      <c r="M10" s="47" t="n"/>
      <c r="N10" s="47" t="n"/>
      <c r="O10" s="46" t="n"/>
    </row>
    <row r="11">
      <c r="A11" t="inlineStr">
        <is>
          <t>X Column</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inlineStr">
        <is>
          <t>ß</t>
        </is>
      </c>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N5:P5"/>
    <mergeCell ref="A18:B18"/>
    <mergeCell ref="A27:B27"/>
    <mergeCell ref="G5:M5"/>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68.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9" min="1" max="1"/>
    <col width="22.1640625" bestFit="1" customWidth="1" style="99" min="2" max="2"/>
    <col width="6.6640625" customWidth="1" style="99" min="5" max="5"/>
    <col width="18.6640625" bestFit="1" customWidth="1" style="99" min="6" max="6"/>
    <col width="9" bestFit="1" customWidth="1" style="99" min="7" max="7"/>
    <col width="13.5" customWidth="1" style="99" min="8" max="8"/>
    <col width="8.83203125" bestFit="1" customWidth="1" style="99" min="9" max="9"/>
    <col width="9" bestFit="1" customWidth="1" style="99" min="10" max="10"/>
    <col width="8.83203125" bestFit="1" customWidth="1" style="99" min="11" max="11"/>
    <col width="12.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Suicide Mortality, Age-Adjusted Rate per 100,000 Population, 2018–2021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G5" s="119" t="inlineStr">
        <is>
          <t>Three-Year Average</t>
        </is>
      </c>
      <c r="N5" s="119" t="inlineStr">
        <is>
          <t>Single-Year</t>
        </is>
      </c>
    </row>
    <row r="6" ht="15" customHeight="1" s="99">
      <c r="A6" t="inlineStr">
        <is>
          <t>Multilevel Headers</t>
        </is>
      </c>
      <c r="B6" t="b">
        <v>1</v>
      </c>
      <c r="F6" s="82" t="inlineStr">
        <is>
          <t>Year</t>
        </is>
      </c>
      <c r="G6" s="75" t="inlineStr">
        <is>
          <t>Dutchess</t>
        </is>
      </c>
      <c r="H6" s="75" t="inlineStr">
        <is>
          <t>Orange</t>
        </is>
      </c>
      <c r="I6" s="75" t="inlineStr">
        <is>
          <t>Putnam</t>
        </is>
      </c>
      <c r="J6" s="75" t="inlineStr">
        <is>
          <t>Rockland</t>
        </is>
      </c>
      <c r="K6" s="75" t="inlineStr">
        <is>
          <t>Sullivan</t>
        </is>
      </c>
      <c r="L6" s="75" t="inlineStr">
        <is>
          <t>Ulster</t>
        </is>
      </c>
      <c r="M6" s="71" t="inlineStr">
        <is>
          <t>Westchester</t>
        </is>
      </c>
      <c r="N6" s="71" t="inlineStr">
        <is>
          <t>NYS excl NYC</t>
        </is>
      </c>
      <c r="O6" t="inlineStr">
        <is>
          <t>NYS</t>
        </is>
      </c>
    </row>
    <row r="7" ht="15.75" customHeight="1" s="99">
      <c r="F7" s="63" t="n">
        <v>2018</v>
      </c>
      <c r="G7" s="116" t="n">
        <v>12.8</v>
      </c>
      <c r="H7" s="116" t="n">
        <v>10.1</v>
      </c>
      <c r="I7" s="116" t="n">
        <v>6.2</v>
      </c>
      <c r="J7" s="116" t="n">
        <v>7.4</v>
      </c>
      <c r="K7" s="116" t="n">
        <v>12.2</v>
      </c>
      <c r="L7" s="116" t="n">
        <v>13.2</v>
      </c>
      <c r="M7" s="14" t="n">
        <v>6.4</v>
      </c>
      <c r="N7" s="14" t="n">
        <v>10</v>
      </c>
      <c r="O7" t="n">
        <v>8.199999999999999</v>
      </c>
    </row>
    <row r="8">
      <c r="F8" s="63" t="n">
        <v>2019</v>
      </c>
      <c r="G8" s="116" t="n">
        <v>11.9</v>
      </c>
      <c r="H8" s="116" t="n">
        <v>10.1</v>
      </c>
      <c r="I8" s="116" t="n">
        <v>5.3</v>
      </c>
      <c r="J8" s="116" t="n">
        <v>6.4</v>
      </c>
      <c r="K8" s="116" t="n">
        <v>12.6</v>
      </c>
      <c r="L8" s="116" t="n">
        <v>13.8</v>
      </c>
      <c r="M8" s="14" t="n">
        <v>6.7</v>
      </c>
      <c r="N8" s="14" t="n">
        <v>10</v>
      </c>
      <c r="O8" t="n">
        <v>8.199999999999999</v>
      </c>
      <c r="P8" s="14" t="n"/>
    </row>
    <row r="9">
      <c r="A9" s="98" t="inlineStr">
        <is>
          <t>Figure Rules</t>
        </is>
      </c>
      <c r="F9" t="n">
        <v>2020</v>
      </c>
      <c r="G9" s="116" t="n">
        <v>12.6</v>
      </c>
      <c r="H9" s="116" t="n">
        <v>9.300000000000001</v>
      </c>
      <c r="I9" s="116" t="n">
        <v>4.6</v>
      </c>
      <c r="J9" s="116" t="n">
        <v>5.6</v>
      </c>
      <c r="K9" s="116" t="n">
        <v>14.3</v>
      </c>
      <c r="L9" s="116" t="n">
        <v>13</v>
      </c>
      <c r="M9" s="46" t="inlineStr">
        <is>
          <t>6.5</t>
        </is>
      </c>
      <c r="N9" s="46" t="inlineStr">
        <is>
          <t>9.6</t>
        </is>
      </c>
      <c r="O9" s="46" t="inlineStr">
        <is>
          <t>7.9</t>
        </is>
      </c>
    </row>
    <row r="10">
      <c r="A10" t="inlineStr">
        <is>
          <t>Figure Type</t>
        </is>
      </c>
      <c r="B10" t="inlineStr">
        <is>
          <t>Line</t>
        </is>
      </c>
      <c r="F10" s="14" t="n">
        <v>2021</v>
      </c>
      <c r="G10" s="116" t="n">
        <v>12.7</v>
      </c>
      <c r="H10" s="116" t="n">
        <v>9</v>
      </c>
      <c r="I10" s="116" t="n">
        <v>7.3</v>
      </c>
      <c r="J10" s="42" t="n">
        <v>4.7</v>
      </c>
      <c r="K10" s="42" t="n">
        <v>12.9</v>
      </c>
      <c r="L10" s="42" t="n">
        <v>12.5</v>
      </c>
      <c r="M10" s="47" t="inlineStr">
        <is>
          <t>7.3</t>
        </is>
      </c>
      <c r="N10" s="47" t="inlineStr">
        <is>
          <t>9.5</t>
        </is>
      </c>
      <c r="O10" s="46" t="inlineStr">
        <is>
          <t>7.9</t>
        </is>
      </c>
    </row>
    <row r="11">
      <c r="A11" t="inlineStr">
        <is>
          <t>X Column</t>
        </is>
      </c>
      <c r="B11" t="inlineStr">
        <is>
          <t>Year</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69.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18.6640625" bestFit="1" customWidth="1" style="99" min="6" max="6"/>
    <col width="9" bestFit="1" customWidth="1" style="99" min="7" max="7"/>
    <col width="13.5" customWidth="1" style="99" min="8" max="8"/>
    <col width="8.83203125" bestFit="1" customWidth="1" style="99" min="9" max="9"/>
    <col width="9" bestFit="1" customWidth="1" style="99" min="10" max="10"/>
    <col width="8.83203125" bestFit="1" customWidth="1" style="99" min="11" max="11"/>
    <col width="12.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Asthma, Gastroenteritis, Otitis Media, and Pneumonia Hospitalizations, Rate per 10,000 Population Aged 0–4 Years,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number</t>
        </is>
      </c>
      <c r="G4" s="16" t="inlineStr">
        <is>
          <t>percent1</t>
        </is>
      </c>
      <c r="H4" s="16" t="inlineStr">
        <is>
          <t>percent1</t>
        </is>
      </c>
      <c r="I4" s="16" t="inlineStr">
        <is>
          <t>percent1</t>
        </is>
      </c>
      <c r="J4" s="16" t="inlineStr">
        <is>
          <t>percent1</t>
        </is>
      </c>
      <c r="K4" s="16" t="n"/>
      <c r="L4" s="16" t="n"/>
      <c r="M4" s="16" t="n"/>
      <c r="N4" s="16" t="n"/>
      <c r="O4" s="16" t="n"/>
      <c r="P4" s="16" t="n"/>
    </row>
    <row r="5">
      <c r="A5" s="98" t="inlineStr">
        <is>
          <t>Table Rules</t>
        </is>
      </c>
      <c r="E5" s="100" t="inlineStr">
        <is>
          <t xml:space="preserve">Enter Data </t>
        </is>
      </c>
      <c r="F5" t="inlineStr">
        <is>
          <t>Region</t>
        </is>
      </c>
      <c r="G5" t="inlineStr">
        <is>
          <t>Asthma</t>
        </is>
      </c>
      <c r="H5" t="inlineStr">
        <is>
          <t>Gastroenteritis</t>
        </is>
      </c>
      <c r="I5" t="inlineStr">
        <is>
          <t>Otitis Media</t>
        </is>
      </c>
      <c r="J5" t="inlineStr">
        <is>
          <t>Pneumonia</t>
        </is>
      </c>
    </row>
    <row r="6" ht="15" customHeight="1" s="99">
      <c r="A6" t="inlineStr">
        <is>
          <t>Multilevel Headers</t>
        </is>
      </c>
      <c r="B6" t="b">
        <v>0</v>
      </c>
      <c r="F6" t="inlineStr">
        <is>
          <t>NYS</t>
        </is>
      </c>
      <c r="G6" t="n">
        <v>24.9</v>
      </c>
      <c r="H6" t="n">
        <v>7.7</v>
      </c>
      <c r="I6" t="n">
        <v>1</v>
      </c>
      <c r="J6" t="n">
        <v>13.4</v>
      </c>
    </row>
    <row r="7" ht="15.75" customHeight="1" s="99">
      <c r="F7" t="inlineStr">
        <is>
          <t>NYS excl NYC</t>
        </is>
      </c>
      <c r="G7" t="n">
        <v>17.2</v>
      </c>
      <c r="H7" t="n">
        <v>5.3</v>
      </c>
      <c r="I7" t="n">
        <v>0.8</v>
      </c>
      <c r="J7" t="n">
        <v>11.5</v>
      </c>
    </row>
    <row r="8">
      <c r="F8" t="inlineStr">
        <is>
          <t>Mid-Hudson</t>
        </is>
      </c>
      <c r="G8" t="n">
        <v>18.8</v>
      </c>
      <c r="H8" t="n">
        <v>6.8</v>
      </c>
      <c r="I8" t="n">
        <v>1</v>
      </c>
      <c r="J8" t="n">
        <v>15.2</v>
      </c>
      <c r="P8" s="14" t="n"/>
    </row>
    <row r="9">
      <c r="A9" s="98" t="inlineStr">
        <is>
          <t>Figure Rules</t>
        </is>
      </c>
    </row>
    <row r="10">
      <c r="A10" t="inlineStr">
        <is>
          <t>Figure Type</t>
        </is>
      </c>
      <c r="B10" t="inlineStr">
        <is>
          <t>Clustered Bar</t>
        </is>
      </c>
    </row>
    <row r="11">
      <c r="A11" t="inlineStr">
        <is>
          <t>X Column</t>
        </is>
      </c>
      <c r="B11" t="inlineStr">
        <is>
          <t>Asthma, Gastroenteritis, Otitis Media, and Pneumonia Hospitalizations</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Region</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0.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9" min="1" max="1"/>
    <col width="22.1640625" bestFit="1" customWidth="1" style="99" min="2" max="2"/>
    <col width="6.6640625" customWidth="1" style="99" min="5" max="5"/>
    <col width="7.332031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Overdose Deaths Involving Any Opioid, Crude Rate per 100,000 Population, 2019–2022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9">
      <c r="A6" t="inlineStr">
        <is>
          <t>Multilevel Headers</t>
        </is>
      </c>
      <c r="B6" t="b">
        <v>0</v>
      </c>
      <c r="F6" t="n">
        <v>2019</v>
      </c>
      <c r="G6" t="n">
        <v>22.1</v>
      </c>
      <c r="H6" t="n">
        <v>20.7</v>
      </c>
      <c r="I6" t="n">
        <v>12.1</v>
      </c>
      <c r="J6" t="n">
        <v>14.1</v>
      </c>
      <c r="K6" t="n">
        <v>39.8</v>
      </c>
      <c r="L6" t="n">
        <v>17.9</v>
      </c>
      <c r="M6" t="n">
        <v>9.4</v>
      </c>
      <c r="N6" t="n">
        <v>15.3</v>
      </c>
      <c r="O6" t="n">
        <v>16.1</v>
      </c>
      <c r="P6" t="n">
        <v>15.1</v>
      </c>
    </row>
    <row r="7" ht="15.75" customHeight="1" s="99">
      <c r="F7" t="n">
        <v>2020</v>
      </c>
      <c r="G7" t="n">
        <v>35.7</v>
      </c>
      <c r="H7" t="n">
        <v>26.9</v>
      </c>
      <c r="I7" t="n">
        <v>18.2</v>
      </c>
      <c r="J7" t="n">
        <v>12.9</v>
      </c>
      <c r="K7" t="n">
        <v>63.7</v>
      </c>
      <c r="L7" t="n">
        <v>31.4</v>
      </c>
      <c r="M7" t="n">
        <v>13.8</v>
      </c>
      <c r="N7" t="n">
        <v>21.8</v>
      </c>
      <c r="O7" t="n">
        <v>22.7</v>
      </c>
      <c r="P7" t="n">
        <v>21.5</v>
      </c>
    </row>
    <row r="8">
      <c r="F8" t="n">
        <v>2021</v>
      </c>
      <c r="G8" t="n">
        <v>29.1</v>
      </c>
      <c r="H8" t="n">
        <v>33.8</v>
      </c>
      <c r="I8" t="n">
        <v>20.4</v>
      </c>
      <c r="J8" t="n">
        <v>19.1</v>
      </c>
      <c r="K8" t="n">
        <v>46.4</v>
      </c>
      <c r="L8" t="n">
        <v>25.6</v>
      </c>
      <c r="M8" t="n">
        <v>15</v>
      </c>
      <c r="N8" t="n">
        <v>22.6</v>
      </c>
      <c r="O8" t="n">
        <v>25.2</v>
      </c>
      <c r="P8" s="14" t="n">
        <v>25.1</v>
      </c>
    </row>
    <row r="9">
      <c r="A9" s="98" t="inlineStr">
        <is>
          <t>Figure Rules</t>
        </is>
      </c>
      <c r="F9" t="n">
        <v>2022</v>
      </c>
      <c r="G9" t="n">
        <v>39.3</v>
      </c>
      <c r="H9" t="n">
        <v>30.5</v>
      </c>
      <c r="I9" t="n">
        <v>22.4</v>
      </c>
      <c r="J9" t="n">
        <v>12.9</v>
      </c>
      <c r="K9" t="n">
        <v>61.5</v>
      </c>
      <c r="L9" t="n">
        <v>35.7</v>
      </c>
      <c r="M9" t="n">
        <v>15.4</v>
      </c>
      <c r="N9" t="n">
        <v>24</v>
      </c>
      <c r="O9" t="n">
        <v>26.3</v>
      </c>
      <c r="P9" t="n">
        <v>27.4</v>
      </c>
    </row>
    <row r="10">
      <c r="A10" t="inlineStr">
        <is>
          <t>Figure Type</t>
        </is>
      </c>
      <c r="B10" t="inlineStr">
        <is>
          <t>Line</t>
        </is>
      </c>
    </row>
    <row r="11">
      <c r="A11" t="inlineStr">
        <is>
          <t>X Column</t>
        </is>
      </c>
      <c r="B11" s="82" t="inlineStr">
        <is>
          <t>Year</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71.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9" min="1" max="1"/>
    <col width="22.1640625" bestFit="1" customWidth="1" style="99" min="2" max="2"/>
    <col width="6.6640625" customWidth="1" style="99" min="5" max="5"/>
    <col width="7.332031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Poison Center Calls, Rate per 100,000 Population, 2020–2024</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n"/>
      <c r="O4" s="16" t="n"/>
      <c r="P4" s="16" t="n"/>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row>
    <row r="6" ht="15" customHeight="1" s="99">
      <c r="A6" t="inlineStr">
        <is>
          <t>Multilevel Headers</t>
        </is>
      </c>
      <c r="B6" t="b">
        <v>0</v>
      </c>
      <c r="F6" t="n">
        <v>2020</v>
      </c>
      <c r="G6" t="n">
        <v>541</v>
      </c>
      <c r="H6" t="n">
        <v>604</v>
      </c>
      <c r="I6" t="n">
        <v>237</v>
      </c>
      <c r="J6" t="n">
        <v>431</v>
      </c>
      <c r="K6" t="n">
        <v>583</v>
      </c>
      <c r="L6" t="n">
        <v>609</v>
      </c>
      <c r="M6" t="n">
        <v>497</v>
      </c>
    </row>
    <row r="7" ht="15.75" customHeight="1" s="99">
      <c r="F7" t="n">
        <v>2021</v>
      </c>
      <c r="G7" t="n">
        <v>421</v>
      </c>
      <c r="H7" t="n">
        <v>593</v>
      </c>
      <c r="I7" t="n">
        <v>220</v>
      </c>
      <c r="J7" t="n">
        <v>456</v>
      </c>
      <c r="K7" t="n">
        <v>589</v>
      </c>
      <c r="L7" t="n">
        <v>494</v>
      </c>
      <c r="M7" t="n">
        <v>441</v>
      </c>
    </row>
    <row r="8">
      <c r="F8" t="n">
        <v>2022</v>
      </c>
      <c r="G8" t="n">
        <v>436</v>
      </c>
      <c r="H8" t="n">
        <v>613</v>
      </c>
      <c r="I8" t="n">
        <v>222</v>
      </c>
      <c r="J8" t="n">
        <v>470</v>
      </c>
      <c r="K8" t="n">
        <v>542</v>
      </c>
      <c r="L8" t="n">
        <v>446</v>
      </c>
      <c r="M8" t="n">
        <v>408</v>
      </c>
      <c r="P8" s="14" t="n"/>
    </row>
    <row r="9">
      <c r="A9" s="98" t="inlineStr">
        <is>
          <t>Figure Rules</t>
        </is>
      </c>
      <c r="F9" t="n">
        <v>2023</v>
      </c>
      <c r="G9" t="n">
        <v>443</v>
      </c>
      <c r="H9" t="n">
        <v>573</v>
      </c>
      <c r="I9" t="n">
        <v>230</v>
      </c>
      <c r="J9" t="n">
        <v>399</v>
      </c>
      <c r="K9" t="n">
        <v>642</v>
      </c>
      <c r="L9" t="n">
        <v>444</v>
      </c>
      <c r="M9" t="n">
        <v>404</v>
      </c>
    </row>
    <row r="10">
      <c r="A10" t="inlineStr">
        <is>
          <t>Figure Type</t>
        </is>
      </c>
      <c r="B10" t="inlineStr">
        <is>
          <t>Clustered Bar</t>
        </is>
      </c>
      <c r="F10" t="n">
        <v>2024</v>
      </c>
      <c r="G10" t="n">
        <v>464</v>
      </c>
      <c r="H10" t="n">
        <v>570</v>
      </c>
      <c r="I10" t="n">
        <v>226</v>
      </c>
      <c r="J10" t="n">
        <v>366</v>
      </c>
      <c r="K10" t="n">
        <v>636</v>
      </c>
      <c r="L10" t="n">
        <v>530</v>
      </c>
      <c r="M10" t="n">
        <v>388</v>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2.xml><?xml version="1.0" encoding="utf-8"?>
<worksheet xmlns="http://schemas.openxmlformats.org/spreadsheetml/2006/main">
  <sheetPr>
    <outlinePr summaryBelow="1" summaryRight="1"/>
    <pageSetUpPr/>
  </sheetPr>
  <dimension ref="A1:P57"/>
  <sheetViews>
    <sheetView workbookViewId="0">
      <selection activeCell="F6" sqref="F6"/>
    </sheetView>
  </sheetViews>
  <sheetFormatPr baseColWidth="10" defaultColWidth="8.6640625" defaultRowHeight="15"/>
  <cols>
    <col width="20" bestFit="1" customWidth="1" style="99" min="1" max="1"/>
    <col width="22.1640625" bestFit="1" customWidth="1" style="99" min="2" max="2"/>
    <col width="6.6640625" customWidth="1" style="99" min="5" max="5"/>
    <col width="7.332031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Unintentional Injury Mortality, Age-Adjusted Rate per 100,000 Population, 2018–2021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s="101" t="inlineStr">
        <is>
          <t>Three-Year Average</t>
        </is>
      </c>
      <c r="N5" s="101" t="inlineStr">
        <is>
          <t>Single-Year</t>
        </is>
      </c>
    </row>
    <row r="6" ht="15" customHeight="1" s="99">
      <c r="A6" t="inlineStr">
        <is>
          <t>Multilevel Headers</t>
        </is>
      </c>
      <c r="B6" t="b">
        <v>1</v>
      </c>
      <c r="F6" s="82" t="inlineStr">
        <is>
          <t>Year</t>
        </is>
      </c>
      <c r="G6" t="inlineStr">
        <is>
          <t>Dutchess</t>
        </is>
      </c>
      <c r="H6" t="inlineStr">
        <is>
          <t>Orange</t>
        </is>
      </c>
      <c r="I6" t="inlineStr">
        <is>
          <t>Putnam</t>
        </is>
      </c>
      <c r="J6" t="inlineStr">
        <is>
          <t>Rockland</t>
        </is>
      </c>
      <c r="K6" t="inlineStr">
        <is>
          <t>Sullivan</t>
        </is>
      </c>
      <c r="L6" t="inlineStr">
        <is>
          <t>Ulster</t>
        </is>
      </c>
      <c r="M6" t="inlineStr">
        <is>
          <t>Westchester</t>
        </is>
      </c>
      <c r="N6" t="inlineStr">
        <is>
          <t>NYS excl NYC</t>
        </is>
      </c>
      <c r="O6" t="inlineStr">
        <is>
          <t>NYS</t>
        </is>
      </c>
    </row>
    <row r="7" ht="15.75" customHeight="1" s="99">
      <c r="F7" t="n">
        <v>2018</v>
      </c>
      <c r="G7" t="n">
        <v>49</v>
      </c>
      <c r="H7" t="n">
        <v>49</v>
      </c>
      <c r="I7" t="n">
        <v>38</v>
      </c>
      <c r="J7" t="n">
        <v>32</v>
      </c>
      <c r="K7" t="n">
        <v>75</v>
      </c>
      <c r="L7" t="n">
        <v>50</v>
      </c>
      <c r="M7" t="n">
        <v>27</v>
      </c>
      <c r="N7" t="n">
        <v>41</v>
      </c>
      <c r="O7" t="n">
        <v>34</v>
      </c>
    </row>
    <row r="8">
      <c r="F8" t="n">
        <v>2019</v>
      </c>
      <c r="G8" t="n">
        <v>52</v>
      </c>
      <c r="H8" t="n">
        <v>49</v>
      </c>
      <c r="I8" t="n">
        <v>34</v>
      </c>
      <c r="J8" t="n">
        <v>36</v>
      </c>
      <c r="K8" t="n">
        <v>82</v>
      </c>
      <c r="L8" t="n">
        <v>57</v>
      </c>
      <c r="M8" t="n">
        <v>28</v>
      </c>
      <c r="N8" t="n">
        <v>40</v>
      </c>
      <c r="O8" t="n">
        <v>34</v>
      </c>
      <c r="P8" s="14" t="n"/>
    </row>
    <row r="9">
      <c r="A9" s="98" t="inlineStr">
        <is>
          <t>Figure Rules</t>
        </is>
      </c>
      <c r="F9" t="n">
        <v>2020</v>
      </c>
      <c r="G9" t="n">
        <v>52</v>
      </c>
      <c r="H9" t="n">
        <v>50</v>
      </c>
      <c r="I9" t="n">
        <v>36</v>
      </c>
      <c r="J9" t="n">
        <v>39</v>
      </c>
      <c r="K9" t="n">
        <v>85</v>
      </c>
      <c r="L9" t="n">
        <v>59</v>
      </c>
      <c r="M9" t="n">
        <v>30</v>
      </c>
      <c r="N9" t="n">
        <v>47</v>
      </c>
      <c r="O9" t="n">
        <v>41</v>
      </c>
    </row>
    <row r="10">
      <c r="A10" t="inlineStr">
        <is>
          <t>Figure Type</t>
        </is>
      </c>
      <c r="B10" t="inlineStr">
        <is>
          <t>Line</t>
        </is>
      </c>
      <c r="F10" t="n">
        <v>2021</v>
      </c>
      <c r="G10" t="n">
        <v>59</v>
      </c>
      <c r="H10" t="n">
        <v>56</v>
      </c>
      <c r="I10" t="n">
        <v>41</v>
      </c>
      <c r="J10" t="n">
        <v>38</v>
      </c>
      <c r="K10" t="n">
        <v>92</v>
      </c>
      <c r="L10" t="n">
        <v>64</v>
      </c>
      <c r="M10" t="n">
        <v>32</v>
      </c>
      <c r="N10" t="n">
        <v>52</v>
      </c>
      <c r="O10" t="n">
        <v>47</v>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0</v>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73.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7.332031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Poison Center Calls Involving Children 5 Years Old and Younger, 2020–2024</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n"/>
      <c r="O4" s="16" t="n"/>
      <c r="P4" s="16" t="n"/>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row>
    <row r="6" ht="15" customHeight="1" s="99">
      <c r="A6" t="inlineStr">
        <is>
          <t>Multilevel Headers</t>
        </is>
      </c>
      <c r="B6" t="b">
        <v>1</v>
      </c>
      <c r="F6" t="n">
        <v>2020</v>
      </c>
      <c r="G6" t="n">
        <v>29.7</v>
      </c>
      <c r="H6" t="n">
        <v>30.9</v>
      </c>
      <c r="I6" t="n">
        <v>20.1</v>
      </c>
      <c r="J6" t="n">
        <v>32.7</v>
      </c>
      <c r="K6" t="n">
        <v>34.6</v>
      </c>
      <c r="L6" t="n">
        <v>31.1</v>
      </c>
      <c r="M6" t="n">
        <v>34.6</v>
      </c>
    </row>
    <row r="7" ht="15.75" customHeight="1" s="99">
      <c r="F7" t="n">
        <v>2021</v>
      </c>
      <c r="G7" t="n">
        <v>30.9</v>
      </c>
      <c r="H7" t="n">
        <v>33.4</v>
      </c>
      <c r="I7" t="n">
        <v>26.4</v>
      </c>
      <c r="J7" t="n">
        <v>36.1</v>
      </c>
      <c r="K7" t="n">
        <v>30.4</v>
      </c>
      <c r="L7" t="n">
        <v>30.2</v>
      </c>
      <c r="M7" t="n">
        <v>34.2</v>
      </c>
    </row>
    <row r="8">
      <c r="F8" t="n">
        <v>2022</v>
      </c>
      <c r="G8" t="n">
        <v>31.9</v>
      </c>
      <c r="H8" t="n">
        <v>35.8</v>
      </c>
      <c r="I8" t="n">
        <v>26.7</v>
      </c>
      <c r="J8" t="n">
        <v>36.8</v>
      </c>
      <c r="K8" t="n">
        <v>34</v>
      </c>
      <c r="L8" t="n">
        <v>30.3</v>
      </c>
      <c r="M8" t="n">
        <v>33.8</v>
      </c>
      <c r="P8" s="14" t="n"/>
    </row>
    <row r="9">
      <c r="A9" s="98" t="inlineStr">
        <is>
          <t>Figure Rules</t>
        </is>
      </c>
      <c r="F9" t="n">
        <v>2023</v>
      </c>
      <c r="G9" t="n">
        <v>32.6</v>
      </c>
      <c r="H9" t="n">
        <v>40.5</v>
      </c>
      <c r="I9" t="n">
        <v>26.7</v>
      </c>
      <c r="J9" t="n">
        <v>41.3</v>
      </c>
      <c r="K9" t="n">
        <v>32.7</v>
      </c>
      <c r="L9" t="n">
        <v>28.8</v>
      </c>
      <c r="M9" t="n">
        <v>33.8</v>
      </c>
    </row>
    <row r="10">
      <c r="A10" t="inlineStr">
        <is>
          <t>Figure Type</t>
        </is>
      </c>
      <c r="B10" t="inlineStr">
        <is>
          <t>Clustered Bar</t>
        </is>
      </c>
      <c r="F10" t="n">
        <v>2024</v>
      </c>
      <c r="G10" t="n">
        <v>30.6</v>
      </c>
      <c r="H10" t="n">
        <v>38.5</v>
      </c>
      <c r="I10" t="n">
        <v>28.5</v>
      </c>
      <c r="J10" t="n">
        <v>38.4</v>
      </c>
      <c r="K10" t="n">
        <v>30.8</v>
      </c>
      <c r="L10" t="n">
        <v>29</v>
      </c>
      <c r="M10" t="n">
        <v>31.6</v>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disablePrompts="1"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4.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7.332031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Poison Center Cannabis Calls, Rate per 100,000 Population, 2020–2024</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n"/>
      <c r="O4" s="16" t="n"/>
      <c r="P4" s="16" t="n"/>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row>
    <row r="6" ht="15" customHeight="1" s="99">
      <c r="A6" t="inlineStr">
        <is>
          <t>Multilevel Headers</t>
        </is>
      </c>
      <c r="B6" t="b">
        <v>1</v>
      </c>
      <c r="F6" t="n">
        <v>2020</v>
      </c>
      <c r="G6" t="n">
        <v>1.4</v>
      </c>
      <c r="H6" t="n">
        <v>5.8</v>
      </c>
      <c r="I6" t="n">
        <v>2</v>
      </c>
      <c r="J6" t="n">
        <v>2.2</v>
      </c>
      <c r="K6" t="n">
        <v>0</v>
      </c>
      <c r="L6" t="n">
        <v>1.7</v>
      </c>
      <c r="M6" t="n">
        <v>5.5</v>
      </c>
    </row>
    <row r="7" ht="15.75" customHeight="1" s="99">
      <c r="F7" t="n">
        <v>2021</v>
      </c>
      <c r="G7" t="n">
        <v>3</v>
      </c>
      <c r="H7" t="n">
        <v>5.3</v>
      </c>
      <c r="I7" t="n">
        <v>2</v>
      </c>
      <c r="J7" t="n">
        <v>1.8</v>
      </c>
      <c r="K7" t="n">
        <v>10.2</v>
      </c>
      <c r="L7" t="n">
        <v>3.3</v>
      </c>
      <c r="M7" t="n">
        <v>7.1</v>
      </c>
    </row>
    <row r="8">
      <c r="F8" t="n">
        <v>2022</v>
      </c>
      <c r="G8" t="n">
        <v>5.1</v>
      </c>
      <c r="H8" t="n">
        <v>7.7</v>
      </c>
      <c r="I8" t="n">
        <v>3.1</v>
      </c>
      <c r="J8" t="n">
        <v>3.6</v>
      </c>
      <c r="K8" t="n">
        <v>7.6</v>
      </c>
      <c r="L8" t="n">
        <v>2.7</v>
      </c>
      <c r="M8" t="n">
        <v>6.4</v>
      </c>
      <c r="P8" s="14" t="n"/>
    </row>
    <row r="9">
      <c r="A9" s="98" t="inlineStr">
        <is>
          <t>Figure Rules</t>
        </is>
      </c>
      <c r="F9" t="n">
        <v>2023</v>
      </c>
      <c r="G9" t="n">
        <v>5</v>
      </c>
      <c r="H9" t="n">
        <v>5.7</v>
      </c>
      <c r="I9" t="n">
        <v>3.1</v>
      </c>
      <c r="J9" t="n">
        <v>2.4</v>
      </c>
      <c r="K9" t="n">
        <v>8.800000000000001</v>
      </c>
      <c r="L9" t="n">
        <v>1.1</v>
      </c>
      <c r="M9" t="n">
        <v>6.7</v>
      </c>
    </row>
    <row r="10">
      <c r="A10" t="inlineStr">
        <is>
          <t>Figure Type</t>
        </is>
      </c>
      <c r="B10" t="inlineStr">
        <is>
          <t>Clustered Bar</t>
        </is>
      </c>
      <c r="F10" t="n">
        <v>2024</v>
      </c>
      <c r="G10" t="n">
        <v>5.7</v>
      </c>
      <c r="H10" t="n">
        <v>6.7</v>
      </c>
      <c r="I10" t="n">
        <v>2</v>
      </c>
      <c r="J10" t="n">
        <v>1.8</v>
      </c>
      <c r="K10" t="n">
        <v>8.800000000000001</v>
      </c>
      <c r="L10" t="n">
        <v>3.3</v>
      </c>
      <c r="M10" t="n">
        <v>5.9</v>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75.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9.6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Chronic Lower Respiratory Disease Mortality, Age-Adjusted Rate per 100,000 Population,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9">
      <c r="A6" t="inlineStr">
        <is>
          <t>Multilevel Headers</t>
        </is>
      </c>
      <c r="B6" t="b">
        <v>1</v>
      </c>
      <c r="F6" t="inlineStr">
        <is>
          <t>2020-2022</t>
        </is>
      </c>
      <c r="G6" t="n">
        <v>23.7</v>
      </c>
      <c r="H6" t="n">
        <v>32.1</v>
      </c>
      <c r="I6" t="n">
        <v>20.7</v>
      </c>
      <c r="J6" t="n">
        <v>20.1</v>
      </c>
      <c r="K6" t="n">
        <v>43.5</v>
      </c>
      <c r="L6" t="n">
        <v>32.1</v>
      </c>
      <c r="M6" t="n">
        <v>17.3</v>
      </c>
      <c r="N6" t="n">
        <v>22.8</v>
      </c>
      <c r="O6" t="n">
        <v>29.3</v>
      </c>
      <c r="P6" t="n">
        <v>23.7</v>
      </c>
    </row>
    <row r="7" ht="15.75" customHeight="1" s="99"/>
    <row r="8">
      <c r="P8" s="14" t="n"/>
    </row>
    <row r="9">
      <c r="A9" s="98" t="inlineStr">
        <is>
          <t>Figure Rules</t>
        </is>
      </c>
    </row>
    <row r="10">
      <c r="A10" t="inlineStr">
        <is>
          <t>Figure Type</t>
        </is>
      </c>
      <c r="B10" t="inlineStr">
        <is>
          <t>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6.xml><?xml version="1.0" encoding="utf-8"?>
<worksheet xmlns="http://schemas.openxmlformats.org/spreadsheetml/2006/main">
  <sheetPr>
    <outlinePr summaryBelow="1" summaryRight="1"/>
    <pageSetUpPr/>
  </sheetPr>
  <dimension ref="A1:P57"/>
  <sheetViews>
    <sheetView workbookViewId="0">
      <selection activeCell="G27" sqref="G27"/>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Chronic Lower Respiratory Disease Mortality, Age-Adjusted Rate per 100,000 Population by Race and 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Non-Hispanic White</t>
        </is>
      </c>
      <c r="G6" t="n">
        <v>25.3</v>
      </c>
      <c r="H6" t="n">
        <v>36.3</v>
      </c>
      <c r="I6" t="n">
        <v>22.2</v>
      </c>
      <c r="J6" t="n">
        <v>23.3</v>
      </c>
      <c r="K6" t="n">
        <v>45.3</v>
      </c>
      <c r="L6" t="n">
        <v>32.9</v>
      </c>
      <c r="M6" t="n">
        <v>18.3</v>
      </c>
      <c r="N6" t="n">
        <v>31.5</v>
      </c>
      <c r="O6" t="n">
        <v>27.8</v>
      </c>
    </row>
    <row r="7" ht="15.75" customHeight="1" s="99">
      <c r="F7" t="inlineStr">
        <is>
          <t>Non-Hispanic Black</t>
        </is>
      </c>
      <c r="G7" t="n">
        <v>17.8</v>
      </c>
      <c r="H7" t="n">
        <v>21.4</v>
      </c>
      <c r="I7" t="inlineStr">
        <is>
          <t>0*</t>
        </is>
      </c>
      <c r="J7" t="n">
        <v>12.4</v>
      </c>
      <c r="K7" t="inlineStr">
        <is>
          <t>37.9*</t>
        </is>
      </c>
      <c r="L7" t="n">
        <v>40.7</v>
      </c>
      <c r="M7" t="n">
        <v>18.9</v>
      </c>
      <c r="N7" t="n">
        <v>22.8</v>
      </c>
      <c r="O7" t="n">
        <v>18.2</v>
      </c>
    </row>
    <row r="8">
      <c r="F8" t="inlineStr">
        <is>
          <t>Non-Hispanic Asian/Pacific Islander</t>
        </is>
      </c>
      <c r="G8" t="inlineStr">
        <is>
          <t>3.2*</t>
        </is>
      </c>
      <c r="H8" t="inlineStr">
        <is>
          <t>6.8*</t>
        </is>
      </c>
      <c r="I8" t="inlineStr">
        <is>
          <t>0*</t>
        </is>
      </c>
      <c r="J8" t="inlineStr">
        <is>
          <t>6.9*</t>
        </is>
      </c>
      <c r="K8" t="inlineStr">
        <is>
          <t>0*</t>
        </is>
      </c>
      <c r="L8" t="inlineStr">
        <is>
          <t>0*</t>
        </is>
      </c>
      <c r="M8" t="n">
        <v>5.3</v>
      </c>
      <c r="N8" t="n">
        <v>6</v>
      </c>
      <c r="O8" t="n">
        <v>7.5</v>
      </c>
      <c r="P8" s="14" t="n"/>
    </row>
    <row r="9">
      <c r="A9" s="98" t="inlineStr">
        <is>
          <t>Figure Rules</t>
        </is>
      </c>
      <c r="F9" t="inlineStr">
        <is>
          <t>Hispanic</t>
        </is>
      </c>
      <c r="G9" t="n">
        <v>14.8</v>
      </c>
      <c r="H9" t="n">
        <v>12.5</v>
      </c>
      <c r="I9" t="inlineStr">
        <is>
          <t>8.8*</t>
        </is>
      </c>
      <c r="J9" t="inlineStr">
        <is>
          <t>8.4*</t>
        </is>
      </c>
      <c r="K9" t="inlineStr">
        <is>
          <t>23.7*</t>
        </is>
      </c>
      <c r="L9" t="inlineStr">
        <is>
          <t>20.2*</t>
        </is>
      </c>
      <c r="M9" t="n">
        <v>10.2</v>
      </c>
      <c r="N9" t="n">
        <v>11.4</v>
      </c>
      <c r="O9" t="n">
        <v>13</v>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Race and Ethnicity</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77.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Cardiovascular Hospitalization, Age-Adjusted Rate per 10,000, 2019–2021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t>
        </is>
      </c>
    </row>
    <row r="6" ht="15" customHeight="1" s="99">
      <c r="A6" t="inlineStr">
        <is>
          <t>Multilevel Headers</t>
        </is>
      </c>
      <c r="B6" t="b">
        <v>0</v>
      </c>
      <c r="F6" t="inlineStr">
        <is>
          <t>2019-2021</t>
        </is>
      </c>
      <c r="G6" t="n">
        <v>102.3</v>
      </c>
      <c r="H6" t="n">
        <v>116.1</v>
      </c>
      <c r="I6" t="n">
        <v>76.90000000000001</v>
      </c>
      <c r="J6" t="n">
        <v>81.09999999999999</v>
      </c>
      <c r="K6" t="n">
        <v>129.9</v>
      </c>
      <c r="L6" t="n">
        <v>109.6</v>
      </c>
      <c r="M6" t="n">
        <v>90.90000000000001</v>
      </c>
      <c r="N6" t="n">
        <v>99.3</v>
      </c>
      <c r="O6" t="n">
        <v>111.2</v>
      </c>
    </row>
    <row r="7" ht="15.75" customHeight="1" s="99"/>
    <row r="8">
      <c r="P8" s="14" t="n"/>
    </row>
    <row r="9">
      <c r="A9" s="98" t="inlineStr">
        <is>
          <t>Figure Rules</t>
        </is>
      </c>
    </row>
    <row r="10">
      <c r="A10" t="inlineStr">
        <is>
          <t>Figure Type</t>
        </is>
      </c>
      <c r="B10" t="inlineStr">
        <is>
          <t>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78.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Age-Adjusted Percentage of Adults with Physician Diagnosed High Blood Pressure, 2016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9">
      <c r="A6" t="inlineStr">
        <is>
          <t>Multilevel Headers</t>
        </is>
      </c>
      <c r="B6" t="b">
        <v>0</v>
      </c>
      <c r="F6" t="n">
        <v>2016</v>
      </c>
      <c r="G6" t="n">
        <v>27.5</v>
      </c>
      <c r="H6" t="n">
        <v>30.4</v>
      </c>
      <c r="I6" t="n">
        <v>21.1</v>
      </c>
      <c r="J6" t="n">
        <v>28.1</v>
      </c>
      <c r="K6" t="n">
        <v>31.7</v>
      </c>
      <c r="L6" t="n">
        <v>29.4</v>
      </c>
      <c r="M6" t="n">
        <v>24.2</v>
      </c>
      <c r="N6" t="n">
        <v>26.7</v>
      </c>
      <c r="O6" t="n">
        <v>29.4</v>
      </c>
      <c r="P6" t="n">
        <v>28.9</v>
      </c>
    </row>
    <row r="7" ht="15.75" customHeight="1" s="99">
      <c r="F7" t="n">
        <v>2021</v>
      </c>
      <c r="G7" t="n">
        <v>28.2</v>
      </c>
      <c r="H7" t="n">
        <v>29.1</v>
      </c>
      <c r="I7" t="n">
        <v>27.9</v>
      </c>
      <c r="J7" t="n">
        <v>26</v>
      </c>
      <c r="K7" t="n">
        <v>22.3</v>
      </c>
      <c r="L7" t="n">
        <v>27.8</v>
      </c>
      <c r="M7" t="n">
        <v>22.9</v>
      </c>
      <c r="N7" t="n">
        <v>25.9</v>
      </c>
      <c r="O7" t="n">
        <v>27.6</v>
      </c>
      <c r="P7" t="n">
        <v>27.6</v>
      </c>
    </row>
    <row r="8">
      <c r="P8" s="14" t="n"/>
    </row>
    <row r="9">
      <c r="A9" s="98" t="inlineStr">
        <is>
          <t>Figure Rules</t>
        </is>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79.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Cerebrovascular Disease Hospitalization, Age-Adjusted Rate per 10,000 Population, 2019–2021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row>
    <row r="6" ht="15" customHeight="1" s="99">
      <c r="A6" t="inlineStr">
        <is>
          <t>Multilevel Headers</t>
        </is>
      </c>
      <c r="B6" t="b">
        <v>0</v>
      </c>
      <c r="F6" t="inlineStr">
        <is>
          <t>2019-2021</t>
        </is>
      </c>
      <c r="G6" t="n">
        <v>18.7</v>
      </c>
      <c r="H6" t="n">
        <v>21.9</v>
      </c>
      <c r="I6" t="n">
        <v>14.7</v>
      </c>
      <c r="J6" t="n">
        <v>17.7</v>
      </c>
      <c r="K6" t="n">
        <v>23.6</v>
      </c>
      <c r="L6" t="n">
        <v>19.4</v>
      </c>
      <c r="M6" t="n">
        <v>17.8</v>
      </c>
      <c r="N6" t="n">
        <v>18.7</v>
      </c>
      <c r="O6" t="n">
        <v>19.9</v>
      </c>
    </row>
    <row r="7" ht="15.75" customHeight="1" s="99"/>
    <row r="8">
      <c r="P8" s="14" t="n"/>
    </row>
    <row r="9">
      <c r="A9" s="98" t="inlineStr">
        <is>
          <t>Figure Rules</t>
        </is>
      </c>
    </row>
    <row r="10">
      <c r="A10" t="inlineStr">
        <is>
          <t>Figure Type</t>
        </is>
      </c>
      <c r="B10" t="inlineStr">
        <is>
          <t>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0.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Cerebrovascular Disease Hospitalization, Age-Adjusted Rate per 10,000 Population by Race and 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Non-Hispanic White</t>
        </is>
      </c>
      <c r="G6" t="n">
        <v>15.7</v>
      </c>
      <c r="H6" t="n">
        <v>17.6</v>
      </c>
      <c r="I6" t="n">
        <v>12.8</v>
      </c>
      <c r="J6" t="n">
        <v>12.6</v>
      </c>
      <c r="K6" t="n">
        <v>20.8</v>
      </c>
      <c r="L6" t="n">
        <v>17.3</v>
      </c>
      <c r="M6" t="n">
        <v>11.8</v>
      </c>
      <c r="N6" t="n">
        <v>16.7</v>
      </c>
      <c r="O6" t="n">
        <v>15.4</v>
      </c>
    </row>
    <row r="7" ht="15.75" customHeight="1" s="99">
      <c r="F7" t="inlineStr">
        <is>
          <t>Non-Hispanic Black</t>
        </is>
      </c>
      <c r="G7" t="n">
        <v>12.8</v>
      </c>
      <c r="H7" t="n">
        <v>29.4</v>
      </c>
      <c r="I7" t="inlineStr">
        <is>
          <t>8.0*</t>
        </is>
      </c>
      <c r="J7" t="n">
        <v>21.1</v>
      </c>
      <c r="K7" t="n">
        <v>36.5</v>
      </c>
      <c r="L7" t="n">
        <v>20.4</v>
      </c>
      <c r="M7" t="n">
        <v>27.8</v>
      </c>
      <c r="N7" t="n">
        <v>33.1</v>
      </c>
      <c r="O7" t="n">
        <v>27</v>
      </c>
    </row>
    <row r="8">
      <c r="F8" t="inlineStr">
        <is>
          <t>Asian/Pacific Islander</t>
        </is>
      </c>
      <c r="G8" t="n">
        <v>5</v>
      </c>
      <c r="H8" t="n">
        <v>16</v>
      </c>
      <c r="I8" t="n">
        <v>13.6</v>
      </c>
      <c r="J8" t="n">
        <v>6.9</v>
      </c>
      <c r="K8" t="inlineStr">
        <is>
          <t>14.1*</t>
        </is>
      </c>
      <c r="L8" t="inlineStr">
        <is>
          <t>9.1*</t>
        </is>
      </c>
      <c r="M8" t="n">
        <v>7.7</v>
      </c>
      <c r="N8" t="n">
        <v>11.2</v>
      </c>
      <c r="O8" t="n">
        <v>11.2</v>
      </c>
      <c r="P8" s="14" t="n"/>
    </row>
    <row r="9">
      <c r="A9" s="98" t="inlineStr">
        <is>
          <t>Figure Rules</t>
        </is>
      </c>
      <c r="F9" t="inlineStr">
        <is>
          <t>Hispanic</t>
        </is>
      </c>
      <c r="G9" t="n">
        <v>9.1</v>
      </c>
      <c r="H9" t="n">
        <v>15.4</v>
      </c>
      <c r="I9" t="n">
        <v>11</v>
      </c>
      <c r="J9" t="n">
        <v>15.1</v>
      </c>
      <c r="K9" t="n">
        <v>12.8</v>
      </c>
      <c r="L9" t="n">
        <v>11.2</v>
      </c>
      <c r="M9" t="n">
        <v>10.5</v>
      </c>
      <c r="N9" t="n">
        <v>15.4</v>
      </c>
      <c r="O9" t="n">
        <v>16.4</v>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Race and Ethnicity</t>
        </is>
      </c>
      <c r="F13" s="47" t="n"/>
      <c r="G13" s="47" t="n"/>
      <c r="H13" s="47" t="n"/>
      <c r="I13" s="46" t="n"/>
      <c r="J13" s="46" t="n"/>
      <c r="K13" s="46" t="n"/>
      <c r="L13" s="46" t="n"/>
      <c r="M13" s="46" t="n"/>
      <c r="N13" s="46" t="n"/>
      <c r="O13" s="46" t="n"/>
    </row>
    <row r="14">
      <c r="A14" t="inlineStr">
        <is>
          <t>Y Axis Title</t>
        </is>
      </c>
      <c r="B14" t="inlineStr">
        <is>
          <t>Rate per 10,000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81.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 xml:space="preserve">Cerebrovascular Disease Mortality, Age-Adjusted Rate per 100,000 Population, 2018–2021 </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s="101" t="inlineStr">
        <is>
          <t>Three Year Average</t>
        </is>
      </c>
      <c r="N5" s="101" t="inlineStr">
        <is>
          <t>Single Year</t>
        </is>
      </c>
    </row>
    <row r="6" ht="15" customHeight="1" s="99">
      <c r="A6" t="inlineStr">
        <is>
          <t>Multilevel Headers</t>
        </is>
      </c>
      <c r="B6" t="b">
        <v>1</v>
      </c>
      <c r="F6" s="82" t="inlineStr">
        <is>
          <t>Year</t>
        </is>
      </c>
      <c r="G6" t="inlineStr">
        <is>
          <t>Dutchess</t>
        </is>
      </c>
      <c r="H6" t="inlineStr">
        <is>
          <t>Orange</t>
        </is>
      </c>
      <c r="I6" t="inlineStr">
        <is>
          <t>Putnam</t>
        </is>
      </c>
      <c r="J6" t="inlineStr">
        <is>
          <t>Rockland</t>
        </is>
      </c>
      <c r="K6" t="inlineStr">
        <is>
          <t>Sullivan</t>
        </is>
      </c>
      <c r="L6" t="inlineStr">
        <is>
          <t>Ulster</t>
        </is>
      </c>
      <c r="M6" t="inlineStr">
        <is>
          <t>Westchester</t>
        </is>
      </c>
      <c r="N6" t="inlineStr">
        <is>
          <t>NYS excl NYC</t>
        </is>
      </c>
      <c r="O6" t="inlineStr">
        <is>
          <t>NYS</t>
        </is>
      </c>
    </row>
    <row r="7" ht="15.75" customHeight="1" s="99">
      <c r="F7" t="n">
        <v>2018</v>
      </c>
      <c r="G7" t="n">
        <v>22.8</v>
      </c>
      <c r="H7" t="n">
        <v>25</v>
      </c>
      <c r="I7" t="n">
        <v>20.1</v>
      </c>
      <c r="J7" t="n">
        <v>24.3</v>
      </c>
      <c r="K7" t="n">
        <v>26.2</v>
      </c>
      <c r="L7" t="n">
        <v>26.1</v>
      </c>
      <c r="M7" t="n">
        <v>21.6</v>
      </c>
      <c r="N7" t="n">
        <v>27.3</v>
      </c>
      <c r="O7" t="n">
        <v>24.1</v>
      </c>
    </row>
    <row r="8">
      <c r="F8" t="n">
        <v>2019</v>
      </c>
      <c r="G8" t="n">
        <v>22.1</v>
      </c>
      <c r="H8" t="n">
        <v>25.7</v>
      </c>
      <c r="I8" t="n">
        <v>19.4</v>
      </c>
      <c r="J8" t="n">
        <v>22.1</v>
      </c>
      <c r="K8" t="n">
        <v>24.9</v>
      </c>
      <c r="L8" t="n">
        <v>24.2</v>
      </c>
      <c r="M8" t="n">
        <v>21.6</v>
      </c>
      <c r="N8" t="n">
        <v>27</v>
      </c>
      <c r="O8" t="n">
        <v>23.9</v>
      </c>
      <c r="P8" s="14" t="n"/>
    </row>
    <row r="9">
      <c r="A9" s="98" t="inlineStr">
        <is>
          <t>Figure Rules</t>
        </is>
      </c>
      <c r="F9" t="n">
        <v>2020</v>
      </c>
      <c r="G9" t="n">
        <v>22.7</v>
      </c>
      <c r="H9" t="n">
        <v>25.1</v>
      </c>
      <c r="I9" t="n">
        <v>21.3</v>
      </c>
      <c r="J9" t="n">
        <v>24.3</v>
      </c>
      <c r="K9" t="n">
        <v>23.6</v>
      </c>
      <c r="L9" t="n">
        <v>25.1</v>
      </c>
      <c r="M9" t="n">
        <v>20.8</v>
      </c>
      <c r="N9" t="n">
        <v>26.7</v>
      </c>
      <c r="O9" t="n">
        <v>25.1</v>
      </c>
    </row>
    <row r="10">
      <c r="A10" t="inlineStr">
        <is>
          <t>Figure Type</t>
        </is>
      </c>
      <c r="B10" t="inlineStr">
        <is>
          <t>Line</t>
        </is>
      </c>
      <c r="F10" t="n">
        <v>2021</v>
      </c>
      <c r="G10" t="n">
        <v>21.8</v>
      </c>
      <c r="H10" t="n">
        <v>26</v>
      </c>
      <c r="I10" t="n">
        <v>21.4</v>
      </c>
      <c r="J10" t="n">
        <v>23.1</v>
      </c>
      <c r="K10" t="n">
        <v>23.5</v>
      </c>
      <c r="L10" t="n">
        <v>25.3</v>
      </c>
      <c r="M10" t="n">
        <v>22.2</v>
      </c>
      <c r="N10" t="n">
        <v>28.7</v>
      </c>
      <c r="O10" t="n">
        <v>25.7</v>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2.xml><?xml version="1.0" encoding="utf-8"?>
<worksheet xmlns="http://schemas.openxmlformats.org/spreadsheetml/2006/main">
  <sheetPr>
    <outlinePr summaryBelow="1" summaryRight="1"/>
    <pageSetUpPr/>
  </sheetPr>
  <dimension ref="A1:P57"/>
  <sheetViews>
    <sheetView workbookViewId="0">
      <selection activeCell="M26" sqref="M26"/>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Cerebrovascular Disease Mortality, Age-Adjusted Rate per 100,000 Population by Race and 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s="101" t="inlineStr">
        <is>
          <t>Three Year Average</t>
        </is>
      </c>
      <c r="N5" s="101" t="inlineStr">
        <is>
          <t>Single Year</t>
        </is>
      </c>
    </row>
    <row r="6" ht="15" customHeight="1" s="99">
      <c r="A6" t="inlineStr">
        <is>
          <t>Multilevel Headers</t>
        </is>
      </c>
      <c r="B6" t="b">
        <v>1</v>
      </c>
      <c r="F6" s="82" t="inlineStr">
        <is>
          <t>Year</t>
        </is>
      </c>
      <c r="G6" t="inlineStr">
        <is>
          <t>Dutchess</t>
        </is>
      </c>
      <c r="H6" t="inlineStr">
        <is>
          <t>Orange</t>
        </is>
      </c>
      <c r="I6" t="inlineStr">
        <is>
          <t>Putnam</t>
        </is>
      </c>
      <c r="J6" t="inlineStr">
        <is>
          <t>Rockland</t>
        </is>
      </c>
      <c r="K6" t="inlineStr">
        <is>
          <t>Sullivan</t>
        </is>
      </c>
      <c r="L6" t="inlineStr">
        <is>
          <t>Ulster</t>
        </is>
      </c>
      <c r="M6" t="inlineStr">
        <is>
          <t>Westchester</t>
        </is>
      </c>
      <c r="N6" t="inlineStr">
        <is>
          <t>NYS excl NYC</t>
        </is>
      </c>
      <c r="O6" t="inlineStr">
        <is>
          <t>NYS</t>
        </is>
      </c>
    </row>
    <row r="7" ht="15.75" customHeight="1" s="99">
      <c r="F7" t="n">
        <v>2018</v>
      </c>
      <c r="G7" t="n">
        <v>22.8</v>
      </c>
      <c r="H7" t="n">
        <v>25</v>
      </c>
      <c r="I7" t="n">
        <v>20.1</v>
      </c>
      <c r="J7" t="n">
        <v>24.3</v>
      </c>
      <c r="K7" t="n">
        <v>26.2</v>
      </c>
      <c r="L7" t="n">
        <v>26.1</v>
      </c>
      <c r="M7" t="n">
        <v>21.6</v>
      </c>
      <c r="N7" t="n">
        <v>27.3</v>
      </c>
      <c r="O7" t="n">
        <v>24.1</v>
      </c>
    </row>
    <row r="8">
      <c r="F8" t="n">
        <v>2019</v>
      </c>
      <c r="G8" t="n">
        <v>22.1</v>
      </c>
      <c r="H8" t="n">
        <v>25.7</v>
      </c>
      <c r="I8" t="n">
        <v>19.4</v>
      </c>
      <c r="J8" t="n">
        <v>22.1</v>
      </c>
      <c r="K8" t="n">
        <v>24.9</v>
      </c>
      <c r="L8" t="n">
        <v>24.2</v>
      </c>
      <c r="M8" t="n">
        <v>21.6</v>
      </c>
      <c r="N8" t="n">
        <v>27</v>
      </c>
      <c r="O8" t="n">
        <v>23.9</v>
      </c>
      <c r="P8" s="14" t="n"/>
    </row>
    <row r="9">
      <c r="A9" s="98" t="inlineStr">
        <is>
          <t>Figure Rules</t>
        </is>
      </c>
      <c r="F9" t="n">
        <v>2020</v>
      </c>
      <c r="G9" t="n">
        <v>22.7</v>
      </c>
      <c r="H9" t="n">
        <v>25.1</v>
      </c>
      <c r="I9" t="n">
        <v>21.3</v>
      </c>
      <c r="J9" t="n">
        <v>24.3</v>
      </c>
      <c r="K9" t="n">
        <v>23.6</v>
      </c>
      <c r="L9" t="n">
        <v>25.1</v>
      </c>
      <c r="M9" t="n">
        <v>20.8</v>
      </c>
      <c r="N9" t="n">
        <v>26.7</v>
      </c>
      <c r="O9" t="n">
        <v>25.1</v>
      </c>
    </row>
    <row r="10">
      <c r="A10" t="inlineStr">
        <is>
          <t>Figure Type</t>
        </is>
      </c>
      <c r="B10" t="inlineStr">
        <is>
          <t>Line</t>
        </is>
      </c>
      <c r="F10" t="n">
        <v>2021</v>
      </c>
      <c r="G10" t="n">
        <v>21.8</v>
      </c>
      <c r="H10" t="n">
        <v>26</v>
      </c>
      <c r="I10" t="n">
        <v>21.4</v>
      </c>
      <c r="J10" t="n">
        <v>23.1</v>
      </c>
      <c r="K10" t="n">
        <v>23.5</v>
      </c>
      <c r="L10" t="n">
        <v>25.3</v>
      </c>
      <c r="M10" t="n">
        <v>22.2</v>
      </c>
      <c r="N10" t="n">
        <v>28.7</v>
      </c>
      <c r="O10" t="n">
        <v>25.7</v>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N5:O5"/>
    <mergeCell ref="A5:B5"/>
    <mergeCell ref="A18:B18"/>
    <mergeCell ref="A9:B9"/>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83.xml><?xml version="1.0" encoding="utf-8"?>
<worksheet xmlns="http://schemas.openxmlformats.org/spreadsheetml/2006/main">
  <sheetPr>
    <outlinePr summaryBelow="1" summaryRight="1"/>
    <pageSetUpPr/>
  </sheetPr>
  <dimension ref="A1:P57"/>
  <sheetViews>
    <sheetView workbookViewId="0">
      <selection activeCell="O35" sqref="O35"/>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Population that Speaks English "Less Than Very Well", 5 Years and Older, 2021–2023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n">
        <v>2021</v>
      </c>
      <c r="G6" t="n">
        <v>4.7</v>
      </c>
      <c r="H6" t="n">
        <v>10.6</v>
      </c>
      <c r="I6" t="n">
        <v>5.3</v>
      </c>
      <c r="J6" t="n">
        <v>18.6</v>
      </c>
      <c r="K6" t="n">
        <v>5.9</v>
      </c>
      <c r="L6" t="n">
        <v>2.9</v>
      </c>
      <c r="M6" t="n">
        <v>12.7</v>
      </c>
      <c r="N6" t="n">
        <v>13.1</v>
      </c>
    </row>
    <row r="7" ht="15.75" customHeight="1" s="99">
      <c r="F7" t="n">
        <v>2022</v>
      </c>
      <c r="G7" t="n">
        <v>4.8</v>
      </c>
      <c r="H7" t="n">
        <v>11.3</v>
      </c>
      <c r="I7" t="n">
        <v>5.6</v>
      </c>
      <c r="J7" t="n">
        <v>18.8</v>
      </c>
      <c r="K7" t="n">
        <v>7.3</v>
      </c>
      <c r="L7" t="n">
        <v>3</v>
      </c>
      <c r="M7" t="n">
        <v>12.2</v>
      </c>
      <c r="N7" t="n">
        <v>13.1</v>
      </c>
    </row>
    <row r="8">
      <c r="F8" t="n">
        <v>2023</v>
      </c>
      <c r="G8" t="n">
        <v>5.4</v>
      </c>
      <c r="H8" t="n">
        <v>12.2</v>
      </c>
      <c r="I8" t="n">
        <v>6</v>
      </c>
      <c r="J8" t="n">
        <v>20</v>
      </c>
      <c r="K8" t="n">
        <v>8</v>
      </c>
      <c r="L8" t="n">
        <v>3.4</v>
      </c>
      <c r="M8" t="n">
        <v>12.4</v>
      </c>
      <c r="N8" t="n">
        <v>13.3</v>
      </c>
      <c r="P8" s="14" t="n"/>
    </row>
    <row r="9">
      <c r="A9" s="98" t="inlineStr">
        <is>
          <t>Figure Rules</t>
        </is>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84.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Heart Attack, Age-Adjusted Hospitalization Rate per 10,000 population,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9">
      <c r="A6" t="inlineStr">
        <is>
          <t>Multilevel Headers</t>
        </is>
      </c>
      <c r="B6" t="b">
        <v>0</v>
      </c>
      <c r="F6" t="n">
        <v>2021</v>
      </c>
      <c r="G6" t="n">
        <v>10.9</v>
      </c>
      <c r="H6" t="n">
        <v>14.4</v>
      </c>
      <c r="I6" t="n">
        <v>7.9</v>
      </c>
      <c r="J6" t="n">
        <v>8.6</v>
      </c>
      <c r="K6" t="n">
        <v>20</v>
      </c>
      <c r="L6" t="n">
        <v>12</v>
      </c>
      <c r="M6" t="n">
        <v>8.699999999999999</v>
      </c>
      <c r="N6" t="n">
        <v>10.4</v>
      </c>
      <c r="O6" t="n">
        <v>12</v>
      </c>
      <c r="P6" t="n">
        <v>10.9</v>
      </c>
    </row>
    <row r="7" ht="15.75" customHeight="1" s="99"/>
    <row r="8">
      <c r="P8" s="14" t="n"/>
    </row>
    <row r="9">
      <c r="A9" s="98" t="inlineStr">
        <is>
          <t>Figure Rules</t>
        </is>
      </c>
    </row>
    <row r="10">
      <c r="A10" t="inlineStr">
        <is>
          <t>Figure Type</t>
        </is>
      </c>
      <c r="B10" t="inlineStr">
        <is>
          <t>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5.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Diabetes Hospitalization, Age-Adjusted Rate per 10,000 by Race and 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Non-Hispanic White</t>
        </is>
      </c>
      <c r="G6" t="n">
        <v>140.6</v>
      </c>
      <c r="H6" t="n">
        <v>157.2</v>
      </c>
      <c r="I6" t="n">
        <v>105.3</v>
      </c>
      <c r="J6" t="n">
        <v>113.7</v>
      </c>
      <c r="K6" t="n">
        <v>188.1</v>
      </c>
      <c r="L6" t="n">
        <v>149.7</v>
      </c>
      <c r="M6" t="n">
        <v>87.59999999999999</v>
      </c>
      <c r="N6" t="n">
        <v>145.5</v>
      </c>
      <c r="O6" t="n">
        <v>136.3</v>
      </c>
    </row>
    <row r="7" ht="15.75" customHeight="1" s="99">
      <c r="F7" t="inlineStr">
        <is>
          <t>Non-Hispanic Black</t>
        </is>
      </c>
      <c r="G7" t="n">
        <v>122.9</v>
      </c>
      <c r="H7" t="n">
        <v>298.3</v>
      </c>
      <c r="I7" t="n">
        <v>67.8</v>
      </c>
      <c r="J7" t="n">
        <v>251.3</v>
      </c>
      <c r="K7" t="n">
        <v>372.4</v>
      </c>
      <c r="L7" t="n">
        <v>251.8</v>
      </c>
      <c r="M7" t="n">
        <v>272.2</v>
      </c>
      <c r="N7" t="n">
        <v>334.5</v>
      </c>
      <c r="O7" t="n">
        <v>295.3</v>
      </c>
    </row>
    <row r="8">
      <c r="F8" t="inlineStr">
        <is>
          <t>Asian/Pacific Islander</t>
        </is>
      </c>
      <c r="G8" t="n">
        <v>59.5</v>
      </c>
      <c r="H8" t="n">
        <v>91.09999999999999</v>
      </c>
      <c r="I8" t="n">
        <v>49.4</v>
      </c>
      <c r="J8" t="n">
        <v>87.3</v>
      </c>
      <c r="K8" t="n">
        <v>93.59999999999999</v>
      </c>
      <c r="L8" t="n">
        <v>79.7</v>
      </c>
      <c r="M8" t="n">
        <v>66.5</v>
      </c>
      <c r="N8" t="n">
        <v>112</v>
      </c>
      <c r="O8" t="n">
        <v>110.2</v>
      </c>
      <c r="P8" s="14" t="n"/>
    </row>
    <row r="9">
      <c r="A9" s="98" t="inlineStr">
        <is>
          <t>Figure Rules</t>
        </is>
      </c>
      <c r="F9" t="inlineStr">
        <is>
          <t>Hispanic</t>
        </is>
      </c>
      <c r="G9" t="n">
        <v>127.6</v>
      </c>
      <c r="H9" t="n">
        <v>185.6</v>
      </c>
      <c r="I9" t="n">
        <v>87.2</v>
      </c>
      <c r="J9" t="n">
        <v>176.8</v>
      </c>
      <c r="K9" t="n">
        <v>207.2</v>
      </c>
      <c r="L9" t="n">
        <v>172.9</v>
      </c>
      <c r="M9" t="n">
        <v>118.6</v>
      </c>
      <c r="N9" t="n">
        <v>183.9</v>
      </c>
      <c r="O9" t="n">
        <v>233.8</v>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Race and Ethnicity</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86.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Adults with Physician Diagnosed Prediabetes and Diabetes,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t="inlineStr">
        <is>
          <t>Condition</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9">
      <c r="A6" t="inlineStr">
        <is>
          <t>Multilevel Headers</t>
        </is>
      </c>
      <c r="B6" t="b">
        <v>0</v>
      </c>
      <c r="F6" t="inlineStr">
        <is>
          <t>Prediabetes</t>
        </is>
      </c>
      <c r="G6" t="n">
        <v>12.7</v>
      </c>
      <c r="H6" t="n">
        <v>12.4</v>
      </c>
      <c r="I6" t="n">
        <v>6.7</v>
      </c>
      <c r="J6" t="n">
        <v>12.6</v>
      </c>
      <c r="K6" t="n">
        <v>13.3</v>
      </c>
      <c r="L6" t="n">
        <v>6</v>
      </c>
      <c r="M6" t="n">
        <v>10.7</v>
      </c>
      <c r="N6" t="n">
        <v>10.6</v>
      </c>
      <c r="O6" t="n">
        <v>10.1</v>
      </c>
      <c r="P6" t="n">
        <v>11.4</v>
      </c>
    </row>
    <row r="7" ht="15.75" customHeight="1" s="99">
      <c r="F7" t="inlineStr">
        <is>
          <t>Diabetes</t>
        </is>
      </c>
      <c r="G7" t="n">
        <v>9.1</v>
      </c>
      <c r="H7" t="n">
        <v>7.3</v>
      </c>
      <c r="I7" t="n">
        <v>4.7</v>
      </c>
      <c r="J7" t="n">
        <v>9.4</v>
      </c>
      <c r="K7" t="n">
        <v>7.9</v>
      </c>
      <c r="L7" t="n">
        <v>11.4</v>
      </c>
      <c r="M7" t="n">
        <v>8.6</v>
      </c>
      <c r="N7" t="n">
        <v>9</v>
      </c>
      <c r="O7" t="n">
        <v>9.4</v>
      </c>
      <c r="P7" t="n">
        <v>10.2</v>
      </c>
    </row>
    <row r="8">
      <c r="P8" s="14" t="n"/>
    </row>
    <row r="9">
      <c r="A9" s="98" t="inlineStr">
        <is>
          <t>Figure Rules</t>
        </is>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Condition</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7.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Adults with Physician Diagnosed Prediabetes and Diabetes,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n">
        <v>2021</v>
      </c>
      <c r="G6" t="n">
        <v>168.5</v>
      </c>
      <c r="H6" t="n">
        <v>195.4</v>
      </c>
      <c r="I6" t="n">
        <v>115.1</v>
      </c>
      <c r="J6" t="n">
        <v>158.1</v>
      </c>
      <c r="K6" t="n">
        <v>213.3</v>
      </c>
      <c r="L6" t="n">
        <v>170.5</v>
      </c>
      <c r="M6" t="n">
        <v>157.3</v>
      </c>
      <c r="N6" t="n">
        <v>165.5</v>
      </c>
      <c r="O6" t="n">
        <v>176.6</v>
      </c>
    </row>
    <row r="7" ht="15.75" customHeight="1" s="99"/>
    <row r="8">
      <c r="P8" s="14" t="n"/>
    </row>
    <row r="9">
      <c r="A9" s="98" t="inlineStr">
        <is>
          <t>Figure Rules</t>
        </is>
      </c>
    </row>
    <row r="10">
      <c r="A10" t="inlineStr">
        <is>
          <t>Figure Type</t>
        </is>
      </c>
      <c r="B10" t="inlineStr">
        <is>
          <t>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88.xml><?xml version="1.0" encoding="utf-8"?>
<worksheet xmlns="http://schemas.openxmlformats.org/spreadsheetml/2006/main">
  <sheetPr>
    <outlinePr summaryBelow="1" summaryRight="1"/>
    <pageSetUpPr/>
  </sheetPr>
  <dimension ref="A1:P57"/>
  <sheetViews>
    <sheetView topLeftCell="M15" workbookViewId="0">
      <selection activeCell="N29" sqref="N29"/>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Adults Who Had a Test for High Blood Sugar or Diabetes Within the Past Three Years, 2013–2014, 2016, 2018,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9">
      <c r="A6" t="inlineStr">
        <is>
          <t>Multilevel Headers</t>
        </is>
      </c>
      <c r="B6" t="b">
        <v>0</v>
      </c>
      <c r="F6" t="inlineStr">
        <is>
          <t>2013-2014</t>
        </is>
      </c>
      <c r="G6" t="n">
        <v>56.4</v>
      </c>
      <c r="H6" t="n">
        <v>57.7</v>
      </c>
      <c r="I6" t="n">
        <v>59.3</v>
      </c>
      <c r="J6" t="n">
        <v>59.5</v>
      </c>
      <c r="K6" t="n">
        <v>55.5</v>
      </c>
      <c r="L6" t="n">
        <v>51.8</v>
      </c>
      <c r="M6" t="n">
        <v>57.8</v>
      </c>
      <c r="N6" t="n">
        <v>57.4</v>
      </c>
      <c r="O6" t="n">
        <v>57.2</v>
      </c>
      <c r="P6" t="n">
        <v>59.1</v>
      </c>
    </row>
    <row r="7" ht="15.75" customHeight="1" s="99">
      <c r="F7" t="n">
        <v>2016</v>
      </c>
      <c r="G7" t="n">
        <v>60.8</v>
      </c>
      <c r="H7" t="n">
        <v>59.5</v>
      </c>
      <c r="I7" t="n">
        <v>55.9</v>
      </c>
      <c r="J7" t="n">
        <v>57.9</v>
      </c>
      <c r="K7" t="n">
        <v>61.8</v>
      </c>
      <c r="L7" t="n">
        <v>55.3</v>
      </c>
      <c r="M7" t="n">
        <v>55.2</v>
      </c>
      <c r="N7" t="n">
        <v>57.4</v>
      </c>
      <c r="O7" t="n">
        <v>56.8</v>
      </c>
      <c r="P7" t="n">
        <v>57.9</v>
      </c>
    </row>
    <row r="8">
      <c r="F8" t="n">
        <v>2018</v>
      </c>
      <c r="G8" t="n">
        <v>48.1</v>
      </c>
      <c r="H8" t="n">
        <v>50.7</v>
      </c>
      <c r="I8" t="n">
        <v>50</v>
      </c>
      <c r="J8" t="n">
        <v>53.2</v>
      </c>
      <c r="K8" t="n">
        <v>55.6</v>
      </c>
      <c r="L8" t="n">
        <v>45.4</v>
      </c>
      <c r="M8" t="n">
        <v>51.1</v>
      </c>
      <c r="N8" t="n">
        <v>50.2</v>
      </c>
      <c r="O8" t="n">
        <v>48</v>
      </c>
      <c r="P8" s="14" t="n">
        <v>51</v>
      </c>
    </row>
    <row r="9">
      <c r="A9" s="98" t="inlineStr">
        <is>
          <t>Figure Rules</t>
        </is>
      </c>
      <c r="F9" t="n">
        <v>2021</v>
      </c>
      <c r="G9" t="n">
        <v>47.7</v>
      </c>
      <c r="H9" t="n">
        <v>55.3</v>
      </c>
      <c r="I9" t="n">
        <v>57.7</v>
      </c>
      <c r="J9" t="n">
        <v>45.4</v>
      </c>
      <c r="K9" t="n">
        <v>53.9</v>
      </c>
      <c r="L9" t="n">
        <v>47</v>
      </c>
      <c r="M9" t="n">
        <v>51.3</v>
      </c>
      <c r="N9" t="n">
        <v>49.7</v>
      </c>
      <c r="O9" t="n">
        <v>49.2</v>
      </c>
      <c r="P9" t="n">
        <v>50.2</v>
      </c>
    </row>
    <row r="10">
      <c r="A10" t="inlineStr">
        <is>
          <t>Figure Type</t>
        </is>
      </c>
      <c r="B10" t="inlineStr">
        <is>
          <t>Line</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89.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Diabetes Mortality, Age-Adjusted Rate per 100,000 Population, 2018–2021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n">
        <v>2018</v>
      </c>
      <c r="G6" t="n">
        <v>13.4</v>
      </c>
      <c r="H6" t="n">
        <v>16.2</v>
      </c>
      <c r="I6" t="n">
        <v>9.199999999999999</v>
      </c>
      <c r="J6" t="n">
        <v>12.4</v>
      </c>
      <c r="K6" t="n">
        <v>21.6</v>
      </c>
      <c r="L6" t="n">
        <v>15</v>
      </c>
      <c r="M6" t="n">
        <v>11.2</v>
      </c>
      <c r="N6" t="n">
        <v>16.6</v>
      </c>
      <c r="O6" t="n">
        <v>18</v>
      </c>
    </row>
    <row r="7" ht="15.75" customHeight="1" s="99">
      <c r="F7" t="n">
        <v>2019</v>
      </c>
      <c r="G7" t="n">
        <v>13.9</v>
      </c>
      <c r="H7" t="n">
        <v>17.4</v>
      </c>
      <c r="I7" t="n">
        <v>13.9</v>
      </c>
      <c r="J7" t="n">
        <v>13.1</v>
      </c>
      <c r="K7" t="n">
        <v>20.9</v>
      </c>
      <c r="L7" t="n">
        <v>15.7</v>
      </c>
      <c r="M7" t="n">
        <v>13.2</v>
      </c>
      <c r="N7" t="inlineStr">
        <is>
          <t>N/A</t>
        </is>
      </c>
      <c r="O7" t="n">
        <v>18.1</v>
      </c>
    </row>
    <row r="8">
      <c r="F8" t="n">
        <v>2020</v>
      </c>
      <c r="G8" t="n">
        <v>13.9</v>
      </c>
      <c r="H8" t="n">
        <v>17.9</v>
      </c>
      <c r="I8" t="n">
        <v>17.2</v>
      </c>
      <c r="J8" t="n">
        <v>13</v>
      </c>
      <c r="K8" t="n">
        <v>23.3</v>
      </c>
      <c r="L8" t="n">
        <v>16</v>
      </c>
      <c r="M8" t="n">
        <v>13.6</v>
      </c>
      <c r="N8" t="inlineStr">
        <is>
          <t>N/A</t>
        </is>
      </c>
      <c r="O8" t="n">
        <v>21.6</v>
      </c>
      <c r="P8" s="14" t="n"/>
    </row>
    <row r="9">
      <c r="A9" s="98" t="inlineStr">
        <is>
          <t>Figure Rules</t>
        </is>
      </c>
      <c r="F9" t="n">
        <v>2021</v>
      </c>
      <c r="G9" t="n">
        <v>14</v>
      </c>
      <c r="H9" t="n">
        <v>18.4</v>
      </c>
      <c r="I9" t="n">
        <v>18.6</v>
      </c>
      <c r="J9" t="n">
        <v>15.2</v>
      </c>
      <c r="K9" t="n">
        <v>25.5</v>
      </c>
      <c r="L9" t="n">
        <v>15.9</v>
      </c>
      <c r="M9" t="n">
        <v>13.5</v>
      </c>
      <c r="N9" t="n">
        <v>19.9</v>
      </c>
      <c r="O9" t="n">
        <v>18.7</v>
      </c>
    </row>
    <row r="10">
      <c r="A10" t="inlineStr">
        <is>
          <t>Figure Type</t>
        </is>
      </c>
      <c r="B10" t="inlineStr">
        <is>
          <t>Line</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s="82" t="inlineStr">
        <is>
          <t>Year</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90.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Diabetes Mortality, Age-Adjusted per 100,000 Population by Race and 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Non-Hispanic White</t>
        </is>
      </c>
      <c r="G6" t="n">
        <v>12</v>
      </c>
      <c r="H6" t="n">
        <v>16.6</v>
      </c>
      <c r="I6" t="n">
        <v>18.6</v>
      </c>
      <c r="J6" t="n">
        <v>11.6</v>
      </c>
      <c r="K6" t="n">
        <v>23.7</v>
      </c>
      <c r="L6" t="n">
        <v>14.9</v>
      </c>
      <c r="M6" t="n">
        <v>9.800000000000001</v>
      </c>
      <c r="N6" t="n">
        <v>18.5</v>
      </c>
      <c r="O6" t="n">
        <v>16.7</v>
      </c>
    </row>
    <row r="7" ht="15.75" customHeight="1" s="99">
      <c r="F7" t="inlineStr">
        <is>
          <t>Non-Hispanic Black</t>
        </is>
      </c>
      <c r="G7" t="n">
        <v>40.8</v>
      </c>
      <c r="H7" t="n">
        <v>33.3</v>
      </c>
      <c r="I7" t="inlineStr">
        <is>
          <t>18*</t>
        </is>
      </c>
      <c r="J7" t="n">
        <v>29.4</v>
      </c>
      <c r="K7" t="n">
        <v>74.8</v>
      </c>
      <c r="L7" t="inlineStr">
        <is>
          <t>28*</t>
        </is>
      </c>
      <c r="M7" t="n">
        <v>30.7</v>
      </c>
      <c r="N7" t="n">
        <v>38.7</v>
      </c>
      <c r="O7" t="n">
        <v>33.6</v>
      </c>
    </row>
    <row r="8">
      <c r="F8" t="inlineStr">
        <is>
          <t>Asian/Pacific Islander</t>
        </is>
      </c>
      <c r="G8" t="inlineStr">
        <is>
          <t>4.9*</t>
        </is>
      </c>
      <c r="H8" t="inlineStr">
        <is>
          <t>6.8*</t>
        </is>
      </c>
      <c r="I8" t="inlineStr">
        <is>
          <t>13.4*</t>
        </is>
      </c>
      <c r="J8" t="n">
        <v>17.8</v>
      </c>
      <c r="K8" t="inlineStr">
        <is>
          <t>47.3*</t>
        </is>
      </c>
      <c r="L8" t="inlineStr">
        <is>
          <t>34.1*</t>
        </is>
      </c>
      <c r="M8" t="n">
        <v>8.199999999999999</v>
      </c>
      <c r="N8" t="n">
        <v>16.5</v>
      </c>
      <c r="O8" t="n">
        <v>13.7</v>
      </c>
      <c r="P8" s="14" t="n"/>
    </row>
    <row r="9">
      <c r="A9" s="98" t="inlineStr">
        <is>
          <t>Figure Rules</t>
        </is>
      </c>
      <c r="F9" t="inlineStr">
        <is>
          <t>Hispanic</t>
        </is>
      </c>
      <c r="G9" t="n">
        <v>4</v>
      </c>
      <c r="H9" t="n">
        <v>25.6</v>
      </c>
      <c r="I9" t="inlineStr">
        <is>
          <t>20.7*</t>
        </is>
      </c>
      <c r="J9" t="n">
        <v>11.8</v>
      </c>
      <c r="K9" t="inlineStr">
        <is>
          <t>16.3*</t>
        </is>
      </c>
      <c r="L9" t="inlineStr">
        <is>
          <t>16.3*</t>
        </is>
      </c>
      <c r="M9" t="n">
        <v>16.5</v>
      </c>
      <c r="N9" t="n">
        <v>17.6</v>
      </c>
      <c r="O9" t="n">
        <v>19.4</v>
      </c>
    </row>
    <row r="10">
      <c r="A10" t="inlineStr">
        <is>
          <t>Figure Type</t>
        </is>
      </c>
      <c r="B10" t="inlineStr">
        <is>
          <t>Line</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Race and Ethnicity</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1.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Adults Overweight or Obese, 2013–2014, 2016, 2018,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2013–2014</t>
        </is>
      </c>
      <c r="G6" t="n">
        <v>63.7</v>
      </c>
      <c r="H6" t="n">
        <v>67.59999999999999</v>
      </c>
      <c r="I6" t="n">
        <v>59</v>
      </c>
      <c r="J6" t="n">
        <v>64.2</v>
      </c>
      <c r="K6" t="n">
        <v>63</v>
      </c>
      <c r="L6" t="n">
        <v>59.9</v>
      </c>
      <c r="M6" t="n">
        <v>58.2</v>
      </c>
      <c r="N6" t="n">
        <v>62.3</v>
      </c>
      <c r="O6" t="n">
        <v>62.3</v>
      </c>
    </row>
    <row r="7" ht="15.75" customHeight="1" s="99">
      <c r="F7" t="n">
        <v>2016</v>
      </c>
      <c r="G7" t="n">
        <v>61.2</v>
      </c>
      <c r="H7" t="n">
        <v>69.59999999999999</v>
      </c>
      <c r="I7" t="n">
        <v>52.5</v>
      </c>
      <c r="J7" t="n">
        <v>55.6</v>
      </c>
      <c r="K7" t="n">
        <v>64.59999999999999</v>
      </c>
      <c r="L7" t="n">
        <v>64.40000000000001</v>
      </c>
      <c r="M7" t="n">
        <v>56.2</v>
      </c>
      <c r="N7" t="n">
        <v>63.6</v>
      </c>
      <c r="O7" t="n">
        <v>63.6</v>
      </c>
    </row>
    <row r="8">
      <c r="F8" t="n">
        <v>2018</v>
      </c>
      <c r="G8" t="n">
        <v>61.6</v>
      </c>
      <c r="H8" t="n">
        <v>64.7</v>
      </c>
      <c r="I8" t="n">
        <v>63.7</v>
      </c>
      <c r="J8" t="n">
        <v>59.4</v>
      </c>
      <c r="K8" t="n">
        <v>69.90000000000001</v>
      </c>
      <c r="L8" t="n">
        <v>63.2</v>
      </c>
      <c r="M8" t="n">
        <v>59.7</v>
      </c>
      <c r="N8" t="n">
        <v>64.40000000000001</v>
      </c>
      <c r="O8" t="n">
        <v>64.40000000000001</v>
      </c>
      <c r="P8" s="14" t="n"/>
    </row>
    <row r="9">
      <c r="A9" s="98" t="inlineStr">
        <is>
          <t>Figure Rules</t>
        </is>
      </c>
      <c r="F9" t="n">
        <v>2021</v>
      </c>
      <c r="G9" t="n">
        <v>67.09999999999999</v>
      </c>
      <c r="H9" t="n">
        <v>75.09999999999999</v>
      </c>
      <c r="I9" t="n">
        <v>65.09999999999999</v>
      </c>
      <c r="J9" t="n">
        <v>62.5</v>
      </c>
      <c r="K9" t="n">
        <v>64.90000000000001</v>
      </c>
      <c r="L9" t="n">
        <v>62.5</v>
      </c>
      <c r="M9" t="n">
        <v>59.4</v>
      </c>
      <c r="N9" t="n">
        <v>66.7</v>
      </c>
      <c r="O9" t="n">
        <v>66.7</v>
      </c>
    </row>
    <row r="10">
      <c r="A10" t="inlineStr">
        <is>
          <t>Figure Type</t>
        </is>
      </c>
      <c r="B10" t="inlineStr">
        <is>
          <t>Line</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92.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Adults who are Obese, 2013–2014, 2016, 2018,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2013–2014</t>
        </is>
      </c>
      <c r="G6" t="n">
        <v>25.5</v>
      </c>
      <c r="H6" t="n">
        <v>32.5</v>
      </c>
      <c r="I6" t="n">
        <v>20.5</v>
      </c>
      <c r="J6" t="n">
        <v>23.1</v>
      </c>
      <c r="K6" t="n">
        <v>27.7</v>
      </c>
      <c r="L6" t="n">
        <v>26.4</v>
      </c>
      <c r="M6" t="n">
        <v>21</v>
      </c>
      <c r="N6" t="inlineStr">
        <is>
          <t>N/A</t>
        </is>
      </c>
      <c r="O6" t="n">
        <v>27.4</v>
      </c>
    </row>
    <row r="7" ht="15.75" customHeight="1" s="99">
      <c r="F7" t="n">
        <v>2016</v>
      </c>
      <c r="G7" t="n">
        <v>27</v>
      </c>
      <c r="H7" t="n">
        <v>29.7</v>
      </c>
      <c r="I7" t="n">
        <v>19.2</v>
      </c>
      <c r="J7" t="n">
        <v>20.7</v>
      </c>
      <c r="K7" t="n">
        <v>32.9</v>
      </c>
      <c r="L7" t="n">
        <v>31.8</v>
      </c>
      <c r="M7" t="n">
        <v>17.7</v>
      </c>
      <c r="N7" t="n">
        <v>23.1</v>
      </c>
      <c r="O7" t="n">
        <v>27.5</v>
      </c>
    </row>
    <row r="8">
      <c r="F8" t="n">
        <v>2018</v>
      </c>
      <c r="G8" t="n">
        <v>27.4</v>
      </c>
      <c r="H8" t="n">
        <v>24.3</v>
      </c>
      <c r="I8" t="n">
        <v>27.8</v>
      </c>
      <c r="J8" t="n">
        <v>27</v>
      </c>
      <c r="K8" t="n">
        <v>38.9</v>
      </c>
      <c r="L8" t="n">
        <v>28</v>
      </c>
      <c r="M8" t="n">
        <v>24.1</v>
      </c>
      <c r="N8" t="n">
        <v>25.3</v>
      </c>
      <c r="O8" t="n">
        <v>29.7</v>
      </c>
      <c r="P8" s="14" t="n"/>
    </row>
    <row r="9">
      <c r="A9" s="98" t="inlineStr">
        <is>
          <t>Figure Rules</t>
        </is>
      </c>
      <c r="F9" t="n">
        <v>2021</v>
      </c>
      <c r="G9" t="n">
        <v>31.4</v>
      </c>
      <c r="H9" t="n">
        <v>38.5</v>
      </c>
      <c r="I9" t="n">
        <v>31.6</v>
      </c>
      <c r="J9" t="n">
        <v>23.1</v>
      </c>
      <c r="K9" t="n">
        <v>33.3</v>
      </c>
      <c r="L9" t="n">
        <v>32.3</v>
      </c>
      <c r="M9" t="n">
        <v>26.5</v>
      </c>
      <c r="N9" t="n">
        <v>29.8</v>
      </c>
      <c r="O9" t="n">
        <v>32.1</v>
      </c>
    </row>
    <row r="10">
      <c r="A10" t="inlineStr">
        <is>
          <t>Figure Type</t>
        </is>
      </c>
      <c r="B10" t="inlineStr">
        <is>
          <t>Line</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3.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School-Aged Children and Adolescents Who Are Overweight or Obese, 2014–2023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row>
    <row r="6" ht="15" customHeight="1" s="99">
      <c r="A6" t="inlineStr">
        <is>
          <t>Multilevel Headers</t>
        </is>
      </c>
      <c r="B6" t="b">
        <v>0</v>
      </c>
      <c r="F6" t="inlineStr">
        <is>
          <t>2014–2016</t>
        </is>
      </c>
      <c r="G6" t="n">
        <v>33.8</v>
      </c>
      <c r="H6" t="n">
        <v>33</v>
      </c>
      <c r="I6" t="n">
        <v>31.4</v>
      </c>
      <c r="J6" t="n">
        <v>34.2</v>
      </c>
      <c r="K6" t="n">
        <v>39</v>
      </c>
      <c r="L6" t="n">
        <v>37</v>
      </c>
      <c r="M6" t="n">
        <v>27.8</v>
      </c>
      <c r="N6" t="n">
        <v>33.9</v>
      </c>
    </row>
    <row r="7" ht="15.75" customHeight="1" s="99">
      <c r="F7" t="inlineStr">
        <is>
          <t>2016–2018</t>
        </is>
      </c>
      <c r="G7" t="n">
        <v>33.5</v>
      </c>
      <c r="H7" t="n">
        <v>36.2</v>
      </c>
      <c r="I7" t="n">
        <v>32.1</v>
      </c>
      <c r="J7" t="n">
        <v>33.9</v>
      </c>
      <c r="K7" t="n">
        <v>37.7</v>
      </c>
      <c r="L7" t="n">
        <v>37</v>
      </c>
      <c r="M7" t="n">
        <v>28.6</v>
      </c>
      <c r="N7" t="n">
        <v>33.7</v>
      </c>
    </row>
    <row r="8">
      <c r="F8" t="inlineStr">
        <is>
          <t>2019–2021</t>
        </is>
      </c>
      <c r="G8" t="n">
        <v>35.5</v>
      </c>
      <c r="H8" t="n">
        <v>35.2</v>
      </c>
      <c r="I8" t="n">
        <v>32.9</v>
      </c>
      <c r="J8" t="n">
        <v>34</v>
      </c>
      <c r="K8" t="n">
        <v>41.2</v>
      </c>
      <c r="L8" t="n">
        <v>38.2</v>
      </c>
      <c r="M8" t="n">
        <v>31</v>
      </c>
      <c r="N8" t="n">
        <v>34.8</v>
      </c>
      <c r="P8" s="14" t="n"/>
    </row>
    <row r="9">
      <c r="A9" s="98" t="inlineStr">
        <is>
          <t>Figure Rules</t>
        </is>
      </c>
      <c r="F9" t="inlineStr">
        <is>
          <t>2021–2023</t>
        </is>
      </c>
      <c r="G9" t="n">
        <v>35.7</v>
      </c>
      <c r="H9" t="n">
        <v>38.7</v>
      </c>
      <c r="I9" t="n">
        <v>34.7</v>
      </c>
      <c r="J9" t="n">
        <v>36.1</v>
      </c>
      <c r="K9" t="n">
        <v>41.6</v>
      </c>
      <c r="L9" t="n">
        <v>40.4</v>
      </c>
      <c r="M9" t="n">
        <v>29.6</v>
      </c>
      <c r="N9" t="inlineStr">
        <is>
          <t>N/A</t>
        </is>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94.xml><?xml version="1.0" encoding="utf-8"?>
<worksheet xmlns="http://schemas.openxmlformats.org/spreadsheetml/2006/main">
  <sheetPr>
    <outlinePr summaryBelow="1" summaryRight="1"/>
    <pageSetUpPr/>
  </sheetPr>
  <dimension ref="A1:P57"/>
  <sheetViews>
    <sheetView workbookViewId="0">
      <selection activeCell="B13" sqref="B13"/>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Cirrhosis Hospitalization, Age-Adjusted Rate per 10,000 Population,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row>
    <row r="6" ht="15" customHeight="1" s="99">
      <c r="A6" t="inlineStr">
        <is>
          <t>Multilevel Headers</t>
        </is>
      </c>
      <c r="B6" t="b">
        <v>0</v>
      </c>
      <c r="F6" t="inlineStr">
        <is>
          <t>2020–2022</t>
        </is>
      </c>
      <c r="G6" t="n">
        <v>4.6</v>
      </c>
      <c r="H6" t="n">
        <v>4</v>
      </c>
      <c r="I6" t="n">
        <v>3</v>
      </c>
      <c r="J6" t="n">
        <v>3</v>
      </c>
      <c r="K6" t="n">
        <v>2.9</v>
      </c>
      <c r="L6" t="n">
        <v>5.1</v>
      </c>
      <c r="M6" t="n">
        <v>3.4</v>
      </c>
      <c r="N6" t="n">
        <v>3.7</v>
      </c>
      <c r="O6" t="n">
        <v>3.8</v>
      </c>
      <c r="P6" t="n">
        <v>3.9</v>
      </c>
    </row>
    <row r="7" ht="15.75" customHeight="1" s="99"/>
    <row r="8">
      <c r="P8" s="14" t="n"/>
    </row>
    <row r="9">
      <c r="A9" s="98" t="inlineStr">
        <is>
          <t>Figure Rules</t>
        </is>
      </c>
    </row>
    <row r="10">
      <c r="A10" t="inlineStr">
        <is>
          <t>Figure Type</t>
        </is>
      </c>
      <c r="B10" t="inlineStr">
        <is>
          <t>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Year</t>
        </is>
      </c>
      <c r="F13" s="47" t="n"/>
      <c r="G13" s="47" t="n"/>
      <c r="H13" s="47" t="n"/>
      <c r="I13" s="46" t="n"/>
      <c r="J13" s="46" t="n"/>
      <c r="K13" s="46" t="n"/>
      <c r="L13" s="46" t="n"/>
      <c r="M13" s="46" t="n"/>
      <c r="N13" s="46" t="n"/>
      <c r="O13" s="46" t="n"/>
    </row>
    <row r="14">
      <c r="A14" t="inlineStr">
        <is>
          <t>Y Axis Title</t>
        </is>
      </c>
      <c r="B14" t="inlineStr">
        <is>
          <t>Rate per 10,000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disablePrompts="1"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5.xml><?xml version="1.0" encoding="utf-8"?>
<worksheet xmlns="http://schemas.openxmlformats.org/spreadsheetml/2006/main">
  <sheetPr>
    <outlinePr summaryBelow="1" summaryRight="1"/>
    <pageSetUpPr/>
  </sheetPr>
  <dimension ref="A1:P57"/>
  <sheetViews>
    <sheetView workbookViewId="0">
      <selection activeCell="H27" sqref="H27"/>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Cirrhosis Mortality, Age-Adjusted Rate per 100,000 Population, 2014–2021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row>
    <row r="5">
      <c r="A5" s="98" t="inlineStr">
        <is>
          <t>Table Rules</t>
        </is>
      </c>
      <c r="E5" s="100" t="inlineStr">
        <is>
          <t xml:space="preserve">Enter Data </t>
        </is>
      </c>
      <c r="G5" s="101" t="inlineStr">
        <is>
          <t>Three-Year Average</t>
        </is>
      </c>
      <c r="N5" t="inlineStr">
        <is>
          <t>Single-Year</t>
        </is>
      </c>
    </row>
    <row r="6" ht="15" customHeight="1" s="99">
      <c r="A6" t="inlineStr">
        <is>
          <t>Multilevel Headers</t>
        </is>
      </c>
      <c r="B6" t="b">
        <v>1</v>
      </c>
      <c r="F6" t="inlineStr">
        <is>
          <t>Year</t>
        </is>
      </c>
      <c r="G6" t="inlineStr">
        <is>
          <t>Dutchess</t>
        </is>
      </c>
      <c r="H6" t="inlineStr">
        <is>
          <t>Orange</t>
        </is>
      </c>
      <c r="I6" t="inlineStr">
        <is>
          <t>Putnam</t>
        </is>
      </c>
      <c r="J6" t="inlineStr">
        <is>
          <t>Rockland</t>
        </is>
      </c>
      <c r="K6" t="inlineStr">
        <is>
          <t>Sullivan</t>
        </is>
      </c>
      <c r="L6" t="inlineStr">
        <is>
          <t>Ulster</t>
        </is>
      </c>
      <c r="M6" t="inlineStr">
        <is>
          <t>Westchester</t>
        </is>
      </c>
      <c r="N6" t="inlineStr">
        <is>
          <t>NYS</t>
        </is>
      </c>
    </row>
    <row r="7" ht="15.75" customHeight="1" s="99">
      <c r="F7" t="n">
        <v>2014</v>
      </c>
      <c r="G7" t="n">
        <v>6.9</v>
      </c>
      <c r="H7" t="n">
        <v>6.6</v>
      </c>
      <c r="I7" t="n">
        <v>7</v>
      </c>
      <c r="J7" t="n">
        <v>5.5</v>
      </c>
      <c r="K7" t="n">
        <v>8.4</v>
      </c>
      <c r="L7" t="n">
        <v>6</v>
      </c>
      <c r="M7" t="n">
        <v>4.6</v>
      </c>
      <c r="N7" t="n">
        <v>6.7</v>
      </c>
    </row>
    <row r="8">
      <c r="F8" t="n">
        <v>2015</v>
      </c>
      <c r="G8" t="n">
        <v>6.1</v>
      </c>
      <c r="H8" t="n">
        <v>6</v>
      </c>
      <c r="I8" t="n">
        <v>8.300000000000001</v>
      </c>
      <c r="J8" t="n">
        <v>5.8</v>
      </c>
      <c r="K8" t="n">
        <v>9.199999999999999</v>
      </c>
      <c r="L8" t="n">
        <v>8.199999999999999</v>
      </c>
      <c r="M8" t="n">
        <v>4.6</v>
      </c>
      <c r="N8" t="n">
        <v>6.7</v>
      </c>
      <c r="P8" s="14" t="n"/>
    </row>
    <row r="9">
      <c r="A9" s="98" t="inlineStr">
        <is>
          <t>Figure Rules</t>
        </is>
      </c>
      <c r="F9" t="n">
        <v>2016</v>
      </c>
      <c r="G9" t="n">
        <v>5.8</v>
      </c>
      <c r="H9" t="n">
        <v>6.4</v>
      </c>
      <c r="I9" t="n">
        <v>8.300000000000001</v>
      </c>
      <c r="J9" t="n">
        <v>6.4</v>
      </c>
      <c r="K9" t="n">
        <v>7.2</v>
      </c>
      <c r="L9" t="n">
        <v>8.199999999999999</v>
      </c>
      <c r="M9" t="n">
        <v>5.4</v>
      </c>
      <c r="N9" t="n">
        <v>6.9</v>
      </c>
    </row>
    <row r="10">
      <c r="A10" t="inlineStr">
        <is>
          <t>Figure Type</t>
        </is>
      </c>
      <c r="B10" t="inlineStr">
        <is>
          <t>Line</t>
        </is>
      </c>
      <c r="F10" t="n">
        <v>2017</v>
      </c>
      <c r="G10" t="n">
        <v>5.4</v>
      </c>
      <c r="H10" t="n">
        <v>7.1</v>
      </c>
      <c r="I10" t="n">
        <v>5.8</v>
      </c>
      <c r="J10" t="n">
        <v>5.2</v>
      </c>
      <c r="K10" t="n">
        <v>7.1</v>
      </c>
      <c r="L10" t="n">
        <v>8.5</v>
      </c>
      <c r="M10" t="n">
        <v>5.7</v>
      </c>
      <c r="N10" t="n">
        <v>7</v>
      </c>
    </row>
    <row r="11">
      <c r="A11" t="inlineStr">
        <is>
          <t>X Column</t>
        </is>
      </c>
      <c r="B11" t="inlineStr">
        <is>
          <t>Year</t>
        </is>
      </c>
      <c r="F11" s="46" t="inlineStr">
        <is>
          <t>2018</t>
        </is>
      </c>
      <c r="G11" s="116" t="n">
        <v>4.9</v>
      </c>
      <c r="H11" s="116" t="n">
        <v>7.5</v>
      </c>
      <c r="I11" s="116" t="n">
        <v>4.8</v>
      </c>
      <c r="J11" s="42" t="n">
        <v>4.7</v>
      </c>
      <c r="K11" s="42" t="n">
        <v>6.9</v>
      </c>
      <c r="L11" s="42" t="n">
        <v>7.3</v>
      </c>
      <c r="M11" s="47" t="inlineStr">
        <is>
          <t>5.9</t>
        </is>
      </c>
      <c r="N11" s="47" t="inlineStr">
        <is>
          <t>6.9</t>
        </is>
      </c>
      <c r="O11" s="46" t="n"/>
    </row>
    <row r="12">
      <c r="A12" t="inlineStr">
        <is>
          <t>Y Column</t>
        </is>
      </c>
      <c r="F12" s="74" t="inlineStr">
        <is>
          <t>2019</t>
        </is>
      </c>
      <c r="G12" s="42" t="n">
        <v>6.3</v>
      </c>
      <c r="H12" s="42" t="n">
        <v>7.3</v>
      </c>
      <c r="I12" s="116" t="n">
        <v>5.3</v>
      </c>
      <c r="J12" s="116" t="n">
        <v>4.3</v>
      </c>
      <c r="K12" s="116" t="n">
        <v>6.7</v>
      </c>
      <c r="L12" s="116" t="n">
        <v>7.5</v>
      </c>
      <c r="M12" s="46" t="inlineStr">
        <is>
          <t>5.6</t>
        </is>
      </c>
      <c r="N12" s="46" t="inlineStr">
        <is>
          <t>6.9</t>
        </is>
      </c>
      <c r="O12" s="46" t="n"/>
    </row>
    <row r="13">
      <c r="A13" t="inlineStr">
        <is>
          <t>X Axis Title</t>
        </is>
      </c>
      <c r="B13" t="inlineStr">
        <is>
          <t>Year</t>
        </is>
      </c>
      <c r="F13" s="47" t="inlineStr">
        <is>
          <t>2020</t>
        </is>
      </c>
      <c r="G13" s="47" t="inlineStr">
        <is>
          <t>8.1</t>
        </is>
      </c>
      <c r="H13" s="47" t="inlineStr">
        <is>
          <t>7.8</t>
        </is>
      </c>
      <c r="I13" s="46" t="inlineStr">
        <is>
          <t>8.3</t>
        </is>
      </c>
      <c r="J13" s="46" t="inlineStr">
        <is>
          <t>4.6</t>
        </is>
      </c>
      <c r="K13" s="46" t="inlineStr">
        <is>
          <t>6.4</t>
        </is>
      </c>
      <c r="L13" s="46" t="inlineStr">
        <is>
          <t>6.9</t>
        </is>
      </c>
      <c r="M13" s="46" t="inlineStr">
        <is>
          <t>5.8</t>
        </is>
      </c>
      <c r="N13" s="46" t="inlineStr">
        <is>
          <t>8.0</t>
        </is>
      </c>
      <c r="O13" s="46" t="n"/>
    </row>
    <row r="14">
      <c r="A14" t="inlineStr">
        <is>
          <t>Y Axis Title</t>
        </is>
      </c>
      <c r="B14" t="inlineStr">
        <is>
          <t>Rate per 100,000</t>
        </is>
      </c>
      <c r="F14" s="119" t="inlineStr">
        <is>
          <t>2021</t>
        </is>
      </c>
      <c r="G14" s="119" t="inlineStr">
        <is>
          <t>8.8</t>
        </is>
      </c>
      <c r="H14" s="119" t="inlineStr">
        <is>
          <t>8.3</t>
        </is>
      </c>
      <c r="I14" s="46" t="inlineStr">
        <is>
          <t>8.3</t>
        </is>
      </c>
      <c r="J14" s="47" t="inlineStr">
        <is>
          <t>4.9</t>
        </is>
      </c>
      <c r="K14" s="47" t="inlineStr">
        <is>
          <t>8</t>
        </is>
      </c>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7">
    <mergeCell ref="B1:O1"/>
    <mergeCell ref="E5:E57"/>
    <mergeCell ref="A9:B9"/>
    <mergeCell ref="A5:B5"/>
    <mergeCell ref="A18:B18"/>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96.xml><?xml version="1.0" encoding="utf-8"?>
<worksheet xmlns="http://schemas.openxmlformats.org/spreadsheetml/2006/main">
  <sheetPr>
    <outlinePr summaryBelow="1" summaryRight="1"/>
    <pageSetUpPr/>
  </sheetPr>
  <dimension ref="A1:P57"/>
  <sheetViews>
    <sheetView workbookViewId="0">
      <selection activeCell="J41" sqref="J41"/>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All Cancer Incidence and Mortality, Age-Adjusted Rates per 100,000 Population, 2019–2021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t>
        </is>
      </c>
    </row>
    <row r="6" ht="15" customHeight="1" s="99">
      <c r="A6" t="inlineStr">
        <is>
          <t>Multilevel Headers</t>
        </is>
      </c>
      <c r="B6" t="b">
        <v>0</v>
      </c>
      <c r="F6" t="inlineStr">
        <is>
          <t>Incidence</t>
        </is>
      </c>
      <c r="G6" t="n">
        <v>458.2</v>
      </c>
      <c r="H6" t="n">
        <v>462.4</v>
      </c>
      <c r="I6" t="n">
        <v>483.6</v>
      </c>
      <c r="J6" t="n">
        <v>453.2</v>
      </c>
      <c r="K6" t="n">
        <v>438.4</v>
      </c>
      <c r="L6" t="n">
        <v>454.1</v>
      </c>
      <c r="M6" t="n">
        <v>444.7</v>
      </c>
      <c r="N6" t="n">
        <v>452.4</v>
      </c>
      <c r="O6" t="n">
        <v>458.2</v>
      </c>
    </row>
    <row r="7" ht="15.75" customHeight="1" s="99">
      <c r="F7" t="inlineStr">
        <is>
          <t>Mortality</t>
        </is>
      </c>
      <c r="G7" t="n">
        <v>132.2</v>
      </c>
      <c r="H7" t="n">
        <v>156.4</v>
      </c>
      <c r="I7" t="n">
        <v>117.4</v>
      </c>
      <c r="J7" t="n">
        <v>101.6</v>
      </c>
      <c r="K7" t="n">
        <v>142.3</v>
      </c>
      <c r="L7" t="n">
        <v>138.3</v>
      </c>
      <c r="M7" t="n">
        <v>104.5</v>
      </c>
      <c r="N7" t="n">
        <v>119.9</v>
      </c>
      <c r="O7" t="n">
        <v>124.8</v>
      </c>
    </row>
    <row r="8">
      <c r="P8" s="14" t="n"/>
    </row>
    <row r="9">
      <c r="A9" s="98" t="inlineStr">
        <is>
          <t>Figure Rules</t>
        </is>
      </c>
    </row>
    <row r="10">
      <c r="A10" t="inlineStr">
        <is>
          <t>Figure Type</t>
        </is>
      </c>
      <c r="B10" t="inlineStr">
        <is>
          <t>Clustered Bar</t>
        </is>
      </c>
    </row>
    <row r="11">
      <c r="A11" t="inlineStr">
        <is>
          <t>X Column</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County</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7.xml><?xml version="1.0" encoding="utf-8"?>
<worksheet xmlns="http://schemas.openxmlformats.org/spreadsheetml/2006/main">
  <sheetPr>
    <outlinePr summaryBelow="1" summaryRight="1"/>
    <pageSetUpPr/>
  </sheetPr>
  <dimension ref="A1:P57"/>
  <sheetViews>
    <sheetView workbookViewId="0">
      <selection activeCell="B11" sqref="B11"/>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All Cancer Incidence and Mortality, Age-Adjusted Rates per 100,000 Population by Sex, 2018–2022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c r="O5" t="inlineStr">
        <is>
          <t>NYS excl NYC</t>
        </is>
      </c>
    </row>
    <row r="6" ht="15" customHeight="1" s="99">
      <c r="A6" t="inlineStr">
        <is>
          <t>Multilevel Headers</t>
        </is>
      </c>
      <c r="B6" t="b">
        <v>0</v>
      </c>
      <c r="F6" t="inlineStr">
        <is>
          <t>Incidence - Male</t>
        </is>
      </c>
      <c r="G6" t="n">
        <v>505</v>
      </c>
      <c r="H6" t="n">
        <v>505.8</v>
      </c>
      <c r="I6" t="n">
        <v>507.1</v>
      </c>
      <c r="J6" t="n">
        <v>502.8</v>
      </c>
      <c r="K6" t="n">
        <v>470.6</v>
      </c>
      <c r="L6" t="n">
        <v>481.5</v>
      </c>
      <c r="M6" t="n">
        <v>490.4</v>
      </c>
      <c r="N6" t="n">
        <v>506.1</v>
      </c>
      <c r="O6" t="n">
        <v>541.3</v>
      </c>
    </row>
    <row r="7" ht="15.75" customHeight="1" s="99">
      <c r="F7" t="inlineStr">
        <is>
          <t>Incidence - Female</t>
        </is>
      </c>
      <c r="G7" t="n">
        <v>445.6</v>
      </c>
      <c r="H7" t="n">
        <v>447.5</v>
      </c>
      <c r="I7" t="n">
        <v>493.6</v>
      </c>
      <c r="J7" t="n">
        <v>442.2</v>
      </c>
      <c r="K7" t="n">
        <v>433.4</v>
      </c>
      <c r="L7" t="n">
        <v>442.6</v>
      </c>
      <c r="M7" t="n">
        <v>440.2</v>
      </c>
      <c r="N7" t="n">
        <v>442</v>
      </c>
      <c r="O7" t="n">
        <v>471.2</v>
      </c>
    </row>
    <row r="8">
      <c r="F8" t="inlineStr">
        <is>
          <t>Mortality - Male</t>
        </is>
      </c>
      <c r="G8" t="n">
        <v>154.9</v>
      </c>
      <c r="H8" t="n">
        <v>186.5</v>
      </c>
      <c r="I8" t="n">
        <v>135.2</v>
      </c>
      <c r="J8" t="n">
        <v>116.1</v>
      </c>
      <c r="K8" t="n">
        <v>152.4</v>
      </c>
      <c r="L8" t="n">
        <v>163.3</v>
      </c>
      <c r="M8" t="n">
        <v>120.7</v>
      </c>
      <c r="N8" t="n">
        <v>146.7</v>
      </c>
      <c r="O8" t="n">
        <v>160.1</v>
      </c>
      <c r="P8" s="14" t="n"/>
    </row>
    <row r="9">
      <c r="A9" s="98" t="inlineStr">
        <is>
          <t>Figure Rules</t>
        </is>
      </c>
      <c r="F9" t="inlineStr">
        <is>
          <t>Mortality - Female</t>
        </is>
      </c>
      <c r="G9" t="n">
        <v>119.1</v>
      </c>
      <c r="H9" t="n">
        <v>155.5</v>
      </c>
      <c r="I9" t="n">
        <v>103.3</v>
      </c>
      <c r="J9" t="n">
        <v>96.2</v>
      </c>
      <c r="K9" t="n">
        <v>135</v>
      </c>
      <c r="L9" t="n">
        <v>123.7</v>
      </c>
      <c r="M9" t="n">
        <v>94.8</v>
      </c>
      <c r="N9" t="n">
        <v>112.8</v>
      </c>
      <c r="O9" t="n">
        <v>123.7</v>
      </c>
    </row>
    <row r="10">
      <c r="A10" t="inlineStr">
        <is>
          <t>Figure Type</t>
        </is>
      </c>
      <c r="B10" t="inlineStr">
        <is>
          <t>Clustered Bar</t>
        </is>
      </c>
    </row>
    <row r="11">
      <c r="A11" t="inlineStr">
        <is>
          <t>X Column</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198.xml><?xml version="1.0" encoding="utf-8"?>
<worksheet xmlns="http://schemas.openxmlformats.org/spreadsheetml/2006/main">
  <sheetPr>
    <outlinePr summaryBelow="1" summaryRight="1"/>
    <pageSetUpPr/>
  </sheetPr>
  <dimension ref="A1:P57"/>
  <sheetViews>
    <sheetView workbookViewId="0">
      <selection activeCell="B1" sqref="B1:O1"/>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Colon and Rectum Cancer Incidence and Mortality, Age-Adjusted Rates per 100,000 Population, 2019–2021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t>
        </is>
      </c>
    </row>
    <row r="6" ht="15" customHeight="1" s="99">
      <c r="A6" t="inlineStr">
        <is>
          <t>Multilevel Headers</t>
        </is>
      </c>
      <c r="B6" t="b">
        <v>0</v>
      </c>
      <c r="F6" t="inlineStr">
        <is>
          <t>Incidence</t>
        </is>
      </c>
      <c r="G6" t="n">
        <v>33.5</v>
      </c>
      <c r="H6" t="n">
        <v>35</v>
      </c>
      <c r="I6" t="n">
        <v>28.7</v>
      </c>
      <c r="J6" t="n">
        <v>36</v>
      </c>
      <c r="K6" t="n">
        <v>37.3</v>
      </c>
      <c r="L6" t="n">
        <v>37.2</v>
      </c>
      <c r="M6" t="n">
        <v>30.6</v>
      </c>
      <c r="N6" t="n">
        <v>33.1</v>
      </c>
      <c r="O6" t="n">
        <v>35</v>
      </c>
    </row>
    <row r="7" ht="15.75" customHeight="1" s="99">
      <c r="F7" t="inlineStr">
        <is>
          <t>Mortality</t>
        </is>
      </c>
      <c r="G7" t="n">
        <v>9.300000000000001</v>
      </c>
      <c r="H7" t="n">
        <v>13.6</v>
      </c>
      <c r="I7" t="n">
        <v>9.699999999999999</v>
      </c>
      <c r="J7" t="n">
        <v>9.300000000000001</v>
      </c>
      <c r="K7" t="n">
        <v>13.4</v>
      </c>
      <c r="L7" t="n">
        <v>12.7</v>
      </c>
      <c r="M7" t="n">
        <v>8.800000000000001</v>
      </c>
      <c r="N7" t="n">
        <v>10.1</v>
      </c>
      <c r="O7" t="n">
        <v>10.8</v>
      </c>
    </row>
    <row r="8">
      <c r="P8" s="14" t="n"/>
    </row>
    <row r="9">
      <c r="A9" s="98" t="inlineStr">
        <is>
          <t>Figure Rules</t>
        </is>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199.xml><?xml version="1.0" encoding="utf-8"?>
<worksheet xmlns="http://schemas.openxmlformats.org/spreadsheetml/2006/main">
  <sheetPr>
    <outlinePr summaryBelow="1" summaryRight="1"/>
    <pageSetUpPr/>
  </sheetPr>
  <dimension ref="A1:P57"/>
  <sheetViews>
    <sheetView zoomScale="129" zoomScaleNormal="129" workbookViewId="0">
      <selection activeCell="B1" sqref="B1:O1"/>
    </sheetView>
  </sheetViews>
  <sheetFormatPr baseColWidth="10" defaultColWidth="8.6640625" defaultRowHeight="15"/>
  <cols>
    <col width="20" bestFit="1" customWidth="1" style="99" min="1" max="1"/>
    <col width="22.1640625" bestFit="1" customWidth="1" style="99" min="2" max="2"/>
    <col width="6.6640625" customWidth="1" style="99" min="5" max="5"/>
    <col width="26.1640625"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Colon and Rectum Cancer Incidence and Mortality, Age-Adjusted Rates per 100,000 Population by Sex, 2018–2022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row>
    <row r="5">
      <c r="A5" s="98" t="inlineStr">
        <is>
          <t>Table Rules</t>
        </is>
      </c>
      <c r="E5" s="100"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Incidence - Male</t>
        </is>
      </c>
      <c r="G6" t="n">
        <v>39.6</v>
      </c>
      <c r="H6" t="n">
        <v>40.7</v>
      </c>
      <c r="I6" t="n">
        <v>27.3</v>
      </c>
      <c r="J6" t="n">
        <v>41</v>
      </c>
      <c r="K6" t="n">
        <v>47.3</v>
      </c>
      <c r="L6" t="n">
        <v>41.3</v>
      </c>
      <c r="M6" t="n">
        <v>35.8</v>
      </c>
      <c r="N6" t="n">
        <v>41.4</v>
      </c>
      <c r="O6" t="n">
        <v>40.7</v>
      </c>
    </row>
    <row r="7" ht="15.75" customHeight="1" s="99">
      <c r="F7" t="inlineStr">
        <is>
          <t>Incidence - Female</t>
        </is>
      </c>
      <c r="G7" t="n">
        <v>30.3</v>
      </c>
      <c r="H7" t="n">
        <v>31.8</v>
      </c>
      <c r="I7" t="n">
        <v>29.9</v>
      </c>
      <c r="J7" t="n">
        <v>33.3</v>
      </c>
      <c r="K7" t="n">
        <v>28.7</v>
      </c>
      <c r="L7" t="n">
        <v>31.7</v>
      </c>
      <c r="M7" t="n">
        <v>30.1</v>
      </c>
      <c r="N7" t="n">
        <v>32.8</v>
      </c>
      <c r="O7" t="n">
        <v>31.6</v>
      </c>
    </row>
    <row r="8">
      <c r="F8" t="inlineStr">
        <is>
          <t>Mortality - Male</t>
        </is>
      </c>
      <c r="G8" t="n">
        <v>10.3</v>
      </c>
      <c r="H8" t="n">
        <v>17.4</v>
      </c>
      <c r="I8" t="n">
        <v>10.3</v>
      </c>
      <c r="J8" t="n">
        <v>10.2</v>
      </c>
      <c r="K8" t="n">
        <v>12.3</v>
      </c>
      <c r="L8" t="n">
        <v>14.9</v>
      </c>
      <c r="M8" t="n">
        <v>10.3</v>
      </c>
      <c r="N8" t="n">
        <v>13.4</v>
      </c>
      <c r="O8" t="n">
        <v>12.9</v>
      </c>
      <c r="P8" s="14" t="n"/>
    </row>
    <row r="9">
      <c r="A9" s="98" t="inlineStr">
        <is>
          <t>Figure Rules</t>
        </is>
      </c>
      <c r="F9" t="inlineStr">
        <is>
          <t>Mortality - Female</t>
        </is>
      </c>
      <c r="G9" t="n">
        <v>7.5</v>
      </c>
      <c r="H9" t="n">
        <v>12.7</v>
      </c>
      <c r="I9" t="n">
        <v>7.6</v>
      </c>
      <c r="J9" t="n">
        <v>8.800000000000001</v>
      </c>
      <c r="K9" t="n">
        <v>9.800000000000001</v>
      </c>
      <c r="L9" t="n">
        <v>11</v>
      </c>
      <c r="M9" t="n">
        <v>7.5</v>
      </c>
      <c r="N9" t="n">
        <v>9.800000000000001</v>
      </c>
      <c r="O9" t="n">
        <v>9.300000000000001</v>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 showDropDown="0" showInputMessage="1" showErrorMessage="1" allowBlank="1" type="list">
      <formula1>"integer, number, percent1"</formula1>
    </dataValidation>
  </dataValidations>
  <pageMargins left="0.75" right="0.75" top="1" bottom="1" header="0.5" footer="0.5"/>
</worksheet>
</file>

<file path=xl/worksheets/sheet200.xml><?xml version="1.0" encoding="utf-8"?>
<worksheet xmlns="http://schemas.openxmlformats.org/spreadsheetml/2006/main">
  <sheetPr>
    <outlinePr summaryBelow="1" summaryRight="1"/>
    <pageSetUpPr/>
  </sheetPr>
  <dimension ref="A1:P57"/>
  <sheetViews>
    <sheetView workbookViewId="0">
      <selection activeCell="N27" sqref="N27"/>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Colorectal Cancer Incidence, Age-Adjusted Rate per 100,000 Population by Race and 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row>
    <row r="5">
      <c r="A5" s="98" t="inlineStr">
        <is>
          <t>Table Rules</t>
        </is>
      </c>
      <c r="E5" s="100"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inlineStr">
        <is>
          <t>Non-Hispanic White</t>
        </is>
      </c>
      <c r="G6" t="n">
        <v>35.1</v>
      </c>
      <c r="H6" t="n">
        <v>37.8</v>
      </c>
      <c r="I6" t="n">
        <v>29.7</v>
      </c>
      <c r="J6" t="n">
        <v>37.5</v>
      </c>
      <c r="K6" t="n">
        <v>39.2</v>
      </c>
      <c r="L6" t="n">
        <v>39.5</v>
      </c>
      <c r="M6" t="n">
        <v>31.9</v>
      </c>
      <c r="N6" t="n">
        <v>36.4</v>
      </c>
    </row>
    <row r="7" ht="15.75" customHeight="1" s="99">
      <c r="F7" t="inlineStr">
        <is>
          <t>Non-Hispanic Black</t>
        </is>
      </c>
      <c r="G7" t="n">
        <v>30.5</v>
      </c>
      <c r="H7" t="n">
        <v>22.2</v>
      </c>
      <c r="I7" t="n">
        <v>0</v>
      </c>
      <c r="J7" t="n">
        <v>31.1</v>
      </c>
      <c r="K7" t="inlineStr">
        <is>
          <t>s</t>
        </is>
      </c>
      <c r="L7" t="inlineStr">
        <is>
          <t>s</t>
        </is>
      </c>
      <c r="M7" t="n">
        <v>30.9</v>
      </c>
      <c r="N7" t="n">
        <v>36.5</v>
      </c>
    </row>
    <row r="8">
      <c r="F8" t="inlineStr">
        <is>
          <t>Non-Hispanic Asian/Pacific Islander</t>
        </is>
      </c>
      <c r="G8" t="inlineStr">
        <is>
          <t>s</t>
        </is>
      </c>
      <c r="H8" t="inlineStr">
        <is>
          <t>s</t>
        </is>
      </c>
      <c r="I8" t="inlineStr">
        <is>
          <t>s</t>
        </is>
      </c>
      <c r="J8" t="n">
        <v>23.7</v>
      </c>
      <c r="K8" t="inlineStr">
        <is>
          <t>s</t>
        </is>
      </c>
      <c r="L8" t="inlineStr">
        <is>
          <t>s</t>
        </is>
      </c>
      <c r="M8" t="n">
        <v>23.4</v>
      </c>
      <c r="N8" t="n">
        <v>28.2</v>
      </c>
      <c r="P8" s="14" t="n"/>
    </row>
    <row r="9">
      <c r="A9" s="98" t="inlineStr">
        <is>
          <t>Figure Rules</t>
        </is>
      </c>
      <c r="F9" t="inlineStr">
        <is>
          <t>Hispanic</t>
        </is>
      </c>
      <c r="G9" t="n">
        <v>24.6</v>
      </c>
      <c r="H9" t="n">
        <v>29</v>
      </c>
      <c r="I9" t="inlineStr">
        <is>
          <t>s</t>
        </is>
      </c>
      <c r="J9" t="n">
        <v>38.5</v>
      </c>
      <c r="K9" t="inlineStr">
        <is>
          <t>s</t>
        </is>
      </c>
      <c r="L9" t="inlineStr">
        <is>
          <t>s</t>
        </is>
      </c>
      <c r="M9" t="n">
        <v>27.6</v>
      </c>
      <c r="N9" t="n">
        <v>29.3</v>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B13" t="inlineStr">
        <is>
          <t>Race and Ethnicity</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1.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Adults 50–64 Years Old Who Received a Colorectal Cancer Screening Based on the Most Recent Guidelines, 2018</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inlineStr">
        <is>
          <t>percent1</t>
        </is>
      </c>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c r="P5" t="inlineStr">
        <is>
          <t>NYS</t>
        </is>
      </c>
      <c r="Q5" t="inlineStr">
        <is>
          <t>PA Objective</t>
        </is>
      </c>
    </row>
    <row r="6" ht="15" customHeight="1" s="99">
      <c r="A6" t="inlineStr">
        <is>
          <t>Multilevel Headers</t>
        </is>
      </c>
      <c r="B6" t="b">
        <v>0</v>
      </c>
      <c r="F6" t="n">
        <v>2016</v>
      </c>
      <c r="G6" t="n">
        <v>62.2</v>
      </c>
      <c r="H6" t="n">
        <v>68.8</v>
      </c>
      <c r="I6" t="n">
        <v>64.7</v>
      </c>
      <c r="J6" t="n">
        <v>61.9</v>
      </c>
      <c r="K6" t="n">
        <v>48.1</v>
      </c>
      <c r="L6" t="n">
        <v>60.2</v>
      </c>
      <c r="M6" t="n">
        <v>63.7</v>
      </c>
      <c r="N6" t="n">
        <v>63.3</v>
      </c>
      <c r="O6" t="n">
        <v>63.7</v>
      </c>
      <c r="P6" t="n">
        <v>63.1</v>
      </c>
      <c r="Q6" t="n">
        <v>66.3</v>
      </c>
    </row>
    <row r="7" ht="15.75" customHeight="1" s="99">
      <c r="F7" t="n">
        <v>2018</v>
      </c>
      <c r="G7" t="n">
        <v>60.6</v>
      </c>
      <c r="H7" t="n">
        <v>61.7</v>
      </c>
      <c r="I7" t="n">
        <v>86.3</v>
      </c>
      <c r="J7" t="n">
        <v>62.3</v>
      </c>
      <c r="K7" t="n">
        <v>58.8</v>
      </c>
      <c r="L7" t="n">
        <v>68.8</v>
      </c>
      <c r="M7" t="n">
        <v>70</v>
      </c>
      <c r="N7" t="n">
        <v>64.09999999999999</v>
      </c>
      <c r="O7" t="n">
        <v>66.5</v>
      </c>
      <c r="P7" t="n">
        <v>65.40000000000001</v>
      </c>
      <c r="Q7" t="n">
        <v>66.3</v>
      </c>
    </row>
    <row r="8">
      <c r="P8" s="14" t="n"/>
    </row>
    <row r="9">
      <c r="A9" s="98" t="inlineStr">
        <is>
          <t>Figure Rules</t>
        </is>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02.xml><?xml version="1.0" encoding="utf-8"?>
<worksheet xmlns="http://schemas.openxmlformats.org/spreadsheetml/2006/main">
  <sheetPr>
    <outlinePr summaryBelow="1" summaryRight="1"/>
    <pageSetUpPr/>
  </sheetPr>
  <dimension ref="A1:Q57"/>
  <sheetViews>
    <sheetView workbookViewId="0">
      <selection activeCell="O26" sqref="O26"/>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Lung and Bronchus Cancer Incidence and Mortality, Age-Adjusted Rates per 100,000 Population, 2018–2022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Incidence</t>
        </is>
      </c>
      <c r="G6" t="n">
        <v>56.5</v>
      </c>
      <c r="H6" t="n">
        <v>59.9</v>
      </c>
      <c r="I6" t="n">
        <v>57.6</v>
      </c>
      <c r="J6" t="n">
        <v>44.9</v>
      </c>
      <c r="K6" t="n">
        <v>62.9</v>
      </c>
      <c r="L6" t="n">
        <v>55.1</v>
      </c>
      <c r="M6" t="n">
        <v>42</v>
      </c>
      <c r="N6" t="n">
        <v>59.9</v>
      </c>
      <c r="O6" t="n">
        <v>52.4</v>
      </c>
    </row>
    <row r="7" ht="15.75" customHeight="1" s="99">
      <c r="F7" t="inlineStr">
        <is>
          <t>Mortality</t>
        </is>
      </c>
      <c r="G7" t="n">
        <v>29.1</v>
      </c>
      <c r="H7" t="n">
        <v>37.9</v>
      </c>
      <c r="I7" t="n">
        <v>27.7</v>
      </c>
      <c r="J7" t="n">
        <v>21.7</v>
      </c>
      <c r="K7" t="n">
        <v>35.6</v>
      </c>
      <c r="L7" t="n">
        <v>32.6</v>
      </c>
      <c r="M7" t="n">
        <v>18.8</v>
      </c>
      <c r="N7" t="n">
        <v>31.3</v>
      </c>
      <c r="O7" t="n">
        <v>26.5</v>
      </c>
    </row>
    <row r="8">
      <c r="P8" s="14" t="n"/>
    </row>
    <row r="9">
      <c r="A9" s="98" t="inlineStr">
        <is>
          <t>Figure Rules</t>
        </is>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3.xml><?xml version="1.0" encoding="utf-8"?>
<worksheet xmlns="http://schemas.openxmlformats.org/spreadsheetml/2006/main">
  <sheetPr>
    <outlinePr summaryBelow="1" summaryRight="1"/>
    <pageSetUpPr/>
  </sheetPr>
  <dimension ref="A1:Q57"/>
  <sheetViews>
    <sheetView workbookViewId="0">
      <selection activeCell="G5" sqref="G5"/>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Lung and Bronchus Cancer Incidence and Mortality, Age-Adjusted Rates per 100,000 Population by Sex, 2015–2019</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Incidence (Male)</t>
        </is>
      </c>
      <c r="G6" t="n">
        <v>56.2</v>
      </c>
      <c r="H6" t="n">
        <v>63</v>
      </c>
      <c r="I6" t="n">
        <v>55.9</v>
      </c>
      <c r="J6" t="n">
        <v>45.2</v>
      </c>
      <c r="K6" t="n">
        <v>56.9</v>
      </c>
      <c r="L6" t="n">
        <v>57.8</v>
      </c>
      <c r="M6" t="n">
        <v>43</v>
      </c>
      <c r="N6" t="n">
        <v>62.2</v>
      </c>
      <c r="O6" t="n">
        <v>56.5</v>
      </c>
    </row>
    <row r="7" ht="15.75" customHeight="1" s="99">
      <c r="F7" t="inlineStr">
        <is>
          <t>Incidence (Female)</t>
        </is>
      </c>
      <c r="G7" t="n">
        <v>56.8</v>
      </c>
      <c r="H7" t="n">
        <v>58.2</v>
      </c>
      <c r="I7" t="n">
        <v>59.5</v>
      </c>
      <c r="J7" t="n">
        <v>45.3</v>
      </c>
      <c r="K7" t="n">
        <v>69.2</v>
      </c>
      <c r="L7" t="n">
        <v>52.9</v>
      </c>
      <c r="M7" t="n">
        <v>41.6</v>
      </c>
      <c r="N7" t="n">
        <v>58.6</v>
      </c>
      <c r="O7" t="n">
        <v>49.6</v>
      </c>
    </row>
    <row r="8">
      <c r="F8" t="inlineStr">
        <is>
          <t>Mortality (Male)</t>
        </is>
      </c>
      <c r="G8" t="n">
        <v>31.6</v>
      </c>
      <c r="H8" t="n">
        <v>42.9</v>
      </c>
      <c r="I8" t="n">
        <v>31</v>
      </c>
      <c r="J8" t="n">
        <v>25.1</v>
      </c>
      <c r="K8" t="n">
        <v>35.7</v>
      </c>
      <c r="L8" t="n">
        <v>38.8</v>
      </c>
      <c r="M8" t="n">
        <v>21.5</v>
      </c>
      <c r="N8" t="n">
        <v>35.5</v>
      </c>
      <c r="O8" t="n">
        <v>31.3</v>
      </c>
      <c r="P8" s="14" t="n"/>
    </row>
    <row r="9">
      <c r="A9" s="98" t="inlineStr">
        <is>
          <t>Figure Rules</t>
        </is>
      </c>
      <c r="F9" t="inlineStr">
        <is>
          <t>Mortality (Female)</t>
        </is>
      </c>
      <c r="G9" t="n">
        <v>27.3</v>
      </c>
      <c r="H9" t="n">
        <v>34.5</v>
      </c>
      <c r="I9" t="n">
        <v>25.2</v>
      </c>
      <c r="J9" t="n">
        <v>19.2</v>
      </c>
      <c r="K9" t="n">
        <v>35.7</v>
      </c>
      <c r="L9" t="n">
        <v>26.9</v>
      </c>
      <c r="M9" t="n">
        <v>16.8</v>
      </c>
      <c r="N9" t="n">
        <v>28.2</v>
      </c>
      <c r="O9" t="n">
        <v>23.1</v>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04.xml><?xml version="1.0" encoding="utf-8"?>
<worksheet xmlns="http://schemas.openxmlformats.org/spreadsheetml/2006/main">
  <sheetPr>
    <outlinePr summaryBelow="1" summaryRight="1"/>
    <pageSetUpPr/>
  </sheetPr>
  <dimension ref="A1:Q57"/>
  <sheetViews>
    <sheetView workbookViewId="0">
      <selection activeCell="I14" sqref="I14"/>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Lung Cancer Incidence, Age-Adjusted Rate per 100,000 Population by Race and 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t="inlineStr">
        <is>
          <t>Race and Ethnicity</t>
        </is>
      </c>
      <c r="G5" t="inlineStr">
        <is>
          <t>Dutchess</t>
        </is>
      </c>
      <c r="H5" s="101" t="inlineStr">
        <is>
          <t>Orange</t>
        </is>
      </c>
      <c r="I5" s="101" t="inlineStr">
        <is>
          <t>Putnam</t>
        </is>
      </c>
      <c r="J5" s="101" t="inlineStr">
        <is>
          <t>Rockland</t>
        </is>
      </c>
      <c r="K5" s="101" t="inlineStr">
        <is>
          <t>Sullivan</t>
        </is>
      </c>
      <c r="L5" s="101" t="inlineStr">
        <is>
          <t>Ulster</t>
        </is>
      </c>
      <c r="M5" s="101" t="inlineStr">
        <is>
          <t>Westchester</t>
        </is>
      </c>
      <c r="N5" s="101" t="inlineStr">
        <is>
          <t>NYS excl NYC</t>
        </is>
      </c>
      <c r="O5" s="101" t="inlineStr">
        <is>
          <t>NYS</t>
        </is>
      </c>
    </row>
    <row r="6" ht="15" customHeight="1" s="99">
      <c r="A6" t="inlineStr">
        <is>
          <t>Multilevel Headers</t>
        </is>
      </c>
      <c r="B6" t="b">
        <v>0</v>
      </c>
      <c r="F6" t="inlineStr">
        <is>
          <t>Non-Hispanic White</t>
        </is>
      </c>
      <c r="G6" s="101" t="n">
        <v>59.3</v>
      </c>
      <c r="H6" s="101" t="n">
        <v>65.90000000000001</v>
      </c>
      <c r="I6" s="101" t="n">
        <v>60.3</v>
      </c>
      <c r="J6" s="101" t="n">
        <v>51.6</v>
      </c>
      <c r="K6" s="101" t="n">
        <v>63.1</v>
      </c>
      <c r="L6" s="101" t="n">
        <v>58.5</v>
      </c>
      <c r="M6" s="101" t="n">
        <v>44</v>
      </c>
      <c r="N6" s="101" t="n">
        <v>61.6</v>
      </c>
      <c r="O6" s="101" t="n">
        <v>58.1</v>
      </c>
    </row>
    <row r="7" ht="15.75" customHeight="1" s="99">
      <c r="F7" t="inlineStr">
        <is>
          <t>Non-Hispanic Black</t>
        </is>
      </c>
      <c r="G7" s="101" t="n">
        <v>67.09999999999999</v>
      </c>
      <c r="H7" s="101" t="n">
        <v>40.7</v>
      </c>
      <c r="I7" s="101" t="inlineStr">
        <is>
          <t>s</t>
        </is>
      </c>
      <c r="J7" s="101" t="n">
        <v>30.2</v>
      </c>
      <c r="K7" s="101" t="inlineStr">
        <is>
          <t>s</t>
        </is>
      </c>
      <c r="L7" s="101" t="n">
        <v>61.7</v>
      </c>
      <c r="M7" s="101" t="n">
        <v>35.8</v>
      </c>
      <c r="N7" s="101" t="n">
        <v>53.4</v>
      </c>
      <c r="O7" s="101" t="n">
        <v>42.2</v>
      </c>
    </row>
    <row r="8">
      <c r="F8" t="inlineStr">
        <is>
          <t>Asian/Pacific Islander</t>
        </is>
      </c>
      <c r="G8" s="101" t="inlineStr">
        <is>
          <t>s</t>
        </is>
      </c>
      <c r="H8" s="101" t="inlineStr">
        <is>
          <t>s</t>
        </is>
      </c>
      <c r="I8" s="101" t="inlineStr">
        <is>
          <t>s</t>
        </is>
      </c>
      <c r="J8" s="101" t="n">
        <v>28.2</v>
      </c>
      <c r="K8" s="101" t="n">
        <v>0</v>
      </c>
      <c r="L8" s="101" t="inlineStr">
        <is>
          <t>s</t>
        </is>
      </c>
      <c r="M8" s="101" t="n">
        <v>27</v>
      </c>
      <c r="N8" s="101" t="n">
        <v>31.5</v>
      </c>
      <c r="O8" s="101" t="n">
        <v>41.6</v>
      </c>
      <c r="P8" s="14" t="n"/>
    </row>
    <row r="9">
      <c r="A9" s="98" t="inlineStr">
        <is>
          <t>Figure Rules</t>
        </is>
      </c>
      <c r="F9" t="inlineStr">
        <is>
          <t>Hispanic</t>
        </is>
      </c>
      <c r="G9" s="101" t="n">
        <v>31.3</v>
      </c>
      <c r="H9" s="101" t="n">
        <v>37.3</v>
      </c>
      <c r="I9" s="101" t="inlineStr">
        <is>
          <t>s</t>
        </is>
      </c>
      <c r="J9" s="101" t="n">
        <v>31.4</v>
      </c>
      <c r="K9" s="101" t="inlineStr">
        <is>
          <t>s</t>
        </is>
      </c>
      <c r="L9" s="101" t="inlineStr">
        <is>
          <t>s</t>
        </is>
      </c>
      <c r="M9" s="101" t="n">
        <v>27.5</v>
      </c>
      <c r="N9" s="101" t="n">
        <v>32.8</v>
      </c>
      <c r="O9" s="101" t="n">
        <v>28</v>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5.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Prostate Cancer Incidence and Mortality, Age-Adjusted Rates per 100,000 Population Males, 2018–2022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G5" t="inlineStr">
        <is>
          <t>Dutchess</t>
        </is>
      </c>
      <c r="H5" s="101" t="inlineStr">
        <is>
          <t>Orange</t>
        </is>
      </c>
      <c r="I5" s="101" t="inlineStr">
        <is>
          <t>Putnam</t>
        </is>
      </c>
      <c r="J5" s="101" t="inlineStr">
        <is>
          <t>Rockland</t>
        </is>
      </c>
      <c r="K5" s="101" t="inlineStr">
        <is>
          <t>Sullivan</t>
        </is>
      </c>
      <c r="L5" s="101" t="inlineStr">
        <is>
          <t>Ulster</t>
        </is>
      </c>
      <c r="M5" s="101" t="inlineStr">
        <is>
          <t>Westchester</t>
        </is>
      </c>
      <c r="N5" s="101" t="inlineStr">
        <is>
          <t>NYS excl NYC</t>
        </is>
      </c>
      <c r="O5" s="101" t="inlineStr">
        <is>
          <t>NYS</t>
        </is>
      </c>
    </row>
    <row r="6" ht="15" customHeight="1" s="99">
      <c r="A6" t="inlineStr">
        <is>
          <t>Multilevel Headers</t>
        </is>
      </c>
      <c r="B6" t="b">
        <v>0</v>
      </c>
      <c r="F6" t="inlineStr">
        <is>
          <t>Incidence</t>
        </is>
      </c>
      <c r="G6" s="101" t="n">
        <v>139.8</v>
      </c>
      <c r="H6" s="101" t="n">
        <v>126.9</v>
      </c>
      <c r="I6" s="101" t="n">
        <v>124.5</v>
      </c>
      <c r="J6" s="101" t="n">
        <v>137.9</v>
      </c>
      <c r="K6" s="101" t="n">
        <v>93.40000000000001</v>
      </c>
      <c r="L6" s="101" t="n">
        <v>115.5</v>
      </c>
      <c r="M6" s="101" t="n">
        <v>141.3</v>
      </c>
      <c r="N6" s="101" t="n">
        <v>140.2</v>
      </c>
      <c r="O6" s="101" t="n">
        <v>135.5</v>
      </c>
    </row>
    <row r="7" ht="15.75" customHeight="1" s="99">
      <c r="F7" t="inlineStr">
        <is>
          <t>Mortality</t>
        </is>
      </c>
      <c r="G7" s="101" t="n">
        <v>18</v>
      </c>
      <c r="H7" s="101" t="n">
        <v>18.2</v>
      </c>
      <c r="I7" s="101" t="n">
        <v>10.4</v>
      </c>
      <c r="J7" s="101" t="n">
        <v>10.9</v>
      </c>
      <c r="K7" s="101" t="n">
        <v>12.4</v>
      </c>
      <c r="L7" s="101" t="n">
        <v>16.3</v>
      </c>
      <c r="M7" s="101" t="n">
        <v>12.7</v>
      </c>
      <c r="N7" s="101" t="n">
        <v>15.9</v>
      </c>
      <c r="O7" s="101" t="n">
        <v>15.5</v>
      </c>
    </row>
    <row r="8">
      <c r="G8" s="101" t="n"/>
      <c r="H8" s="101" t="n"/>
      <c r="I8" s="101" t="n"/>
      <c r="J8" s="101" t="n"/>
      <c r="K8" s="101" t="n"/>
      <c r="L8" s="101" t="n"/>
      <c r="M8" s="101" t="n"/>
      <c r="N8" s="101" t="n"/>
      <c r="O8" s="101" t="n"/>
      <c r="P8" s="14" t="n"/>
    </row>
    <row r="9">
      <c r="A9" s="98" t="inlineStr">
        <is>
          <t>Figure Rules</t>
        </is>
      </c>
      <c r="G9" s="101" t="n"/>
      <c r="H9" s="101" t="n"/>
      <c r="I9" s="101" t="n"/>
      <c r="J9" s="101" t="n"/>
      <c r="K9" s="101" t="n"/>
      <c r="L9" s="101" t="n"/>
      <c r="M9" s="101" t="n"/>
      <c r="N9" s="101" t="n"/>
      <c r="O9" s="101" t="n"/>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06.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Breast Cancer Incidence and Mortality, Age-Adjusted Rates per 100,000 Population Females, 2018–2022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G5" t="inlineStr">
        <is>
          <t>Dutchess</t>
        </is>
      </c>
      <c r="H5" t="inlineStr">
        <is>
          <t>Orange</t>
        </is>
      </c>
      <c r="I5" s="101" t="inlineStr">
        <is>
          <t>Putnam</t>
        </is>
      </c>
      <c r="J5" s="101" t="inlineStr">
        <is>
          <t>Rockland</t>
        </is>
      </c>
      <c r="K5" s="101" t="inlineStr">
        <is>
          <t>Sullivan</t>
        </is>
      </c>
      <c r="L5" s="101" t="inlineStr">
        <is>
          <t>Ulster</t>
        </is>
      </c>
      <c r="M5" s="101" t="inlineStr">
        <is>
          <t>Westchester</t>
        </is>
      </c>
      <c r="N5" s="101" t="inlineStr">
        <is>
          <t>NYS excl NYC</t>
        </is>
      </c>
      <c r="O5" s="101" t="inlineStr">
        <is>
          <t>NYS</t>
        </is>
      </c>
    </row>
    <row r="6" ht="15" customHeight="1" s="99">
      <c r="A6" t="inlineStr">
        <is>
          <t>Multilevel Headers</t>
        </is>
      </c>
      <c r="B6" t="b">
        <v>0</v>
      </c>
      <c r="F6" t="inlineStr">
        <is>
          <t>Incidence</t>
        </is>
      </c>
      <c r="G6" s="101" t="n">
        <v>135.1</v>
      </c>
      <c r="H6" s="101" t="n">
        <v>129.6</v>
      </c>
      <c r="I6" s="101" t="n">
        <v>160.7</v>
      </c>
      <c r="J6" s="101" t="n">
        <v>134.3</v>
      </c>
      <c r="K6" s="101" t="n">
        <v>114.3</v>
      </c>
      <c r="L6" s="101" t="n">
        <v>133.6</v>
      </c>
      <c r="M6" s="101" t="n">
        <v>144.7</v>
      </c>
      <c r="N6" s="101" t="n">
        <v>141.2</v>
      </c>
      <c r="O6" s="101" t="n">
        <v>135.5</v>
      </c>
    </row>
    <row r="7" ht="15.75" customHeight="1" s="99">
      <c r="F7" t="inlineStr">
        <is>
          <t>Mortality</t>
        </is>
      </c>
      <c r="G7" s="101" t="n">
        <v>21.5</v>
      </c>
      <c r="H7" s="101" t="n">
        <v>23.5</v>
      </c>
      <c r="I7" s="101" t="n">
        <v>12</v>
      </c>
      <c r="J7" s="101" t="n">
        <v>16.2</v>
      </c>
      <c r="K7" s="101" t="n">
        <v>20</v>
      </c>
      <c r="L7" s="101" t="n">
        <v>20.7</v>
      </c>
      <c r="M7" s="101" t="n">
        <v>15.3</v>
      </c>
      <c r="N7" s="101" t="n">
        <v>17.7</v>
      </c>
      <c r="O7" s="101" t="n">
        <v>17</v>
      </c>
    </row>
    <row r="8">
      <c r="G8" s="101" t="n"/>
      <c r="H8" s="101" t="n"/>
      <c r="I8" s="101" t="n"/>
      <c r="J8" s="101" t="n"/>
      <c r="K8" s="101" t="n"/>
      <c r="L8" s="101" t="n"/>
      <c r="M8" s="101" t="n"/>
      <c r="N8" s="101" t="n"/>
      <c r="O8" s="101" t="n"/>
      <c r="P8" s="14" t="n"/>
    </row>
    <row r="9">
      <c r="A9" s="98" t="inlineStr">
        <is>
          <t>Figure Rules</t>
        </is>
      </c>
      <c r="G9" s="101" t="n"/>
      <c r="H9" s="101" t="n"/>
      <c r="I9" s="101" t="n"/>
      <c r="J9" s="101" t="n"/>
      <c r="K9" s="101" t="n"/>
      <c r="L9" s="101" t="n"/>
      <c r="M9" s="101" t="n"/>
      <c r="N9" s="101" t="n"/>
      <c r="O9" s="101" t="n"/>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7.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Breast Cancer Incidence and Mortality, Age-Adjusted Rates per 100,000 Population Females, 2018–2022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t="inlineStr">
        <is>
          <t>Year</t>
        </is>
      </c>
      <c r="G5" t="inlineStr">
        <is>
          <t>Dutchess</t>
        </is>
      </c>
      <c r="H5" t="inlineStr">
        <is>
          <t>Orange</t>
        </is>
      </c>
      <c r="I5" s="101" t="inlineStr">
        <is>
          <t>Putnam</t>
        </is>
      </c>
      <c r="J5" s="101" t="inlineStr">
        <is>
          <t>Rockland</t>
        </is>
      </c>
      <c r="K5" s="101" t="inlineStr">
        <is>
          <t>Sullivan</t>
        </is>
      </c>
      <c r="L5" s="101" t="inlineStr">
        <is>
          <t>Ulster</t>
        </is>
      </c>
      <c r="M5" s="101" t="inlineStr">
        <is>
          <t>Westchester</t>
        </is>
      </c>
      <c r="N5" s="101" t="inlineStr">
        <is>
          <t>NYS excl NYC</t>
        </is>
      </c>
      <c r="O5" s="101" t="inlineStr">
        <is>
          <t>NYS</t>
        </is>
      </c>
    </row>
    <row r="6" ht="15" customHeight="1" s="99">
      <c r="A6" t="inlineStr">
        <is>
          <t>Multilevel Headers</t>
        </is>
      </c>
      <c r="B6" t="b">
        <v>0</v>
      </c>
      <c r="F6" t="inlineStr">
        <is>
          <t>2013–2014</t>
        </is>
      </c>
      <c r="G6" s="101" t="n">
        <v>83.7</v>
      </c>
      <c r="H6" s="101" t="n">
        <v>76.8</v>
      </c>
      <c r="I6" s="101" t="n">
        <v>77.7</v>
      </c>
      <c r="J6" s="101" t="n">
        <v>81.7</v>
      </c>
      <c r="K6" s="101" t="n">
        <v>68.59999999999999</v>
      </c>
      <c r="L6" s="101" t="n">
        <v>66</v>
      </c>
      <c r="M6" s="101" t="n">
        <v>84.5</v>
      </c>
      <c r="N6" s="101" t="n">
        <v>80.40000000000001</v>
      </c>
      <c r="O6" s="101" t="n">
        <v>80.90000000000001</v>
      </c>
    </row>
    <row r="7" ht="15.75" customHeight="1" s="99">
      <c r="F7" t="n">
        <v>2016</v>
      </c>
      <c r="G7" s="101" t="n">
        <v>87.2</v>
      </c>
      <c r="H7" s="101" t="n">
        <v>74.5</v>
      </c>
      <c r="I7" s="101" t="n">
        <v>69.5</v>
      </c>
      <c r="J7" s="101" t="n">
        <v>72</v>
      </c>
      <c r="K7" s="101" t="n">
        <v>64</v>
      </c>
      <c r="L7" s="101" t="n">
        <v>72.3</v>
      </c>
      <c r="M7" s="101" t="n">
        <v>84.8</v>
      </c>
      <c r="N7" s="101" t="n">
        <v>79.2</v>
      </c>
      <c r="O7" s="101" t="n">
        <v>79.7</v>
      </c>
    </row>
    <row r="8">
      <c r="F8" t="n">
        <v>2018</v>
      </c>
      <c r="G8" s="101" t="n">
        <v>78</v>
      </c>
      <c r="H8" s="101" t="n">
        <v>78.8</v>
      </c>
      <c r="I8" s="101" t="n">
        <v>80.2</v>
      </c>
      <c r="J8" s="101" t="n">
        <v>69.8</v>
      </c>
      <c r="K8" s="101" t="n">
        <v>66.09999999999999</v>
      </c>
      <c r="L8" s="101" t="n">
        <v>73.3</v>
      </c>
      <c r="M8" s="101" t="n">
        <v>79.3</v>
      </c>
      <c r="N8" s="101" t="n">
        <v>80.90000000000001</v>
      </c>
      <c r="O8" s="101" t="n">
        <v>82.09999999999999</v>
      </c>
      <c r="P8" s="14" t="n"/>
    </row>
    <row r="9">
      <c r="A9" s="98" t="inlineStr">
        <is>
          <t>Figure Rules</t>
        </is>
      </c>
      <c r="F9" t="n">
        <v>2021</v>
      </c>
      <c r="G9" s="101" t="n">
        <v>88.5</v>
      </c>
      <c r="H9" s="101" t="n">
        <v>73.3</v>
      </c>
      <c r="I9" s="101" t="n">
        <v>80.2</v>
      </c>
      <c r="J9" s="101" t="n">
        <v>72.7</v>
      </c>
      <c r="K9" s="101" t="n">
        <v>52.2</v>
      </c>
      <c r="L9" s="101" t="n">
        <v>77.09999999999999</v>
      </c>
      <c r="M9" s="101" t="n">
        <v>77.3</v>
      </c>
      <c r="N9" s="101" t="n">
        <v>78.8</v>
      </c>
      <c r="O9" s="101" t="n">
        <v>78.2</v>
      </c>
    </row>
    <row r="10">
      <c r="A10" t="inlineStr">
        <is>
          <t>Figure Type</t>
        </is>
      </c>
      <c r="B10" t="inlineStr">
        <is>
          <t>Line</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08.xml><?xml version="1.0" encoding="utf-8"?>
<worksheet xmlns="http://schemas.openxmlformats.org/spreadsheetml/2006/main">
  <sheetPr>
    <outlinePr summaryBelow="1" summaryRight="1"/>
    <pageSetUpPr/>
  </sheetPr>
  <dimension ref="A1:Q57"/>
  <sheetViews>
    <sheetView workbookViewId="0">
      <selection activeCell="J21" sqref="J21"/>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Cervix Uteri Cancer Incidence and Mortality, Age-Adjusted Rates per 100,000 Female Population, 2018–2022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G5" t="inlineStr">
        <is>
          <t>Dutchess</t>
        </is>
      </c>
      <c r="H5" t="inlineStr">
        <is>
          <t>Orange</t>
        </is>
      </c>
      <c r="I5" t="inlineStr">
        <is>
          <t>Putnam</t>
        </is>
      </c>
      <c r="J5" s="101" t="inlineStr">
        <is>
          <t>Rockland</t>
        </is>
      </c>
      <c r="K5" s="101" t="inlineStr">
        <is>
          <t>Sullivan</t>
        </is>
      </c>
      <c r="L5" s="101" t="inlineStr">
        <is>
          <t>Ulster</t>
        </is>
      </c>
      <c r="M5" s="101" t="inlineStr">
        <is>
          <t>Westchester</t>
        </is>
      </c>
      <c r="N5" s="101" t="inlineStr">
        <is>
          <t>NYS excl NYC</t>
        </is>
      </c>
      <c r="O5" s="101" t="inlineStr">
        <is>
          <t>NYS</t>
        </is>
      </c>
    </row>
    <row r="6" ht="15" customHeight="1" s="99">
      <c r="A6" t="inlineStr">
        <is>
          <t>Multilevel Headers</t>
        </is>
      </c>
      <c r="B6" t="b">
        <v>0</v>
      </c>
      <c r="F6" t="inlineStr">
        <is>
          <t>Incidence</t>
        </is>
      </c>
      <c r="G6" s="101" t="n">
        <v>6.1</v>
      </c>
      <c r="H6" s="101" t="n">
        <v>7.5</v>
      </c>
      <c r="I6" s="101" t="inlineStr">
        <is>
          <t>s</t>
        </is>
      </c>
      <c r="J6" s="101" t="n">
        <v>7.5</v>
      </c>
      <c r="K6" s="101" t="n">
        <v>14</v>
      </c>
      <c r="L6" s="101" t="n">
        <v>8.699999999999999</v>
      </c>
      <c r="M6" s="101" t="n">
        <v>5.9</v>
      </c>
      <c r="N6" s="101" t="n">
        <v>6.9</v>
      </c>
      <c r="O6" s="101" t="n">
        <v>6.4</v>
      </c>
    </row>
    <row r="7" ht="15.75" customHeight="1" s="99">
      <c r="F7" t="inlineStr">
        <is>
          <t>Mortality</t>
        </is>
      </c>
      <c r="G7" s="101" t="inlineStr">
        <is>
          <t>s</t>
        </is>
      </c>
      <c r="H7" s="101" t="n">
        <v>2.7</v>
      </c>
      <c r="I7" s="101" t="inlineStr">
        <is>
          <t>s</t>
        </is>
      </c>
      <c r="J7" s="101" t="inlineStr">
        <is>
          <t>s</t>
        </is>
      </c>
      <c r="K7" s="101" t="inlineStr">
        <is>
          <t>s</t>
        </is>
      </c>
      <c r="L7" s="101" t="inlineStr">
        <is>
          <t>s</t>
        </is>
      </c>
      <c r="M7" s="101" t="n">
        <v>1.1</v>
      </c>
      <c r="N7" s="101" t="n">
        <v>1.7</v>
      </c>
      <c r="O7" s="101" t="n">
        <v>1.6</v>
      </c>
    </row>
    <row r="8">
      <c r="G8" s="101" t="n"/>
      <c r="H8" s="101" t="n"/>
      <c r="I8" s="101" t="n"/>
      <c r="J8" s="101" t="n"/>
      <c r="K8" s="101" t="n"/>
      <c r="L8" s="101" t="n"/>
      <c r="M8" s="101" t="n"/>
      <c r="N8" s="101" t="n"/>
      <c r="O8" s="101" t="n"/>
      <c r="P8" s="14" t="n"/>
    </row>
    <row r="9">
      <c r="A9" s="98" t="inlineStr">
        <is>
          <t>Figure Rules</t>
        </is>
      </c>
      <c r="G9" s="101" t="n"/>
      <c r="H9" s="101" t="n"/>
      <c r="I9" s="101" t="n"/>
      <c r="J9" s="101" t="n"/>
      <c r="K9" s="101" t="n"/>
      <c r="L9" s="101" t="n"/>
      <c r="M9" s="101" t="n"/>
      <c r="N9" s="101" t="n"/>
      <c r="O9" s="101" t="n"/>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09.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Cervix Uteri Cancer Incidence and Mortality, Age-Adjusted Rates per 100,000 Female Population, 2018–2022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t="inlineStr">
        <is>
          <t>Year</t>
        </is>
      </c>
      <c r="G5" t="inlineStr">
        <is>
          <t>Dutchess</t>
        </is>
      </c>
      <c r="H5" t="inlineStr">
        <is>
          <t>Orange</t>
        </is>
      </c>
      <c r="I5" t="inlineStr">
        <is>
          <t>Putnam</t>
        </is>
      </c>
      <c r="J5" s="101" t="inlineStr">
        <is>
          <t>Rockland</t>
        </is>
      </c>
      <c r="K5" s="101" t="inlineStr">
        <is>
          <t>Sullivan</t>
        </is>
      </c>
      <c r="L5" s="101" t="inlineStr">
        <is>
          <t>Ulster</t>
        </is>
      </c>
      <c r="M5" s="101" t="inlineStr">
        <is>
          <t>Westchester</t>
        </is>
      </c>
      <c r="N5" s="101" t="inlineStr">
        <is>
          <t>Mid-Hudson</t>
        </is>
      </c>
      <c r="O5" s="101" t="inlineStr">
        <is>
          <t>NYS</t>
        </is>
      </c>
    </row>
    <row r="6" ht="15" customHeight="1" s="99">
      <c r="A6" t="inlineStr">
        <is>
          <t>Multilevel Headers</t>
        </is>
      </c>
      <c r="B6" t="b">
        <v>0</v>
      </c>
      <c r="F6" t="n">
        <v>2018</v>
      </c>
      <c r="G6" s="101" t="n">
        <v>90.59999999999999</v>
      </c>
      <c r="H6" s="101" t="n">
        <v>88.8</v>
      </c>
      <c r="I6" s="101" t="n">
        <v>96.2</v>
      </c>
      <c r="J6" s="101" t="n">
        <v>80.59999999999999</v>
      </c>
      <c r="K6" s="101" t="n">
        <v>81.7</v>
      </c>
      <c r="L6" s="101" t="n">
        <v>86.09999999999999</v>
      </c>
      <c r="M6" s="101" t="n">
        <v>87.8</v>
      </c>
      <c r="N6" s="101" t="n">
        <v>86.5</v>
      </c>
      <c r="O6" s="101" t="n">
        <v>84.7</v>
      </c>
    </row>
    <row r="7" ht="15.75" customHeight="1" s="99">
      <c r="G7" s="101" t="n"/>
      <c r="H7" s="101" t="n"/>
      <c r="I7" s="101" t="n"/>
      <c r="J7" s="101" t="n"/>
      <c r="K7" s="101" t="n"/>
      <c r="L7" s="101" t="n"/>
      <c r="M7" s="101" t="n"/>
      <c r="N7" s="101" t="n"/>
      <c r="O7" s="101" t="n"/>
    </row>
    <row r="8">
      <c r="G8" s="101" t="n"/>
      <c r="H8" s="101" t="n"/>
      <c r="I8" s="101" t="n"/>
      <c r="J8" s="101" t="n"/>
      <c r="K8" s="101" t="n"/>
      <c r="L8" s="101" t="n"/>
      <c r="M8" s="101" t="n"/>
      <c r="N8" s="101" t="n"/>
      <c r="O8" s="101" t="n"/>
      <c r="P8" s="14" t="n"/>
    </row>
    <row r="9">
      <c r="A9" s="98" t="inlineStr">
        <is>
          <t>Figure Rules</t>
        </is>
      </c>
      <c r="G9" s="101" t="n"/>
      <c r="H9" s="101" t="n"/>
      <c r="I9" s="101" t="n"/>
      <c r="J9" s="101" t="n"/>
      <c r="K9" s="101" t="n"/>
      <c r="L9" s="101" t="n"/>
      <c r="M9" s="101" t="n"/>
      <c r="N9" s="101" t="n"/>
      <c r="O9" s="101" t="n"/>
    </row>
    <row r="10">
      <c r="A10" t="inlineStr">
        <is>
          <t>Figure Type</t>
        </is>
      </c>
      <c r="B10" t="inlineStr">
        <is>
          <t>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10.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Children Aged 24–35 Months with the 4:3:1:3:3:1:4 Vaccine Series, 2019–2024</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n"/>
    </row>
    <row r="5">
      <c r="A5" s="98" t="inlineStr">
        <is>
          <t>Table Rules</t>
        </is>
      </c>
      <c r="E5" s="100" t="inlineStr">
        <is>
          <t xml:space="preserve">Enter Data </t>
        </is>
      </c>
      <c r="F5" t="inlineStr">
        <is>
          <t>Year</t>
        </is>
      </c>
      <c r="G5" t="inlineStr">
        <is>
          <t>Dutchess</t>
        </is>
      </c>
      <c r="H5" t="inlineStr">
        <is>
          <t>Orange</t>
        </is>
      </c>
      <c r="I5" t="inlineStr">
        <is>
          <t>Putnam</t>
        </is>
      </c>
      <c r="J5" s="101" t="inlineStr">
        <is>
          <t>Rockland</t>
        </is>
      </c>
      <c r="K5" s="101" t="inlineStr">
        <is>
          <t>Sullivan</t>
        </is>
      </c>
      <c r="L5" s="101" t="inlineStr">
        <is>
          <t>Ulster</t>
        </is>
      </c>
      <c r="M5" s="101" t="inlineStr">
        <is>
          <t>Westchester</t>
        </is>
      </c>
      <c r="N5" s="101" t="inlineStr">
        <is>
          <t>NYS excl NYC</t>
        </is>
      </c>
      <c r="O5" s="101" t="inlineStr">
        <is>
          <t>NYS</t>
        </is>
      </c>
      <c r="P5" t="inlineStr">
        <is>
          <t>PA Objective</t>
        </is>
      </c>
    </row>
    <row r="6" ht="15" customHeight="1" s="99">
      <c r="A6" t="inlineStr">
        <is>
          <t>Multilevel Headers</t>
        </is>
      </c>
      <c r="B6" t="b">
        <v>0</v>
      </c>
      <c r="F6" t="n">
        <v>2019</v>
      </c>
      <c r="G6" s="101" t="n">
        <v>62.2</v>
      </c>
      <c r="H6" s="101" t="n">
        <v>43.1</v>
      </c>
      <c r="I6" s="101" t="n">
        <v>59.2</v>
      </c>
      <c r="J6" s="101" t="n">
        <v>37.4</v>
      </c>
      <c r="K6" s="101" t="n">
        <v>48.6</v>
      </c>
      <c r="L6" s="101" t="n">
        <v>57.4</v>
      </c>
      <c r="M6" s="101" t="n">
        <v>51.6</v>
      </c>
      <c r="N6" s="101" t="n">
        <v>60.1</v>
      </c>
      <c r="O6" s="101" t="n">
        <v>56.7</v>
      </c>
      <c r="P6" t="n">
        <v>62.3</v>
      </c>
    </row>
    <row r="7" ht="15.75" customHeight="1" s="99">
      <c r="F7" t="n">
        <v>2020</v>
      </c>
      <c r="G7" s="101" t="n">
        <v>60</v>
      </c>
      <c r="H7" s="101" t="n">
        <v>41.8</v>
      </c>
      <c r="I7" s="101" t="n">
        <v>58.4</v>
      </c>
      <c r="J7" s="101" t="n">
        <v>35.8</v>
      </c>
      <c r="K7" s="101" t="n">
        <v>44.2</v>
      </c>
      <c r="L7" s="101" t="n">
        <v>58</v>
      </c>
      <c r="M7" s="101" t="n">
        <v>51.1</v>
      </c>
      <c r="N7" s="101" t="n">
        <v>60</v>
      </c>
      <c r="O7" s="101" t="n">
        <v>56.4</v>
      </c>
      <c r="P7" t="n">
        <v>62.3</v>
      </c>
    </row>
    <row r="8">
      <c r="F8" t="n">
        <v>2021</v>
      </c>
      <c r="G8" s="101" t="n">
        <v>60.5</v>
      </c>
      <c r="H8" s="101" t="n">
        <v>39.2</v>
      </c>
      <c r="I8" s="101" t="n">
        <v>59.8</v>
      </c>
      <c r="J8" s="101" t="n">
        <v>34.6</v>
      </c>
      <c r="K8" s="101" t="n">
        <v>42.5</v>
      </c>
      <c r="L8" s="101" t="n">
        <v>56.9</v>
      </c>
      <c r="M8" s="101" t="n">
        <v>52.6</v>
      </c>
      <c r="N8" s="101" t="n">
        <v>60.1</v>
      </c>
      <c r="O8" s="101" t="n">
        <v>55.6</v>
      </c>
      <c r="P8" s="14" t="n">
        <v>62.3</v>
      </c>
    </row>
    <row r="9">
      <c r="A9" s="98" t="inlineStr">
        <is>
          <t>Figure Rules</t>
        </is>
      </c>
      <c r="F9" t="n">
        <v>2022</v>
      </c>
      <c r="G9" s="101" t="n">
        <v>58.9</v>
      </c>
      <c r="H9" s="101" t="n">
        <v>40.4</v>
      </c>
      <c r="I9" s="101" t="n">
        <v>63.7</v>
      </c>
      <c r="J9" s="101" t="n">
        <v>35.2</v>
      </c>
      <c r="K9" s="101" t="n">
        <v>42.5</v>
      </c>
      <c r="L9" s="101" t="n">
        <v>55.6</v>
      </c>
      <c r="M9" s="101" t="n">
        <v>54.8</v>
      </c>
      <c r="N9" s="101" t="n">
        <v>59.4</v>
      </c>
      <c r="O9" s="101" t="n">
        <v>55.8</v>
      </c>
      <c r="P9" t="n">
        <v>62.3</v>
      </c>
    </row>
    <row r="10">
      <c r="A10" t="inlineStr">
        <is>
          <t>Figure Type</t>
        </is>
      </c>
      <c r="B10" t="inlineStr">
        <is>
          <t>Line</t>
        </is>
      </c>
      <c r="F10" t="n">
        <v>2023</v>
      </c>
      <c r="G10" t="n">
        <v>62.2</v>
      </c>
      <c r="H10" t="n">
        <v>39</v>
      </c>
      <c r="I10" t="n">
        <v>64.8</v>
      </c>
      <c r="J10" t="n">
        <v>32.2</v>
      </c>
      <c r="K10" t="n">
        <v>45.6</v>
      </c>
      <c r="L10" t="n">
        <v>58.2</v>
      </c>
      <c r="M10" t="n">
        <v>53.5</v>
      </c>
      <c r="N10" t="n">
        <v>59.1</v>
      </c>
      <c r="O10" t="n">
        <v>56.9</v>
      </c>
      <c r="P10" t="n">
        <v>62.3</v>
      </c>
    </row>
    <row r="11">
      <c r="A11" t="inlineStr">
        <is>
          <t>X Column</t>
        </is>
      </c>
      <c r="B11" t="inlineStr">
        <is>
          <t>County</t>
        </is>
      </c>
      <c r="F11" s="46" t="inlineStr">
        <is>
          <t>2024</t>
        </is>
      </c>
      <c r="G11" s="116" t="n">
        <v>65.2</v>
      </c>
      <c r="H11" s="116" t="n">
        <v>44.1</v>
      </c>
      <c r="I11" s="116" t="n">
        <v>66.2</v>
      </c>
      <c r="J11" s="42" t="n">
        <v>36.8</v>
      </c>
      <c r="K11" s="42" t="n">
        <v>48.1</v>
      </c>
      <c r="L11" s="42" t="n">
        <v>64</v>
      </c>
      <c r="M11" s="47" t="inlineStr">
        <is>
          <t>60.3</t>
        </is>
      </c>
      <c r="N11" s="47" t="inlineStr">
        <is>
          <t>60.9</t>
        </is>
      </c>
      <c r="O11" s="46" t="inlineStr">
        <is>
          <t>59.3</t>
        </is>
      </c>
      <c r="P11" t="n">
        <v>62.3</v>
      </c>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1.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COVID-19 Mortality, Age-Adjusted Rate per 100,000 Population,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n"/>
    </row>
    <row r="5">
      <c r="A5" s="98" t="inlineStr">
        <is>
          <t>Table Rules</t>
        </is>
      </c>
      <c r="E5" s="100" t="inlineStr">
        <is>
          <t xml:space="preserve">Enter Data </t>
        </is>
      </c>
      <c r="F5" t="inlineStr">
        <is>
          <t>Year</t>
        </is>
      </c>
      <c r="G5" t="inlineStr">
        <is>
          <t>Dutchess</t>
        </is>
      </c>
      <c r="H5" t="inlineStr">
        <is>
          <t>Orange</t>
        </is>
      </c>
      <c r="I5" t="inlineStr">
        <is>
          <t>Putnam</t>
        </is>
      </c>
      <c r="J5" s="101" t="inlineStr">
        <is>
          <t>Rockland</t>
        </is>
      </c>
      <c r="K5" s="101" t="inlineStr">
        <is>
          <t>Sullivan</t>
        </is>
      </c>
      <c r="L5" s="101" t="inlineStr">
        <is>
          <t>Ulster</t>
        </is>
      </c>
      <c r="M5" s="101" t="inlineStr">
        <is>
          <t>Westchester</t>
        </is>
      </c>
      <c r="N5" s="101" t="inlineStr">
        <is>
          <t>Mid-Hudson</t>
        </is>
      </c>
      <c r="O5" s="101" t="inlineStr">
        <is>
          <t>NYS excl NYC</t>
        </is>
      </c>
      <c r="P5" t="inlineStr">
        <is>
          <t>NYS</t>
        </is>
      </c>
    </row>
    <row r="6" ht="15" customHeight="1" s="99">
      <c r="A6" t="inlineStr">
        <is>
          <t>Multilevel Headers</t>
        </is>
      </c>
      <c r="B6" t="b">
        <v>0</v>
      </c>
      <c r="F6" t="n">
        <v>2020</v>
      </c>
      <c r="G6" s="101" t="n">
        <v>63.1</v>
      </c>
      <c r="H6" s="101" t="n">
        <v>142</v>
      </c>
      <c r="I6" s="101" t="n">
        <v>95.7</v>
      </c>
      <c r="J6" s="101" t="n">
        <v>204.4</v>
      </c>
      <c r="K6" s="101" t="n">
        <v>62.2</v>
      </c>
      <c r="L6" s="101" t="n">
        <v>58.4</v>
      </c>
      <c r="M6" s="101" t="n">
        <v>143</v>
      </c>
      <c r="N6" s="101" t="n">
        <v>128.1</v>
      </c>
      <c r="O6" s="101" t="n">
        <v>92.7</v>
      </c>
      <c r="P6" t="n">
        <v>144.4</v>
      </c>
    </row>
    <row r="7" ht="15.75" customHeight="1" s="99">
      <c r="F7" t="n">
        <v>2021</v>
      </c>
      <c r="G7" s="101" t="n">
        <v>83</v>
      </c>
      <c r="H7" s="101" t="n">
        <v>90.5</v>
      </c>
      <c r="I7" s="101" t="n">
        <v>41.6</v>
      </c>
      <c r="J7" s="101" t="n">
        <v>67.40000000000001</v>
      </c>
      <c r="K7" s="101" t="n">
        <v>83.40000000000001</v>
      </c>
      <c r="L7" s="101" t="n">
        <v>77.5</v>
      </c>
      <c r="M7" s="101" t="n">
        <v>68.40000000000001</v>
      </c>
      <c r="N7" s="101" t="n">
        <v>73.5</v>
      </c>
      <c r="O7" s="101" t="n">
        <v>86</v>
      </c>
      <c r="P7" t="n">
        <v>84.09999999999999</v>
      </c>
    </row>
    <row r="8">
      <c r="F8" t="n">
        <v>2022</v>
      </c>
      <c r="G8" s="101" t="n">
        <v>42.8</v>
      </c>
      <c r="H8" s="101" t="n">
        <v>53.2</v>
      </c>
      <c r="I8" s="101" t="n">
        <v>28.9</v>
      </c>
      <c r="J8" s="101" t="n">
        <v>45.5</v>
      </c>
      <c r="K8" s="101" t="n">
        <v>60</v>
      </c>
      <c r="L8" s="101" t="n">
        <v>34</v>
      </c>
      <c r="M8" s="101" t="n">
        <v>35.5</v>
      </c>
      <c r="N8" s="101" t="n">
        <v>40.8</v>
      </c>
      <c r="O8" s="101" t="n">
        <v>42.3</v>
      </c>
      <c r="P8" s="14" t="n">
        <v>42.6</v>
      </c>
    </row>
    <row r="9">
      <c r="A9" s="98" t="inlineStr">
        <is>
          <t>Figure Rules</t>
        </is>
      </c>
      <c r="G9" s="101" t="n"/>
      <c r="H9" s="101" t="n"/>
      <c r="I9" s="101" t="n"/>
      <c r="J9" s="101" t="n"/>
      <c r="K9" s="101" t="n"/>
      <c r="L9" s="101" t="n"/>
      <c r="M9" s="101" t="n"/>
      <c r="N9" s="101" t="n"/>
      <c r="O9" s="101" t="n"/>
    </row>
    <row r="10">
      <c r="A10" t="inlineStr">
        <is>
          <t>Figure Type</t>
        </is>
      </c>
      <c r="B10" t="inlineStr">
        <is>
          <t>Line</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12.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 xml:space="preserve">Percentage of Adolescents 13 Years Old with a Complete HPV Vaccine Series, 2019–2024  </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n"/>
    </row>
    <row r="5">
      <c r="A5" s="98" t="inlineStr">
        <is>
          <t>Table Rules</t>
        </is>
      </c>
      <c r="E5" s="100" t="inlineStr">
        <is>
          <t xml:space="preserve">Enter Data </t>
        </is>
      </c>
      <c r="F5" s="82" t="inlineStr">
        <is>
          <t>Year</t>
        </is>
      </c>
      <c r="G5" t="inlineStr">
        <is>
          <t>Dutchess</t>
        </is>
      </c>
      <c r="H5" t="inlineStr">
        <is>
          <t>Orange</t>
        </is>
      </c>
      <c r="I5" t="inlineStr">
        <is>
          <t>Putnam</t>
        </is>
      </c>
      <c r="J5" s="101" t="inlineStr">
        <is>
          <t>Rockland</t>
        </is>
      </c>
      <c r="K5" s="101" t="inlineStr">
        <is>
          <t>Sullivan</t>
        </is>
      </c>
      <c r="L5" s="101" t="inlineStr">
        <is>
          <t>Ulster</t>
        </is>
      </c>
      <c r="M5" s="101" t="inlineStr">
        <is>
          <t>Westchester</t>
        </is>
      </c>
      <c r="N5" s="101" t="inlineStr">
        <is>
          <t>NYS excl NYC</t>
        </is>
      </c>
      <c r="O5" s="101" t="inlineStr">
        <is>
          <t>NYS</t>
        </is>
      </c>
      <c r="P5" t="inlineStr">
        <is>
          <t>PA Objective</t>
        </is>
      </c>
    </row>
    <row r="6" ht="15" customHeight="1" s="99">
      <c r="A6" t="inlineStr">
        <is>
          <t>Multilevel Headers</t>
        </is>
      </c>
      <c r="B6" t="b">
        <v>0</v>
      </c>
      <c r="F6" t="n">
        <v>2019</v>
      </c>
      <c r="G6" s="101" t="n">
        <v>17.5</v>
      </c>
      <c r="H6" s="101" t="n">
        <v>21.5</v>
      </c>
      <c r="I6" s="101" t="n">
        <v>20.1</v>
      </c>
      <c r="J6" s="101" t="n">
        <v>15.1</v>
      </c>
      <c r="K6" s="101" t="n">
        <v>21.6</v>
      </c>
      <c r="L6" s="101" t="n">
        <v>15.6</v>
      </c>
      <c r="M6" s="101" t="n">
        <v>19.6</v>
      </c>
      <c r="N6" s="101" t="n">
        <v>23.6</v>
      </c>
      <c r="O6" s="101" t="n">
        <v>24.9</v>
      </c>
      <c r="P6" t="n">
        <v>28.7</v>
      </c>
    </row>
    <row r="7" ht="15.75" customHeight="1" s="99">
      <c r="F7" t="n">
        <v>2020</v>
      </c>
      <c r="G7" s="101" t="n">
        <v>16.9</v>
      </c>
      <c r="H7" s="101" t="n">
        <v>20.2</v>
      </c>
      <c r="I7" s="101" t="n">
        <v>19.6</v>
      </c>
      <c r="J7" s="101" t="n">
        <v>15.7</v>
      </c>
      <c r="K7" s="101" t="n">
        <v>19.3</v>
      </c>
      <c r="L7" s="101" t="n">
        <v>15.7</v>
      </c>
      <c r="M7" s="101" t="n">
        <v>19.3</v>
      </c>
      <c r="N7" s="101" t="n">
        <v>24.1</v>
      </c>
      <c r="O7" s="101" t="n">
        <v>25.2</v>
      </c>
      <c r="P7" t="n">
        <v>28.7</v>
      </c>
    </row>
    <row r="8">
      <c r="F8" t="n">
        <v>2021</v>
      </c>
      <c r="G8" s="101" t="n">
        <v>18.9</v>
      </c>
      <c r="H8" s="101" t="n">
        <v>20.2</v>
      </c>
      <c r="I8" s="101" t="n">
        <v>17</v>
      </c>
      <c r="J8" s="101" t="n">
        <v>15.3</v>
      </c>
      <c r="K8" s="101" t="n">
        <v>19.1</v>
      </c>
      <c r="L8" s="101" t="n">
        <v>15.4</v>
      </c>
      <c r="M8" s="101" t="n">
        <v>21.3</v>
      </c>
      <c r="N8" s="101" t="n">
        <v>25.1</v>
      </c>
      <c r="O8" s="101" t="n">
        <v>25.8</v>
      </c>
      <c r="P8" s="14" t="n">
        <v>28.7</v>
      </c>
    </row>
    <row r="9">
      <c r="A9" s="98" t="inlineStr">
        <is>
          <t>Figure Rules</t>
        </is>
      </c>
      <c r="F9" t="n">
        <v>2022</v>
      </c>
      <c r="G9" s="101" t="n">
        <v>16.9</v>
      </c>
      <c r="H9" s="101" t="n">
        <v>19.7</v>
      </c>
      <c r="I9" s="101" t="n">
        <v>15.2</v>
      </c>
      <c r="J9" s="101" t="n">
        <v>15.2</v>
      </c>
      <c r="K9" s="101" t="n">
        <v>20.3</v>
      </c>
      <c r="L9" s="101" t="n">
        <v>16.4</v>
      </c>
      <c r="M9" s="101" t="n">
        <v>21.1</v>
      </c>
      <c r="N9" s="101" t="n">
        <v>24.6</v>
      </c>
      <c r="O9" s="101" t="n">
        <v>25.3</v>
      </c>
      <c r="P9" t="n">
        <v>28.7</v>
      </c>
    </row>
    <row r="10">
      <c r="A10" t="inlineStr">
        <is>
          <t>Figure Type</t>
        </is>
      </c>
      <c r="B10" t="inlineStr">
        <is>
          <t>Line</t>
        </is>
      </c>
      <c r="F10" t="n">
        <v>2023</v>
      </c>
      <c r="G10" t="n">
        <v>15.2</v>
      </c>
      <c r="H10" t="n">
        <v>15.2</v>
      </c>
      <c r="I10" t="n">
        <v>15.9</v>
      </c>
      <c r="J10" t="n">
        <v>15</v>
      </c>
      <c r="K10" t="n">
        <v>20.3</v>
      </c>
      <c r="L10" t="n">
        <v>16.1</v>
      </c>
      <c r="M10" t="n">
        <v>22.1</v>
      </c>
      <c r="N10" t="n">
        <v>24.5</v>
      </c>
      <c r="O10" t="n">
        <v>25.6</v>
      </c>
      <c r="P10" t="n">
        <v>28.7</v>
      </c>
    </row>
    <row r="11">
      <c r="A11" t="inlineStr">
        <is>
          <t>X Column</t>
        </is>
      </c>
      <c r="B11" t="inlineStr">
        <is>
          <t>County</t>
        </is>
      </c>
      <c r="F11" s="46" t="inlineStr">
        <is>
          <t>2024</t>
        </is>
      </c>
      <c r="G11" s="116" t="n">
        <v>16.1</v>
      </c>
      <c r="H11" s="116" t="n">
        <v>18.7</v>
      </c>
      <c r="I11" s="116" t="n">
        <v>14.5</v>
      </c>
      <c r="J11" s="42" t="n">
        <v>16.1</v>
      </c>
      <c r="K11" s="42" t="n">
        <v>19.8</v>
      </c>
      <c r="L11" s="42" t="n">
        <v>14.5</v>
      </c>
      <c r="M11" s="47" t="inlineStr">
        <is>
          <t>22.4</t>
        </is>
      </c>
      <c r="N11" s="47" t="inlineStr">
        <is>
          <t>24.4</t>
        </is>
      </c>
      <c r="O11" s="46" t="inlineStr">
        <is>
          <t>25.7</t>
        </is>
      </c>
      <c r="P11" t="n">
        <v>28.7</v>
      </c>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3.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Adults with Flu Immunization in the Past Year,  2016, 2018,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s="82" t="inlineStr">
        <is>
          <t>Year</t>
        </is>
      </c>
      <c r="G5" t="inlineStr">
        <is>
          <t>Dutchess</t>
        </is>
      </c>
      <c r="H5" t="inlineStr">
        <is>
          <t>Orange</t>
        </is>
      </c>
      <c r="I5" t="inlineStr">
        <is>
          <t>Putnam</t>
        </is>
      </c>
      <c r="J5" s="101" t="inlineStr">
        <is>
          <t>Rockland</t>
        </is>
      </c>
      <c r="K5" s="101" t="inlineStr">
        <is>
          <t>Sullivan</t>
        </is>
      </c>
      <c r="L5" s="101" t="inlineStr">
        <is>
          <t>Ulster</t>
        </is>
      </c>
      <c r="M5" s="101" t="inlineStr">
        <is>
          <t>Westchester</t>
        </is>
      </c>
      <c r="N5" s="101" t="inlineStr">
        <is>
          <t>NYS excl NYC</t>
        </is>
      </c>
      <c r="O5" s="101" t="inlineStr">
        <is>
          <t>NYS</t>
        </is>
      </c>
    </row>
    <row r="6" ht="15" customHeight="1" s="99">
      <c r="A6" t="inlineStr">
        <is>
          <t>Multilevel Headers</t>
        </is>
      </c>
      <c r="B6" t="b">
        <v>0</v>
      </c>
      <c r="F6" t="n">
        <v>2016</v>
      </c>
      <c r="G6" s="101" t="n">
        <v>36.6</v>
      </c>
      <c r="H6" s="101" t="n">
        <v>34.7</v>
      </c>
      <c r="I6" s="101" t="n">
        <v>32.5</v>
      </c>
      <c r="J6" s="101" t="n">
        <v>38.7</v>
      </c>
      <c r="K6" s="101" t="n">
        <v>40</v>
      </c>
      <c r="L6" s="101" t="n">
        <v>35.7</v>
      </c>
      <c r="M6" s="101" t="n">
        <v>38.9</v>
      </c>
      <c r="N6" s="101" t="n">
        <v>38.9</v>
      </c>
      <c r="O6" s="101" t="n">
        <v>38.7</v>
      </c>
    </row>
    <row r="7" ht="15.75" customHeight="1" s="99">
      <c r="F7" t="n">
        <v>2018</v>
      </c>
      <c r="G7" s="101" t="n">
        <v>22.4</v>
      </c>
      <c r="H7" s="101" t="n">
        <v>27.4</v>
      </c>
      <c r="I7" s="101" t="n">
        <v>28.9</v>
      </c>
      <c r="J7" s="101" t="n">
        <v>27.9</v>
      </c>
      <c r="K7" s="101" t="n">
        <v>27.8</v>
      </c>
      <c r="L7" s="101" t="n">
        <v>23.2</v>
      </c>
      <c r="M7" s="101" t="n">
        <v>29.5</v>
      </c>
      <c r="N7" s="101" t="n">
        <v>25.9</v>
      </c>
      <c r="O7" s="101" t="n">
        <v>26.9</v>
      </c>
    </row>
    <row r="8">
      <c r="F8" t="n">
        <v>2021</v>
      </c>
      <c r="G8" s="101" t="n">
        <v>41.1</v>
      </c>
      <c r="H8" s="101" t="n">
        <v>40.7</v>
      </c>
      <c r="I8" s="101" t="n">
        <v>43.8</v>
      </c>
      <c r="J8" s="101" t="n">
        <v>42.9</v>
      </c>
      <c r="K8" s="101" t="n">
        <v>28.2</v>
      </c>
      <c r="L8" s="101" t="n">
        <v>44.5</v>
      </c>
      <c r="M8" s="101" t="n">
        <v>45.5</v>
      </c>
      <c r="N8" s="101" t="n">
        <v>44.7</v>
      </c>
      <c r="O8" s="101" t="n">
        <v>44.5</v>
      </c>
      <c r="P8" s="14" t="n"/>
    </row>
    <row r="9">
      <c r="A9" s="98" t="inlineStr">
        <is>
          <t>Figure Rules</t>
        </is>
      </c>
      <c r="G9" s="101" t="n"/>
      <c r="H9" s="101" t="n"/>
      <c r="I9" s="101" t="n"/>
      <c r="J9" s="101" t="n"/>
      <c r="K9" s="101" t="n"/>
      <c r="L9" s="101" t="n"/>
      <c r="M9" s="101" t="n"/>
      <c r="N9" s="101" t="n"/>
      <c r="O9" s="101" t="n"/>
    </row>
    <row r="10">
      <c r="A10" t="inlineStr">
        <is>
          <t>Figure Type</t>
        </is>
      </c>
      <c r="B10" t="inlineStr">
        <is>
          <t>Line</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14.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Adults 65 Years and Older with Flu Immunization in the Past Year,  2016, 2018,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s="82" t="inlineStr">
        <is>
          <t>Year</t>
        </is>
      </c>
      <c r="G5" t="inlineStr">
        <is>
          <t>Dutchess</t>
        </is>
      </c>
      <c r="H5" t="inlineStr">
        <is>
          <t>Orange</t>
        </is>
      </c>
      <c r="I5" t="inlineStr">
        <is>
          <t>Putnam</t>
        </is>
      </c>
      <c r="J5" s="101" t="inlineStr">
        <is>
          <t>Rockland</t>
        </is>
      </c>
      <c r="K5" s="101" t="inlineStr">
        <is>
          <t>Sullivan</t>
        </is>
      </c>
      <c r="L5" s="101" t="inlineStr">
        <is>
          <t>Ulster</t>
        </is>
      </c>
      <c r="M5" s="101" t="inlineStr">
        <is>
          <t>Westchester</t>
        </is>
      </c>
      <c r="N5" s="101" t="inlineStr">
        <is>
          <t>NYS excl NYC</t>
        </is>
      </c>
      <c r="O5" s="101" t="inlineStr">
        <is>
          <t>NYS</t>
        </is>
      </c>
    </row>
    <row r="6" ht="15" customHeight="1" s="99">
      <c r="A6" t="inlineStr">
        <is>
          <t>Multilevel Headers</t>
        </is>
      </c>
      <c r="B6" t="b">
        <v>0</v>
      </c>
      <c r="F6" t="n">
        <v>2016</v>
      </c>
      <c r="G6" s="101" t="n">
        <v>36.6</v>
      </c>
      <c r="H6" s="101" t="n">
        <v>34.7</v>
      </c>
      <c r="I6" s="101" t="n">
        <v>32.5</v>
      </c>
      <c r="J6" s="101" t="n">
        <v>38.7</v>
      </c>
      <c r="K6" s="101" t="n">
        <v>40</v>
      </c>
      <c r="L6" s="101" t="n">
        <v>35.7</v>
      </c>
      <c r="M6" s="101" t="n">
        <v>38.9</v>
      </c>
      <c r="N6" s="101" t="n">
        <v>38.9</v>
      </c>
      <c r="O6" s="101" t="n">
        <v>38.7</v>
      </c>
    </row>
    <row r="7" ht="15.75" customHeight="1" s="99">
      <c r="F7" t="n">
        <v>2018</v>
      </c>
      <c r="G7" s="101" t="n">
        <v>22.4</v>
      </c>
      <c r="H7" s="101" t="n">
        <v>27.4</v>
      </c>
      <c r="I7" s="101" t="n">
        <v>28.9</v>
      </c>
      <c r="J7" s="101" t="n">
        <v>27.9</v>
      </c>
      <c r="K7" s="101" t="n">
        <v>27.8</v>
      </c>
      <c r="L7" s="101" t="n">
        <v>23.2</v>
      </c>
      <c r="M7" s="101" t="n">
        <v>29.5</v>
      </c>
      <c r="N7" s="101" t="n">
        <v>25.9</v>
      </c>
      <c r="O7" s="101" t="n">
        <v>26.9</v>
      </c>
    </row>
    <row r="8">
      <c r="F8" t="n">
        <v>2021</v>
      </c>
      <c r="G8" s="101" t="n">
        <v>41.1</v>
      </c>
      <c r="H8" s="101" t="n">
        <v>40.7</v>
      </c>
      <c r="I8" s="101" t="n">
        <v>43.8</v>
      </c>
      <c r="J8" s="101" t="n">
        <v>42.9</v>
      </c>
      <c r="K8" s="101" t="n">
        <v>28.2</v>
      </c>
      <c r="L8" s="101" t="n">
        <v>44.5</v>
      </c>
      <c r="M8" s="101" t="n">
        <v>45.5</v>
      </c>
      <c r="N8" s="101" t="n">
        <v>44.7</v>
      </c>
      <c r="O8" s="101" t="n">
        <v>44.5</v>
      </c>
      <c r="P8" s="14" t="n"/>
    </row>
    <row r="9">
      <c r="A9" s="98" t="inlineStr">
        <is>
          <t>Figure Rules</t>
        </is>
      </c>
      <c r="G9" s="101" t="n"/>
      <c r="H9" s="101" t="n"/>
      <c r="I9" s="101" t="n"/>
      <c r="J9" s="101" t="n"/>
      <c r="K9" s="101" t="n"/>
      <c r="L9" s="101" t="n"/>
      <c r="M9" s="101" t="n"/>
      <c r="N9" s="101" t="n"/>
      <c r="O9" s="101" t="n"/>
    </row>
    <row r="10">
      <c r="A10" t="inlineStr">
        <is>
          <t>Figure Type</t>
        </is>
      </c>
      <c r="B10" t="inlineStr">
        <is>
          <t>Line</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5.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Adults 65 Years and Older with Pneumococcal Immunization, 2016, 2018, and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s="82" t="inlineStr">
        <is>
          <t>Year</t>
        </is>
      </c>
      <c r="G5" t="inlineStr">
        <is>
          <t>Dutchess</t>
        </is>
      </c>
      <c r="H5" t="inlineStr">
        <is>
          <t>Orange</t>
        </is>
      </c>
      <c r="I5" t="inlineStr">
        <is>
          <t>Putnam</t>
        </is>
      </c>
      <c r="J5" s="101" t="inlineStr">
        <is>
          <t>Rockland</t>
        </is>
      </c>
      <c r="K5" s="101" t="inlineStr">
        <is>
          <t>Sullivan</t>
        </is>
      </c>
      <c r="L5" s="101" t="inlineStr">
        <is>
          <t>Ulster</t>
        </is>
      </c>
      <c r="M5" s="101" t="inlineStr">
        <is>
          <t>Westchester</t>
        </is>
      </c>
      <c r="N5" s="101" t="inlineStr">
        <is>
          <t>NYS excl NYC</t>
        </is>
      </c>
      <c r="O5" s="101" t="inlineStr">
        <is>
          <t>NYS</t>
        </is>
      </c>
    </row>
    <row r="6" ht="15" customHeight="1" s="99">
      <c r="A6" t="inlineStr">
        <is>
          <t>Multilevel Headers</t>
        </is>
      </c>
      <c r="B6" t="b">
        <v>0</v>
      </c>
      <c r="F6" t="n">
        <v>2016</v>
      </c>
      <c r="G6" s="101" t="inlineStr">
        <is>
          <t>65.6*</t>
        </is>
      </c>
      <c r="H6" s="101" t="n">
        <v>74.8</v>
      </c>
      <c r="I6" s="101" t="n">
        <v>71.09999999999999</v>
      </c>
      <c r="J6" s="101" t="inlineStr">
        <is>
          <t>64.0*</t>
        </is>
      </c>
      <c r="K6" s="101" t="inlineStr">
        <is>
          <t>64.0*</t>
        </is>
      </c>
      <c r="L6" s="101" t="n">
        <v>60.7</v>
      </c>
      <c r="M6" s="101" t="n">
        <v>72.7</v>
      </c>
      <c r="N6" s="101" t="n">
        <v>73.8</v>
      </c>
      <c r="O6" s="101" t="n">
        <v>69.3</v>
      </c>
    </row>
    <row r="7" ht="15.75" customHeight="1" s="99">
      <c r="F7" t="n">
        <v>2018</v>
      </c>
      <c r="G7" s="101" t="n">
        <v>75</v>
      </c>
      <c r="H7" s="101" t="inlineStr">
        <is>
          <t>63.2*</t>
        </is>
      </c>
      <c r="I7" s="101" t="inlineStr">
        <is>
          <t>66.4*</t>
        </is>
      </c>
      <c r="J7" s="101" t="inlineStr">
        <is>
          <t>66.4*</t>
        </is>
      </c>
      <c r="K7" s="101" t="inlineStr">
        <is>
          <t>62.7*</t>
        </is>
      </c>
      <c r="L7" s="101" t="inlineStr">
        <is>
          <t>61.7*</t>
        </is>
      </c>
      <c r="M7" s="101" t="n">
        <v>69.2</v>
      </c>
      <c r="N7" s="101" t="n">
        <v>69.40000000000001</v>
      </c>
      <c r="O7" s="101" t="n">
        <v>64</v>
      </c>
    </row>
    <row r="8">
      <c r="F8" t="n">
        <v>2021</v>
      </c>
      <c r="G8" s="101" t="n">
        <v>65</v>
      </c>
      <c r="H8" s="101" t="n">
        <v>67</v>
      </c>
      <c r="I8" s="101" t="n">
        <v>75.7</v>
      </c>
      <c r="J8" s="101" t="inlineStr">
        <is>
          <t>68.2*</t>
        </is>
      </c>
      <c r="K8" s="101" t="inlineStr">
        <is>
          <t>44.6*</t>
        </is>
      </c>
      <c r="L8" s="101" t="inlineStr">
        <is>
          <t>63.4*</t>
        </is>
      </c>
      <c r="M8" s="101" t="n">
        <v>65</v>
      </c>
      <c r="N8" s="101" t="n">
        <v>70.09999999999999</v>
      </c>
      <c r="O8" s="101" t="n">
        <v>65.59999999999999</v>
      </c>
      <c r="P8" s="14" t="n"/>
    </row>
    <row r="9">
      <c r="A9" s="98" t="inlineStr">
        <is>
          <t>Figure Rules</t>
        </is>
      </c>
      <c r="G9" s="101" t="n"/>
      <c r="H9" s="101" t="n"/>
      <c r="I9" s="101" t="n"/>
      <c r="J9" s="101" t="n"/>
      <c r="K9" s="101" t="n"/>
      <c r="L9" s="101" t="n"/>
      <c r="M9" s="101" t="n"/>
      <c r="N9" s="101" t="n"/>
      <c r="O9" s="101" t="n"/>
    </row>
    <row r="10">
      <c r="A10" t="inlineStr">
        <is>
          <t>Figure Type</t>
        </is>
      </c>
      <c r="B10" t="inlineStr">
        <is>
          <t>Line</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16.xml><?xml version="1.0" encoding="utf-8"?>
<worksheet xmlns="http://schemas.openxmlformats.org/spreadsheetml/2006/main">
  <sheetPr>
    <outlinePr summaryBelow="1" summaryRight="1"/>
    <pageSetUpPr/>
  </sheetPr>
  <dimension ref="A1:Q57"/>
  <sheetViews>
    <sheetView workbookViewId="0">
      <selection activeCell="P4" sqref="P4"/>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Newly Diagnosed HIV, Age-Adjusted Case Rate per 100,000 Population, 2014–2021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G5" s="101" t="inlineStr">
        <is>
          <t>Three-Year Average</t>
        </is>
      </c>
      <c r="N5" s="101" t="inlineStr">
        <is>
          <t>Single-Year</t>
        </is>
      </c>
    </row>
    <row r="6" ht="15" customHeight="1" s="99">
      <c r="A6" t="inlineStr">
        <is>
          <t>Multilevel Headers</t>
        </is>
      </c>
      <c r="B6" t="b">
        <v>1</v>
      </c>
      <c r="F6" t="inlineStr">
        <is>
          <t>Year</t>
        </is>
      </c>
      <c r="G6" s="101" t="inlineStr">
        <is>
          <t>Dutchess</t>
        </is>
      </c>
      <c r="H6" s="101" t="inlineStr">
        <is>
          <t>Orange</t>
        </is>
      </c>
      <c r="I6" s="101" t="inlineStr">
        <is>
          <t>Putnam</t>
        </is>
      </c>
      <c r="J6" s="101" t="inlineStr">
        <is>
          <t>Rockland</t>
        </is>
      </c>
      <c r="K6" s="101" t="inlineStr">
        <is>
          <t>Sullivan</t>
        </is>
      </c>
      <c r="L6" s="101" t="inlineStr">
        <is>
          <t>Ulster</t>
        </is>
      </c>
      <c r="M6" s="101" t="inlineStr">
        <is>
          <t>Westchester</t>
        </is>
      </c>
      <c r="N6" s="101" t="inlineStr">
        <is>
          <t>NYS excl NYC</t>
        </is>
      </c>
      <c r="O6" s="101" t="inlineStr">
        <is>
          <t>NYS</t>
        </is>
      </c>
    </row>
    <row r="7" ht="15.75" customHeight="1" s="99">
      <c r="F7" t="n">
        <v>2014</v>
      </c>
      <c r="G7" s="101" t="n">
        <v>7.7</v>
      </c>
      <c r="H7" s="101" t="n">
        <v>3.9</v>
      </c>
      <c r="I7" s="101" t="inlineStr">
        <is>
          <t>3.9*</t>
        </is>
      </c>
      <c r="J7" s="101" t="n">
        <v>8.199999999999999</v>
      </c>
      <c r="K7" s="101" t="n">
        <v>9.4</v>
      </c>
      <c r="L7" s="101" t="n">
        <v>5.5</v>
      </c>
      <c r="M7" s="101" t="n">
        <v>11.8</v>
      </c>
      <c r="N7" s="101" t="n">
        <v>7.8</v>
      </c>
      <c r="O7" s="101" t="n">
        <v>18</v>
      </c>
    </row>
    <row r="8">
      <c r="F8" t="n">
        <v>2015</v>
      </c>
      <c r="G8" s="101" t="n">
        <v>7.7</v>
      </c>
      <c r="H8" s="101" t="n">
        <v>5.3</v>
      </c>
      <c r="I8" s="101" t="inlineStr">
        <is>
          <t>1.7*</t>
        </is>
      </c>
      <c r="J8" s="101" t="n">
        <v>7.9</v>
      </c>
      <c r="K8" s="101" t="n">
        <v>9.800000000000001</v>
      </c>
      <c r="L8" s="101" t="n">
        <v>5.1</v>
      </c>
      <c r="M8" s="101" t="n">
        <v>11.9</v>
      </c>
      <c r="N8" s="101" t="n">
        <v>6.8</v>
      </c>
      <c r="O8" s="101" t="n">
        <v>16.9</v>
      </c>
      <c r="P8" s="14" t="n"/>
    </row>
    <row r="9">
      <c r="A9" s="98" t="inlineStr">
        <is>
          <t>Figure Rules</t>
        </is>
      </c>
      <c r="F9" t="n">
        <v>2016</v>
      </c>
      <c r="G9" s="101" t="n">
        <v>6.2</v>
      </c>
      <c r="H9" s="101" t="n">
        <v>6.8</v>
      </c>
      <c r="I9" s="101" t="inlineStr">
        <is>
          <t>1.3*</t>
        </is>
      </c>
      <c r="J9" s="101" t="n">
        <v>7.1</v>
      </c>
      <c r="K9" s="101" t="n">
        <v>6.7</v>
      </c>
      <c r="L9" s="101" t="n">
        <v>4.4</v>
      </c>
      <c r="M9" s="101" t="n">
        <v>11.7</v>
      </c>
      <c r="N9" s="101" t="n">
        <v>7</v>
      </c>
      <c r="O9" s="101" t="n">
        <v>15.7</v>
      </c>
    </row>
    <row r="10">
      <c r="A10" t="inlineStr">
        <is>
          <t>Figure Type</t>
        </is>
      </c>
      <c r="B10" t="inlineStr">
        <is>
          <t>Line</t>
        </is>
      </c>
      <c r="F10" t="n">
        <v>2017</v>
      </c>
      <c r="G10" t="n">
        <v>5.8</v>
      </c>
      <c r="H10" t="n">
        <v>8.4</v>
      </c>
      <c r="I10" t="inlineStr">
        <is>
          <t>2.9*</t>
        </is>
      </c>
      <c r="J10" t="n">
        <v>8.300000000000001</v>
      </c>
      <c r="K10" t="n">
        <v>5.6</v>
      </c>
      <c r="L10" t="n">
        <v>5.7</v>
      </c>
      <c r="M10" t="n">
        <v>10.9</v>
      </c>
      <c r="N10" t="n">
        <v>6.8</v>
      </c>
      <c r="O10" t="n">
        <v>15.5</v>
      </c>
    </row>
    <row r="11">
      <c r="A11" t="inlineStr">
        <is>
          <t>X Column</t>
        </is>
      </c>
      <c r="B11" t="inlineStr">
        <is>
          <t>County</t>
        </is>
      </c>
      <c r="F11" s="46" t="inlineStr">
        <is>
          <t>2018</t>
        </is>
      </c>
      <c r="G11" s="116" t="n">
        <v>5.4</v>
      </c>
      <c r="H11" s="116" t="n">
        <v>8.1</v>
      </c>
      <c r="I11" s="116" t="n">
        <v>3.5</v>
      </c>
      <c r="J11" s="42" t="n">
        <v>8.4</v>
      </c>
      <c r="K11" s="42" t="n">
        <v>5.2</v>
      </c>
      <c r="L11" s="42" t="n">
        <v>5.7</v>
      </c>
      <c r="M11" s="47" t="inlineStr">
        <is>
          <t>10.2</t>
        </is>
      </c>
      <c r="N11" s="47" t="inlineStr">
        <is>
          <t>5.8</t>
        </is>
      </c>
      <c r="O11" s="46" t="inlineStr">
        <is>
          <t>13.9</t>
        </is>
      </c>
    </row>
    <row r="12">
      <c r="A12" t="inlineStr">
        <is>
          <t>Y Column</t>
        </is>
      </c>
      <c r="F12" s="74" t="inlineStr">
        <is>
          <t>2019</t>
        </is>
      </c>
      <c r="G12" s="42" t="n">
        <v>5.1</v>
      </c>
      <c r="H12" s="42" t="n">
        <v>6</v>
      </c>
      <c r="I12" s="116" t="n">
        <v>3.5</v>
      </c>
      <c r="J12" s="116" t="n">
        <v>7.4</v>
      </c>
      <c r="K12" s="116" t="n">
        <v>5.2</v>
      </c>
      <c r="L12" s="116" t="n">
        <v>5.5</v>
      </c>
      <c r="M12" s="46" t="inlineStr">
        <is>
          <t>8.0</t>
        </is>
      </c>
      <c r="N12" s="46" t="inlineStr">
        <is>
          <t>6.0</t>
        </is>
      </c>
      <c r="O12" s="46" t="inlineStr">
        <is>
          <t>13.2</t>
        </is>
      </c>
    </row>
    <row r="13">
      <c r="A13" t="inlineStr">
        <is>
          <t>X Axis Title</t>
        </is>
      </c>
      <c r="F13" s="47" t="inlineStr">
        <is>
          <t>2020</t>
        </is>
      </c>
      <c r="G13" s="47" t="inlineStr">
        <is>
          <t>5.4</t>
        </is>
      </c>
      <c r="H13" s="47" t="inlineStr">
        <is>
          <t>5.8</t>
        </is>
      </c>
      <c r="I13" s="46" t="inlineStr">
        <is>
          <t>2.2*</t>
        </is>
      </c>
      <c r="J13" s="46" t="inlineStr">
        <is>
          <t>6.6</t>
        </is>
      </c>
      <c r="K13" s="46" t="inlineStr">
        <is>
          <t>3.5*</t>
        </is>
      </c>
      <c r="L13" s="46" t="inlineStr">
        <is>
          <t>3.7</t>
        </is>
      </c>
      <c r="M13" s="46" t="inlineStr">
        <is>
          <t>7.5</t>
        </is>
      </c>
      <c r="N13" s="46" t="inlineStr">
        <is>
          <t>5.1</t>
        </is>
      </c>
      <c r="O13" s="46" t="inlineStr">
        <is>
          <t>10.8</t>
        </is>
      </c>
    </row>
    <row r="14">
      <c r="A14" t="inlineStr">
        <is>
          <t>Y Axis Title</t>
        </is>
      </c>
      <c r="B14" t="inlineStr">
        <is>
          <t>Rate per 100,000</t>
        </is>
      </c>
      <c r="F14" s="119" t="inlineStr">
        <is>
          <t>2021</t>
        </is>
      </c>
      <c r="G14" s="119" t="inlineStr">
        <is>
          <t>4.2</t>
        </is>
      </c>
      <c r="H14" s="119" t="inlineStr">
        <is>
          <t>4.8</t>
        </is>
      </c>
      <c r="I14" s="46" t="inlineStr">
        <is>
          <t>3.4*</t>
        </is>
      </c>
      <c r="J14" s="47" t="inlineStr">
        <is>
          <t>4.9</t>
        </is>
      </c>
      <c r="K14" s="47" t="inlineStr">
        <is>
          <t>2.1*</t>
        </is>
      </c>
      <c r="L14" s="47" t="inlineStr">
        <is>
          <t>3.2</t>
        </is>
      </c>
      <c r="M14" s="47" t="inlineStr">
        <is>
          <t>6.8</t>
        </is>
      </c>
      <c r="N14" s="47" t="inlineStr">
        <is>
          <t>5.3</t>
        </is>
      </c>
      <c r="O14" s="46" t="inlineStr">
        <is>
          <t>11.</t>
        </is>
      </c>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7.xml><?xml version="1.0" encoding="utf-8"?>
<worksheet xmlns="http://schemas.openxmlformats.org/spreadsheetml/2006/main">
  <sheetPr>
    <outlinePr summaryBelow="1" summaryRight="1"/>
    <pageSetUpPr/>
  </sheetPr>
  <dimension ref="A1:Q57"/>
  <sheetViews>
    <sheetView workbookViewId="0">
      <selection activeCell="J19" sqref="J19"/>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Gonorrhea Incidence, Age-Adjusted Rate per 100,000 Population, 2017–2023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row>
    <row r="6" ht="15" customHeight="1" s="99">
      <c r="A6" t="inlineStr">
        <is>
          <t>Multilevel Headers</t>
        </is>
      </c>
      <c r="B6" t="b">
        <v>0</v>
      </c>
      <c r="F6" t="n">
        <v>2017</v>
      </c>
      <c r="G6" s="101" t="n">
        <v>74</v>
      </c>
      <c r="H6" s="101" t="n">
        <v>80</v>
      </c>
      <c r="I6" s="101" t="n">
        <v>29</v>
      </c>
      <c r="J6" s="101" t="n">
        <v>41</v>
      </c>
      <c r="K6" s="101" t="n">
        <v>113</v>
      </c>
      <c r="L6" s="101" t="n">
        <v>75</v>
      </c>
      <c r="M6" s="101" t="n">
        <v>76</v>
      </c>
      <c r="N6" s="101" t="n">
        <v>71</v>
      </c>
      <c r="O6" s="101" t="n">
        <v>101.2</v>
      </c>
    </row>
    <row r="7" ht="15.75" customHeight="1" s="99">
      <c r="F7" t="n">
        <v>2018</v>
      </c>
      <c r="G7" s="101" t="n">
        <v>63</v>
      </c>
      <c r="H7" s="101" t="n">
        <v>66</v>
      </c>
      <c r="I7" s="101" t="n">
        <v>25</v>
      </c>
      <c r="J7" s="101" t="n">
        <v>38</v>
      </c>
      <c r="K7" s="101" t="n">
        <v>52</v>
      </c>
      <c r="L7" s="101" t="n">
        <v>60</v>
      </c>
      <c r="M7" s="101" t="n">
        <v>87</v>
      </c>
      <c r="N7" s="101" t="n">
        <v>68</v>
      </c>
      <c r="O7" s="101" t="n">
        <v>107</v>
      </c>
    </row>
    <row r="8">
      <c r="F8" t="n">
        <v>2019</v>
      </c>
      <c r="G8" s="101" t="n">
        <v>75</v>
      </c>
      <c r="H8" s="101" t="n">
        <v>77</v>
      </c>
      <c r="I8" s="101" t="n">
        <v>36</v>
      </c>
      <c r="J8" s="101" t="n">
        <v>47</v>
      </c>
      <c r="K8" s="101" t="n">
        <v>69</v>
      </c>
      <c r="L8" s="101" t="n">
        <v>71</v>
      </c>
      <c r="M8" s="101" t="n">
        <v>105</v>
      </c>
      <c r="N8" s="101" t="n">
        <v>81</v>
      </c>
      <c r="O8" s="101" t="n">
        <v>114.9</v>
      </c>
      <c r="P8" s="14" t="n"/>
    </row>
    <row r="9">
      <c r="A9" s="98" t="inlineStr">
        <is>
          <t>Figure Rules</t>
        </is>
      </c>
      <c r="F9" t="n">
        <v>2020</v>
      </c>
      <c r="G9" s="101" t="n">
        <v>109</v>
      </c>
      <c r="H9" s="101" t="n">
        <v>109</v>
      </c>
      <c r="I9" s="101" t="n">
        <v>35</v>
      </c>
      <c r="J9" s="101" t="n">
        <v>38</v>
      </c>
      <c r="K9" s="101" t="n">
        <v>161</v>
      </c>
      <c r="L9" s="101" t="n">
        <v>93</v>
      </c>
      <c r="M9" s="101" t="n">
        <v>119</v>
      </c>
      <c r="N9" s="101" t="n">
        <v>101</v>
      </c>
      <c r="O9" s="101" t="n">
        <v>168.8</v>
      </c>
    </row>
    <row r="10">
      <c r="A10" t="inlineStr">
        <is>
          <t>Figure Type</t>
        </is>
      </c>
      <c r="B10" t="inlineStr">
        <is>
          <t>Line</t>
        </is>
      </c>
      <c r="F10" t="n">
        <v>2021</v>
      </c>
      <c r="G10" t="n">
        <v>83</v>
      </c>
      <c r="H10" t="n">
        <v>87</v>
      </c>
      <c r="I10" t="n">
        <v>40</v>
      </c>
      <c r="J10" t="n">
        <v>63</v>
      </c>
      <c r="K10" t="n">
        <v>99</v>
      </c>
      <c r="L10" t="n">
        <v>89</v>
      </c>
      <c r="M10" t="n">
        <v>113</v>
      </c>
      <c r="N10" t="n">
        <v>92</v>
      </c>
      <c r="O10" t="n">
        <v>141.6</v>
      </c>
    </row>
    <row r="11">
      <c r="A11" t="inlineStr">
        <is>
          <t>X Column</t>
        </is>
      </c>
      <c r="B11" t="inlineStr">
        <is>
          <t>County</t>
        </is>
      </c>
      <c r="F11" s="46" t="inlineStr">
        <is>
          <t>2022</t>
        </is>
      </c>
      <c r="G11" s="116" t="n">
        <v>103</v>
      </c>
      <c r="H11" s="116" t="n">
        <v>74</v>
      </c>
      <c r="I11" s="116" t="n">
        <v>38</v>
      </c>
      <c r="J11" s="42" t="n">
        <v>57</v>
      </c>
      <c r="K11" s="42" t="n">
        <v>63</v>
      </c>
      <c r="L11" s="42" t="n">
        <v>81</v>
      </c>
      <c r="M11" s="47" t="inlineStr">
        <is>
          <t>104</t>
        </is>
      </c>
      <c r="N11" s="47" t="inlineStr">
        <is>
          <t>86</t>
        </is>
      </c>
      <c r="O11" s="46" t="inlineStr">
        <is>
          <t>135.3</t>
        </is>
      </c>
    </row>
    <row r="12">
      <c r="A12" t="inlineStr">
        <is>
          <t>Y Column</t>
        </is>
      </c>
      <c r="F12" s="74" t="inlineStr">
        <is>
          <t>2023</t>
        </is>
      </c>
      <c r="G12" s="42" t="n">
        <v>147</v>
      </c>
      <c r="H12" s="42" t="n">
        <v>94</v>
      </c>
      <c r="I12" s="116" t="n">
        <v>41</v>
      </c>
      <c r="J12" s="116" t="n">
        <v>74</v>
      </c>
      <c r="K12" s="116" t="n">
        <v>85</v>
      </c>
      <c r="L12" s="116" t="n">
        <v>80</v>
      </c>
      <c r="M12" s="46" t="inlineStr">
        <is>
          <t>99</t>
        </is>
      </c>
      <c r="N12" s="46" t="inlineStr">
        <is>
          <t>96</t>
        </is>
      </c>
      <c r="O12" s="46" t="inlineStr">
        <is>
          <t>131.5</t>
        </is>
      </c>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18.xml><?xml version="1.0" encoding="utf-8"?>
<worksheet xmlns="http://schemas.openxmlformats.org/spreadsheetml/2006/main">
  <sheetPr>
    <outlinePr summaryBelow="1" summaryRight="1"/>
    <pageSetUpPr/>
  </sheetPr>
  <dimension ref="A1:Q57"/>
  <sheetViews>
    <sheetView workbookViewId="0">
      <selection activeCell="L42" sqref="L42"/>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Chlamydia Incidence, Age-Adjusted Rate per 100,000 Population, 2017–2023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row>
    <row r="6" ht="15" customHeight="1" s="99">
      <c r="A6" t="inlineStr">
        <is>
          <t>Multilevel Headers</t>
        </is>
      </c>
      <c r="B6" t="b">
        <v>0</v>
      </c>
      <c r="F6" t="n">
        <v>2017</v>
      </c>
      <c r="G6" s="101" t="n">
        <v>360</v>
      </c>
      <c r="H6" s="101" t="n">
        <v>402</v>
      </c>
      <c r="I6" s="101" t="n">
        <v>209</v>
      </c>
      <c r="J6" s="101" t="n">
        <v>307</v>
      </c>
      <c r="K6" s="101" t="n">
        <v>417</v>
      </c>
      <c r="L6" s="101" t="n">
        <v>345</v>
      </c>
      <c r="M6" s="101" t="n">
        <v>428</v>
      </c>
      <c r="N6" s="101" t="n">
        <v>382</v>
      </c>
      <c r="O6" s="101" t="n">
        <v>421</v>
      </c>
    </row>
    <row r="7" ht="15.75" customHeight="1" s="99">
      <c r="F7" t="n">
        <v>2018</v>
      </c>
      <c r="G7" s="101" t="n">
        <v>395</v>
      </c>
      <c r="H7" s="101" t="n">
        <v>402</v>
      </c>
      <c r="I7" s="101" t="n">
        <v>207</v>
      </c>
      <c r="J7" s="101" t="n">
        <v>358</v>
      </c>
      <c r="K7" s="101" t="n">
        <v>418</v>
      </c>
      <c r="L7" s="101" t="n">
        <v>367</v>
      </c>
      <c r="M7" s="101" t="n">
        <v>440</v>
      </c>
      <c r="N7" s="101" t="n">
        <v>401</v>
      </c>
      <c r="O7" s="101" t="n">
        <v>444</v>
      </c>
    </row>
    <row r="8">
      <c r="F8" t="n">
        <v>2019</v>
      </c>
      <c r="G8" s="101" t="n">
        <v>401</v>
      </c>
      <c r="H8" s="101" t="n">
        <v>450</v>
      </c>
      <c r="I8" s="101" t="n">
        <v>243</v>
      </c>
      <c r="J8" s="101" t="n">
        <v>384</v>
      </c>
      <c r="K8" s="101" t="n">
        <v>435</v>
      </c>
      <c r="L8" s="101" t="n">
        <v>380</v>
      </c>
      <c r="M8" s="101" t="n">
        <v>491</v>
      </c>
      <c r="N8" s="101" t="n">
        <v>437</v>
      </c>
      <c r="O8" s="101" t="n">
        <v>458</v>
      </c>
      <c r="P8" s="14" t="n"/>
    </row>
    <row r="9">
      <c r="A9" s="98" t="inlineStr">
        <is>
          <t>Figure Rules</t>
        </is>
      </c>
      <c r="F9" t="n">
        <v>2020</v>
      </c>
      <c r="G9" s="101" t="n">
        <v>313</v>
      </c>
      <c r="H9" s="101" t="n">
        <v>373</v>
      </c>
      <c r="I9" s="101" t="n">
        <v>163</v>
      </c>
      <c r="J9" s="101" t="n">
        <v>311</v>
      </c>
      <c r="K9" s="101" t="n">
        <v>328</v>
      </c>
      <c r="L9" s="101" t="n">
        <v>301</v>
      </c>
      <c r="M9" s="101" t="n">
        <v>349</v>
      </c>
      <c r="N9" s="101" t="n">
        <v>331</v>
      </c>
      <c r="O9" s="101" t="n">
        <v>394</v>
      </c>
    </row>
    <row r="10">
      <c r="A10" t="inlineStr">
        <is>
          <t>Figure Type</t>
        </is>
      </c>
      <c r="B10" t="inlineStr">
        <is>
          <t>Line</t>
        </is>
      </c>
      <c r="F10" t="n">
        <v>2021</v>
      </c>
      <c r="G10" t="n">
        <v>308</v>
      </c>
      <c r="H10" t="n">
        <v>361</v>
      </c>
      <c r="I10" t="n">
        <v>204</v>
      </c>
      <c r="J10" t="n">
        <v>323</v>
      </c>
      <c r="K10" t="n">
        <v>292</v>
      </c>
      <c r="L10" t="n">
        <v>240</v>
      </c>
      <c r="M10" t="n">
        <v>397</v>
      </c>
      <c r="N10" t="n">
        <v>346</v>
      </c>
      <c r="O10" t="n">
        <v>370</v>
      </c>
    </row>
    <row r="11">
      <c r="A11" t="inlineStr">
        <is>
          <t>X Column</t>
        </is>
      </c>
      <c r="B11" t="inlineStr">
        <is>
          <t>County</t>
        </is>
      </c>
      <c r="F11" s="46" t="inlineStr">
        <is>
          <t>2022</t>
        </is>
      </c>
      <c r="G11" s="116" t="n">
        <v>334</v>
      </c>
      <c r="H11" s="116" t="n">
        <v>340</v>
      </c>
      <c r="I11" s="116" t="n">
        <v>210</v>
      </c>
      <c r="J11" s="42" t="n">
        <v>305</v>
      </c>
      <c r="K11" s="42" t="n">
        <v>305</v>
      </c>
      <c r="L11" s="42" t="n">
        <v>284</v>
      </c>
      <c r="M11" s="47" t="inlineStr">
        <is>
          <t>429</t>
        </is>
      </c>
      <c r="N11" s="47" t="inlineStr">
        <is>
          <t>360</t>
        </is>
      </c>
      <c r="O11" s="46" t="inlineStr">
        <is>
          <t>377</t>
        </is>
      </c>
    </row>
    <row r="12">
      <c r="A12" t="inlineStr">
        <is>
          <t>Y Column</t>
        </is>
      </c>
      <c r="F12" s="74" t="inlineStr">
        <is>
          <t>2023</t>
        </is>
      </c>
      <c r="G12" s="42" t="n">
        <v>374</v>
      </c>
      <c r="H12" s="42" t="n">
        <v>375</v>
      </c>
      <c r="I12" s="116" t="n">
        <v>237</v>
      </c>
      <c r="J12" s="116" t="n">
        <v>330</v>
      </c>
      <c r="K12" s="116" t="n">
        <v>346</v>
      </c>
      <c r="L12" s="116" t="n">
        <v>334</v>
      </c>
      <c r="M12" s="46" t="inlineStr">
        <is>
          <t>446</t>
        </is>
      </c>
      <c r="N12" s="46" t="inlineStr">
        <is>
          <t>387</t>
        </is>
      </c>
      <c r="O12" s="46" t="inlineStr">
        <is>
          <t>404</t>
        </is>
      </c>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19.xml><?xml version="1.0" encoding="utf-8"?>
<worksheet xmlns="http://schemas.openxmlformats.org/spreadsheetml/2006/main">
  <sheetPr>
    <outlinePr summaryBelow="1" summaryRight="1"/>
    <pageSetUpPr/>
  </sheetPr>
  <dimension ref="A1:Q57"/>
  <sheetViews>
    <sheetView workbookViewId="0">
      <selection activeCell="C6" sqref="C6"/>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Early Syphilis Incidence, Age-Adjusted Rate per 100,000 Population, 2017–2023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s="82" t="inlineStr">
        <is>
          <t>Year</t>
        </is>
      </c>
      <c r="G5" s="101" t="inlineStr">
        <is>
          <t>Dutchess</t>
        </is>
      </c>
      <c r="H5" s="101" t="inlineStr">
        <is>
          <t>Orange</t>
        </is>
      </c>
      <c r="I5" s="101" t="inlineStr">
        <is>
          <t>Putnam</t>
        </is>
      </c>
      <c r="J5" s="101" t="inlineStr">
        <is>
          <t>Rockland</t>
        </is>
      </c>
      <c r="K5" s="101" t="inlineStr">
        <is>
          <t>Sullivan</t>
        </is>
      </c>
      <c r="L5" s="101" t="inlineStr">
        <is>
          <t>Ulster</t>
        </is>
      </c>
      <c r="M5" s="101" t="inlineStr">
        <is>
          <t>Westchester</t>
        </is>
      </c>
      <c r="N5" s="101" t="inlineStr">
        <is>
          <t>Mid-Hudson Region</t>
        </is>
      </c>
      <c r="O5" s="101" t="inlineStr">
        <is>
          <t>NYS excl NYC</t>
        </is>
      </c>
    </row>
    <row r="6" ht="15" customHeight="1" s="99">
      <c r="A6" t="inlineStr">
        <is>
          <t>Multilevel Headers</t>
        </is>
      </c>
      <c r="B6" t="b">
        <v>0</v>
      </c>
      <c r="F6" s="101" t="n">
        <v>2017</v>
      </c>
      <c r="G6" s="101" t="n">
        <v>22</v>
      </c>
      <c r="H6" s="101" t="n">
        <v>14</v>
      </c>
      <c r="I6" s="101" t="n">
        <v>11</v>
      </c>
      <c r="J6" s="101" t="n">
        <v>10</v>
      </c>
      <c r="K6" s="101" t="n">
        <v>13</v>
      </c>
      <c r="L6" s="101" t="n">
        <v>8</v>
      </c>
      <c r="M6" s="101" t="n">
        <v>16</v>
      </c>
      <c r="N6" s="101" t="n">
        <v>15</v>
      </c>
      <c r="O6" s="101" t="n">
        <v>10</v>
      </c>
    </row>
    <row r="7" ht="15.75" customHeight="1" s="99">
      <c r="F7" s="101" t="n">
        <v>2018</v>
      </c>
      <c r="G7" s="101" t="n">
        <v>17</v>
      </c>
      <c r="H7" s="101" t="n">
        <v>17</v>
      </c>
      <c r="I7" s="101" t="n">
        <v>17</v>
      </c>
      <c r="J7" s="101" t="n">
        <v>11</v>
      </c>
      <c r="K7" s="101" t="n">
        <v>11</v>
      </c>
      <c r="L7" s="101" t="n">
        <v>12</v>
      </c>
      <c r="M7" s="101" t="n">
        <v>14</v>
      </c>
      <c r="N7" s="101" t="n">
        <v>15</v>
      </c>
      <c r="O7" s="101" t="n">
        <v>11</v>
      </c>
    </row>
    <row r="8">
      <c r="F8" s="101" t="n">
        <v>2019</v>
      </c>
      <c r="G8" s="101" t="n">
        <v>34</v>
      </c>
      <c r="H8" s="101" t="n">
        <v>29</v>
      </c>
      <c r="I8" s="101" t="n">
        <v>9</v>
      </c>
      <c r="J8" s="101" t="n">
        <v>14</v>
      </c>
      <c r="K8" s="101" t="n">
        <v>13</v>
      </c>
      <c r="L8" s="101" t="n">
        <v>18</v>
      </c>
      <c r="M8" s="101" t="n">
        <v>16</v>
      </c>
      <c r="N8" s="101" t="n">
        <v>20</v>
      </c>
      <c r="O8" s="101" t="n">
        <v>14</v>
      </c>
      <c r="P8" s="14" t="n"/>
    </row>
    <row r="9">
      <c r="A9" s="98" t="inlineStr">
        <is>
          <t>Figure Rules</t>
        </is>
      </c>
      <c r="F9" s="101" t="n">
        <v>2020</v>
      </c>
      <c r="G9" s="101" t="n">
        <v>25</v>
      </c>
      <c r="H9" s="101" t="n">
        <v>27</v>
      </c>
      <c r="I9" s="101" t="n">
        <v>14</v>
      </c>
      <c r="J9" s="101" t="n">
        <v>12</v>
      </c>
      <c r="K9" s="101" t="n">
        <v>12</v>
      </c>
      <c r="L9" s="101" t="n">
        <v>14</v>
      </c>
      <c r="M9" s="101" t="n">
        <v>19</v>
      </c>
      <c r="N9" s="101" t="n">
        <v>19</v>
      </c>
      <c r="O9" s="101" t="n">
        <v>13</v>
      </c>
    </row>
    <row r="10">
      <c r="A10" t="inlineStr">
        <is>
          <t>Figure Type</t>
        </is>
      </c>
      <c r="B10" t="inlineStr">
        <is>
          <t>Line</t>
        </is>
      </c>
      <c r="F10" s="101" t="n">
        <v>2021</v>
      </c>
      <c r="G10" s="101" t="n">
        <v>29</v>
      </c>
      <c r="H10" s="101" t="n">
        <v>29</v>
      </c>
      <c r="I10" s="101" t="n">
        <v>15</v>
      </c>
      <c r="J10" s="101" t="n">
        <v>14</v>
      </c>
      <c r="K10" s="101" t="n">
        <v>14</v>
      </c>
      <c r="L10" s="101" t="n">
        <v>14</v>
      </c>
      <c r="M10" s="101" t="n">
        <v>24</v>
      </c>
      <c r="N10" s="101" t="n">
        <v>23</v>
      </c>
      <c r="O10" s="101" t="n">
        <v>22</v>
      </c>
    </row>
    <row r="11">
      <c r="A11" t="inlineStr">
        <is>
          <t>X Column</t>
        </is>
      </c>
      <c r="B11" t="inlineStr">
        <is>
          <t>County</t>
        </is>
      </c>
      <c r="F11" s="119" t="inlineStr">
        <is>
          <t>2022</t>
        </is>
      </c>
      <c r="G11" s="116" t="n">
        <v>24</v>
      </c>
      <c r="H11" s="116" t="n">
        <v>27</v>
      </c>
      <c r="I11" s="116" t="n">
        <v>16</v>
      </c>
      <c r="J11" s="42" t="n">
        <v>18</v>
      </c>
      <c r="K11" s="42" t="n">
        <v>30</v>
      </c>
      <c r="L11" s="42" t="n">
        <v>19</v>
      </c>
      <c r="M11" s="47" t="inlineStr">
        <is>
          <t>22</t>
        </is>
      </c>
      <c r="N11" s="47" t="inlineStr">
        <is>
          <t>22</t>
        </is>
      </c>
      <c r="O11" s="119" t="inlineStr">
        <is>
          <t>24</t>
        </is>
      </c>
    </row>
    <row r="12">
      <c r="A12" t="inlineStr">
        <is>
          <t>Y Column</t>
        </is>
      </c>
      <c r="F12" s="47" t="inlineStr">
        <is>
          <t>2023</t>
        </is>
      </c>
      <c r="G12" s="42" t="n">
        <v>29</v>
      </c>
      <c r="H12" s="42" t="n">
        <v>22</v>
      </c>
      <c r="I12" s="116" t="n">
        <v>15</v>
      </c>
      <c r="J12" s="116" t="n">
        <v>13</v>
      </c>
      <c r="K12" s="116" t="n">
        <v>29</v>
      </c>
      <c r="L12" s="116" t="n">
        <v>11</v>
      </c>
      <c r="M12" s="119" t="inlineStr">
        <is>
          <t>19</t>
        </is>
      </c>
      <c r="N12" s="119" t="inlineStr">
        <is>
          <t>19</t>
        </is>
      </c>
      <c r="O12" s="119" t="inlineStr">
        <is>
          <t>20</t>
        </is>
      </c>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20.xml><?xml version="1.0" encoding="utf-8"?>
<worksheet xmlns="http://schemas.openxmlformats.org/spreadsheetml/2006/main">
  <sheetPr>
    <outlinePr summaryBelow="1" summaryRight="1"/>
    <pageSetUpPr/>
  </sheetPr>
  <dimension ref="A1:Q57"/>
  <sheetViews>
    <sheetView workbookViewId="0">
      <selection activeCell="C6" sqref="C6"/>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Lyme Disease, Case Rate per 100,000 Population, 2020–2023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 Region</t>
        </is>
      </c>
      <c r="O5" t="inlineStr">
        <is>
          <t>NYS excl NYC</t>
        </is>
      </c>
    </row>
    <row r="6" ht="15" customHeight="1" s="99">
      <c r="A6" t="inlineStr">
        <is>
          <t>Multilevel Headers</t>
        </is>
      </c>
      <c r="B6" t="b">
        <v>0</v>
      </c>
      <c r="F6" t="n">
        <v>2017</v>
      </c>
      <c r="G6" s="101" t="n">
        <v>22</v>
      </c>
      <c r="H6" s="101" t="n">
        <v>14</v>
      </c>
      <c r="I6" s="101" t="n">
        <v>11</v>
      </c>
      <c r="J6" s="101" t="n">
        <v>10</v>
      </c>
      <c r="K6" s="101" t="n">
        <v>13</v>
      </c>
      <c r="L6" s="101" t="n">
        <v>8</v>
      </c>
      <c r="M6" s="101" t="n">
        <v>16</v>
      </c>
      <c r="N6" s="101" t="n">
        <v>15</v>
      </c>
      <c r="O6" s="101" t="n">
        <v>10</v>
      </c>
    </row>
    <row r="7" ht="15.75" customHeight="1" s="99">
      <c r="F7" t="n">
        <v>2018</v>
      </c>
      <c r="G7" s="101" t="n">
        <v>17</v>
      </c>
      <c r="H7" s="101" t="n">
        <v>17</v>
      </c>
      <c r="I7" s="101" t="n">
        <v>17</v>
      </c>
      <c r="J7" s="101" t="n">
        <v>11</v>
      </c>
      <c r="K7" s="101" t="n">
        <v>11</v>
      </c>
      <c r="L7" s="101" t="n">
        <v>12</v>
      </c>
      <c r="M7" s="101" t="n">
        <v>14</v>
      </c>
      <c r="N7" s="101" t="n">
        <v>15</v>
      </c>
      <c r="O7" s="101" t="n">
        <v>11</v>
      </c>
    </row>
    <row r="8">
      <c r="F8" t="n">
        <v>2019</v>
      </c>
      <c r="G8" s="101" t="n">
        <v>34</v>
      </c>
      <c r="H8" s="101" t="n">
        <v>29</v>
      </c>
      <c r="I8" s="101" t="n">
        <v>9</v>
      </c>
      <c r="J8" s="101" t="n">
        <v>14</v>
      </c>
      <c r="K8" s="101" t="n">
        <v>13</v>
      </c>
      <c r="L8" s="101" t="n">
        <v>18</v>
      </c>
      <c r="M8" s="101" t="n">
        <v>16</v>
      </c>
      <c r="N8" s="101" t="n">
        <v>20</v>
      </c>
      <c r="O8" s="101" t="n">
        <v>14</v>
      </c>
      <c r="P8" s="14" t="n"/>
    </row>
    <row r="9">
      <c r="A9" s="98" t="inlineStr">
        <is>
          <t>Figure Rules</t>
        </is>
      </c>
      <c r="F9" t="n">
        <v>2020</v>
      </c>
      <c r="G9" s="101" t="n">
        <v>25</v>
      </c>
      <c r="H9" s="101" t="n">
        <v>27</v>
      </c>
      <c r="I9" s="101" t="n">
        <v>14</v>
      </c>
      <c r="J9" s="101" t="n">
        <v>12</v>
      </c>
      <c r="K9" s="101" t="n">
        <v>12</v>
      </c>
      <c r="L9" s="101" t="n">
        <v>14</v>
      </c>
      <c r="M9" s="101" t="n">
        <v>19</v>
      </c>
      <c r="N9" s="101" t="n">
        <v>19</v>
      </c>
      <c r="O9" s="101" t="n">
        <v>13</v>
      </c>
    </row>
    <row r="10">
      <c r="A10" t="inlineStr">
        <is>
          <t>Figure Type</t>
        </is>
      </c>
      <c r="B10" t="inlineStr">
        <is>
          <t>Line</t>
        </is>
      </c>
      <c r="F10" t="n">
        <v>2021</v>
      </c>
      <c r="G10" t="n">
        <v>29</v>
      </c>
      <c r="H10" t="n">
        <v>29</v>
      </c>
      <c r="I10" t="n">
        <v>15</v>
      </c>
      <c r="J10" t="n">
        <v>14</v>
      </c>
      <c r="K10" t="n">
        <v>14</v>
      </c>
      <c r="L10" t="n">
        <v>14</v>
      </c>
      <c r="M10" t="n">
        <v>24</v>
      </c>
      <c r="N10" t="n">
        <v>23</v>
      </c>
      <c r="O10" t="n">
        <v>22</v>
      </c>
    </row>
    <row r="11">
      <c r="A11" t="inlineStr">
        <is>
          <t>X Column</t>
        </is>
      </c>
      <c r="B11" t="inlineStr">
        <is>
          <t>County</t>
        </is>
      </c>
      <c r="F11" s="46" t="inlineStr">
        <is>
          <t>2022</t>
        </is>
      </c>
      <c r="G11" s="116" t="n">
        <v>24</v>
      </c>
      <c r="H11" s="116" t="n">
        <v>27</v>
      </c>
      <c r="I11" s="116" t="n">
        <v>16</v>
      </c>
      <c r="J11" s="42" t="n">
        <v>18</v>
      </c>
      <c r="K11" s="42" t="n">
        <v>30</v>
      </c>
      <c r="L11" s="42" t="n">
        <v>19</v>
      </c>
      <c r="M11" s="47" t="inlineStr">
        <is>
          <t>22</t>
        </is>
      </c>
      <c r="N11" s="47" t="inlineStr">
        <is>
          <t>22</t>
        </is>
      </c>
      <c r="O11" s="46" t="inlineStr">
        <is>
          <t>24</t>
        </is>
      </c>
    </row>
    <row r="12">
      <c r="A12" t="inlineStr">
        <is>
          <t>Y Column</t>
        </is>
      </c>
      <c r="F12" s="74" t="inlineStr">
        <is>
          <t>2023</t>
        </is>
      </c>
      <c r="G12" s="42" t="n">
        <v>29</v>
      </c>
      <c r="H12" s="42" t="n">
        <v>22</v>
      </c>
      <c r="I12" s="116" t="n">
        <v>15</v>
      </c>
      <c r="J12" s="116" t="n">
        <v>13</v>
      </c>
      <c r="K12" s="116" t="n">
        <v>29</v>
      </c>
      <c r="L12" s="116" t="n">
        <v>11</v>
      </c>
      <c r="M12" s="46" t="inlineStr">
        <is>
          <t>19</t>
        </is>
      </c>
      <c r="N12" s="46" t="inlineStr">
        <is>
          <t>19</t>
        </is>
      </c>
      <c r="O12" s="46" t="inlineStr">
        <is>
          <t>20</t>
        </is>
      </c>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1.xml><?xml version="1.0" encoding="utf-8"?>
<worksheet xmlns="http://schemas.openxmlformats.org/spreadsheetml/2006/main">
  <sheetPr>
    <outlinePr summaryBelow="1" summaryRight="1"/>
    <pageSetUpPr/>
  </sheetPr>
  <dimension ref="A1:Q57"/>
  <sheetViews>
    <sheetView workbookViewId="0">
      <selection activeCell="C6" sqref="C6"/>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Anaplasmosis, Case Rate per 100,000 Population, 2020–2023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c r="Q4" s="16" t="n"/>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n">
        <v>2020</v>
      </c>
      <c r="G6" s="101" t="n">
        <v>11.9</v>
      </c>
      <c r="H6" s="101" t="n">
        <v>6</v>
      </c>
      <c r="I6" s="101" t="n">
        <v>30.4</v>
      </c>
      <c r="J6" s="101" t="n">
        <v>2.1</v>
      </c>
      <c r="K6" s="101" t="n">
        <v>14.5</v>
      </c>
      <c r="L6" s="101" t="n">
        <v>4.5</v>
      </c>
      <c r="M6" s="101" t="n">
        <v>3.8</v>
      </c>
      <c r="N6" s="101" t="n">
        <v>7</v>
      </c>
      <c r="O6" s="101" t="n"/>
    </row>
    <row r="7" ht="15.75" customHeight="1" s="99">
      <c r="F7" t="n">
        <v>2021</v>
      </c>
      <c r="G7" s="101" t="n">
        <v>17</v>
      </c>
      <c r="H7" s="101" t="n">
        <v>17.9</v>
      </c>
      <c r="I7" s="101" t="n">
        <v>84.2</v>
      </c>
      <c r="J7" s="101" t="n">
        <v>1.2</v>
      </c>
      <c r="K7" s="101" t="n">
        <v>25.1</v>
      </c>
      <c r="L7" s="101" t="n">
        <v>20.3</v>
      </c>
      <c r="M7" s="101" t="n">
        <v>4.6</v>
      </c>
      <c r="N7" s="101" t="n">
        <v>10.3</v>
      </c>
      <c r="O7" s="101" t="n"/>
    </row>
    <row r="8">
      <c r="F8" t="n">
        <v>2022</v>
      </c>
      <c r="G8" s="101" t="n">
        <v>0.7</v>
      </c>
      <c r="H8" s="101" t="n">
        <v>9.4</v>
      </c>
      <c r="I8" s="101" t="n">
        <v>33.7</v>
      </c>
      <c r="J8" s="101" t="n">
        <v>1.8</v>
      </c>
      <c r="K8" s="101" t="n">
        <v>21.3</v>
      </c>
      <c r="L8" s="101" t="n">
        <v>43.3</v>
      </c>
      <c r="M8" s="101" t="n">
        <v>43.3</v>
      </c>
      <c r="N8" s="101" t="n">
        <v>6</v>
      </c>
      <c r="O8" s="101" t="n"/>
      <c r="P8" s="14" t="n"/>
    </row>
    <row r="9">
      <c r="A9" s="98" t="inlineStr">
        <is>
          <t>Figure Rules</t>
        </is>
      </c>
      <c r="F9" t="n">
        <v>2023</v>
      </c>
      <c r="G9" s="101" t="n">
        <v>10.4</v>
      </c>
      <c r="H9" s="101" t="n">
        <v>18.7</v>
      </c>
      <c r="I9" s="101" t="n">
        <v>96.59999999999999</v>
      </c>
      <c r="J9" s="101" t="n">
        <v>2.1</v>
      </c>
      <c r="K9" s="101" t="n">
        <v>45.1</v>
      </c>
      <c r="L9" s="101" t="n">
        <v>75.09999999999999</v>
      </c>
      <c r="M9" s="101" t="n">
        <v>6</v>
      </c>
      <c r="N9" s="101" t="n">
        <v>10.3</v>
      </c>
      <c r="O9" s="101" t="n"/>
    </row>
    <row r="10">
      <c r="A10" t="inlineStr">
        <is>
          <t>Figure Type</t>
        </is>
      </c>
      <c r="B10" t="inlineStr">
        <is>
          <t>Line</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22.xml><?xml version="1.0" encoding="utf-8"?>
<worksheet xmlns="http://schemas.openxmlformats.org/spreadsheetml/2006/main">
  <sheetPr>
    <outlinePr summaryBelow="1" summaryRight="1"/>
    <pageSetUpPr/>
  </sheetPr>
  <dimension ref="A1:Q57"/>
  <sheetViews>
    <sheetView workbookViewId="0">
      <selection activeCell="J25" sqref="J25"/>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 xml:space="preserve">Babesiosis, Case Rate per 100,000 Population, 2020–2023 </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c r="Q4" s="16" t="n"/>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n">
        <v>2020</v>
      </c>
      <c r="G6" s="101" t="n">
        <v>8.199999999999999</v>
      </c>
      <c r="H6" s="101" t="n">
        <v>11.2</v>
      </c>
      <c r="I6" s="101" t="n">
        <v>25.4</v>
      </c>
      <c r="J6" s="101" t="n">
        <v>2.1</v>
      </c>
      <c r="K6" s="101" t="n">
        <v>5.3</v>
      </c>
      <c r="L6" s="101" t="n">
        <v>2.8</v>
      </c>
      <c r="M6" s="101" t="n">
        <v>5.9</v>
      </c>
      <c r="N6" s="101" t="n">
        <v>2.8</v>
      </c>
      <c r="O6" s="101" t="n"/>
    </row>
    <row r="7" ht="15.75" customHeight="1" s="99">
      <c r="F7" t="n">
        <v>2021</v>
      </c>
      <c r="G7" s="101" t="n">
        <v>17.4</v>
      </c>
      <c r="H7" s="101" t="n">
        <v>17.1</v>
      </c>
      <c r="I7" s="101" t="n">
        <v>51.8</v>
      </c>
      <c r="J7" s="101" t="n">
        <v>4.9</v>
      </c>
      <c r="K7" s="101" t="n">
        <v>10.6</v>
      </c>
      <c r="L7" s="101" t="n">
        <v>11.8</v>
      </c>
      <c r="M7" s="101" t="n">
        <v>5.7</v>
      </c>
      <c r="N7" s="101" t="n">
        <v>4.1</v>
      </c>
      <c r="O7" s="101" t="n"/>
    </row>
    <row r="8">
      <c r="F8" t="n">
        <v>2022</v>
      </c>
      <c r="G8" s="101" t="n">
        <v>0.7</v>
      </c>
      <c r="H8" s="101" t="n">
        <v>8.1</v>
      </c>
      <c r="I8" s="101" t="n">
        <v>31.6</v>
      </c>
      <c r="J8" s="101" t="n">
        <v>5.9</v>
      </c>
      <c r="K8" s="101" t="n">
        <v>16.3</v>
      </c>
      <c r="L8" s="101" t="n">
        <v>20.8</v>
      </c>
      <c r="M8" s="101" t="n">
        <v>3.7</v>
      </c>
      <c r="N8" s="101" t="n">
        <v>3</v>
      </c>
      <c r="O8" s="101" t="n"/>
      <c r="P8" s="14" t="n"/>
    </row>
    <row r="9">
      <c r="A9" s="98" t="inlineStr">
        <is>
          <t>Figure Rules</t>
        </is>
      </c>
      <c r="F9" t="n">
        <v>2023</v>
      </c>
      <c r="G9" s="101" t="n">
        <v>10.1</v>
      </c>
      <c r="H9" s="101" t="n">
        <v>19.9</v>
      </c>
      <c r="I9" s="101" t="n">
        <v>61</v>
      </c>
      <c r="J9" s="101" t="n">
        <v>6.8</v>
      </c>
      <c r="K9" s="101" t="n">
        <v>28.8</v>
      </c>
      <c r="L9" s="101" t="n">
        <v>38.9</v>
      </c>
      <c r="M9" s="101" t="n">
        <v>12.5</v>
      </c>
      <c r="N9" s="101" t="n">
        <v>5.9</v>
      </c>
      <c r="O9" s="101" t="n"/>
    </row>
    <row r="10">
      <c r="A10" t="inlineStr">
        <is>
          <t>Figure Type</t>
        </is>
      </c>
      <c r="B10" t="inlineStr">
        <is>
          <t>Line</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3.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15.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Animal Rabies Testing of Domestic Species†, 2024</t>
        </is>
      </c>
    </row>
    <row r="2">
      <c r="A2" s="97" t="inlineStr">
        <is>
          <t>Table/Figure/Both</t>
        </is>
      </c>
      <c r="B2" t="inlineStr">
        <is>
          <t>Table</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n"/>
      <c r="K4" s="16" t="n"/>
      <c r="L4" s="16" t="n"/>
      <c r="M4" s="16" t="n"/>
      <c r="N4" s="16" t="n"/>
      <c r="O4" s="16" t="n"/>
      <c r="P4" s="16" t="n"/>
      <c r="Q4" s="16" t="n"/>
    </row>
    <row r="5">
      <c r="A5" s="98" t="inlineStr">
        <is>
          <t>Table Rules</t>
        </is>
      </c>
      <c r="E5" s="100" t="inlineStr">
        <is>
          <t xml:space="preserve">Enter Data </t>
        </is>
      </c>
      <c r="F5" t="inlineStr">
        <is>
          <t>County</t>
        </is>
      </c>
      <c r="G5" t="inlineStr">
        <is>
          <t>Total Domestic Animals Tested</t>
        </is>
      </c>
      <c r="H5" t="inlineStr">
        <is>
          <t>Total Domestic Animals Positive</t>
        </is>
      </c>
      <c r="I5" t="inlineStr">
        <is>
          <t>Percent Positive</t>
        </is>
      </c>
    </row>
    <row r="6" ht="15" customHeight="1" s="99">
      <c r="A6" t="inlineStr">
        <is>
          <t>Multilevel Headers</t>
        </is>
      </c>
      <c r="B6" t="b">
        <v>0</v>
      </c>
      <c r="F6" t="inlineStr">
        <is>
          <t>Dutchess</t>
        </is>
      </c>
      <c r="G6" s="101" t="n">
        <v>35</v>
      </c>
      <c r="H6" s="101" t="n">
        <v>1</v>
      </c>
      <c r="I6" s="101" t="n">
        <v>2.9</v>
      </c>
      <c r="J6" s="101" t="n"/>
      <c r="K6" s="101" t="n"/>
      <c r="L6" s="101" t="n"/>
      <c r="M6" s="101" t="n"/>
      <c r="N6" s="101" t="n"/>
      <c r="O6" s="101" t="n"/>
    </row>
    <row r="7" ht="15.75" customHeight="1" s="99">
      <c r="F7" t="inlineStr">
        <is>
          <t>Orange</t>
        </is>
      </c>
      <c r="G7" s="101" t="n">
        <v>51</v>
      </c>
      <c r="H7" s="101" t="n">
        <v>2</v>
      </c>
      <c r="I7" s="101" t="n">
        <v>3.9</v>
      </c>
      <c r="J7" s="101" t="n"/>
      <c r="K7" s="101" t="n"/>
      <c r="L7" s="101" t="n"/>
      <c r="M7" s="101" t="n"/>
      <c r="N7" s="101" t="n"/>
      <c r="O7" s="101" t="n"/>
    </row>
    <row r="8">
      <c r="F8" t="inlineStr">
        <is>
          <t>Putnam</t>
        </is>
      </c>
      <c r="G8" s="101" t="n">
        <v>13</v>
      </c>
      <c r="H8" s="101" t="n">
        <v>0</v>
      </c>
      <c r="I8" s="101" t="n">
        <v>0</v>
      </c>
      <c r="J8" s="101" t="n"/>
      <c r="K8" s="101" t="n"/>
      <c r="L8" s="101" t="n"/>
      <c r="M8" s="101" t="n"/>
      <c r="N8" s="101" t="n"/>
      <c r="O8" s="101" t="n"/>
      <c r="P8" s="14" t="n"/>
    </row>
    <row r="9">
      <c r="A9" s="98" t="inlineStr">
        <is>
          <t>Figure Rules</t>
        </is>
      </c>
      <c r="F9" t="inlineStr">
        <is>
          <t>Rockland</t>
        </is>
      </c>
      <c r="G9" s="101" t="n">
        <v>25</v>
      </c>
      <c r="H9" s="101" t="n">
        <v>1</v>
      </c>
      <c r="I9" s="101" t="n">
        <v>4</v>
      </c>
      <c r="J9" s="101" t="n"/>
      <c r="K9" s="101" t="n"/>
      <c r="L9" s="101" t="n"/>
      <c r="M9" s="101" t="n"/>
      <c r="N9" s="101" t="n"/>
      <c r="O9" s="101" t="n"/>
    </row>
    <row r="10">
      <c r="A10" t="inlineStr">
        <is>
          <t>Figure Type</t>
        </is>
      </c>
      <c r="F10" t="inlineStr">
        <is>
          <t>Sullivan</t>
        </is>
      </c>
      <c r="G10" t="n">
        <v>33</v>
      </c>
      <c r="H10" t="n">
        <v>0</v>
      </c>
      <c r="I10" t="n">
        <v>0</v>
      </c>
    </row>
    <row r="11">
      <c r="A11" t="inlineStr">
        <is>
          <t>X Column</t>
        </is>
      </c>
      <c r="F11" s="46" t="inlineStr">
        <is>
          <t>Ulster</t>
        </is>
      </c>
      <c r="G11" s="116" t="n">
        <v>26</v>
      </c>
      <c r="H11" s="116" t="n">
        <v>0</v>
      </c>
      <c r="I11" s="116" t="n">
        <v>0</v>
      </c>
      <c r="J11" s="42" t="n"/>
      <c r="K11" s="42" t="n"/>
      <c r="L11" s="42" t="n"/>
      <c r="M11" s="47" t="n"/>
      <c r="N11" s="47" t="n"/>
      <c r="O11" s="46" t="n"/>
    </row>
    <row r="12">
      <c r="A12" t="inlineStr">
        <is>
          <t>Y Column</t>
        </is>
      </c>
      <c r="F12" s="74" t="inlineStr">
        <is>
          <t>Westchester</t>
        </is>
      </c>
      <c r="G12" s="42" t="n">
        <v>55</v>
      </c>
      <c r="H12" s="42" t="n">
        <v>1</v>
      </c>
      <c r="I12" s="116" t="n">
        <v>1.8</v>
      </c>
      <c r="J12" s="116" t="n"/>
      <c r="K12" s="116" t="n"/>
      <c r="L12" s="116" t="n"/>
      <c r="M12" s="46" t="n"/>
      <c r="N12" s="46" t="n"/>
      <c r="O12" s="46" t="n"/>
    </row>
    <row r="13">
      <c r="A13" t="inlineStr">
        <is>
          <t>X Axis Title</t>
        </is>
      </c>
      <c r="F13" s="47" t="inlineStr">
        <is>
          <t>Mid-Hudson</t>
        </is>
      </c>
      <c r="G13" s="47" t="inlineStr">
        <is>
          <t>238</t>
        </is>
      </c>
      <c r="H13" s="47" t="inlineStr">
        <is>
          <t>5</t>
        </is>
      </c>
      <c r="I13" s="46" t="inlineStr">
        <is>
          <t>2.1</t>
        </is>
      </c>
      <c r="J13" s="46" t="n"/>
      <c r="K13" s="46" t="n"/>
      <c r="L13" s="46" t="n"/>
      <c r="M13" s="46" t="n"/>
      <c r="N13" s="46" t="n"/>
      <c r="O13" s="46" t="n"/>
    </row>
    <row r="14">
      <c r="A14" t="inlineStr">
        <is>
          <t>Y Axis Title</t>
        </is>
      </c>
      <c r="F14" s="119" t="n"/>
      <c r="G14" s="119" t="n"/>
      <c r="H14" s="119" t="n"/>
      <c r="I14" s="46" t="n"/>
      <c r="J14" s="47" t="n"/>
      <c r="K14" s="47" t="n"/>
      <c r="L14" s="47" t="n"/>
      <c r="M14" s="47" t="n"/>
      <c r="N14" s="47" t="n"/>
      <c r="O14" s="46" t="n"/>
    </row>
    <row r="15">
      <c r="A15" t="inlineStr">
        <is>
          <t>Start at Zero</t>
        </is>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24.xml><?xml version="1.0" encoding="utf-8"?>
<worksheet xmlns="http://schemas.openxmlformats.org/spreadsheetml/2006/main">
  <sheetPr>
    <outlinePr summaryBelow="1" summaryRight="1"/>
    <pageSetUpPr/>
  </sheetPr>
  <dimension ref="A1:Q57"/>
  <sheetViews>
    <sheetView workbookViewId="0">
      <selection activeCell="M27" sqref="M27"/>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24.5" bestFit="1" customWidth="1" style="99" min="7" max="7"/>
    <col width="8.33203125" bestFit="1" customWidth="1" style="99" min="8" max="8"/>
    <col width="15.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Animal Rabies Testing of Wild Species†, 2024</t>
        </is>
      </c>
    </row>
    <row r="2">
      <c r="A2" s="97" t="inlineStr">
        <is>
          <t>Table/Figure/Both</t>
        </is>
      </c>
      <c r="B2" t="inlineStr">
        <is>
          <t>Table</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n"/>
      <c r="K4" s="16" t="n"/>
      <c r="L4" s="16" t="n"/>
      <c r="M4" s="16" t="n"/>
      <c r="N4" s="16" t="n"/>
      <c r="O4" s="16" t="n"/>
      <c r="P4" s="16" t="n"/>
      <c r="Q4" s="16" t="n"/>
    </row>
    <row r="5">
      <c r="A5" s="98" t="inlineStr">
        <is>
          <t>Table Rules</t>
        </is>
      </c>
      <c r="E5" s="100" t="inlineStr">
        <is>
          <t xml:space="preserve">Enter Data </t>
        </is>
      </c>
      <c r="F5" t="inlineStr">
        <is>
          <t>County</t>
        </is>
      </c>
      <c r="G5" t="inlineStr">
        <is>
          <t>Total Wild Animals Tested</t>
        </is>
      </c>
      <c r="H5" t="inlineStr">
        <is>
          <t>Total Wild Animals Positive</t>
        </is>
      </c>
      <c r="I5" t="inlineStr">
        <is>
          <t>Percent Positive</t>
        </is>
      </c>
    </row>
    <row r="6" ht="15" customHeight="1" s="99">
      <c r="A6" t="inlineStr">
        <is>
          <t>Multilevel Headers</t>
        </is>
      </c>
      <c r="B6" t="b">
        <v>0</v>
      </c>
      <c r="F6" t="inlineStr">
        <is>
          <t>Dutchess</t>
        </is>
      </c>
      <c r="G6" s="101" t="n">
        <v>76</v>
      </c>
      <c r="H6" s="101" t="n">
        <v>6</v>
      </c>
      <c r="I6" s="101" t="n">
        <v>7.9</v>
      </c>
      <c r="J6" s="101" t="n"/>
      <c r="K6" s="101" t="n"/>
      <c r="L6" s="101" t="n"/>
      <c r="M6" s="101" t="n"/>
      <c r="N6" s="101" t="n"/>
      <c r="O6" s="101" t="n"/>
    </row>
    <row r="7" ht="15.75" customHeight="1" s="99">
      <c r="F7" t="inlineStr">
        <is>
          <t>Orange</t>
        </is>
      </c>
      <c r="G7" s="101" t="n">
        <v>71</v>
      </c>
      <c r="H7" s="101" t="n">
        <v>4</v>
      </c>
      <c r="I7" s="101" t="n">
        <v>5.6</v>
      </c>
      <c r="J7" s="101" t="n"/>
      <c r="K7" s="101" t="n"/>
      <c r="L7" s="101" t="n"/>
      <c r="M7" s="101" t="n"/>
      <c r="N7" s="101" t="n"/>
      <c r="O7" s="101" t="n"/>
    </row>
    <row r="8">
      <c r="F8" t="inlineStr">
        <is>
          <t>Putnam</t>
        </is>
      </c>
      <c r="G8" s="101" t="n">
        <v>54</v>
      </c>
      <c r="H8" s="101" t="n">
        <v>3</v>
      </c>
      <c r="I8" s="101" t="n">
        <v>5.6</v>
      </c>
      <c r="J8" s="101" t="n"/>
      <c r="K8" s="101" t="n"/>
      <c r="L8" s="101" t="n"/>
      <c r="M8" s="101" t="n"/>
      <c r="N8" s="101" t="n"/>
      <c r="O8" s="101" t="n"/>
      <c r="P8" s="14" t="n"/>
    </row>
    <row r="9">
      <c r="A9" s="98" t="inlineStr">
        <is>
          <t>Figure Rules</t>
        </is>
      </c>
      <c r="F9" t="inlineStr">
        <is>
          <t>Rockland</t>
        </is>
      </c>
      <c r="G9" s="101" t="n">
        <v>31</v>
      </c>
      <c r="H9" s="101" t="n">
        <v>0</v>
      </c>
      <c r="I9" s="101" t="n">
        <v>0</v>
      </c>
      <c r="J9" s="101" t="n"/>
      <c r="K9" s="101" t="n"/>
      <c r="L9" s="101" t="n"/>
      <c r="M9" s="101" t="n"/>
      <c r="N9" s="101" t="n"/>
      <c r="O9" s="101" t="n"/>
    </row>
    <row r="10">
      <c r="A10" t="inlineStr">
        <is>
          <t>Figure Type</t>
        </is>
      </c>
      <c r="F10" t="inlineStr">
        <is>
          <t>Sullivan</t>
        </is>
      </c>
      <c r="G10" t="n">
        <v>13</v>
      </c>
      <c r="H10" t="n">
        <v>3</v>
      </c>
      <c r="I10" t="n">
        <v>23.1</v>
      </c>
    </row>
    <row r="11">
      <c r="A11" t="inlineStr">
        <is>
          <t>X Column</t>
        </is>
      </c>
      <c r="F11" s="46" t="inlineStr">
        <is>
          <t>Ulster</t>
        </is>
      </c>
      <c r="G11" s="116" t="n">
        <v>58</v>
      </c>
      <c r="H11" s="116" t="n">
        <v>10</v>
      </c>
      <c r="I11" s="116" t="n">
        <v>17.2</v>
      </c>
      <c r="J11" s="42" t="n"/>
      <c r="K11" s="42" t="n"/>
      <c r="L11" s="42" t="n"/>
      <c r="M11" s="47" t="n"/>
      <c r="N11" s="47" t="n"/>
      <c r="O11" s="46" t="n"/>
    </row>
    <row r="12">
      <c r="A12" t="inlineStr">
        <is>
          <t>Y Column</t>
        </is>
      </c>
      <c r="F12" s="74" t="inlineStr">
        <is>
          <t>Westchester</t>
        </is>
      </c>
      <c r="G12" s="42" t="n">
        <v>294</v>
      </c>
      <c r="H12" s="42" t="n">
        <v>18</v>
      </c>
      <c r="I12" s="116" t="n">
        <v>6.1</v>
      </c>
      <c r="J12" s="116" t="n"/>
      <c r="K12" s="116" t="n"/>
      <c r="L12" s="116" t="n"/>
      <c r="M12" s="46" t="n"/>
      <c r="N12" s="46" t="n"/>
      <c r="O12" s="46" t="n"/>
    </row>
    <row r="13">
      <c r="A13" t="inlineStr">
        <is>
          <t>X Axis Title</t>
        </is>
      </c>
      <c r="F13" s="47" t="inlineStr">
        <is>
          <t>Mid-Hudson</t>
        </is>
      </c>
      <c r="G13" s="47" t="inlineStr">
        <is>
          <t>597</t>
        </is>
      </c>
      <c r="H13" s="47" t="inlineStr">
        <is>
          <t>44</t>
        </is>
      </c>
      <c r="I13" s="46" t="inlineStr">
        <is>
          <t>7.3</t>
        </is>
      </c>
      <c r="J13" s="46" t="n"/>
      <c r="K13" s="46" t="n"/>
      <c r="L13" s="46" t="n"/>
      <c r="M13" s="46" t="n"/>
      <c r="N13" s="46" t="n"/>
      <c r="O13" s="46" t="n"/>
    </row>
    <row r="14">
      <c r="A14" t="inlineStr">
        <is>
          <t>Y Axis Title</t>
        </is>
      </c>
      <c r="F14" s="119" t="n"/>
      <c r="G14" s="119" t="n"/>
      <c r="H14" s="119" t="n"/>
      <c r="I14" s="46" t="n"/>
      <c r="J14" s="47" t="n"/>
      <c r="K14" s="47" t="n"/>
      <c r="L14" s="47" t="n"/>
      <c r="M14" s="47" t="n"/>
      <c r="N14" s="47" t="n"/>
      <c r="O14" s="46" t="n"/>
    </row>
    <row r="15">
      <c r="A15" t="inlineStr">
        <is>
          <t>Start at Zero</t>
        </is>
      </c>
      <c r="G15" s="119" t="n"/>
      <c r="H15" s="119" t="n"/>
      <c r="I15" s="46" t="n"/>
      <c r="J15" s="47" t="n"/>
      <c r="K15" s="47" t="n"/>
      <c r="L15" s="47" t="n"/>
      <c r="M15" s="47" t="n"/>
      <c r="N15" s="47" t="n"/>
      <c r="O15" s="46" t="n"/>
    </row>
    <row r="16">
      <c r="A16" t="inlineStr">
        <is>
          <t>Pivot For Chart</t>
        </is>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5.xml><?xml version="1.0" encoding="utf-8"?>
<worksheet xmlns="http://schemas.openxmlformats.org/spreadsheetml/2006/main">
  <sheetPr>
    <outlinePr summaryBelow="1" summaryRight="1"/>
    <pageSetUpPr/>
  </sheetPr>
  <dimension ref="A1:Q57"/>
  <sheetViews>
    <sheetView workbookViewId="0">
      <selection activeCell="F5" sqref="F5"/>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Persons Authorized to Receive Rabies Post-Exposure Prophylaxis, Rate per 10,000 Population, 2021–2024</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c r="Q4" s="16" t="n"/>
    </row>
    <row r="5">
      <c r="A5" s="98" t="inlineStr">
        <is>
          <t>Table Rules</t>
        </is>
      </c>
      <c r="E5" s="100" t="inlineStr">
        <is>
          <t xml:space="preserve">Enter Data </t>
        </is>
      </c>
      <c r="F5" s="82"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row>
    <row r="6" ht="15" customHeight="1" s="99">
      <c r="A6" t="inlineStr">
        <is>
          <t>Multilevel Headers</t>
        </is>
      </c>
      <c r="B6" t="b">
        <v>0</v>
      </c>
      <c r="F6" t="n">
        <v>2021</v>
      </c>
      <c r="G6" s="101" t="n">
        <v>2.4</v>
      </c>
      <c r="H6" s="101" t="n">
        <v>2.1</v>
      </c>
      <c r="I6" s="101" t="n">
        <v>2.3</v>
      </c>
      <c r="J6" s="101" t="n">
        <v>1.4</v>
      </c>
      <c r="K6" s="101" t="n">
        <v>2</v>
      </c>
      <c r="L6" s="101" t="n">
        <v>3.8</v>
      </c>
      <c r="M6" s="101" t="n">
        <v>1.9</v>
      </c>
      <c r="N6" s="101" t="n">
        <v>2.1</v>
      </c>
      <c r="O6" s="101" t="n"/>
    </row>
    <row r="7" ht="15.75" customHeight="1" s="99">
      <c r="F7" t="n">
        <v>2022</v>
      </c>
      <c r="G7" s="101" t="n">
        <v>4.1</v>
      </c>
      <c r="H7" s="101" t="n">
        <v>2.4</v>
      </c>
      <c r="I7" s="101" t="n">
        <v>2.9</v>
      </c>
      <c r="J7" s="101" t="n">
        <v>2.7</v>
      </c>
      <c r="K7" s="101" t="n">
        <v>2.4</v>
      </c>
      <c r="L7" s="101" t="n">
        <v>2.5</v>
      </c>
      <c r="M7" s="101" t="n">
        <v>2.1</v>
      </c>
      <c r="N7" s="101" t="n">
        <v>2.5</v>
      </c>
      <c r="O7" s="101" t="n"/>
    </row>
    <row r="8">
      <c r="F8" t="n">
        <v>2023</v>
      </c>
      <c r="G8" s="101" t="n">
        <v>3.3</v>
      </c>
      <c r="H8" s="101" t="n">
        <v>3</v>
      </c>
      <c r="I8" s="101" t="n">
        <v>2.4</v>
      </c>
      <c r="J8" s="101" t="n">
        <v>4.4</v>
      </c>
      <c r="K8" s="101" t="n">
        <v>3.3</v>
      </c>
      <c r="L8" s="101" t="n">
        <v>1.7</v>
      </c>
      <c r="M8" s="101" t="n">
        <v>1.9</v>
      </c>
      <c r="N8" s="101" t="n">
        <v>2.7</v>
      </c>
      <c r="O8" s="101" t="n"/>
      <c r="P8" s="14" t="n"/>
    </row>
    <row r="9">
      <c r="A9" s="98" t="inlineStr">
        <is>
          <t>Figure Rules</t>
        </is>
      </c>
      <c r="F9" t="n">
        <v>2024</v>
      </c>
      <c r="G9" s="101" t="n">
        <v>3</v>
      </c>
      <c r="H9" s="101" t="n">
        <v>4.9</v>
      </c>
      <c r="I9" s="101" t="n">
        <v>3.4</v>
      </c>
      <c r="J9" s="101" t="n">
        <v>1.9</v>
      </c>
      <c r="K9" s="101" t="n">
        <v>4.6</v>
      </c>
      <c r="L9" s="101" t="n">
        <v>0.8</v>
      </c>
      <c r="M9" s="101" t="n">
        <v>2.5</v>
      </c>
      <c r="N9" s="101" t="n">
        <v>2.9</v>
      </c>
      <c r="O9" s="101" t="n"/>
    </row>
    <row r="10">
      <c r="A10" t="inlineStr">
        <is>
          <t>Figure Type</t>
        </is>
      </c>
      <c r="B10" t="inlineStr">
        <is>
          <t>Line</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6.xml><?xml version="1.0" encoding="utf-8"?>
<worksheet xmlns="http://schemas.openxmlformats.org/spreadsheetml/2006/main">
  <sheetPr>
    <outlinePr summaryBelow="1" summaryRight="1"/>
    <pageSetUpPr/>
  </sheetPr>
  <dimension ref="A1:Q57"/>
  <sheetViews>
    <sheetView workbookViewId="0">
      <selection activeCell="P4" sqref="P4"/>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Births with Early Prenatal Care, 2014–2021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G5" s="101" t="inlineStr">
        <is>
          <t>Three-Year Average</t>
        </is>
      </c>
      <c r="N5" s="101" t="inlineStr">
        <is>
          <t>Single Year</t>
        </is>
      </c>
    </row>
    <row r="6" ht="15" customHeight="1" s="99">
      <c r="A6" t="inlineStr">
        <is>
          <t>Multilevel Headers</t>
        </is>
      </c>
      <c r="B6" t="b">
        <v>1</v>
      </c>
      <c r="F6" t="inlineStr">
        <is>
          <t>Year</t>
        </is>
      </c>
      <c r="G6" s="101" t="inlineStr">
        <is>
          <t>Dutchess</t>
        </is>
      </c>
      <c r="H6" s="101" t="inlineStr">
        <is>
          <t>Orange</t>
        </is>
      </c>
      <c r="I6" s="101" t="inlineStr">
        <is>
          <t>Putnam</t>
        </is>
      </c>
      <c r="J6" s="101" t="inlineStr">
        <is>
          <t>Rockland</t>
        </is>
      </c>
      <c r="K6" s="101" t="inlineStr">
        <is>
          <t>Sullivan</t>
        </is>
      </c>
      <c r="L6" s="101" t="inlineStr">
        <is>
          <t>Ulster</t>
        </is>
      </c>
      <c r="M6" s="101" t="inlineStr">
        <is>
          <t>Westchester</t>
        </is>
      </c>
      <c r="N6" s="101" t="inlineStr">
        <is>
          <t>NYS excl NYC</t>
        </is>
      </c>
      <c r="O6" s="101" t="inlineStr">
        <is>
          <t>NYS</t>
        </is>
      </c>
    </row>
    <row r="7" ht="15.75" customHeight="1" s="99">
      <c r="F7" t="n">
        <v>2014</v>
      </c>
      <c r="G7" s="101" t="n">
        <v>78.90000000000001</v>
      </c>
      <c r="H7" s="101" t="n">
        <v>73.59999999999999</v>
      </c>
      <c r="I7" s="101" t="n">
        <v>78.09999999999999</v>
      </c>
      <c r="J7" s="101" t="n">
        <v>67.3</v>
      </c>
      <c r="K7" s="101" t="n">
        <v>66.5</v>
      </c>
      <c r="L7" s="101" t="n">
        <v>77.8</v>
      </c>
      <c r="M7" s="101" t="n">
        <v>66.2</v>
      </c>
      <c r="N7" s="101" t="n">
        <v>75.8</v>
      </c>
      <c r="O7" s="101" t="n">
        <v>73.90000000000001</v>
      </c>
    </row>
    <row r="8">
      <c r="F8" t="n">
        <v>2015</v>
      </c>
      <c r="G8" s="101" t="n">
        <v>81.3</v>
      </c>
      <c r="H8" s="101" t="n">
        <v>73.40000000000001</v>
      </c>
      <c r="I8" s="101" t="n">
        <v>79.7</v>
      </c>
      <c r="J8" s="101" t="n">
        <v>69.3</v>
      </c>
      <c r="K8" s="101" t="n">
        <v>66.5</v>
      </c>
      <c r="L8" s="101" t="n">
        <v>77.5</v>
      </c>
      <c r="M8" s="101" t="n">
        <v>70.09999999999999</v>
      </c>
      <c r="N8" s="101" t="n">
        <v>76.90000000000001</v>
      </c>
      <c r="O8" s="101" t="n">
        <v>75.40000000000001</v>
      </c>
      <c r="P8" s="14" t="n"/>
    </row>
    <row r="9">
      <c r="A9" s="98" t="inlineStr">
        <is>
          <t>Figure Rules</t>
        </is>
      </c>
      <c r="F9" t="n">
        <v>2016</v>
      </c>
      <c r="G9" s="101" t="n">
        <v>83.09999999999999</v>
      </c>
      <c r="H9" s="101" t="n">
        <v>74.5</v>
      </c>
      <c r="I9" s="101" t="n">
        <v>83.59999999999999</v>
      </c>
      <c r="J9" s="101" t="n">
        <v>72.2</v>
      </c>
      <c r="K9" s="101" t="n">
        <v>67.40000000000001</v>
      </c>
      <c r="L9" s="101" t="n">
        <v>75.59999999999999</v>
      </c>
      <c r="M9" s="101" t="n">
        <v>75.8</v>
      </c>
      <c r="N9" s="101" t="n">
        <v>78.40000000000001</v>
      </c>
      <c r="O9" s="101" t="n">
        <v>76.40000000000001</v>
      </c>
    </row>
    <row r="10">
      <c r="A10" t="inlineStr">
        <is>
          <t>Figure Type</t>
        </is>
      </c>
      <c r="B10" t="inlineStr">
        <is>
          <t>Line</t>
        </is>
      </c>
      <c r="F10" t="n">
        <v>2017</v>
      </c>
      <c r="G10" t="n">
        <v>84.7</v>
      </c>
      <c r="H10" t="n">
        <v>73.59999999999999</v>
      </c>
      <c r="I10" t="n">
        <v>85.7</v>
      </c>
      <c r="J10" t="n">
        <v>74.09999999999999</v>
      </c>
      <c r="K10" t="n">
        <v>67.90000000000001</v>
      </c>
      <c r="L10" t="n">
        <v>74</v>
      </c>
      <c r="M10" t="n">
        <v>80.90000000000001</v>
      </c>
      <c r="N10" t="n">
        <v>77.8</v>
      </c>
      <c r="O10" t="n">
        <v>76.3</v>
      </c>
    </row>
    <row r="11">
      <c r="A11" t="inlineStr">
        <is>
          <t>X Column</t>
        </is>
      </c>
      <c r="B11" t="inlineStr">
        <is>
          <t>County</t>
        </is>
      </c>
      <c r="F11" s="46" t="inlineStr">
        <is>
          <t>2018</t>
        </is>
      </c>
      <c r="G11" s="116" t="n">
        <v>84.40000000000001</v>
      </c>
      <c r="H11" s="116" t="n">
        <v>72.40000000000001</v>
      </c>
      <c r="I11" s="116" t="n">
        <v>86.8</v>
      </c>
      <c r="J11" s="42" t="n">
        <v>74.5</v>
      </c>
      <c r="K11" s="42" t="n">
        <v>67.7</v>
      </c>
      <c r="L11" s="42" t="n">
        <v>72.5</v>
      </c>
      <c r="M11" s="47" t="inlineStr">
        <is>
          <t>81.5</t>
        </is>
      </c>
      <c r="N11" s="47" t="inlineStr">
        <is>
          <t>78.6</t>
        </is>
      </c>
      <c r="O11" s="46" t="inlineStr">
        <is>
          <t>76.0</t>
        </is>
      </c>
    </row>
    <row r="12">
      <c r="A12" t="inlineStr">
        <is>
          <t>Y Column</t>
        </is>
      </c>
      <c r="F12" s="74" t="inlineStr">
        <is>
          <t>2019</t>
        </is>
      </c>
      <c r="G12" s="42" t="n">
        <v>84.2</v>
      </c>
      <c r="H12" s="42" t="n">
        <v>70.90000000000001</v>
      </c>
      <c r="I12" s="116" t="n">
        <v>85.3</v>
      </c>
      <c r="J12" s="116" t="n">
        <v>74.5</v>
      </c>
      <c r="K12" s="116" t="n">
        <v>66.2</v>
      </c>
      <c r="L12" s="116" t="n">
        <v>72.90000000000001</v>
      </c>
      <c r="M12" s="46" t="inlineStr">
        <is>
          <t>81.0</t>
        </is>
      </c>
      <c r="N12" s="46" t="inlineStr">
        <is>
          <t>78.8</t>
        </is>
      </c>
      <c r="O12" s="46" t="inlineStr">
        <is>
          <t>76.7</t>
        </is>
      </c>
    </row>
    <row r="13">
      <c r="A13" t="inlineStr">
        <is>
          <t>X Axis Title</t>
        </is>
      </c>
      <c r="F13" s="47" t="inlineStr">
        <is>
          <t>2020</t>
        </is>
      </c>
      <c r="G13" s="47" t="inlineStr">
        <is>
          <t>83.2</t>
        </is>
      </c>
      <c r="H13" s="47" t="inlineStr">
        <is>
          <t>69.9</t>
        </is>
      </c>
      <c r="I13" s="46" t="inlineStr">
        <is>
          <t>85.1</t>
        </is>
      </c>
      <c r="J13" s="46" t="inlineStr">
        <is>
          <t>73.0</t>
        </is>
      </c>
      <c r="K13" s="46" t="inlineStr">
        <is>
          <t>63.1</t>
        </is>
      </c>
      <c r="L13" s="46" t="inlineStr">
        <is>
          <t>71.6</t>
        </is>
      </c>
      <c r="M13" s="46" t="inlineStr">
        <is>
          <t>79.9</t>
        </is>
      </c>
      <c r="N13" s="46" t="inlineStr">
        <is>
          <t>77.7</t>
        </is>
      </c>
      <c r="O13" s="46" t="inlineStr">
        <is>
          <t>75.7</t>
        </is>
      </c>
    </row>
    <row r="14">
      <c r="A14" t="inlineStr">
        <is>
          <t>Y Axis Title</t>
        </is>
      </c>
      <c r="B14" t="inlineStr">
        <is>
          <t>Rate per 100,000</t>
        </is>
      </c>
      <c r="F14" s="119" t="inlineStr">
        <is>
          <t>2021</t>
        </is>
      </c>
      <c r="G14" s="119" t="inlineStr">
        <is>
          <t>81.3</t>
        </is>
      </c>
      <c r="H14" s="119" t="inlineStr">
        <is>
          <t>68.5</t>
        </is>
      </c>
      <c r="I14" s="46" t="inlineStr">
        <is>
          <t>84.0</t>
        </is>
      </c>
      <c r="J14" s="47" t="inlineStr">
        <is>
          <t>71.5</t>
        </is>
      </c>
      <c r="K14" s="47" t="inlineStr">
        <is>
          <t>61.3</t>
        </is>
      </c>
      <c r="L14" s="47" t="inlineStr">
        <is>
          <t>70.1</t>
        </is>
      </c>
      <c r="M14" s="47" t="inlineStr">
        <is>
          <t>78.0</t>
        </is>
      </c>
      <c r="N14" s="47" t="inlineStr">
        <is>
          <t>78.2</t>
        </is>
      </c>
      <c r="O14" s="46" t="inlineStr">
        <is>
          <t>75.4</t>
        </is>
      </c>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27.xml><?xml version="1.0" encoding="utf-8"?>
<worksheet xmlns="http://schemas.openxmlformats.org/spreadsheetml/2006/main">
  <sheetPr>
    <outlinePr summaryBelow="1" summaryRight="1"/>
    <pageSetUpPr/>
  </sheetPr>
  <dimension ref="A1:Q57"/>
  <sheetViews>
    <sheetView workbookViewId="0">
      <selection activeCell="F6" sqref="F6"/>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Births with Late or No Prenatal Care, 2014–2021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G5" s="101" t="inlineStr">
        <is>
          <t>Three-Year Average</t>
        </is>
      </c>
      <c r="N5" s="101" t="inlineStr">
        <is>
          <t>Single Year</t>
        </is>
      </c>
    </row>
    <row r="6" ht="15" customHeight="1" s="99">
      <c r="A6" t="inlineStr">
        <is>
          <t>Multilevel Headers</t>
        </is>
      </c>
      <c r="B6" t="b">
        <v>1</v>
      </c>
      <c r="F6" s="82" t="inlineStr">
        <is>
          <t>Year</t>
        </is>
      </c>
      <c r="G6" s="101" t="inlineStr">
        <is>
          <t>Dutchess</t>
        </is>
      </c>
      <c r="H6" s="101" t="inlineStr">
        <is>
          <t>Orange</t>
        </is>
      </c>
      <c r="I6" s="101" t="inlineStr">
        <is>
          <t>Putnam</t>
        </is>
      </c>
      <c r="J6" s="101" t="inlineStr">
        <is>
          <t>Rockland</t>
        </is>
      </c>
      <c r="K6" s="101" t="inlineStr">
        <is>
          <t>Sullivan</t>
        </is>
      </c>
      <c r="L6" s="101" t="inlineStr">
        <is>
          <t>Ulster</t>
        </is>
      </c>
      <c r="M6" s="101" t="inlineStr">
        <is>
          <t>Westchester</t>
        </is>
      </c>
      <c r="N6" s="101" t="inlineStr">
        <is>
          <t>NYS excl NYC</t>
        </is>
      </c>
      <c r="O6" s="101" t="inlineStr">
        <is>
          <t>NYS</t>
        </is>
      </c>
    </row>
    <row r="7" ht="15.75" customHeight="1" s="99">
      <c r="F7" t="n">
        <v>2014</v>
      </c>
      <c r="G7" s="101" t="n">
        <v>3.2</v>
      </c>
      <c r="H7" s="101" t="n">
        <v>3.9</v>
      </c>
      <c r="I7" s="101" t="n">
        <v>2.3</v>
      </c>
      <c r="J7" s="101" t="n">
        <v>4.7</v>
      </c>
      <c r="K7" s="101" t="n">
        <v>5.8</v>
      </c>
      <c r="L7" s="101" t="n">
        <v>3.9</v>
      </c>
      <c r="M7" s="101" t="n">
        <v>4.1</v>
      </c>
      <c r="N7" s="101" t="n">
        <v>4.1</v>
      </c>
      <c r="O7" s="101" t="n">
        <v>5.6</v>
      </c>
    </row>
    <row r="8">
      <c r="F8" t="n">
        <v>2015</v>
      </c>
      <c r="G8" s="101" t="n">
        <v>3.1</v>
      </c>
      <c r="H8" s="101" t="n">
        <v>4.1</v>
      </c>
      <c r="I8" s="101" t="n">
        <v>2.6</v>
      </c>
      <c r="J8" s="101" t="n">
        <v>4.6</v>
      </c>
      <c r="K8" s="101" t="n">
        <v>6.1</v>
      </c>
      <c r="L8" s="101" t="n">
        <v>3.9</v>
      </c>
      <c r="M8" s="101" t="n">
        <v>4</v>
      </c>
      <c r="N8" s="101" t="n">
        <v>4</v>
      </c>
      <c r="O8" s="101" t="n">
        <v>5.4</v>
      </c>
      <c r="P8" s="14" t="n"/>
    </row>
    <row r="9">
      <c r="A9" s="98" t="inlineStr">
        <is>
          <t>Figure Rules</t>
        </is>
      </c>
      <c r="F9" t="n">
        <v>2016</v>
      </c>
      <c r="G9" s="101" t="n">
        <v>3.4</v>
      </c>
      <c r="H9" s="101" t="n">
        <v>4.4</v>
      </c>
      <c r="I9" s="101" t="n">
        <v>2.7</v>
      </c>
      <c r="J9" s="101" t="n">
        <v>4.2</v>
      </c>
      <c r="K9" s="101" t="n">
        <v>6.3</v>
      </c>
      <c r="L9" s="101" t="n">
        <v>4.9</v>
      </c>
      <c r="M9" s="101" t="n">
        <v>3.9</v>
      </c>
      <c r="N9" s="101" t="n">
        <v>4.4</v>
      </c>
      <c r="O9" s="101" t="n">
        <v>5.7</v>
      </c>
    </row>
    <row r="10">
      <c r="A10" t="inlineStr">
        <is>
          <t>Figure Type</t>
        </is>
      </c>
      <c r="B10" t="inlineStr">
        <is>
          <t>Line</t>
        </is>
      </c>
      <c r="F10" t="n">
        <v>2017</v>
      </c>
      <c r="G10" t="n">
        <v>3.7</v>
      </c>
      <c r="H10" t="n">
        <v>5</v>
      </c>
      <c r="I10" t="n">
        <v>2.6</v>
      </c>
      <c r="J10" t="n">
        <v>3.9</v>
      </c>
      <c r="K10" t="n">
        <v>5.9</v>
      </c>
      <c r="L10" t="n">
        <v>4.7</v>
      </c>
      <c r="M10" t="n">
        <v>3.9</v>
      </c>
      <c r="N10" t="n">
        <v>4.4</v>
      </c>
      <c r="O10" t="n">
        <v>5.4</v>
      </c>
    </row>
    <row r="11">
      <c r="A11" t="inlineStr">
        <is>
          <t>X Column</t>
        </is>
      </c>
      <c r="B11" t="inlineStr">
        <is>
          <t>County</t>
        </is>
      </c>
      <c r="F11" s="46" t="inlineStr">
        <is>
          <t>2018</t>
        </is>
      </c>
      <c r="G11" s="116" t="n">
        <v>3.7</v>
      </c>
      <c r="H11" s="116" t="n">
        <v>5.3</v>
      </c>
      <c r="I11" s="116" t="n">
        <v>2.5</v>
      </c>
      <c r="J11" s="42" t="n">
        <v>3.8</v>
      </c>
      <c r="K11" s="42" t="n">
        <v>5.2</v>
      </c>
      <c r="L11" s="42" t="n">
        <v>5.2</v>
      </c>
      <c r="M11" s="47" t="inlineStr">
        <is>
          <t>3.9</t>
        </is>
      </c>
      <c r="N11" s="47" t="inlineStr">
        <is>
          <t>4.2</t>
        </is>
      </c>
      <c r="O11" s="46" t="inlineStr">
        <is>
          <t>5.4</t>
        </is>
      </c>
    </row>
    <row r="12">
      <c r="A12" t="inlineStr">
        <is>
          <t>Y Column</t>
        </is>
      </c>
      <c r="F12" s="74" t="inlineStr">
        <is>
          <t>2019</t>
        </is>
      </c>
      <c r="G12" s="42" t="n">
        <v>3.7</v>
      </c>
      <c r="H12" s="42" t="n">
        <v>5.3</v>
      </c>
      <c r="I12" s="116" t="n">
        <v>2.4</v>
      </c>
      <c r="J12" s="116" t="n">
        <v>3.8</v>
      </c>
      <c r="K12" s="116" t="n">
        <v>5.8</v>
      </c>
      <c r="L12" s="116" t="n">
        <v>4.7</v>
      </c>
      <c r="M12" s="46" t="inlineStr">
        <is>
          <t>4.2</t>
        </is>
      </c>
      <c r="N12" s="46" t="inlineStr">
        <is>
          <t>4.3</t>
        </is>
      </c>
      <c r="O12" s="46" t="inlineStr">
        <is>
          <t>5.5</t>
        </is>
      </c>
    </row>
    <row r="13">
      <c r="A13" t="inlineStr">
        <is>
          <t>X Axis Title</t>
        </is>
      </c>
      <c r="F13" s="47" t="inlineStr">
        <is>
          <t>2020</t>
        </is>
      </c>
      <c r="G13" s="47" t="inlineStr">
        <is>
          <t>3.8</t>
        </is>
      </c>
      <c r="H13" s="47" t="inlineStr">
        <is>
          <t>5.6</t>
        </is>
      </c>
      <c r="I13" s="46" t="inlineStr">
        <is>
          <t>2.6</t>
        </is>
      </c>
      <c r="J13" s="46" t="inlineStr">
        <is>
          <t>4.0</t>
        </is>
      </c>
      <c r="K13" s="46" t="inlineStr">
        <is>
          <t>7.0</t>
        </is>
      </c>
      <c r="L13" s="46" t="inlineStr">
        <is>
          <t>5.2</t>
        </is>
      </c>
      <c r="M13" s="46" t="inlineStr">
        <is>
          <t>4.6</t>
        </is>
      </c>
      <c r="N13" s="46" t="inlineStr">
        <is>
          <t>4.4</t>
        </is>
      </c>
      <c r="O13" s="46" t="inlineStr">
        <is>
          <t>5.1</t>
        </is>
      </c>
    </row>
    <row r="14">
      <c r="A14" t="inlineStr">
        <is>
          <t>Y Axis Title</t>
        </is>
      </c>
      <c r="B14" t="inlineStr">
        <is>
          <t>Rate per 100,000</t>
        </is>
      </c>
      <c r="F14" s="119" t="inlineStr">
        <is>
          <t>2021</t>
        </is>
      </c>
      <c r="G14" s="119" t="inlineStr">
        <is>
          <t>4.3</t>
        </is>
      </c>
      <c r="H14" s="119" t="inlineStr">
        <is>
          <t>6.4</t>
        </is>
      </c>
      <c r="I14" s="46" t="inlineStr">
        <is>
          <t>3.1</t>
        </is>
      </c>
      <c r="J14" s="47" t="inlineStr">
        <is>
          <t>4.3</t>
        </is>
      </c>
      <c r="K14" s="47" t="inlineStr">
        <is>
          <t>8.0</t>
        </is>
      </c>
      <c r="L14" s="47" t="inlineStr">
        <is>
          <t>5.3</t>
        </is>
      </c>
      <c r="M14" s="47" t="inlineStr">
        <is>
          <t>4.9</t>
        </is>
      </c>
      <c r="N14" s="47" t="inlineStr">
        <is>
          <t>4.3</t>
        </is>
      </c>
      <c r="O14" s="46" t="inlineStr">
        <is>
          <t>5.4</t>
        </is>
      </c>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N5:O5"/>
    <mergeCell ref="A5:B5"/>
    <mergeCell ref="A18:B18"/>
    <mergeCell ref="A9:B9"/>
    <mergeCell ref="A27:B27"/>
    <mergeCell ref="G5:M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8.xml><?xml version="1.0" encoding="utf-8"?>
<worksheet xmlns="http://schemas.openxmlformats.org/spreadsheetml/2006/main">
  <sheetPr>
    <outlinePr summaryBelow="1" summaryRight="1"/>
    <pageSetUpPr/>
  </sheetPr>
  <dimension ref="A1:Q57"/>
  <sheetViews>
    <sheetView workbookViewId="0">
      <selection activeCell="C6" sqref="C6"/>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Births with Early Prenatal Care by Race and 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Non-Hispanic White</t>
        </is>
      </c>
      <c r="G6" s="101" t="n">
        <v>84.7</v>
      </c>
      <c r="H6" s="101" t="n">
        <v>73.2</v>
      </c>
      <c r="I6" s="101" t="n">
        <v>89</v>
      </c>
      <c r="J6" s="101" t="n">
        <v>74.09999999999999</v>
      </c>
      <c r="K6" s="101" t="n">
        <v>62.3</v>
      </c>
      <c r="L6" s="101" t="n">
        <v>72.8</v>
      </c>
      <c r="M6" s="101" t="n">
        <v>85.5</v>
      </c>
      <c r="N6" s="101" t="n">
        <v>81.2</v>
      </c>
      <c r="O6" s="101" t="n">
        <v>81.09999999999999</v>
      </c>
    </row>
    <row r="7" ht="15.75" customHeight="1" s="99">
      <c r="F7" t="inlineStr">
        <is>
          <t>Non-Hispanic Black</t>
        </is>
      </c>
      <c r="G7" s="101" t="n">
        <v>75.5</v>
      </c>
      <c r="H7" s="101" t="n">
        <v>60.9</v>
      </c>
      <c r="I7" s="101" t="n">
        <v>86.40000000000001</v>
      </c>
      <c r="J7" s="101" t="n">
        <v>66.8</v>
      </c>
      <c r="K7" s="101" t="n">
        <v>53.2</v>
      </c>
      <c r="L7" s="101" t="n">
        <v>61.3</v>
      </c>
      <c r="M7" s="101" t="n">
        <v>69.5</v>
      </c>
      <c r="N7" s="101" t="n">
        <v>69.40000000000001</v>
      </c>
      <c r="O7" s="101" t="n">
        <v>65.2</v>
      </c>
    </row>
    <row r="8">
      <c r="F8" t="inlineStr">
        <is>
          <t>Non-Hispanic Asian/Pacific Islander</t>
        </is>
      </c>
      <c r="G8" s="101" t="n">
        <v>79.40000000000001</v>
      </c>
      <c r="H8" s="101" t="n">
        <v>65.3</v>
      </c>
      <c r="I8" s="101" t="n">
        <v>79.2</v>
      </c>
      <c r="J8" s="101" t="n">
        <v>79.3</v>
      </c>
      <c r="K8" s="101" t="n">
        <v>66.09999999999999</v>
      </c>
      <c r="L8" s="101" t="n">
        <v>67.7</v>
      </c>
      <c r="M8" s="101" t="n">
        <v>79.90000000000001</v>
      </c>
      <c r="N8" s="101" t="n">
        <v>77.2</v>
      </c>
      <c r="O8" s="101" t="n">
        <v>77.5</v>
      </c>
      <c r="P8" s="14" t="n"/>
    </row>
    <row r="9">
      <c r="A9" s="98" t="inlineStr">
        <is>
          <t>Figure Rules</t>
        </is>
      </c>
      <c r="F9" t="inlineStr">
        <is>
          <t>Hispanic</t>
        </is>
      </c>
      <c r="G9" s="101" t="n">
        <v>74.3</v>
      </c>
      <c r="H9" s="101" t="n">
        <v>60.2</v>
      </c>
      <c r="I9" s="101" t="n">
        <v>74.59999999999999</v>
      </c>
      <c r="J9" s="101" t="n">
        <v>62.4</v>
      </c>
      <c r="K9" s="101" t="n">
        <v>60</v>
      </c>
      <c r="L9" s="101" t="n">
        <v>62.5</v>
      </c>
      <c r="M9" s="101" t="n">
        <v>72</v>
      </c>
      <c r="N9" s="101" t="n">
        <v>70.59999999999999</v>
      </c>
      <c r="O9" s="101" t="n">
        <v>67.7</v>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29.xml><?xml version="1.0" encoding="utf-8"?>
<worksheet xmlns="http://schemas.openxmlformats.org/spreadsheetml/2006/main">
  <sheetPr>
    <outlinePr summaryBelow="1" summaryRight="1"/>
    <pageSetUpPr/>
  </sheetPr>
  <dimension ref="A1:Q57"/>
  <sheetViews>
    <sheetView workbookViewId="0">
      <selection activeCell="F6" sqref="F6"/>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Pregnancy, Rate per 1,000 Female Population 15–44 Years Old, 2014–2021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G5" s="101" t="inlineStr">
        <is>
          <t>Three-Year Average</t>
        </is>
      </c>
      <c r="N5" s="101" t="inlineStr">
        <is>
          <t>Single Year</t>
        </is>
      </c>
    </row>
    <row r="6" ht="15" customHeight="1" s="99">
      <c r="A6" t="inlineStr">
        <is>
          <t>Multilevel Headers</t>
        </is>
      </c>
      <c r="B6" t="b">
        <v>1</v>
      </c>
      <c r="F6" s="82" t="inlineStr">
        <is>
          <t>Year</t>
        </is>
      </c>
      <c r="G6" s="101" t="inlineStr">
        <is>
          <t>Dutchess</t>
        </is>
      </c>
      <c r="H6" s="101" t="inlineStr">
        <is>
          <t>Orange</t>
        </is>
      </c>
      <c r="I6" s="101" t="inlineStr">
        <is>
          <t>Putnam</t>
        </is>
      </c>
      <c r="J6" s="101" t="inlineStr">
        <is>
          <t>Rockland</t>
        </is>
      </c>
      <c r="K6" s="101" t="inlineStr">
        <is>
          <t>Sullivan</t>
        </is>
      </c>
      <c r="L6" s="101" t="inlineStr">
        <is>
          <t>Ulster</t>
        </is>
      </c>
      <c r="M6" s="101" t="inlineStr">
        <is>
          <t>Westchester</t>
        </is>
      </c>
      <c r="N6" s="101" t="inlineStr">
        <is>
          <t>NYS excl NYC</t>
        </is>
      </c>
      <c r="O6" s="101" t="inlineStr">
        <is>
          <t>NYS</t>
        </is>
      </c>
    </row>
    <row r="7" ht="15.75" customHeight="1" s="99">
      <c r="F7" t="n">
        <v>2014</v>
      </c>
      <c r="G7" s="101" t="n">
        <v>65</v>
      </c>
      <c r="H7" s="101" t="n">
        <v>91.09999999999999</v>
      </c>
      <c r="I7" s="101" t="n">
        <v>55.8</v>
      </c>
      <c r="J7" s="101" t="n">
        <v>94.3</v>
      </c>
      <c r="K7" s="101" t="n">
        <v>86.3</v>
      </c>
      <c r="L7" s="101" t="n">
        <v>66.3</v>
      </c>
      <c r="M7" s="101" t="n">
        <v>75.2</v>
      </c>
      <c r="N7" s="101" t="n">
        <v>74.3</v>
      </c>
      <c r="O7" s="101" t="n">
        <v>86.5</v>
      </c>
    </row>
    <row r="8">
      <c r="F8" t="n">
        <v>2015</v>
      </c>
      <c r="G8" s="101" t="n">
        <v>64.40000000000001</v>
      </c>
      <c r="H8" s="101" t="n">
        <v>92.59999999999999</v>
      </c>
      <c r="I8" s="101" t="n">
        <v>56.9</v>
      </c>
      <c r="J8" s="101" t="n">
        <v>97.2</v>
      </c>
      <c r="K8" s="101" t="n">
        <v>89.09999999999999</v>
      </c>
      <c r="L8" s="101" t="n">
        <v>65</v>
      </c>
      <c r="M8" s="101" t="n">
        <v>75.3</v>
      </c>
      <c r="N8" s="101" t="n">
        <v>73.8</v>
      </c>
      <c r="O8" s="101" t="n">
        <v>84.7</v>
      </c>
      <c r="P8" s="14" t="n"/>
    </row>
    <row r="9">
      <c r="A9" s="98" t="inlineStr">
        <is>
          <t>Figure Rules</t>
        </is>
      </c>
      <c r="F9" t="n">
        <v>2016</v>
      </c>
      <c r="G9" s="101" t="n">
        <v>64.5</v>
      </c>
      <c r="H9" s="101" t="n">
        <v>94</v>
      </c>
      <c r="I9" s="101" t="n">
        <v>56.5</v>
      </c>
      <c r="J9" s="101" t="n">
        <v>97.7</v>
      </c>
      <c r="K9" s="101" t="n">
        <v>91.09999999999999</v>
      </c>
      <c r="L9" s="101" t="n">
        <v>65.3</v>
      </c>
      <c r="M9" s="101" t="n">
        <v>72.90000000000001</v>
      </c>
      <c r="N9" s="101" t="n">
        <v>72.2</v>
      </c>
      <c r="O9" s="101" t="n">
        <v>83.3</v>
      </c>
    </row>
    <row r="10">
      <c r="A10" t="inlineStr">
        <is>
          <t>Figure Type</t>
        </is>
      </c>
      <c r="B10" t="inlineStr">
        <is>
          <t>Line</t>
        </is>
      </c>
      <c r="F10" t="n">
        <v>2017</v>
      </c>
      <c r="G10" t="n">
        <v>63.5</v>
      </c>
      <c r="H10" t="n">
        <v>93.5</v>
      </c>
      <c r="I10" t="n">
        <v>56.1</v>
      </c>
      <c r="J10" t="n">
        <v>100.2</v>
      </c>
      <c r="K10" t="n">
        <v>92.90000000000001</v>
      </c>
      <c r="L10" t="n">
        <v>65.5</v>
      </c>
      <c r="M10" t="n">
        <v>70.7</v>
      </c>
      <c r="N10" t="n">
        <v>72.7</v>
      </c>
      <c r="O10" t="n">
        <v>81.3</v>
      </c>
    </row>
    <row r="11">
      <c r="A11" t="inlineStr">
        <is>
          <t>X Column</t>
        </is>
      </c>
      <c r="B11" t="inlineStr">
        <is>
          <t>County</t>
        </is>
      </c>
      <c r="F11" s="46" t="inlineStr">
        <is>
          <t>2018</t>
        </is>
      </c>
      <c r="G11" s="116" t="n">
        <v>64.40000000000001</v>
      </c>
      <c r="H11" s="116" t="n">
        <v>92.40000000000001</v>
      </c>
      <c r="I11" s="116" t="n">
        <v>55.1</v>
      </c>
      <c r="J11" s="42" t="n">
        <v>104</v>
      </c>
      <c r="K11" s="42" t="n">
        <v>92.90000000000001</v>
      </c>
      <c r="L11" s="42" t="n">
        <v>64.90000000000001</v>
      </c>
      <c r="M11" s="47" t="inlineStr">
        <is>
          <t>71.7</t>
        </is>
      </c>
      <c r="N11" s="47" t="inlineStr">
        <is>
          <t>72.0</t>
        </is>
      </c>
      <c r="O11" s="46" t="inlineStr">
        <is>
          <t>79.4</t>
        </is>
      </c>
    </row>
    <row r="12">
      <c r="A12" t="inlineStr">
        <is>
          <t>Y Column</t>
        </is>
      </c>
      <c r="F12" s="74" t="inlineStr">
        <is>
          <t>2019</t>
        </is>
      </c>
      <c r="G12" s="42" t="n">
        <v>62.5</v>
      </c>
      <c r="H12" s="42" t="n">
        <v>90.09999999999999</v>
      </c>
      <c r="I12" s="116" t="n">
        <v>55.2</v>
      </c>
      <c r="J12" s="116" t="n">
        <v>106</v>
      </c>
      <c r="K12" s="116" t="n">
        <v>91.3</v>
      </c>
      <c r="L12" s="116" t="n">
        <v>62.2</v>
      </c>
      <c r="M12" s="46" t="inlineStr">
        <is>
          <t>71.3</t>
        </is>
      </c>
      <c r="N12" s="46" t="inlineStr">
        <is>
          <t>72.2</t>
        </is>
      </c>
      <c r="O12" s="46" t="inlineStr">
        <is>
          <t>78.5</t>
        </is>
      </c>
    </row>
    <row r="13">
      <c r="A13" t="inlineStr">
        <is>
          <t>X Axis Title</t>
        </is>
      </c>
      <c r="F13" s="47" t="inlineStr">
        <is>
          <t>2020</t>
        </is>
      </c>
      <c r="G13" s="47" t="inlineStr">
        <is>
          <t>60.7</t>
        </is>
      </c>
      <c r="H13" s="47" t="inlineStr">
        <is>
          <t>87.4</t>
        </is>
      </c>
      <c r="I13" s="46" t="inlineStr">
        <is>
          <t>57.4</t>
        </is>
      </c>
      <c r="J13" s="46" t="inlineStr">
        <is>
          <t>109.1</t>
        </is>
      </c>
      <c r="K13" s="46" t="inlineStr">
        <is>
          <t>87.6</t>
        </is>
      </c>
      <c r="L13" s="46" t="inlineStr">
        <is>
          <t>58.2</t>
        </is>
      </c>
      <c r="M13" s="46" t="inlineStr">
        <is>
          <t>71.7</t>
        </is>
      </c>
      <c r="N13" s="46" t="inlineStr">
        <is>
          <t>68.3</t>
        </is>
      </c>
      <c r="O13" s="46" t="inlineStr">
        <is>
          <t>70.9</t>
        </is>
      </c>
    </row>
    <row r="14">
      <c r="A14" t="inlineStr">
        <is>
          <t>Y Axis Title</t>
        </is>
      </c>
      <c r="B14" t="inlineStr">
        <is>
          <t>Rate per 1,000</t>
        </is>
      </c>
      <c r="F14" s="119" t="inlineStr">
        <is>
          <t>2021</t>
        </is>
      </c>
      <c r="G14" s="119" t="inlineStr">
        <is>
          <t>57.7</t>
        </is>
      </c>
      <c r="H14" s="119" t="inlineStr">
        <is>
          <t>84.3</t>
        </is>
      </c>
      <c r="I14" s="46" t="inlineStr">
        <is>
          <t>59.1</t>
        </is>
      </c>
      <c r="J14" s="47" t="inlineStr">
        <is>
          <t>111.1</t>
        </is>
      </c>
      <c r="K14" s="47" t="inlineStr">
        <is>
          <t>83.4</t>
        </is>
      </c>
      <c r="L14" s="47" t="inlineStr">
        <is>
          <t>55.3</t>
        </is>
      </c>
      <c r="M14" s="47" t="inlineStr">
        <is>
          <t>70.5</t>
        </is>
      </c>
      <c r="N14" s="47" t="inlineStr">
        <is>
          <t>68.4</t>
        </is>
      </c>
      <c r="O14" s="46" t="inlineStr">
        <is>
          <t>71.2</t>
        </is>
      </c>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30.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Pregnancy, Rate per 1,000 Female Population 15–44 Years Old  by Race and 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Non-Hispanic White</t>
        </is>
      </c>
      <c r="G6" s="101" t="n">
        <v>50.7</v>
      </c>
      <c r="H6" s="101" t="n">
        <v>86.90000000000001</v>
      </c>
      <c r="I6" s="101" t="n">
        <v>52.9</v>
      </c>
      <c r="J6" s="101" t="n">
        <v>125.9</v>
      </c>
      <c r="K6" s="101" t="n">
        <v>82.8</v>
      </c>
      <c r="L6" s="101" t="n">
        <v>52.3</v>
      </c>
      <c r="M6" s="101" t="n">
        <v>56.6</v>
      </c>
      <c r="N6" s="101" t="n">
        <v>58.8</v>
      </c>
      <c r="O6" s="101" t="n">
        <v>60.1</v>
      </c>
    </row>
    <row r="7" ht="15.75" customHeight="1" s="99">
      <c r="F7" t="inlineStr">
        <is>
          <t>Non-Hispanic Black</t>
        </is>
      </c>
      <c r="G7" s="101" t="n">
        <v>71.7</v>
      </c>
      <c r="H7" s="101" t="n">
        <v>67.90000000000001</v>
      </c>
      <c r="I7" s="101" t="n">
        <v>40.2</v>
      </c>
      <c r="J7" s="101" t="n">
        <v>60.4</v>
      </c>
      <c r="K7" s="101" t="n">
        <v>57.4</v>
      </c>
      <c r="L7" s="101" t="n">
        <v>62</v>
      </c>
      <c r="M7" s="101" t="n">
        <v>79</v>
      </c>
      <c r="N7" s="101" t="n">
        <v>81.59999999999999</v>
      </c>
      <c r="O7" s="101" t="n">
        <v>82.09999999999999</v>
      </c>
    </row>
    <row r="8">
      <c r="F8" t="inlineStr">
        <is>
          <t>Non-Hispanic Asian/Pacific Islander</t>
        </is>
      </c>
      <c r="G8" s="101" t="n">
        <v>37</v>
      </c>
      <c r="H8" s="101" t="n">
        <v>51.4</v>
      </c>
      <c r="I8" s="101" t="n">
        <v>50.2</v>
      </c>
      <c r="J8" s="101" t="n">
        <v>50.6</v>
      </c>
      <c r="K8" s="101" t="n">
        <v>72.7</v>
      </c>
      <c r="L8" s="101" t="n">
        <v>34.2</v>
      </c>
      <c r="M8" s="101" t="n">
        <v>55.1</v>
      </c>
      <c r="N8" s="101" t="n">
        <v>58.6</v>
      </c>
      <c r="O8" s="101" t="n">
        <v>56.3</v>
      </c>
      <c r="P8" s="14" t="n"/>
    </row>
    <row r="9">
      <c r="A9" s="98" t="inlineStr">
        <is>
          <t>Figure Rules</t>
        </is>
      </c>
      <c r="F9" t="inlineStr">
        <is>
          <t>Hispanic</t>
        </is>
      </c>
      <c r="G9" s="101" t="n">
        <v>71.3</v>
      </c>
      <c r="H9" s="101" t="n">
        <v>80.7</v>
      </c>
      <c r="I9" s="101" t="n">
        <v>78.5</v>
      </c>
      <c r="J9" s="101" t="n">
        <v>98.7</v>
      </c>
      <c r="K9" s="101" t="n">
        <v>81.3</v>
      </c>
      <c r="L9" s="101" t="n">
        <v>64.40000000000001</v>
      </c>
      <c r="M9" s="101" t="n">
        <v>80.5</v>
      </c>
      <c r="N9" s="101" t="n">
        <v>81.5</v>
      </c>
      <c r="O9" s="101" t="n">
        <v>78.8</v>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31.xml><?xml version="1.0" encoding="utf-8"?>
<worksheet xmlns="http://schemas.openxmlformats.org/spreadsheetml/2006/main">
  <sheetPr>
    <outlinePr summaryBelow="1" summaryRight="1"/>
    <pageSetUpPr/>
  </sheetPr>
  <dimension ref="A1:Q57"/>
  <sheetViews>
    <sheetView workbookViewId="0">
      <selection activeCell="B3" sqref="B3"/>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Teen Pregnancy, Rate per 1,000 Female Population 17 Years Old and Younger by Race and 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Non-Hispanic White</t>
        </is>
      </c>
      <c r="G6" s="101" t="n">
        <v>1.1</v>
      </c>
      <c r="H6" s="101" t="n">
        <v>0.7</v>
      </c>
      <c r="I6" s="101" t="inlineStr">
        <is>
          <t>0.6*</t>
        </is>
      </c>
      <c r="J6" s="101" t="inlineStr">
        <is>
          <t>0.1*</t>
        </is>
      </c>
      <c r="K6" s="101" t="n">
        <v>2.3</v>
      </c>
      <c r="L6" s="101" t="n">
        <v>1.6</v>
      </c>
      <c r="M6" s="101" t="n">
        <v>0.6</v>
      </c>
      <c r="N6" s="101" t="n">
        <v>1.4</v>
      </c>
      <c r="O6" s="101" t="n">
        <v>1.3</v>
      </c>
    </row>
    <row r="7" ht="15.75" customHeight="1" s="99">
      <c r="F7" t="inlineStr">
        <is>
          <t>Non-Hispanic Black</t>
        </is>
      </c>
      <c r="G7" s="101" t="n">
        <v>5.1</v>
      </c>
      <c r="H7" s="101" t="n">
        <v>3.9</v>
      </c>
      <c r="I7" s="101" t="inlineStr">
        <is>
          <t>0.0*</t>
        </is>
      </c>
      <c r="J7" s="101" t="n">
        <v>2.1</v>
      </c>
      <c r="K7" s="101" t="inlineStr">
        <is>
          <t>7.8*</t>
        </is>
      </c>
      <c r="L7" s="101" t="inlineStr">
        <is>
          <t>2.6*</t>
        </is>
      </c>
      <c r="M7" s="101" t="n">
        <v>4.9</v>
      </c>
      <c r="N7" s="101" t="n">
        <v>6.8</v>
      </c>
      <c r="O7" s="101" t="n">
        <v>6.4</v>
      </c>
    </row>
    <row r="8">
      <c r="F8" t="inlineStr">
        <is>
          <t>Non-Hispanic Asian/Pacific Islander</t>
        </is>
      </c>
      <c r="G8" s="101" t="inlineStr">
        <is>
          <t>0.0*</t>
        </is>
      </c>
      <c r="H8" s="101" t="inlineStr">
        <is>
          <t>1.7*</t>
        </is>
      </c>
      <c r="I8" s="101" t="inlineStr">
        <is>
          <t>0.0*</t>
        </is>
      </c>
      <c r="J8" s="101" t="inlineStr">
        <is>
          <t>0.3*</t>
        </is>
      </c>
      <c r="K8" s="101" t="inlineStr">
        <is>
          <t>0.0*</t>
        </is>
      </c>
      <c r="L8" s="101" t="inlineStr">
        <is>
          <t>0.0*</t>
        </is>
      </c>
      <c r="M8" s="101" t="inlineStr">
        <is>
          <t>0.1*</t>
        </is>
      </c>
      <c r="N8" s="101" t="n">
        <v>0.7</v>
      </c>
      <c r="O8" s="101" t="n">
        <v>0.6</v>
      </c>
      <c r="P8" s="14" t="n"/>
    </row>
    <row r="9">
      <c r="A9" s="98" t="inlineStr">
        <is>
          <t>Figure Rules</t>
        </is>
      </c>
      <c r="F9" t="inlineStr">
        <is>
          <t>Hispanic</t>
        </is>
      </c>
      <c r="G9" s="101" t="n">
        <v>2.9</v>
      </c>
      <c r="H9" s="101" t="n">
        <v>4</v>
      </c>
      <c r="I9" s="101" t="inlineStr">
        <is>
          <t>2.1*</t>
        </is>
      </c>
      <c r="J9" s="101" t="n">
        <v>6.3</v>
      </c>
      <c r="K9" s="101" t="n">
        <v>5.2</v>
      </c>
      <c r="L9" s="101" t="n">
        <v>5</v>
      </c>
      <c r="M9" s="101" t="n">
        <v>4.8</v>
      </c>
      <c r="N9" s="101" t="n">
        <v>5.1</v>
      </c>
      <c r="O9" s="101" t="n">
        <v>5.3</v>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2.xml><?xml version="1.0" encoding="utf-8"?>
<worksheet xmlns="http://schemas.openxmlformats.org/spreadsheetml/2006/main">
  <sheetPr>
    <outlinePr summaryBelow="1" summaryRight="1"/>
    <pageSetUpPr/>
  </sheetPr>
  <dimension ref="A1:Q57"/>
  <sheetViews>
    <sheetView workbookViewId="0">
      <selection activeCell="C20" sqref="C20"/>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Live Births by Financial Coverage, 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t="inlineStr">
        <is>
          <t>Insurance</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t>
        </is>
      </c>
    </row>
    <row r="6" ht="15" customHeight="1" s="99">
      <c r="A6" t="inlineStr">
        <is>
          <t>Multilevel Headers</t>
        </is>
      </c>
      <c r="B6" t="b">
        <v>0</v>
      </c>
      <c r="F6" t="inlineStr">
        <is>
          <t>Medicaid</t>
        </is>
      </c>
      <c r="G6" s="101" t="n">
        <v>32.4</v>
      </c>
      <c r="H6" s="101" t="n">
        <v>57.3</v>
      </c>
      <c r="I6" s="101" t="n">
        <v>23.7</v>
      </c>
      <c r="J6" s="101" t="n">
        <v>60.9</v>
      </c>
      <c r="K6" s="101" t="n">
        <v>66.59999999999999</v>
      </c>
      <c r="L6" s="101" t="n">
        <v>44.7</v>
      </c>
      <c r="M6" s="101" t="n">
        <v>32.5</v>
      </c>
      <c r="N6" s="101" t="n">
        <v>45.5</v>
      </c>
      <c r="O6" s="101" t="n">
        <v>49.8</v>
      </c>
    </row>
    <row r="7" ht="15.75" customHeight="1" s="99">
      <c r="F7" t="inlineStr">
        <is>
          <t>Self-pay</t>
        </is>
      </c>
      <c r="G7" s="101" t="n">
        <v>0.3</v>
      </c>
      <c r="H7" s="101" t="n">
        <v>0.8</v>
      </c>
      <c r="I7" s="101" t="n">
        <v>0.1</v>
      </c>
      <c r="J7" s="101" t="n">
        <v>0.7</v>
      </c>
      <c r="K7" s="101" t="n">
        <v>0.4</v>
      </c>
      <c r="L7" s="101" t="n">
        <v>0.3</v>
      </c>
      <c r="M7" s="101" t="n">
        <v>0.3</v>
      </c>
      <c r="N7" s="101" t="n">
        <v>0.5</v>
      </c>
      <c r="O7" s="101" t="n">
        <v>1</v>
      </c>
    </row>
    <row r="8">
      <c r="F8" t="inlineStr">
        <is>
          <t>Private</t>
        </is>
      </c>
      <c r="G8" s="101" t="n">
        <v>65</v>
      </c>
      <c r="H8" s="101" t="n">
        <v>35.3</v>
      </c>
      <c r="I8" s="101" t="n">
        <v>72.3</v>
      </c>
      <c r="J8" s="101" t="n">
        <v>30.7</v>
      </c>
      <c r="K8" s="101" t="n">
        <v>27</v>
      </c>
      <c r="L8" s="101" t="n">
        <v>49.7</v>
      </c>
      <c r="M8" s="101" t="n">
        <v>61.7</v>
      </c>
      <c r="N8" s="101" t="n">
        <v>48.2</v>
      </c>
      <c r="O8" s="101" t="n">
        <v>45.7</v>
      </c>
      <c r="P8" s="14" t="n"/>
    </row>
    <row r="9">
      <c r="A9" s="98" t="inlineStr">
        <is>
          <t>Figure Rules</t>
        </is>
      </c>
      <c r="G9" s="101" t="n"/>
      <c r="H9" s="101" t="n"/>
      <c r="I9" s="101" t="n"/>
      <c r="J9" s="101" t="n"/>
      <c r="K9" s="101" t="n"/>
      <c r="L9" s="101" t="n"/>
      <c r="M9" s="101" t="n"/>
      <c r="N9" s="101" t="n"/>
      <c r="O9" s="101" t="n"/>
    </row>
    <row r="10">
      <c r="A10" t="inlineStr">
        <is>
          <t>Figure Type</t>
        </is>
      </c>
      <c r="B10" t="inlineStr">
        <is>
          <t>Stacked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33.xml><?xml version="1.0" encoding="utf-8"?>
<worksheet xmlns="http://schemas.openxmlformats.org/spreadsheetml/2006/main">
  <sheetPr>
    <outlinePr summaryBelow="1" summaryRight="1"/>
    <pageSetUpPr/>
  </sheetPr>
  <dimension ref="A1:Q57"/>
  <sheetViews>
    <sheetView workbookViewId="0">
      <selection activeCell="B17" sqref="B17"/>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Preterm Births, 2014–2021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G5" s="101" t="inlineStr">
        <is>
          <t>Three-Year Average</t>
        </is>
      </c>
      <c r="N5" s="101" t="inlineStr">
        <is>
          <t>Single Year</t>
        </is>
      </c>
    </row>
    <row r="6" ht="15" customHeight="1" s="99">
      <c r="A6" t="inlineStr">
        <is>
          <t>Multilevel Headers</t>
        </is>
      </c>
      <c r="B6" t="b">
        <v>1</v>
      </c>
      <c r="F6" t="inlineStr">
        <is>
          <t>County</t>
        </is>
      </c>
      <c r="G6" s="101" t="inlineStr">
        <is>
          <t>Dutchess</t>
        </is>
      </c>
      <c r="H6" s="101" t="inlineStr">
        <is>
          <t>Orange</t>
        </is>
      </c>
      <c r="I6" s="101" t="inlineStr">
        <is>
          <t>Putnam</t>
        </is>
      </c>
      <c r="J6" s="101" t="inlineStr">
        <is>
          <t>Rockland</t>
        </is>
      </c>
      <c r="K6" s="101" t="inlineStr">
        <is>
          <t>Sullivan</t>
        </is>
      </c>
      <c r="L6" s="101" t="inlineStr">
        <is>
          <t>Ulster</t>
        </is>
      </c>
      <c r="M6" s="101" t="inlineStr">
        <is>
          <t>Westchester</t>
        </is>
      </c>
      <c r="N6" s="101" t="inlineStr">
        <is>
          <t>NYS excl NYC</t>
        </is>
      </c>
      <c r="O6" s="101" t="inlineStr">
        <is>
          <t>NYS</t>
        </is>
      </c>
    </row>
    <row r="7" ht="15.75" customHeight="1" s="99">
      <c r="F7" t="n">
        <v>2014</v>
      </c>
      <c r="G7" s="101" t="n">
        <v>8.800000000000001</v>
      </c>
      <c r="H7" s="101" t="n">
        <v>7.9</v>
      </c>
      <c r="I7" s="101" t="n">
        <v>9.699999999999999</v>
      </c>
      <c r="J7" s="101" t="n">
        <v>6.4</v>
      </c>
      <c r="K7" s="101" t="n">
        <v>10.8</v>
      </c>
      <c r="L7" s="101" t="n">
        <v>8.5</v>
      </c>
      <c r="M7" s="101" t="n">
        <v>9.300000000000001</v>
      </c>
      <c r="N7" s="101" t="n">
        <v>9</v>
      </c>
      <c r="O7" s="101" t="n">
        <v>8.800000000000001</v>
      </c>
    </row>
    <row r="8">
      <c r="F8" t="n">
        <v>2015</v>
      </c>
      <c r="G8" s="101" t="n">
        <v>9.1</v>
      </c>
      <c r="H8" s="101" t="n">
        <v>8.300000000000001</v>
      </c>
      <c r="I8" s="101" t="n">
        <v>10.2</v>
      </c>
      <c r="J8" s="101" t="n">
        <v>6.7</v>
      </c>
      <c r="K8" s="101" t="n">
        <v>10.6</v>
      </c>
      <c r="L8" s="101" t="n">
        <v>8.6</v>
      </c>
      <c r="M8" s="101" t="n">
        <v>9.199999999999999</v>
      </c>
      <c r="N8" s="101" t="n">
        <v>8.699999999999999</v>
      </c>
      <c r="O8" s="101" t="n">
        <v>8.699999999999999</v>
      </c>
      <c r="P8" s="14" t="n"/>
    </row>
    <row r="9">
      <c r="A9" s="98" t="inlineStr">
        <is>
          <t>Figure Rules</t>
        </is>
      </c>
      <c r="F9" t="n">
        <v>2016</v>
      </c>
      <c r="G9" s="101" t="n">
        <v>9.199999999999999</v>
      </c>
      <c r="H9" s="101" t="n">
        <v>8.199999999999999</v>
      </c>
      <c r="I9" s="101" t="n">
        <v>9.4</v>
      </c>
      <c r="J9" s="101" t="n">
        <v>7</v>
      </c>
      <c r="K9" s="101" t="n">
        <v>9.6</v>
      </c>
      <c r="L9" s="101" t="n">
        <v>8.6</v>
      </c>
      <c r="M9" s="101" t="n">
        <v>9</v>
      </c>
      <c r="N9" s="101" t="n">
        <v>9.1</v>
      </c>
      <c r="O9" s="101" t="n">
        <v>8.9</v>
      </c>
    </row>
    <row r="10">
      <c r="A10" t="inlineStr">
        <is>
          <t>Figure Type</t>
        </is>
      </c>
      <c r="B10" t="inlineStr">
        <is>
          <t>Line</t>
        </is>
      </c>
      <c r="F10" t="n">
        <v>2017</v>
      </c>
      <c r="G10" t="n">
        <v>9.6</v>
      </c>
      <c r="H10" t="n">
        <v>8.199999999999999</v>
      </c>
      <c r="I10" t="n">
        <v>9</v>
      </c>
      <c r="J10" t="n">
        <v>6.5</v>
      </c>
      <c r="K10" t="n">
        <v>8.9</v>
      </c>
      <c r="L10" t="n">
        <v>8.5</v>
      </c>
      <c r="M10" t="n">
        <v>8.9</v>
      </c>
      <c r="N10" t="n">
        <v>9</v>
      </c>
      <c r="O10" t="n">
        <v>9</v>
      </c>
    </row>
    <row r="11">
      <c r="A11" t="inlineStr">
        <is>
          <t>X Column</t>
        </is>
      </c>
      <c r="B11" t="inlineStr">
        <is>
          <t>County</t>
        </is>
      </c>
      <c r="F11" s="46" t="inlineStr">
        <is>
          <t>2018</t>
        </is>
      </c>
      <c r="G11" s="116" t="n">
        <v>9.199999999999999</v>
      </c>
      <c r="H11" s="116" t="n">
        <v>8.1</v>
      </c>
      <c r="I11" s="116" t="n">
        <v>8.300000000000001</v>
      </c>
      <c r="J11" s="42" t="n">
        <v>6.4</v>
      </c>
      <c r="K11" s="42" t="n">
        <v>9.1</v>
      </c>
      <c r="L11" s="42" t="n">
        <v>9</v>
      </c>
      <c r="M11" s="47" t="inlineStr">
        <is>
          <t>9.1</t>
        </is>
      </c>
      <c r="N11" s="47" t="inlineStr">
        <is>
          <t>9.0</t>
        </is>
      </c>
      <c r="O11" s="46" t="inlineStr">
        <is>
          <t>9.0</t>
        </is>
      </c>
    </row>
    <row r="12">
      <c r="A12" t="inlineStr">
        <is>
          <t>Y Column</t>
        </is>
      </c>
      <c r="F12" s="74" t="inlineStr">
        <is>
          <t>2019</t>
        </is>
      </c>
      <c r="G12" s="42" t="n">
        <v>9</v>
      </c>
      <c r="H12" s="42" t="n">
        <v>8.300000000000001</v>
      </c>
      <c r="I12" s="116" t="n">
        <v>8.699999999999999</v>
      </c>
      <c r="J12" s="116" t="n">
        <v>6.3</v>
      </c>
      <c r="K12" s="116" t="n">
        <v>10.3</v>
      </c>
      <c r="L12" s="116" t="n">
        <v>9</v>
      </c>
      <c r="M12" s="46" t="inlineStr">
        <is>
          <t>9.1</t>
        </is>
      </c>
      <c r="N12" s="46" t="inlineStr">
        <is>
          <t>9.3</t>
        </is>
      </c>
      <c r="O12" s="46" t="inlineStr">
        <is>
          <t>9.2</t>
        </is>
      </c>
    </row>
    <row r="13">
      <c r="A13" t="inlineStr">
        <is>
          <t>X Axis Title</t>
        </is>
      </c>
      <c r="F13" s="47" t="inlineStr">
        <is>
          <t>2020</t>
        </is>
      </c>
      <c r="G13" s="47" t="inlineStr">
        <is>
          <t>9.4</t>
        </is>
      </c>
      <c r="H13" s="47" t="inlineStr">
        <is>
          <t>8.4</t>
        </is>
      </c>
      <c r="I13" s="46" t="inlineStr">
        <is>
          <t>9.1</t>
        </is>
      </c>
      <c r="J13" s="46" t="inlineStr">
        <is>
          <t>6.6</t>
        </is>
      </c>
      <c r="K13" s="46" t="inlineStr">
        <is>
          <t>9.7</t>
        </is>
      </c>
      <c r="L13" s="46" t="inlineStr">
        <is>
          <t>9.9</t>
        </is>
      </c>
      <c r="M13" s="46" t="inlineStr">
        <is>
          <t>9.0</t>
        </is>
      </c>
      <c r="N13" s="46" t="inlineStr">
        <is>
          <t>9.3</t>
        </is>
      </c>
      <c r="O13" s="46" t="inlineStr">
        <is>
          <t>9.2</t>
        </is>
      </c>
    </row>
    <row r="14">
      <c r="A14" t="inlineStr">
        <is>
          <t>Y Axis Title</t>
        </is>
      </c>
      <c r="B14" t="inlineStr">
        <is>
          <t>Percent</t>
        </is>
      </c>
      <c r="F14" s="119" t="inlineStr">
        <is>
          <t>2021</t>
        </is>
      </c>
      <c r="G14" s="119" t="inlineStr">
        <is>
          <t>9.7</t>
        </is>
      </c>
      <c r="H14" s="119" t="inlineStr">
        <is>
          <t>8.4</t>
        </is>
      </c>
      <c r="I14" s="46" t="inlineStr">
        <is>
          <t>9.1</t>
        </is>
      </c>
      <c r="J14" s="47" t="inlineStr">
        <is>
          <t>6.5</t>
        </is>
      </c>
      <c r="K14" s="47" t="inlineStr">
        <is>
          <t>9.7</t>
        </is>
      </c>
      <c r="L14" s="47" t="inlineStr">
        <is>
          <t>10.0</t>
        </is>
      </c>
      <c r="M14" s="47" t="inlineStr">
        <is>
          <t>9.0</t>
        </is>
      </c>
      <c r="N14" s="47" t="inlineStr">
        <is>
          <t>9.6</t>
        </is>
      </c>
      <c r="O14" s="46" t="inlineStr">
        <is>
          <t>9.7</t>
        </is>
      </c>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4.xml><?xml version="1.0" encoding="utf-8"?>
<worksheet xmlns="http://schemas.openxmlformats.org/spreadsheetml/2006/main">
  <sheetPr>
    <outlinePr summaryBelow="1" summaryRight="1"/>
    <pageSetUpPr/>
  </sheetPr>
  <dimension ref="A1:Q57"/>
  <sheetViews>
    <sheetView workbookViewId="0">
      <selection activeCell="R39" sqref="R39"/>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Low Birthweight Infants, 2014–2021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G5" s="101" t="inlineStr">
        <is>
          <t>Three-Year Average</t>
        </is>
      </c>
      <c r="N5" s="101" t="inlineStr">
        <is>
          <t>Single Year</t>
        </is>
      </c>
    </row>
    <row r="6" ht="15" customHeight="1" s="99">
      <c r="A6" t="inlineStr">
        <is>
          <t>Multilevel Headers</t>
        </is>
      </c>
      <c r="B6" t="b">
        <v>1</v>
      </c>
      <c r="F6" t="inlineStr">
        <is>
          <t>County</t>
        </is>
      </c>
      <c r="G6" s="101" t="inlineStr">
        <is>
          <t>Dutchess</t>
        </is>
      </c>
      <c r="H6" s="101" t="inlineStr">
        <is>
          <t>Orange</t>
        </is>
      </c>
      <c r="I6" s="101" t="inlineStr">
        <is>
          <t>Putnam</t>
        </is>
      </c>
      <c r="J6" s="101" t="inlineStr">
        <is>
          <t>Rockland</t>
        </is>
      </c>
      <c r="K6" s="101" t="inlineStr">
        <is>
          <t>Sullivan</t>
        </is>
      </c>
      <c r="L6" s="101" t="inlineStr">
        <is>
          <t>Ulster</t>
        </is>
      </c>
      <c r="M6" s="101" t="inlineStr">
        <is>
          <t>Westchester</t>
        </is>
      </c>
      <c r="N6" s="101" t="inlineStr">
        <is>
          <t>NYS excl NYC</t>
        </is>
      </c>
      <c r="O6" s="101" t="inlineStr">
        <is>
          <t>NYS</t>
        </is>
      </c>
    </row>
    <row r="7" ht="15.75" customHeight="1" s="99">
      <c r="F7" t="n">
        <v>2014</v>
      </c>
      <c r="G7" s="101" t="n">
        <v>7.5</v>
      </c>
      <c r="H7" s="101" t="n">
        <v>6.8</v>
      </c>
      <c r="I7" s="101" t="n">
        <v>7.5</v>
      </c>
      <c r="J7" s="101" t="n">
        <v>6.2</v>
      </c>
      <c r="K7" s="101" t="n">
        <v>9.300000000000001</v>
      </c>
      <c r="L7" s="101" t="n">
        <v>7.3</v>
      </c>
      <c r="M7" s="101" t="n">
        <v>8.1</v>
      </c>
      <c r="N7" s="101" t="n">
        <v>7.7</v>
      </c>
      <c r="O7" s="101" t="n">
        <v>7.8</v>
      </c>
    </row>
    <row r="8">
      <c r="F8" t="n">
        <v>2015</v>
      </c>
      <c r="G8" s="101" t="n">
        <v>7.5</v>
      </c>
      <c r="H8" s="101" t="n">
        <v>6.9</v>
      </c>
      <c r="I8" s="101" t="n">
        <v>7.4</v>
      </c>
      <c r="J8" s="101" t="n">
        <v>6.3</v>
      </c>
      <c r="K8" s="101" t="n">
        <v>8.800000000000001</v>
      </c>
      <c r="L8" s="101" t="n">
        <v>7.4</v>
      </c>
      <c r="M8" s="101" t="n">
        <v>8.199999999999999</v>
      </c>
      <c r="N8" s="101" t="n">
        <v>7.5</v>
      </c>
      <c r="O8" s="101" t="n">
        <v>7.8</v>
      </c>
      <c r="P8" s="14" t="n"/>
    </row>
    <row r="9">
      <c r="A9" s="98" t="inlineStr">
        <is>
          <t>Figure Rules</t>
        </is>
      </c>
      <c r="F9" t="n">
        <v>2016</v>
      </c>
      <c r="G9" s="101" t="n">
        <v>7.4</v>
      </c>
      <c r="H9" s="101" t="n">
        <v>6.6</v>
      </c>
      <c r="I9" s="101" t="n">
        <v>7</v>
      </c>
      <c r="J9" s="101" t="n">
        <v>6.3</v>
      </c>
      <c r="K9" s="101" t="n">
        <v>8.300000000000001</v>
      </c>
      <c r="L9" s="101" t="n">
        <v>7.2</v>
      </c>
      <c r="M9" s="101" t="n">
        <v>8</v>
      </c>
      <c r="N9" s="101" t="n">
        <v>7.7</v>
      </c>
      <c r="O9" s="101" t="n">
        <v>7.9</v>
      </c>
    </row>
    <row r="10">
      <c r="A10" t="inlineStr">
        <is>
          <t>Figure Type</t>
        </is>
      </c>
      <c r="B10" t="inlineStr">
        <is>
          <t>Line</t>
        </is>
      </c>
      <c r="F10" t="n">
        <v>2017</v>
      </c>
      <c r="G10" t="n">
        <v>7.5</v>
      </c>
      <c r="H10" t="n">
        <v>6.7</v>
      </c>
      <c r="I10" t="n">
        <v>7</v>
      </c>
      <c r="J10" t="n">
        <v>6</v>
      </c>
      <c r="K10" t="n">
        <v>7.2</v>
      </c>
      <c r="L10" t="n">
        <v>7.2</v>
      </c>
      <c r="M10" t="n">
        <v>7.9</v>
      </c>
      <c r="N10" t="n">
        <v>7.7</v>
      </c>
      <c r="O10" t="n">
        <v>8.1</v>
      </c>
    </row>
    <row r="11">
      <c r="A11" t="inlineStr">
        <is>
          <t>X Column</t>
        </is>
      </c>
      <c r="B11" t="inlineStr">
        <is>
          <t>County</t>
        </is>
      </c>
      <c r="F11" s="46" t="inlineStr">
        <is>
          <t>2018</t>
        </is>
      </c>
      <c r="G11" s="116" t="n">
        <v>7.5</v>
      </c>
      <c r="H11" s="116" t="n">
        <v>6.6</v>
      </c>
      <c r="I11" s="116" t="n">
        <v>6.5</v>
      </c>
      <c r="J11" s="42" t="n">
        <v>5.8</v>
      </c>
      <c r="K11" s="42" t="n">
        <v>7.8</v>
      </c>
      <c r="L11" s="42" t="n">
        <v>7.6</v>
      </c>
      <c r="M11" s="47" t="inlineStr">
        <is>
          <t>7.8</t>
        </is>
      </c>
      <c r="N11" s="47" t="inlineStr">
        <is>
          <t>7.7</t>
        </is>
      </c>
      <c r="O11" s="46" t="inlineStr">
        <is>
          <t>8.1</t>
        </is>
      </c>
    </row>
    <row r="12">
      <c r="A12" t="inlineStr">
        <is>
          <t>Y Column</t>
        </is>
      </c>
      <c r="F12" s="74" t="inlineStr">
        <is>
          <t>2019</t>
        </is>
      </c>
      <c r="G12" s="42" t="n">
        <v>7.3</v>
      </c>
      <c r="H12" s="42" t="n">
        <v>7</v>
      </c>
      <c r="I12" s="116" t="n">
        <v>6.6</v>
      </c>
      <c r="J12" s="116" t="n">
        <v>5.6</v>
      </c>
      <c r="K12" s="116" t="n">
        <v>8.6</v>
      </c>
      <c r="L12" s="116" t="n">
        <v>7.7</v>
      </c>
      <c r="M12" s="46" t="inlineStr">
        <is>
          <t>7.8</t>
        </is>
      </c>
      <c r="N12" s="46" t="inlineStr">
        <is>
          <t>7.7</t>
        </is>
      </c>
      <c r="O12" s="46" t="inlineStr">
        <is>
          <t>8.1</t>
        </is>
      </c>
    </row>
    <row r="13">
      <c r="A13" t="inlineStr">
        <is>
          <t>X Axis Title</t>
        </is>
      </c>
      <c r="F13" s="47" t="inlineStr">
        <is>
          <t>2020</t>
        </is>
      </c>
      <c r="G13" s="47" t="inlineStr">
        <is>
          <t>7.8</t>
        </is>
      </c>
      <c r="H13" s="47" t="inlineStr">
        <is>
          <t>7.0</t>
        </is>
      </c>
      <c r="I13" s="46" t="inlineStr">
        <is>
          <t>7.0</t>
        </is>
      </c>
      <c r="J13" s="46" t="inlineStr">
        <is>
          <t>5.7</t>
        </is>
      </c>
      <c r="K13" s="46" t="inlineStr">
        <is>
          <t>8.3</t>
        </is>
      </c>
      <c r="L13" s="46" t="inlineStr">
        <is>
          <t>7.9</t>
        </is>
      </c>
      <c r="M13" s="46" t="inlineStr">
        <is>
          <t>7.7</t>
        </is>
      </c>
      <c r="N13" s="46" t="inlineStr">
        <is>
          <t>7.8</t>
        </is>
      </c>
      <c r="O13" s="46" t="inlineStr">
        <is>
          <t>8.2</t>
        </is>
      </c>
    </row>
    <row r="14">
      <c r="A14" t="inlineStr">
        <is>
          <t>Y Axis Title</t>
        </is>
      </c>
      <c r="B14" t="inlineStr">
        <is>
          <t>Percent</t>
        </is>
      </c>
      <c r="F14" s="119" t="inlineStr">
        <is>
          <t>2021</t>
        </is>
      </c>
      <c r="G14" s="119" t="inlineStr">
        <is>
          <t>7.8</t>
        </is>
      </c>
      <c r="H14" s="119" t="inlineStr">
        <is>
          <t>7.1</t>
        </is>
      </c>
      <c r="I14" s="46" t="inlineStr">
        <is>
          <t>7.3</t>
        </is>
      </c>
      <c r="J14" s="47" t="inlineStr">
        <is>
          <t>5.7</t>
        </is>
      </c>
      <c r="K14" s="47" t="inlineStr">
        <is>
          <t>8.1</t>
        </is>
      </c>
      <c r="L14" s="47" t="inlineStr">
        <is>
          <t>7.9</t>
        </is>
      </c>
      <c r="M14" s="47" t="inlineStr">
        <is>
          <t>7.8</t>
        </is>
      </c>
      <c r="N14" s="47" t="inlineStr">
        <is>
          <t>8.0</t>
        </is>
      </c>
      <c r="O14" s="46" t="inlineStr">
        <is>
          <t>8.4</t>
        </is>
      </c>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N5:O5"/>
    <mergeCell ref="A5:B5"/>
    <mergeCell ref="A18:B18"/>
    <mergeCell ref="A9:B9"/>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35.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Low Birthweight Infants by Race and 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Non-Hispanic White</t>
        </is>
      </c>
      <c r="G6" s="101" t="n">
        <v>6.5</v>
      </c>
      <c r="H6" s="101" t="n">
        <v>5.7</v>
      </c>
      <c r="I6" s="101" t="n">
        <v>7.1</v>
      </c>
      <c r="J6" s="101" t="n">
        <v>4.6</v>
      </c>
      <c r="K6" s="101" t="n">
        <v>7.2</v>
      </c>
      <c r="L6" s="101" t="n">
        <v>7.2</v>
      </c>
      <c r="M6" s="101" t="n">
        <v>5.8</v>
      </c>
      <c r="N6" s="101" t="n">
        <v>6.7</v>
      </c>
      <c r="O6" s="101" t="n">
        <v>6.4</v>
      </c>
    </row>
    <row r="7" ht="15.75" customHeight="1" s="99">
      <c r="F7" t="inlineStr">
        <is>
          <t>Non-Hispanic Black</t>
        </is>
      </c>
      <c r="G7" s="101" t="n">
        <v>13.4</v>
      </c>
      <c r="H7" s="101" t="n">
        <v>13.4</v>
      </c>
      <c r="I7" s="101" t="inlineStr">
        <is>
          <t>10.2*</t>
        </is>
      </c>
      <c r="J7" s="101" t="n">
        <v>10.4</v>
      </c>
      <c r="K7" s="101" t="n">
        <v>16.9</v>
      </c>
      <c r="L7" s="101" t="n">
        <v>11.8</v>
      </c>
      <c r="M7" s="101" t="n">
        <v>13</v>
      </c>
      <c r="N7" s="101" t="n">
        <v>14.2</v>
      </c>
      <c r="O7" s="101" t="n">
        <v>13.8</v>
      </c>
    </row>
    <row r="8">
      <c r="F8" t="inlineStr">
        <is>
          <t>Non-Hispanic Asian/Pacific Islander</t>
        </is>
      </c>
      <c r="G8" s="101" t="n">
        <v>8</v>
      </c>
      <c r="H8" s="101" t="n">
        <v>8.1</v>
      </c>
      <c r="I8" s="101" t="inlineStr">
        <is>
          <t>4.2*</t>
        </is>
      </c>
      <c r="J8" s="101" t="n">
        <v>9.300000000000001</v>
      </c>
      <c r="K8" s="101" t="inlineStr">
        <is>
          <t>5.4*</t>
        </is>
      </c>
      <c r="L8" s="101" t="inlineStr">
        <is>
          <t>7.2*</t>
        </is>
      </c>
      <c r="M8" s="101" t="n">
        <v>9.199999999999999</v>
      </c>
      <c r="N8" s="101" t="n">
        <v>9.300000000000001</v>
      </c>
      <c r="O8" s="101" t="n">
        <v>9.5</v>
      </c>
      <c r="P8" s="14" t="n"/>
    </row>
    <row r="9">
      <c r="A9" s="98" t="inlineStr">
        <is>
          <t>Figure Rules</t>
        </is>
      </c>
      <c r="F9" t="inlineStr">
        <is>
          <t>Hispanic</t>
        </is>
      </c>
      <c r="G9" s="101" t="n">
        <v>8.1</v>
      </c>
      <c r="H9" s="101" t="n">
        <v>8.5</v>
      </c>
      <c r="I9" s="101" t="n">
        <v>7.6</v>
      </c>
      <c r="J9" s="101" t="n">
        <v>7.1</v>
      </c>
      <c r="K9" s="101" t="n">
        <v>9</v>
      </c>
      <c r="L9" s="101" t="n">
        <v>7.5</v>
      </c>
      <c r="M9" s="101" t="n">
        <v>7.9</v>
      </c>
      <c r="N9" s="101" t="n">
        <v>8.300000000000001</v>
      </c>
      <c r="O9" s="101" t="n">
        <v>8.699999999999999</v>
      </c>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6.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Infant Mortality, Rate per 1,000 Live Births, 2014–2021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G5" s="101" t="inlineStr">
        <is>
          <t>Three-Year Average</t>
        </is>
      </c>
      <c r="N5" s="101" t="inlineStr">
        <is>
          <t>Single Year</t>
        </is>
      </c>
    </row>
    <row r="6" ht="15" customHeight="1" s="99">
      <c r="A6" t="inlineStr">
        <is>
          <t>Multilevel Headers</t>
        </is>
      </c>
      <c r="B6" t="b">
        <v>1</v>
      </c>
      <c r="F6" t="inlineStr">
        <is>
          <t>County</t>
        </is>
      </c>
      <c r="G6" s="101" t="inlineStr">
        <is>
          <t>Dutchess</t>
        </is>
      </c>
      <c r="H6" s="101" t="inlineStr">
        <is>
          <t>Orange</t>
        </is>
      </c>
      <c r="I6" s="101" t="inlineStr">
        <is>
          <t>Putnam</t>
        </is>
      </c>
      <c r="J6" s="101" t="inlineStr">
        <is>
          <t>Rockland</t>
        </is>
      </c>
      <c r="K6" s="101" t="inlineStr">
        <is>
          <t>Sullivan</t>
        </is>
      </c>
      <c r="L6" s="101" t="inlineStr">
        <is>
          <t>Ulster</t>
        </is>
      </c>
      <c r="M6" s="101" t="inlineStr">
        <is>
          <t>Westchester</t>
        </is>
      </c>
      <c r="N6" s="101" t="inlineStr">
        <is>
          <t>NYS excl NYC</t>
        </is>
      </c>
      <c r="O6" s="101" t="inlineStr">
        <is>
          <t>NYS</t>
        </is>
      </c>
    </row>
    <row r="7" ht="15.75" customHeight="1" s="99">
      <c r="F7" t="n">
        <v>2014</v>
      </c>
      <c r="G7" s="101" t="n">
        <v>4.9</v>
      </c>
      <c r="H7" s="101" t="n">
        <v>5.3</v>
      </c>
      <c r="I7" s="101" t="inlineStr">
        <is>
          <t>3.7*</t>
        </is>
      </c>
      <c r="J7" s="101" t="n">
        <v>4</v>
      </c>
      <c r="K7" s="101" t="n">
        <v>4.6</v>
      </c>
      <c r="L7" s="101" t="n">
        <v>5.3</v>
      </c>
      <c r="M7" s="101" t="n">
        <v>4.1</v>
      </c>
      <c r="N7" s="101" t="n">
        <v>5.1</v>
      </c>
      <c r="O7" s="101" t="n">
        <v>4.6</v>
      </c>
    </row>
    <row r="8">
      <c r="F8" t="n">
        <v>2015</v>
      </c>
      <c r="G8" s="101" t="n">
        <v>4</v>
      </c>
      <c r="H8" s="101" t="n">
        <v>4.9</v>
      </c>
      <c r="I8" s="101" t="inlineStr">
        <is>
          <t>2.0*</t>
        </is>
      </c>
      <c r="J8" s="101" t="n">
        <v>3.6</v>
      </c>
      <c r="K8" s="101" t="n">
        <v>4.9</v>
      </c>
      <c r="L8" s="101" t="n">
        <v>5</v>
      </c>
      <c r="M8" s="101" t="n">
        <v>3.6</v>
      </c>
      <c r="N8" s="101" t="n">
        <v>5</v>
      </c>
      <c r="O8" s="101" t="n">
        <v>4.6</v>
      </c>
      <c r="P8" s="14" t="n"/>
    </row>
    <row r="9">
      <c r="A9" s="98" t="inlineStr">
        <is>
          <t>Figure Rules</t>
        </is>
      </c>
      <c r="F9" t="n">
        <v>2016</v>
      </c>
      <c r="G9" s="101" t="n">
        <v>3.4</v>
      </c>
      <c r="H9" s="101" t="n">
        <v>4</v>
      </c>
      <c r="I9" s="101" t="inlineStr">
        <is>
          <t>1.6*</t>
        </is>
      </c>
      <c r="J9" s="101" t="n">
        <v>3.6</v>
      </c>
      <c r="K9" s="101" t="n">
        <v>4.9</v>
      </c>
      <c r="L9" s="101" t="n">
        <v>4.8</v>
      </c>
      <c r="M9" s="101" t="n">
        <v>3.1</v>
      </c>
      <c r="N9" s="101" t="n">
        <v>5</v>
      </c>
      <c r="O9" s="101" t="n">
        <v>4.4</v>
      </c>
    </row>
    <row r="10">
      <c r="A10" t="inlineStr">
        <is>
          <t>Figure Type</t>
        </is>
      </c>
      <c r="B10" t="inlineStr">
        <is>
          <t>Line</t>
        </is>
      </c>
      <c r="F10" t="n">
        <v>2017</v>
      </c>
      <c r="G10" t="n">
        <v>4.5</v>
      </c>
      <c r="H10" t="n">
        <v>3.9</v>
      </c>
      <c r="I10" t="inlineStr">
        <is>
          <t>2.0*</t>
        </is>
      </c>
      <c r="J10" t="n">
        <v>3</v>
      </c>
      <c r="K10" t="n">
        <v>4.4</v>
      </c>
      <c r="L10" t="n">
        <v>4</v>
      </c>
      <c r="M10" t="n">
        <v>3.6</v>
      </c>
      <c r="N10" t="n">
        <v>4.7</v>
      </c>
      <c r="O10" t="n">
        <v>4.5</v>
      </c>
    </row>
    <row r="11">
      <c r="A11" t="inlineStr">
        <is>
          <t>X Column</t>
        </is>
      </c>
      <c r="B11" t="inlineStr">
        <is>
          <t>County</t>
        </is>
      </c>
      <c r="F11" s="46" t="inlineStr">
        <is>
          <t>2018</t>
        </is>
      </c>
      <c r="G11" s="116" t="n">
        <v>4.3</v>
      </c>
      <c r="H11" s="116" t="n">
        <v>3.6</v>
      </c>
      <c r="I11" s="116" t="inlineStr">
        <is>
          <t>2.5*</t>
        </is>
      </c>
      <c r="J11" s="42" t="n">
        <v>3</v>
      </c>
      <c r="K11" s="42" t="inlineStr">
        <is>
          <t>3.6*</t>
        </is>
      </c>
      <c r="L11" s="42" t="n">
        <v>3.3</v>
      </c>
      <c r="M11" s="47" t="inlineStr">
        <is>
          <t>3.8</t>
        </is>
      </c>
      <c r="N11" s="47" t="inlineStr">
        <is>
          <t>4.9</t>
        </is>
      </c>
      <c r="O11" s="46" t="inlineStr">
        <is>
          <t>4.3</t>
        </is>
      </c>
    </row>
    <row r="12">
      <c r="A12" t="inlineStr">
        <is>
          <t>Y Column</t>
        </is>
      </c>
      <c r="F12" s="74" t="inlineStr">
        <is>
          <t>2019</t>
        </is>
      </c>
      <c r="G12" s="42" t="n">
        <v>4.2</v>
      </c>
      <c r="H12" s="42" t="n">
        <v>3.9</v>
      </c>
      <c r="I12" s="116" t="inlineStr">
        <is>
          <t>3.2*</t>
        </is>
      </c>
      <c r="J12" s="116" t="n">
        <v>2.8</v>
      </c>
      <c r="K12" s="116" t="inlineStr">
        <is>
          <t>3.5*</t>
        </is>
      </c>
      <c r="L12" s="116" t="n">
        <v>3.3</v>
      </c>
      <c r="M12" s="46" t="inlineStr">
        <is>
          <t>3.8</t>
        </is>
      </c>
      <c r="N12" s="46" t="inlineStr">
        <is>
          <t>4.7</t>
        </is>
      </c>
      <c r="O12" s="46" t="inlineStr">
        <is>
          <t>4.3</t>
        </is>
      </c>
    </row>
    <row r="13">
      <c r="A13" t="inlineStr">
        <is>
          <t>X Axis Title</t>
        </is>
      </c>
      <c r="F13" s="47" t="inlineStr">
        <is>
          <t>2020</t>
        </is>
      </c>
      <c r="G13" s="47" t="inlineStr">
        <is>
          <t>3.5</t>
        </is>
      </c>
      <c r="H13" s="47" t="inlineStr">
        <is>
          <t>3.9</t>
        </is>
      </c>
      <c r="I13" s="46" t="inlineStr">
        <is>
          <t>2.8*</t>
        </is>
      </c>
      <c r="J13" s="46" t="inlineStr">
        <is>
          <t>3.1</t>
        </is>
      </c>
      <c r="K13" s="46" t="inlineStr">
        <is>
          <t>4.4</t>
        </is>
      </c>
      <c r="L13" s="46" t="inlineStr">
        <is>
          <t>3.9</t>
        </is>
      </c>
      <c r="M13" s="46" t="inlineStr">
        <is>
          <t>3.3</t>
        </is>
      </c>
      <c r="N13" s="46" t="inlineStr">
        <is>
          <t>4.5</t>
        </is>
      </c>
      <c r="O13" s="46" t="inlineStr">
        <is>
          <t>4.1</t>
        </is>
      </c>
    </row>
    <row r="14">
      <c r="A14" t="inlineStr">
        <is>
          <t>Y Axis Title</t>
        </is>
      </c>
      <c r="B14" t="inlineStr">
        <is>
          <t>Rate per 1,000</t>
        </is>
      </c>
      <c r="F14" s="119" t="inlineStr">
        <is>
          <t>2021</t>
        </is>
      </c>
      <c r="G14" s="119" t="inlineStr">
        <is>
          <t>3.5</t>
        </is>
      </c>
      <c r="H14" s="119" t="inlineStr">
        <is>
          <t>3.6</t>
        </is>
      </c>
      <c r="I14" s="46" t="inlineStr">
        <is>
          <t>2.6*</t>
        </is>
      </c>
      <c r="J14" s="47" t="inlineStr">
        <is>
          <t>2.9</t>
        </is>
      </c>
      <c r="K14" s="47" t="inlineStr">
        <is>
          <t>5.0</t>
        </is>
      </c>
      <c r="L14" s="47" t="inlineStr">
        <is>
          <t>4.8</t>
        </is>
      </c>
      <c r="M14" s="47" t="inlineStr">
        <is>
          <t>3.3</t>
        </is>
      </c>
      <c r="N14" s="47" t="inlineStr">
        <is>
          <t>4.5</t>
        </is>
      </c>
      <c r="O14" s="46" t="inlineStr">
        <is>
          <t>4.2</t>
        </is>
      </c>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N5:O5"/>
    <mergeCell ref="A5:B5"/>
    <mergeCell ref="A18:B18"/>
    <mergeCell ref="A9:B9"/>
    <mergeCell ref="A27:B27"/>
    <mergeCell ref="G5:M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7.xml><?xml version="1.0" encoding="utf-8"?>
<worksheet xmlns="http://schemas.openxmlformats.org/spreadsheetml/2006/main">
  <sheetPr>
    <outlinePr summaryBelow="1" summaryRight="1"/>
    <pageSetUpPr/>
  </sheetPr>
  <dimension ref="A1:Q57"/>
  <sheetViews>
    <sheetView workbookViewId="0">
      <selection activeCell="B1" sqref="B1:O1"/>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Infants Who Are Exclusively Breastfed in the Hospital among All Infants, 2013–2022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 excl NYC</t>
        </is>
      </c>
    </row>
    <row r="6" ht="15" customHeight="1" s="99">
      <c r="A6" t="inlineStr">
        <is>
          <t>Multilevel Headers</t>
        </is>
      </c>
      <c r="B6" t="b">
        <v>0</v>
      </c>
      <c r="F6" t="n">
        <v>2013</v>
      </c>
      <c r="G6" s="101" t="n">
        <v>57.8</v>
      </c>
      <c r="H6" s="101" t="n">
        <v>55.4</v>
      </c>
      <c r="I6" s="101" t="n">
        <v>63.8</v>
      </c>
      <c r="J6" s="101" t="n">
        <v>46</v>
      </c>
      <c r="K6" s="101" t="n">
        <v>45.1</v>
      </c>
      <c r="L6" s="101" t="n">
        <v>63.1</v>
      </c>
      <c r="M6" s="101" t="n">
        <v>55</v>
      </c>
      <c r="N6" s="101" t="n">
        <v>54.1</v>
      </c>
      <c r="O6" s="101" t="n">
        <v>51.3</v>
      </c>
    </row>
    <row r="7" ht="15.75" customHeight="1" s="99">
      <c r="F7" t="n">
        <v>2014</v>
      </c>
      <c r="G7" s="101" t="n">
        <v>55.1</v>
      </c>
      <c r="H7" s="101" t="n">
        <v>50.5</v>
      </c>
      <c r="I7" s="101" t="n">
        <v>68.5</v>
      </c>
      <c r="J7" s="101" t="n">
        <v>52</v>
      </c>
      <c r="K7" s="101" t="n">
        <v>49.1</v>
      </c>
      <c r="L7" s="101" t="n">
        <v>61.6</v>
      </c>
      <c r="M7" s="101" t="n">
        <v>53</v>
      </c>
      <c r="N7" s="101" t="n">
        <v>53.5</v>
      </c>
      <c r="O7" s="101" t="n">
        <v>52.5</v>
      </c>
    </row>
    <row r="8">
      <c r="F8" t="n">
        <v>2015</v>
      </c>
      <c r="G8" s="101" t="n">
        <v>55.5</v>
      </c>
      <c r="H8" s="101" t="n">
        <v>49.7</v>
      </c>
      <c r="I8" s="101" t="n">
        <v>67.8</v>
      </c>
      <c r="J8" s="101" t="n">
        <v>52.7</v>
      </c>
      <c r="K8" s="101" t="n">
        <v>52.7</v>
      </c>
      <c r="L8" s="101" t="n">
        <v>63.2</v>
      </c>
      <c r="M8" s="101" t="n">
        <v>50.6</v>
      </c>
      <c r="N8" s="101" t="n">
        <v>52.8</v>
      </c>
      <c r="O8" s="101" t="n">
        <v>52.5</v>
      </c>
      <c r="P8" s="14" t="n"/>
    </row>
    <row r="9">
      <c r="A9" s="98" t="inlineStr">
        <is>
          <t>Figure Rules</t>
        </is>
      </c>
      <c r="F9" t="n">
        <v>2016</v>
      </c>
      <c r="G9" s="101" t="n">
        <v>56.6</v>
      </c>
      <c r="H9" s="101" t="n">
        <v>44</v>
      </c>
      <c r="I9" s="101" t="n">
        <v>61.4</v>
      </c>
      <c r="J9" s="101" t="n">
        <v>36.9</v>
      </c>
      <c r="K9" s="101" t="n">
        <v>54.3</v>
      </c>
      <c r="L9" s="101" t="n">
        <v>65.59999999999999</v>
      </c>
      <c r="M9" s="101" t="n">
        <v>54.5</v>
      </c>
      <c r="N9" s="101" t="n">
        <v>50</v>
      </c>
      <c r="O9" s="101" t="n">
        <v>52.4</v>
      </c>
    </row>
    <row r="10">
      <c r="A10" t="inlineStr">
        <is>
          <t>Figure Type</t>
        </is>
      </c>
      <c r="B10" t="inlineStr">
        <is>
          <t>Line</t>
        </is>
      </c>
      <c r="F10" t="n">
        <v>2017</v>
      </c>
      <c r="G10" t="n">
        <v>56.8</v>
      </c>
      <c r="H10" t="n">
        <v>44.3</v>
      </c>
      <c r="I10" t="n">
        <v>64.59999999999999</v>
      </c>
      <c r="J10" t="n">
        <v>38</v>
      </c>
      <c r="K10" t="n">
        <v>55.7</v>
      </c>
      <c r="L10" t="n">
        <v>64.3</v>
      </c>
      <c r="M10" t="n">
        <v>52.2</v>
      </c>
      <c r="N10" t="n">
        <v>49.6</v>
      </c>
      <c r="O10" t="n">
        <v>51.7</v>
      </c>
    </row>
    <row r="11">
      <c r="A11" t="inlineStr">
        <is>
          <t>X Column</t>
        </is>
      </c>
      <c r="B11" t="inlineStr">
        <is>
          <t>County</t>
        </is>
      </c>
      <c r="F11" s="46" t="inlineStr">
        <is>
          <t>2018</t>
        </is>
      </c>
      <c r="G11" s="116" t="n">
        <v>52.3</v>
      </c>
      <c r="H11" s="116" t="n">
        <v>37.7</v>
      </c>
      <c r="I11" s="116" t="n">
        <v>65.40000000000001</v>
      </c>
      <c r="J11" s="42" t="n">
        <v>31.2</v>
      </c>
      <c r="K11" s="42" t="n">
        <v>54.4</v>
      </c>
      <c r="L11" s="42" t="n">
        <v>61.3</v>
      </c>
      <c r="M11" s="47" t="inlineStr">
        <is>
          <t>52.1</t>
        </is>
      </c>
      <c r="N11" s="47" t="inlineStr">
        <is>
          <t>46.1</t>
        </is>
      </c>
      <c r="O11" s="46" t="inlineStr">
        <is>
          <t>50.7</t>
        </is>
      </c>
    </row>
    <row r="12">
      <c r="A12" t="inlineStr">
        <is>
          <t>Y Column</t>
        </is>
      </c>
      <c r="F12" s="74" t="inlineStr">
        <is>
          <t>2019</t>
        </is>
      </c>
      <c r="G12" s="42" t="n">
        <v>49.6</v>
      </c>
      <c r="H12" s="42" t="n">
        <v>36.9</v>
      </c>
      <c r="I12" s="116" t="n">
        <v>53.4</v>
      </c>
      <c r="J12" s="116" t="n">
        <v>32.7</v>
      </c>
      <c r="K12" s="116" t="n">
        <v>50.7</v>
      </c>
      <c r="L12" s="116" t="n">
        <v>60.8</v>
      </c>
      <c r="M12" s="46" t="inlineStr">
        <is>
          <t>51.0</t>
        </is>
      </c>
      <c r="N12" s="46" t="inlineStr">
        <is>
          <t>44.9</t>
        </is>
      </c>
      <c r="O12" s="46" t="inlineStr">
        <is>
          <t>49.6</t>
        </is>
      </c>
    </row>
    <row r="13">
      <c r="A13" t="inlineStr">
        <is>
          <t>X Axis Title</t>
        </is>
      </c>
      <c r="F13" s="47" t="inlineStr">
        <is>
          <t>2020</t>
        </is>
      </c>
      <c r="G13" s="47" t="inlineStr">
        <is>
          <t>52.4</t>
        </is>
      </c>
      <c r="H13" s="47" t="inlineStr">
        <is>
          <t>37.7</t>
        </is>
      </c>
      <c r="I13" s="46" t="inlineStr">
        <is>
          <t>48.3</t>
        </is>
      </c>
      <c r="J13" s="46" t="inlineStr">
        <is>
          <t>29.8</t>
        </is>
      </c>
      <c r="K13" s="46" t="inlineStr">
        <is>
          <t>50.2</t>
        </is>
      </c>
      <c r="L13" s="46" t="inlineStr">
        <is>
          <t>57.8</t>
        </is>
      </c>
      <c r="M13" s="46" t="inlineStr">
        <is>
          <t>48.5</t>
        </is>
      </c>
      <c r="N13" s="46" t="inlineStr">
        <is>
          <t>43.4</t>
        </is>
      </c>
      <c r="O13" s="46" t="inlineStr">
        <is>
          <t>48.8</t>
        </is>
      </c>
    </row>
    <row r="14">
      <c r="A14" t="inlineStr">
        <is>
          <t>Y Axis Title</t>
        </is>
      </c>
      <c r="B14" t="inlineStr">
        <is>
          <t>Percent</t>
        </is>
      </c>
      <c r="F14" s="119" t="inlineStr">
        <is>
          <t>2021</t>
        </is>
      </c>
      <c r="G14" s="119" t="inlineStr">
        <is>
          <t>49.7</t>
        </is>
      </c>
      <c r="H14" s="119" t="inlineStr">
        <is>
          <t>38.1</t>
        </is>
      </c>
      <c r="I14" s="46" t="inlineStr">
        <is>
          <t>49.1</t>
        </is>
      </c>
      <c r="J14" s="47" t="inlineStr">
        <is>
          <t>34.0</t>
        </is>
      </c>
      <c r="K14" s="47" t="inlineStr">
        <is>
          <t>49.0</t>
        </is>
      </c>
      <c r="L14" s="47" t="inlineStr">
        <is>
          <t>60.4</t>
        </is>
      </c>
      <c r="M14" s="47" t="inlineStr">
        <is>
          <t>43.8</t>
        </is>
      </c>
      <c r="N14" s="47" t="inlineStr">
        <is>
          <t>42.5</t>
        </is>
      </c>
      <c r="O14" s="46" t="inlineStr">
        <is>
          <t>47.9</t>
        </is>
      </c>
    </row>
    <row r="15">
      <c r="A15" t="inlineStr">
        <is>
          <t>Start at Zero</t>
        </is>
      </c>
      <c r="B15" t="b">
        <v>1</v>
      </c>
      <c r="F15" t="n">
        <v>2022</v>
      </c>
      <c r="G15" s="119" t="inlineStr">
        <is>
          <t>48.5</t>
        </is>
      </c>
      <c r="H15" s="119" t="inlineStr">
        <is>
          <t>38.2</t>
        </is>
      </c>
      <c r="I15" s="46" t="inlineStr">
        <is>
          <t>38.5</t>
        </is>
      </c>
      <c r="J15" s="47" t="inlineStr">
        <is>
          <t>27.7</t>
        </is>
      </c>
      <c r="K15" s="47" t="inlineStr">
        <is>
          <t>43.5</t>
        </is>
      </c>
      <c r="L15" s="47" t="inlineStr">
        <is>
          <t>61.3</t>
        </is>
      </c>
      <c r="M15" s="47" t="inlineStr">
        <is>
          <t>37.2</t>
        </is>
      </c>
      <c r="N15" s="47" t="inlineStr">
        <is>
          <t>38.2</t>
        </is>
      </c>
      <c r="O15" s="46" t="inlineStr">
        <is>
          <t>46.7</t>
        </is>
      </c>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38.xml><?xml version="1.0" encoding="utf-8"?>
<worksheet xmlns="http://schemas.openxmlformats.org/spreadsheetml/2006/main">
  <sheetPr>
    <outlinePr summaryBelow="1" summaryRight="1"/>
    <pageSetUpPr/>
  </sheetPr>
  <dimension ref="A1:Q57"/>
  <sheetViews>
    <sheetView workbookViewId="0">
      <selection activeCell="G17" sqref="G17"/>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Medicaid Enrollees with at least One Dental Visit Within The Last Year, 2021–2023</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All Enrollees</t>
        </is>
      </c>
      <c r="G6" s="101" t="n">
        <v>30.8</v>
      </c>
      <c r="H6" s="101" t="n">
        <v>35.8</v>
      </c>
      <c r="I6" s="101" t="n">
        <v>31.6</v>
      </c>
      <c r="J6" s="101" t="n">
        <v>45.5</v>
      </c>
      <c r="K6" s="101" t="n">
        <v>29.1</v>
      </c>
      <c r="L6" s="101" t="n">
        <v>28.5</v>
      </c>
      <c r="M6" s="101" t="n">
        <v>30.7</v>
      </c>
      <c r="N6" s="101" t="n">
        <v>30.2</v>
      </c>
      <c r="O6" s="101" t="n">
        <v>29.5</v>
      </c>
    </row>
    <row r="7" ht="15.75" customHeight="1" s="99">
      <c r="F7" t="inlineStr">
        <is>
          <t>Enrollees Aged 2-20</t>
        </is>
      </c>
      <c r="G7" s="101" t="n">
        <v>49.2</v>
      </c>
      <c r="H7" s="101" t="n">
        <v>51.5</v>
      </c>
      <c r="I7" s="101" t="n">
        <v>53.1</v>
      </c>
      <c r="J7" s="101" t="n">
        <v>64.40000000000001</v>
      </c>
      <c r="K7" s="101" t="n">
        <v>43.6</v>
      </c>
      <c r="L7" s="101" t="n">
        <v>47.8</v>
      </c>
      <c r="M7" s="101" t="n">
        <v>52</v>
      </c>
      <c r="N7" s="101" t="n">
        <v>54.2</v>
      </c>
      <c r="O7" s="101" t="n">
        <v>46.8</v>
      </c>
    </row>
    <row r="8">
      <c r="G8" s="101" t="n"/>
      <c r="H8" s="101" t="n"/>
      <c r="I8" s="101" t="n"/>
      <c r="J8" s="101" t="n"/>
      <c r="K8" s="101" t="n"/>
      <c r="L8" s="101" t="n"/>
      <c r="M8" s="101" t="n"/>
      <c r="N8" s="101" t="n"/>
      <c r="O8" s="101" t="n"/>
      <c r="P8" s="14" t="n"/>
    </row>
    <row r="9">
      <c r="A9" s="98" t="inlineStr">
        <is>
          <t>Figure Rules</t>
        </is>
      </c>
      <c r="G9" s="101" t="n"/>
      <c r="H9" s="101" t="n"/>
      <c r="I9" s="101" t="n"/>
      <c r="J9" s="101" t="n"/>
      <c r="K9" s="101" t="n"/>
      <c r="L9" s="101" t="n"/>
      <c r="M9" s="101" t="n"/>
      <c r="N9" s="101" t="n"/>
      <c r="O9" s="101" t="n"/>
    </row>
    <row r="10">
      <c r="A10" t="inlineStr">
        <is>
          <t>Figure Type</t>
        </is>
      </c>
      <c r="B10" t="inlineStr">
        <is>
          <t>Clustered 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39.xml><?xml version="1.0" encoding="utf-8"?>
<worksheet xmlns="http://schemas.openxmlformats.org/spreadsheetml/2006/main">
  <sheetPr>
    <outlinePr summaryBelow="1" summaryRight="1"/>
    <pageSetUpPr/>
  </sheetPr>
  <dimension ref="A1:Q57"/>
  <sheetViews>
    <sheetView topLeftCell="A4" workbookViewId="0">
      <selection activeCell="O4" sqref="O4"/>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All Medicaid Enrollees with a Dental Visit in the Past 12 Months, 2019–2022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c r="Q4" s="16" t="n"/>
    </row>
    <row r="5">
      <c r="A5" s="98" t="inlineStr">
        <is>
          <t>Table Rules</t>
        </is>
      </c>
      <c r="E5" s="100" t="inlineStr">
        <is>
          <t xml:space="preserve">Enter Data </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t>
        </is>
      </c>
    </row>
    <row r="6" ht="15" customHeight="1" s="99">
      <c r="A6" t="inlineStr">
        <is>
          <t>Multilevel Headers</t>
        </is>
      </c>
      <c r="B6" t="b">
        <v>0</v>
      </c>
      <c r="F6" t="n">
        <v>2019</v>
      </c>
      <c r="G6" s="101" t="n">
        <v>31.1</v>
      </c>
      <c r="H6" s="101" t="n">
        <v>34.8</v>
      </c>
      <c r="I6" s="101" t="n">
        <v>32.8</v>
      </c>
      <c r="J6" s="101" t="n">
        <v>45.6</v>
      </c>
      <c r="K6" s="101" t="n">
        <v>31</v>
      </c>
      <c r="L6" s="101" t="n">
        <v>28.6</v>
      </c>
      <c r="M6" s="101" t="n">
        <v>32.7</v>
      </c>
      <c r="N6" s="101" t="n">
        <v>33.5</v>
      </c>
      <c r="O6" s="101" t="n"/>
    </row>
    <row r="7" ht="15.75" customHeight="1" s="99">
      <c r="F7" t="n">
        <v>2020</v>
      </c>
      <c r="G7" s="101" t="n">
        <v>30.9</v>
      </c>
      <c r="H7" s="101" t="n">
        <v>34.1</v>
      </c>
      <c r="I7" s="101" t="n">
        <v>31.7</v>
      </c>
      <c r="J7" s="101" t="n">
        <v>45.3</v>
      </c>
      <c r="K7" s="101" t="n">
        <v>29.8</v>
      </c>
      <c r="L7" s="101" t="n">
        <v>28.4</v>
      </c>
      <c r="M7" s="101" t="n">
        <v>31.2</v>
      </c>
      <c r="N7" s="101" t="n">
        <v>26.3</v>
      </c>
      <c r="O7" s="101" t="n"/>
    </row>
    <row r="8">
      <c r="F8" t="n">
        <v>2021</v>
      </c>
      <c r="G8" s="101" t="n">
        <v>30.3</v>
      </c>
      <c r="H8" s="101" t="n">
        <v>33.9</v>
      </c>
      <c r="I8" s="101" t="n">
        <v>30.7</v>
      </c>
      <c r="J8" s="101" t="n">
        <v>44.7</v>
      </c>
      <c r="K8" s="101" t="n">
        <v>28.5</v>
      </c>
      <c r="L8" s="101" t="n">
        <v>27.7</v>
      </c>
      <c r="M8" s="101" t="n">
        <v>29.8</v>
      </c>
      <c r="N8" s="101" t="n">
        <v>29.8</v>
      </c>
      <c r="O8" s="101" t="n"/>
      <c r="P8" s="14" t="n"/>
    </row>
    <row r="9">
      <c r="A9" s="98" t="inlineStr">
        <is>
          <t>Figure Rules</t>
        </is>
      </c>
      <c r="F9" t="n">
        <v>2022</v>
      </c>
      <c r="G9" s="101" t="n">
        <v>30.8</v>
      </c>
      <c r="H9" s="101" t="n">
        <v>35.8</v>
      </c>
      <c r="I9" s="101" t="n">
        <v>31.6</v>
      </c>
      <c r="J9" s="101" t="n">
        <v>44.5</v>
      </c>
      <c r="K9" s="101" t="n">
        <v>29.1</v>
      </c>
      <c r="L9" s="101" t="n">
        <v>28.5</v>
      </c>
      <c r="M9" s="101" t="n">
        <v>30.7</v>
      </c>
      <c r="N9" s="101" t="n">
        <v>29.8</v>
      </c>
      <c r="O9" s="101" t="n"/>
    </row>
    <row r="10">
      <c r="A10" t="inlineStr">
        <is>
          <t>Figure Type</t>
        </is>
      </c>
      <c r="B10" t="inlineStr">
        <is>
          <t>Line</t>
        </is>
      </c>
      <c r="G10" s="101" t="n"/>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40.xml><?xml version="1.0" encoding="utf-8"?>
<worksheet xmlns="http://schemas.openxmlformats.org/spreadsheetml/2006/main">
  <sheetPr>
    <outlinePr summaryBelow="1" summaryRight="1"/>
    <pageSetUpPr/>
  </sheetPr>
  <dimension ref="A1:Q57"/>
  <sheetViews>
    <sheetView workbookViewId="0">
      <selection activeCell="H26" sqref="H26"/>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Cirrhosis Mortality, Age-Adjusted Rate per 100,000 Population, 2014–2021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n"/>
      <c r="P4" s="16" t="n"/>
      <c r="Q4" s="16" t="n"/>
    </row>
    <row r="5">
      <c r="A5" s="98" t="inlineStr">
        <is>
          <t>Table Rules</t>
        </is>
      </c>
      <c r="E5" s="100" t="inlineStr">
        <is>
          <t xml:space="preserve">Enter Data </t>
        </is>
      </c>
      <c r="G5" s="101" t="inlineStr">
        <is>
          <t xml:space="preserve">Three-Year Average </t>
        </is>
      </c>
      <c r="N5" t="inlineStr">
        <is>
          <t>Single-Year</t>
        </is>
      </c>
    </row>
    <row r="6" ht="15" customHeight="1" s="99">
      <c r="A6" t="inlineStr">
        <is>
          <t>Multilevel Headers</t>
        </is>
      </c>
      <c r="B6" t="b">
        <v>0</v>
      </c>
      <c r="F6" t="inlineStr">
        <is>
          <t>Year</t>
        </is>
      </c>
      <c r="G6" s="101" t="inlineStr">
        <is>
          <t>Dutchess</t>
        </is>
      </c>
      <c r="H6" s="101" t="inlineStr">
        <is>
          <t>Orange</t>
        </is>
      </c>
      <c r="I6" s="101" t="inlineStr">
        <is>
          <t>Putnam</t>
        </is>
      </c>
      <c r="J6" s="101" t="inlineStr">
        <is>
          <t>Rockland</t>
        </is>
      </c>
      <c r="K6" s="101" t="inlineStr">
        <is>
          <t>Sullivan</t>
        </is>
      </c>
      <c r="L6" s="101" t="inlineStr">
        <is>
          <t>Ulster</t>
        </is>
      </c>
      <c r="M6" s="101" t="inlineStr">
        <is>
          <t>Westchester</t>
        </is>
      </c>
      <c r="N6" s="101" t="inlineStr">
        <is>
          <t>NYS</t>
        </is>
      </c>
      <c r="O6" s="101" t="n"/>
    </row>
    <row r="7" ht="15.75" customHeight="1" s="99">
      <c r="F7" t="n">
        <v>2014</v>
      </c>
      <c r="G7" s="101" t="n">
        <v>6.9</v>
      </c>
      <c r="H7" s="101" t="n">
        <v>6.6</v>
      </c>
      <c r="I7" s="101" t="n">
        <v>7</v>
      </c>
      <c r="J7" s="101" t="n">
        <v>5.5</v>
      </c>
      <c r="K7" s="101" t="n">
        <v>8.4</v>
      </c>
      <c r="L7" s="101" t="n">
        <v>6</v>
      </c>
      <c r="M7" s="101" t="n">
        <v>4.6</v>
      </c>
      <c r="N7" s="101" t="n">
        <v>6.7</v>
      </c>
      <c r="O7" s="101" t="n"/>
    </row>
    <row r="8">
      <c r="F8" t="n">
        <v>2015</v>
      </c>
      <c r="G8" s="101" t="n">
        <v>6.1</v>
      </c>
      <c r="H8" s="101" t="n">
        <v>6</v>
      </c>
      <c r="I8" s="101" t="n">
        <v>8.300000000000001</v>
      </c>
      <c r="J8" s="101" t="n">
        <v>5.8</v>
      </c>
      <c r="K8" s="101" t="n">
        <v>9.199999999999999</v>
      </c>
      <c r="L8" s="101" t="n">
        <v>8.199999999999999</v>
      </c>
      <c r="M8" s="101" t="n">
        <v>4.6</v>
      </c>
      <c r="N8" s="101" t="n">
        <v>6.7</v>
      </c>
      <c r="O8" s="101" t="n"/>
      <c r="P8" s="14" t="n"/>
    </row>
    <row r="9">
      <c r="A9" s="98" t="inlineStr">
        <is>
          <t>Figure Rules</t>
        </is>
      </c>
      <c r="F9" t="n">
        <v>2016</v>
      </c>
      <c r="G9" s="101" t="n">
        <v>5.8</v>
      </c>
      <c r="H9" s="101" t="n">
        <v>6.4</v>
      </c>
      <c r="I9" s="101" t="n">
        <v>8.300000000000001</v>
      </c>
      <c r="J9" s="101" t="n">
        <v>6.4</v>
      </c>
      <c r="K9" s="101" t="n">
        <v>7.2</v>
      </c>
      <c r="L9" s="101" t="n">
        <v>8.199999999999999</v>
      </c>
      <c r="M9" s="101" t="n">
        <v>5.4</v>
      </c>
      <c r="N9" s="101" t="n">
        <v>6.9</v>
      </c>
      <c r="O9" s="101" t="n"/>
    </row>
    <row r="10">
      <c r="A10" t="inlineStr">
        <is>
          <t>Figure Type</t>
        </is>
      </c>
      <c r="B10" t="inlineStr">
        <is>
          <t>Line</t>
        </is>
      </c>
      <c r="F10" t="n">
        <v>2017</v>
      </c>
      <c r="G10" s="101" t="n">
        <v>5.4</v>
      </c>
      <c r="H10" t="n">
        <v>7.1</v>
      </c>
      <c r="I10" t="n">
        <v>5.8</v>
      </c>
      <c r="J10" t="n">
        <v>5.2</v>
      </c>
      <c r="K10" t="n">
        <v>7.1</v>
      </c>
      <c r="L10" t="n">
        <v>8.5</v>
      </c>
      <c r="M10" t="n">
        <v>5.7</v>
      </c>
      <c r="N10" t="n">
        <v>7</v>
      </c>
    </row>
    <row r="11">
      <c r="A11" t="inlineStr">
        <is>
          <t>X Column</t>
        </is>
      </c>
      <c r="B11" t="inlineStr">
        <is>
          <t>County</t>
        </is>
      </c>
      <c r="F11" s="46" t="inlineStr">
        <is>
          <t>2018</t>
        </is>
      </c>
      <c r="G11" s="116" t="n">
        <v>4.9</v>
      </c>
      <c r="H11" s="116" t="n">
        <v>7.5</v>
      </c>
      <c r="I11" s="116" t="n">
        <v>4.8</v>
      </c>
      <c r="J11" s="42" t="n">
        <v>4.7</v>
      </c>
      <c r="K11" s="42" t="n">
        <v>6.9</v>
      </c>
      <c r="L11" s="42" t="n">
        <v>7.3</v>
      </c>
      <c r="M11" s="47" t="inlineStr">
        <is>
          <t>5.9</t>
        </is>
      </c>
      <c r="N11" s="47" t="inlineStr">
        <is>
          <t>6.9</t>
        </is>
      </c>
      <c r="O11" s="46" t="n"/>
    </row>
    <row r="12">
      <c r="A12" t="inlineStr">
        <is>
          <t>Y Column</t>
        </is>
      </c>
      <c r="F12" s="74" t="inlineStr">
        <is>
          <t>2019</t>
        </is>
      </c>
      <c r="G12" s="42" t="n">
        <v>6.3</v>
      </c>
      <c r="H12" s="42" t="n">
        <v>7.3</v>
      </c>
      <c r="I12" s="116" t="n">
        <v>5.3</v>
      </c>
      <c r="J12" s="116" t="n">
        <v>4.3</v>
      </c>
      <c r="K12" s="116" t="n">
        <v>6.7</v>
      </c>
      <c r="L12" s="116" t="n">
        <v>7.5</v>
      </c>
      <c r="M12" s="46" t="inlineStr">
        <is>
          <t>5.6</t>
        </is>
      </c>
      <c r="N12" s="46" t="inlineStr">
        <is>
          <t>6.9</t>
        </is>
      </c>
      <c r="O12" s="46" t="n"/>
    </row>
    <row r="13">
      <c r="A13" t="inlineStr">
        <is>
          <t>X Axis Title</t>
        </is>
      </c>
      <c r="F13" s="47" t="inlineStr">
        <is>
          <t>2020</t>
        </is>
      </c>
      <c r="G13" s="47" t="inlineStr">
        <is>
          <t>8.1</t>
        </is>
      </c>
      <c r="H13" s="47" t="inlineStr">
        <is>
          <t>7.8</t>
        </is>
      </c>
      <c r="I13" s="46" t="inlineStr">
        <is>
          <t>8.3</t>
        </is>
      </c>
      <c r="J13" s="46" t="inlineStr">
        <is>
          <t>4.6</t>
        </is>
      </c>
      <c r="K13" s="46" t="inlineStr">
        <is>
          <t>6.4</t>
        </is>
      </c>
      <c r="L13" s="46" t="inlineStr">
        <is>
          <t>6.9</t>
        </is>
      </c>
      <c r="M13" s="46" t="inlineStr">
        <is>
          <t>5.8</t>
        </is>
      </c>
      <c r="N13" s="46" t="inlineStr">
        <is>
          <t>8.0</t>
        </is>
      </c>
      <c r="O13" s="46" t="n"/>
    </row>
    <row r="14">
      <c r="A14" t="inlineStr">
        <is>
          <t>Y Axis Title</t>
        </is>
      </c>
      <c r="B14" t="inlineStr">
        <is>
          <t>Percent</t>
        </is>
      </c>
      <c r="F14" s="119" t="inlineStr">
        <is>
          <t>2021</t>
        </is>
      </c>
      <c r="G14" s="119" t="inlineStr">
        <is>
          <t>8.8</t>
        </is>
      </c>
      <c r="H14" s="119" t="inlineStr">
        <is>
          <t>8.3</t>
        </is>
      </c>
      <c r="I14" s="46" t="inlineStr">
        <is>
          <t>8.3</t>
        </is>
      </c>
      <c r="J14" s="47" t="inlineStr">
        <is>
          <t>4.9</t>
        </is>
      </c>
      <c r="K14" s="47" t="inlineStr">
        <is>
          <t>8.9</t>
        </is>
      </c>
      <c r="L14" s="47" t="inlineStr">
        <is>
          <t>7.2</t>
        </is>
      </c>
      <c r="M14" s="47" t="inlineStr">
        <is>
          <t>6.0</t>
        </is>
      </c>
      <c r="N14" s="47" t="inlineStr">
        <is>
          <t>8.2</t>
        </is>
      </c>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7">
    <mergeCell ref="B1:O1"/>
    <mergeCell ref="E5:E57"/>
    <mergeCell ref="A9:B9"/>
    <mergeCell ref="A5:B5"/>
    <mergeCell ref="A18:B18"/>
    <mergeCell ref="A27:B27"/>
    <mergeCell ref="G5:M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1.xml><?xml version="1.0" encoding="utf-8"?>
<worksheet xmlns="http://schemas.openxmlformats.org/spreadsheetml/2006/main">
  <sheetPr>
    <outlinePr summaryBelow="1" summaryRight="1"/>
    <pageSetUpPr/>
  </sheetPr>
  <dimension ref="A1:Q57"/>
  <sheetViews>
    <sheetView workbookViewId="0">
      <selection activeCell="R48" sqref="R48"/>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Coronary Heart Disease Hospitalization, Age-Adjusted Rate per 10,000, 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inlineStr">
        <is>
          <t>percent1</t>
        </is>
      </c>
      <c r="Q4" s="16" t="n"/>
    </row>
    <row r="5">
      <c r="A5" s="98" t="inlineStr">
        <is>
          <t>Table Rules</t>
        </is>
      </c>
      <c r="E5" s="100" t="inlineStr">
        <is>
          <t xml:space="preserve">Enter Data </t>
        </is>
      </c>
      <c r="G5" s="101" t="inlineStr">
        <is>
          <t xml:space="preserve">Three-Year Average </t>
        </is>
      </c>
      <c r="N5" s="101" t="inlineStr">
        <is>
          <t>Single-Year</t>
        </is>
      </c>
    </row>
    <row r="6" ht="15" customHeight="1" s="99">
      <c r="A6" t="inlineStr">
        <is>
          <t>Multilevel Headers</t>
        </is>
      </c>
      <c r="B6" t="b">
        <v>1</v>
      </c>
      <c r="F6" t="inlineStr">
        <is>
          <t>County</t>
        </is>
      </c>
      <c r="G6" s="101" t="inlineStr">
        <is>
          <t>Dutchess</t>
        </is>
      </c>
      <c r="H6" s="101" t="inlineStr">
        <is>
          <t>Orange</t>
        </is>
      </c>
      <c r="I6" s="101" t="inlineStr">
        <is>
          <t>Putnam</t>
        </is>
      </c>
      <c r="J6" s="101" t="inlineStr">
        <is>
          <t>Rockland</t>
        </is>
      </c>
      <c r="K6" s="101" t="inlineStr">
        <is>
          <t>Sullivan</t>
        </is>
      </c>
      <c r="L6" s="101" t="inlineStr">
        <is>
          <t>Ulster</t>
        </is>
      </c>
      <c r="M6" s="101" t="inlineStr">
        <is>
          <t>Westchester</t>
        </is>
      </c>
      <c r="N6" s="101" t="inlineStr">
        <is>
          <t>Mid-Hudson</t>
        </is>
      </c>
      <c r="O6" s="101" t="inlineStr">
        <is>
          <t>NYS excl NYC</t>
        </is>
      </c>
      <c r="P6" t="inlineStr">
        <is>
          <t>NYS</t>
        </is>
      </c>
    </row>
    <row r="7" ht="15.75" customHeight="1" s="99">
      <c r="F7" t="n">
        <v>2021</v>
      </c>
      <c r="G7" s="101" t="n">
        <v>16.7</v>
      </c>
      <c r="H7" s="101" t="n">
        <v>22.4</v>
      </c>
      <c r="I7" s="101" t="n">
        <v>14.9</v>
      </c>
      <c r="J7" s="101" t="n">
        <v>14.6</v>
      </c>
      <c r="K7" s="101" t="n">
        <v>28.9</v>
      </c>
      <c r="L7" s="101" t="n">
        <v>20.1</v>
      </c>
      <c r="M7" s="101" t="n">
        <v>16.3</v>
      </c>
      <c r="N7" s="101" t="n">
        <v>18</v>
      </c>
      <c r="O7" s="101" t="n">
        <v>20.1</v>
      </c>
      <c r="P7" t="n">
        <v>20.2</v>
      </c>
    </row>
    <row r="8">
      <c r="G8" s="101" t="n"/>
      <c r="H8" s="101" t="n"/>
      <c r="I8" s="101" t="n"/>
      <c r="J8" s="101" t="n"/>
      <c r="K8" s="101" t="n"/>
      <c r="L8" s="101" t="n"/>
      <c r="M8" s="101" t="n"/>
      <c r="N8" s="101" t="n"/>
      <c r="O8" s="101" t="n"/>
      <c r="P8" s="14" t="n"/>
    </row>
    <row r="9">
      <c r="A9" s="98" t="inlineStr">
        <is>
          <t>Figure Rules</t>
        </is>
      </c>
      <c r="G9" s="101" t="n"/>
      <c r="H9" s="101" t="n"/>
      <c r="I9" s="101" t="n"/>
      <c r="J9" s="101" t="n"/>
      <c r="K9" s="101" t="n"/>
      <c r="L9" s="101" t="n"/>
      <c r="M9" s="101" t="n"/>
      <c r="N9" s="101" t="n"/>
      <c r="O9" s="101" t="n"/>
    </row>
    <row r="10">
      <c r="A10" t="inlineStr">
        <is>
          <t>Figure Type</t>
        </is>
      </c>
      <c r="B10" t="inlineStr">
        <is>
          <t>Bar</t>
        </is>
      </c>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Rate per 10,000</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N5:P5"/>
    <mergeCell ref="A18:B18"/>
    <mergeCell ref="A27:B27"/>
    <mergeCell ref="G5:M5"/>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42.xml><?xml version="1.0" encoding="utf-8"?>
<worksheet xmlns="http://schemas.openxmlformats.org/spreadsheetml/2006/main">
  <sheetPr>
    <outlinePr summaryBelow="1" summaryRight="1"/>
    <pageSetUpPr/>
  </sheetPr>
  <dimension ref="A1:Q57"/>
  <sheetViews>
    <sheetView workbookViewId="0">
      <selection activeCell="F5" sqref="F5:F9"/>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Coronary Heart Disease Age-Adjusted Hospitalization Rate per 10,00 by Race/Ethnicity, 2020–2022</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t="inlineStr">
        <is>
          <t>Race and Ethnicity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Non-Hispanic White</t>
        </is>
      </c>
      <c r="G6" s="101" t="n">
        <v>15.2</v>
      </c>
      <c r="H6" s="101" t="n">
        <v>19.3</v>
      </c>
      <c r="I6" s="101" t="n">
        <v>13.7</v>
      </c>
      <c r="J6" s="101" t="n">
        <v>12.3</v>
      </c>
      <c r="K6" s="101" t="n">
        <v>24.8</v>
      </c>
      <c r="L6" s="101" t="n">
        <v>17.9</v>
      </c>
      <c r="M6" s="101" t="n">
        <v>11.4</v>
      </c>
      <c r="N6" s="101" t="n">
        <v>17.8</v>
      </c>
      <c r="O6" s="101" t="n">
        <v>16.8</v>
      </c>
    </row>
    <row r="7" ht="15.75" customHeight="1" s="99">
      <c r="F7" t="inlineStr">
        <is>
          <t>Non-Hispanic Black</t>
        </is>
      </c>
      <c r="G7" s="101" t="n">
        <v>5</v>
      </c>
      <c r="H7" s="101" t="n">
        <v>21.2</v>
      </c>
      <c r="I7" s="101" t="n">
        <v>13</v>
      </c>
      <c r="J7" s="101" t="n">
        <v>11.3</v>
      </c>
      <c r="K7" s="101" t="n">
        <v>30.4</v>
      </c>
      <c r="L7" s="101" t="n">
        <v>16.3</v>
      </c>
      <c r="M7" s="101" t="n">
        <v>14.7</v>
      </c>
      <c r="N7" s="101" t="n">
        <v>19.3</v>
      </c>
      <c r="O7" s="101" t="n">
        <v>17.1</v>
      </c>
    </row>
    <row r="8">
      <c r="F8" t="inlineStr">
        <is>
          <t>Asian/Pacific Islander</t>
        </is>
      </c>
      <c r="G8" s="101" t="n">
        <v>7.2</v>
      </c>
      <c r="H8" s="101" t="n">
        <v>9.300000000000001</v>
      </c>
      <c r="I8" s="101" t="inlineStr">
        <is>
          <t>s</t>
        </is>
      </c>
      <c r="J8" s="101" t="n">
        <v>14.7</v>
      </c>
      <c r="K8" s="101" t="n">
        <v>15.2</v>
      </c>
      <c r="L8" s="101" t="inlineStr">
        <is>
          <t>7.1*</t>
        </is>
      </c>
      <c r="M8" s="101" t="n">
        <v>8</v>
      </c>
      <c r="N8" s="101" t="n">
        <v>14.7</v>
      </c>
      <c r="O8" s="101" t="n">
        <v>13.5</v>
      </c>
      <c r="P8" s="14" t="n"/>
    </row>
    <row r="9">
      <c r="A9" s="98" t="inlineStr">
        <is>
          <t>Figure Rules</t>
        </is>
      </c>
      <c r="F9" t="inlineStr">
        <is>
          <t>Hispanic</t>
        </is>
      </c>
      <c r="G9" s="101" t="n">
        <v>9.6</v>
      </c>
      <c r="H9" s="101" t="n">
        <v>17.6</v>
      </c>
      <c r="I9" s="101" t="n">
        <v>6.4</v>
      </c>
      <c r="J9" s="101" t="n">
        <v>14.2</v>
      </c>
      <c r="K9" s="101" t="n">
        <v>25.6</v>
      </c>
      <c r="L9" s="101" t="n">
        <v>13.6</v>
      </c>
      <c r="M9" s="101" t="n">
        <v>8.300000000000001</v>
      </c>
      <c r="N9" s="101" t="n">
        <v>15.2</v>
      </c>
      <c r="O9" s="101" t="n">
        <v>17.2</v>
      </c>
    </row>
    <row r="10">
      <c r="A10" t="inlineStr">
        <is>
          <t>Figure Type</t>
        </is>
      </c>
      <c r="B10" t="inlineStr">
        <is>
          <t>Clustered Bar</t>
        </is>
      </c>
      <c r="G10" s="101" t="n"/>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3.xml><?xml version="1.0" encoding="utf-8"?>
<worksheet xmlns="http://schemas.openxmlformats.org/spreadsheetml/2006/main">
  <sheetPr>
    <outlinePr summaryBelow="1" summaryRight="1"/>
    <pageSetUpPr/>
  </sheetPr>
  <dimension ref="A1:Q57"/>
  <sheetViews>
    <sheetView workbookViewId="0">
      <selection activeCell="C10" sqref="C10"/>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Women 50-74 Years Old Receiving Breast Cancer Screening Based on the Most Recent Guidelines, 2013–2018</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row>
    <row r="6" ht="15" customHeight="1" s="99">
      <c r="A6" t="inlineStr">
        <is>
          <t>Multilevel Headers</t>
        </is>
      </c>
      <c r="B6" t="b">
        <v>0</v>
      </c>
      <c r="F6" t="inlineStr">
        <is>
          <t>2013–2014</t>
        </is>
      </c>
      <c r="G6" s="101" t="n">
        <v>83.7</v>
      </c>
      <c r="H6" s="101" t="n">
        <v>76.8</v>
      </c>
      <c r="I6" s="101" t="n">
        <v>77.7</v>
      </c>
      <c r="J6" s="101" t="n">
        <v>81.7</v>
      </c>
      <c r="K6" s="101" t="n">
        <v>68.59999999999999</v>
      </c>
      <c r="L6" s="101" t="n">
        <v>66</v>
      </c>
      <c r="M6" s="101" t="n">
        <v>84.5</v>
      </c>
      <c r="N6" s="101" t="n">
        <v>80.40000000000001</v>
      </c>
      <c r="O6" s="101" t="n">
        <v>80.90000000000001</v>
      </c>
    </row>
    <row r="7" ht="15.75" customHeight="1" s="99">
      <c r="F7" t="n">
        <v>2016</v>
      </c>
      <c r="G7" s="101" t="n">
        <v>87.2</v>
      </c>
      <c r="H7" s="101" t="n">
        <v>74.5</v>
      </c>
      <c r="I7" s="101" t="n">
        <v>69.5</v>
      </c>
      <c r="J7" s="101" t="n">
        <v>72</v>
      </c>
      <c r="K7" s="101" t="n">
        <v>64</v>
      </c>
      <c r="L7" s="101" t="n">
        <v>72.3</v>
      </c>
      <c r="M7" s="101" t="n">
        <v>84.8</v>
      </c>
      <c r="N7" s="101" t="n">
        <v>79.2</v>
      </c>
      <c r="O7" s="101" t="n">
        <v>79.7</v>
      </c>
    </row>
    <row r="8">
      <c r="F8" t="n">
        <v>2018</v>
      </c>
      <c r="G8" s="101" t="n">
        <v>78</v>
      </c>
      <c r="H8" s="101" t="n">
        <v>78.8</v>
      </c>
      <c r="I8" s="101" t="n">
        <v>80.2</v>
      </c>
      <c r="J8" s="101" t="n">
        <v>69.8</v>
      </c>
      <c r="K8" s="101" t="n">
        <v>66.09999999999999</v>
      </c>
      <c r="L8" s="101" t="n">
        <v>73.3</v>
      </c>
      <c r="M8" s="101" t="n">
        <v>79.3</v>
      </c>
      <c r="N8" s="101" t="n">
        <v>80.90000000000001</v>
      </c>
      <c r="O8" s="101" t="n">
        <v>82.09999999999999</v>
      </c>
      <c r="P8" s="14" t="n"/>
    </row>
    <row r="9">
      <c r="A9" s="98" t="inlineStr">
        <is>
          <t>Figure Rules</t>
        </is>
      </c>
      <c r="F9" t="n">
        <v>2021</v>
      </c>
      <c r="G9" s="101" t="n">
        <v>88.5</v>
      </c>
      <c r="H9" s="101" t="n">
        <v>73.3</v>
      </c>
      <c r="I9" s="101" t="n">
        <v>80.2</v>
      </c>
      <c r="J9" s="101" t="n">
        <v>72.7</v>
      </c>
      <c r="K9" s="101" t="n">
        <v>52.2</v>
      </c>
      <c r="L9" s="101" t="n">
        <v>77.09999999999999</v>
      </c>
      <c r="M9" s="101" t="n">
        <v>77.3</v>
      </c>
      <c r="N9" s="101" t="n">
        <v>78.8</v>
      </c>
      <c r="O9" s="101" t="n">
        <v>78.2</v>
      </c>
    </row>
    <row r="10">
      <c r="A10" t="inlineStr">
        <is>
          <t>Figure Type</t>
        </is>
      </c>
      <c r="B10" t="inlineStr">
        <is>
          <t>Line</t>
        </is>
      </c>
      <c r="G10" s="101" t="n"/>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44.xml><?xml version="1.0" encoding="utf-8"?>
<worksheet xmlns="http://schemas.openxmlformats.org/spreadsheetml/2006/main">
  <sheetPr>
    <outlinePr summaryBelow="1" summaryRight="1"/>
    <pageSetUpPr/>
  </sheetPr>
  <dimension ref="A1:Q57"/>
  <sheetViews>
    <sheetView workbookViewId="0">
      <selection activeCell="Q41" sqref="Q41"/>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Women 21–65 Years Old Receiving Cervical Cancer Screening Based on Most Recent Guidelines, 2018</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t="inlineStr">
        <is>
          <t>County</t>
        </is>
      </c>
      <c r="G5" t="inlineStr">
        <is>
          <t>Dutchess</t>
        </is>
      </c>
      <c r="H5" t="inlineStr">
        <is>
          <t>Orange</t>
        </is>
      </c>
      <c r="I5" t="inlineStr">
        <is>
          <t>Putnam</t>
        </is>
      </c>
      <c r="J5" t="inlineStr">
        <is>
          <t>Rockland</t>
        </is>
      </c>
      <c r="K5" t="inlineStr">
        <is>
          <t>Sullivan</t>
        </is>
      </c>
      <c r="L5" t="inlineStr">
        <is>
          <t>Ulster</t>
        </is>
      </c>
      <c r="M5" t="inlineStr">
        <is>
          <t>Westchester</t>
        </is>
      </c>
      <c r="N5" t="inlineStr">
        <is>
          <t>Mid-Hudson</t>
        </is>
      </c>
      <c r="O5" t="inlineStr">
        <is>
          <t>NYS</t>
        </is>
      </c>
    </row>
    <row r="6" ht="15" customHeight="1" s="99">
      <c r="A6" t="inlineStr">
        <is>
          <t>Multilevel Headers</t>
        </is>
      </c>
      <c r="B6" t="b">
        <v>0</v>
      </c>
      <c r="F6" t="n">
        <v>2018</v>
      </c>
      <c r="G6" s="101" t="n">
        <v>90.59999999999999</v>
      </c>
      <c r="H6" s="101" t="n">
        <v>88.8</v>
      </c>
      <c r="I6" s="101" t="n">
        <v>96.2</v>
      </c>
      <c r="J6" s="101" t="n">
        <v>80.59999999999999</v>
      </c>
      <c r="K6" s="101" t="n">
        <v>81.7</v>
      </c>
      <c r="L6" s="101" t="n">
        <v>86.09999999999999</v>
      </c>
      <c r="M6" s="101" t="n">
        <v>87.8</v>
      </c>
      <c r="N6" s="101" t="n">
        <v>86.5</v>
      </c>
      <c r="O6" s="101" t="n">
        <v>84.7</v>
      </c>
    </row>
    <row r="7" ht="15.75" customHeight="1" s="99">
      <c r="G7" s="101" t="n"/>
      <c r="H7" s="101" t="n"/>
      <c r="I7" s="101" t="n"/>
      <c r="J7" s="101" t="n"/>
      <c r="K7" s="101" t="n"/>
      <c r="L7" s="101" t="n"/>
      <c r="M7" s="101" t="n"/>
      <c r="N7" s="101" t="n"/>
      <c r="O7" s="101" t="n"/>
    </row>
    <row r="8">
      <c r="G8" s="101" t="n"/>
      <c r="H8" s="101" t="n"/>
      <c r="I8" s="101" t="n"/>
      <c r="J8" s="101" t="n"/>
      <c r="K8" s="101" t="n"/>
      <c r="L8" s="101" t="n"/>
      <c r="M8" s="101" t="n"/>
      <c r="N8" s="101" t="n"/>
      <c r="O8" s="101" t="n"/>
      <c r="P8" s="14" t="n"/>
    </row>
    <row r="9">
      <c r="A9" s="98" t="inlineStr">
        <is>
          <t>Figure Rules</t>
        </is>
      </c>
      <c r="G9" s="101" t="n"/>
      <c r="H9" s="101" t="n"/>
      <c r="I9" s="101" t="n"/>
      <c r="J9" s="101" t="n"/>
      <c r="K9" s="101" t="n"/>
      <c r="L9" s="101" t="n"/>
      <c r="M9" s="101" t="n"/>
      <c r="N9" s="101" t="n"/>
      <c r="O9" s="101" t="n"/>
    </row>
    <row r="10">
      <c r="A10" t="inlineStr">
        <is>
          <t>Figure Type</t>
        </is>
      </c>
      <c r="B10" t="inlineStr">
        <is>
          <t>Bar</t>
        </is>
      </c>
      <c r="G10" s="101" t="n"/>
    </row>
    <row r="11">
      <c r="A11" t="inlineStr">
        <is>
          <t>X Column</t>
        </is>
      </c>
      <c r="B11" t="inlineStr">
        <is>
          <t>County</t>
        </is>
      </c>
      <c r="F11" s="46" t="n"/>
      <c r="G11" s="116" t="n"/>
      <c r="H11" s="116" t="n"/>
      <c r="I11" s="116" t="n"/>
      <c r="J11" s="42" t="n"/>
      <c r="K11" s="42" t="n"/>
      <c r="L11" s="42" t="n"/>
      <c r="M11" s="47" t="n"/>
      <c r="N11" s="47" t="n"/>
      <c r="O11" s="46" t="n"/>
    </row>
    <row r="12">
      <c r="A12" t="inlineStr">
        <is>
          <t>Y Column</t>
        </is>
      </c>
      <c r="F12" s="74" t="n"/>
      <c r="G12" s="42" t="n"/>
      <c r="H12" s="42" t="n"/>
      <c r="I12" s="116" t="n"/>
      <c r="J12" s="116" t="n"/>
      <c r="K12" s="116" t="n"/>
      <c r="L12" s="116" t="n"/>
      <c r="M12" s="46" t="n"/>
      <c r="N12" s="46" t="n"/>
      <c r="O12" s="46" t="n"/>
    </row>
    <row r="13">
      <c r="A13" t="inlineStr">
        <is>
          <t>X Axis Title</t>
        </is>
      </c>
      <c r="F13" s="47" t="n"/>
      <c r="G13" s="47" t="n"/>
      <c r="H13" s="47" t="n"/>
      <c r="I13" s="46" t="n"/>
      <c r="J13" s="46" t="n"/>
      <c r="K13" s="46" t="n"/>
      <c r="L13" s="46" t="n"/>
      <c r="M13" s="46" t="n"/>
      <c r="N13" s="46" t="n"/>
      <c r="O13" s="46" t="n"/>
    </row>
    <row r="14">
      <c r="A14" t="inlineStr">
        <is>
          <t>Y Axis Title</t>
        </is>
      </c>
      <c r="B14" t="inlineStr">
        <is>
          <t>Percent</t>
        </is>
      </c>
      <c r="F14" s="119" t="n"/>
      <c r="G14" s="119" t="n"/>
      <c r="H14" s="119" t="n"/>
      <c r="I14" s="46" t="n"/>
      <c r="J14" s="47" t="n"/>
      <c r="K14" s="47" t="n"/>
      <c r="L14" s="47" t="n"/>
      <c r="M14" s="47" t="n"/>
      <c r="N14" s="47" t="n"/>
      <c r="O14" s="46" t="n"/>
    </row>
    <row r="15">
      <c r="A15" t="inlineStr">
        <is>
          <t>Start at Zero</t>
        </is>
      </c>
      <c r="B15" t="b">
        <v>1</v>
      </c>
      <c r="G15" s="119" t="n"/>
      <c r="H15" s="119" t="n"/>
      <c r="I15" s="46" t="n"/>
      <c r="J15" s="47" t="n"/>
      <c r="K15" s="47" t="n"/>
      <c r="L15" s="47" t="n"/>
      <c r="M15" s="47" t="n"/>
      <c r="N15" s="47" t="n"/>
      <c r="O15" s="46" t="n"/>
    </row>
    <row r="16">
      <c r="A16" t="inlineStr">
        <is>
          <t>Pivot For Chart</t>
        </is>
      </c>
      <c r="B16" t="b">
        <v>1</v>
      </c>
      <c r="F16" s="101" t="n"/>
      <c r="G16" s="119" t="n"/>
      <c r="H16" s="119" t="n"/>
      <c r="I16" s="46" t="n"/>
      <c r="J16" s="47" t="n"/>
      <c r="K16" s="47" t="n"/>
      <c r="L16" s="47" t="n"/>
      <c r="M16" s="47" t="n"/>
      <c r="N16" s="47" t="n"/>
      <c r="O16" s="46" t="n"/>
    </row>
    <row r="17">
      <c r="F17" s="101" t="n"/>
      <c r="G17" s="119" t="n"/>
      <c r="H17" s="119" t="n"/>
      <c r="I17" s="46" t="n"/>
      <c r="J17" s="47" t="n"/>
      <c r="K17" s="47" t="n"/>
      <c r="L17" s="47" t="n"/>
      <c r="M17" s="47" t="n"/>
      <c r="N17" s="47" t="n"/>
      <c r="O17" s="46" t="n"/>
    </row>
    <row r="18">
      <c r="A18" s="98" t="inlineStr">
        <is>
          <t>Source Specifications</t>
        </is>
      </c>
      <c r="F18" s="101" t="n"/>
      <c r="G18" s="119" t="n"/>
      <c r="H18" s="119" t="n"/>
      <c r="I18" s="46" t="n"/>
      <c r="J18" s="46" t="n"/>
      <c r="K18" s="46" t="n"/>
      <c r="L18" s="46" t="n"/>
      <c r="M18" s="46" t="n"/>
      <c r="N18" s="46" t="n"/>
      <c r="O18" s="46" t="n"/>
    </row>
    <row r="19">
      <c r="A19" t="inlineStr">
        <is>
          <t>Table ID</t>
        </is>
      </c>
      <c r="F19" s="101" t="n"/>
      <c r="G19" s="119" t="n"/>
      <c r="H19" s="119" t="n"/>
      <c r="I19" s="46" t="n"/>
      <c r="J19" s="46" t="n"/>
      <c r="K19" s="46" t="n"/>
      <c r="L19" s="46" t="n"/>
      <c r="M19" s="46" t="n"/>
      <c r="N19" s="46" t="n"/>
      <c r="O19" s="46" t="n"/>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xl/worksheets/sheet245.xml><?xml version="1.0" encoding="utf-8"?>
<worksheet xmlns="http://schemas.openxmlformats.org/spreadsheetml/2006/main">
  <sheetPr>
    <outlinePr summaryBelow="1" summaryRight="1"/>
    <pageSetUpPr/>
  </sheetPr>
  <dimension ref="A1:Q57"/>
  <sheetViews>
    <sheetView workbookViewId="0">
      <selection activeCell="F20" sqref="F20"/>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Percentage of Adolescents 13 Years Old with a Complete HPV Vaccine Series, 2019–2024</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F5" t="inlineStr">
        <is>
          <t>Year</t>
        </is>
      </c>
      <c r="G5" t="inlineStr">
        <is>
          <t>Dutchess</t>
        </is>
      </c>
      <c r="H5" t="inlineStr">
        <is>
          <t>Orange</t>
        </is>
      </c>
      <c r="I5" t="inlineStr">
        <is>
          <t>Putnam</t>
        </is>
      </c>
      <c r="J5" t="inlineStr">
        <is>
          <t>Rockland</t>
        </is>
      </c>
      <c r="K5" t="inlineStr">
        <is>
          <t>Sullivan</t>
        </is>
      </c>
      <c r="L5" t="inlineStr">
        <is>
          <t>Ulster</t>
        </is>
      </c>
      <c r="M5" t="inlineStr">
        <is>
          <t>Westchester</t>
        </is>
      </c>
      <c r="N5" t="inlineStr">
        <is>
          <t>NYS excl NYC</t>
        </is>
      </c>
      <c r="O5" t="inlineStr">
        <is>
          <t>NYS</t>
        </is>
      </c>
      <c r="P5" t="inlineStr">
        <is>
          <t>PA Objective</t>
        </is>
      </c>
    </row>
    <row r="6" ht="15" customHeight="1" s="99">
      <c r="A6" t="inlineStr">
        <is>
          <t>Multilevel Headers</t>
        </is>
      </c>
      <c r="B6" t="b">
        <v>0</v>
      </c>
      <c r="F6" t="n">
        <v>2019</v>
      </c>
      <c r="G6" s="101" t="n">
        <v>17.5</v>
      </c>
      <c r="H6" s="101" t="n">
        <v>21.5</v>
      </c>
      <c r="I6" s="101" t="n">
        <v>20.1</v>
      </c>
      <c r="J6" s="101" t="n">
        <v>15.1</v>
      </c>
      <c r="K6" s="101" t="n">
        <v>21.6</v>
      </c>
      <c r="L6" s="101" t="n">
        <v>15.6</v>
      </c>
      <c r="M6" s="101" t="n">
        <v>19.6</v>
      </c>
      <c r="N6" s="101" t="n">
        <v>23.6</v>
      </c>
      <c r="O6" s="101" t="n">
        <v>24.9</v>
      </c>
      <c r="P6" t="n">
        <v>28.7</v>
      </c>
    </row>
    <row r="7" ht="15.75" customHeight="1" s="99">
      <c r="F7" t="n">
        <v>2020</v>
      </c>
      <c r="G7" s="101" t="n">
        <v>16.9</v>
      </c>
      <c r="H7" s="101" t="n">
        <v>20.2</v>
      </c>
      <c r="I7" s="101" t="n">
        <v>19.6</v>
      </c>
      <c r="J7" s="101" t="n">
        <v>15.7</v>
      </c>
      <c r="K7" s="101" t="n">
        <v>19.3</v>
      </c>
      <c r="L7" s="101" t="n">
        <v>15.7</v>
      </c>
      <c r="M7" s="101" t="n">
        <v>19.3</v>
      </c>
      <c r="N7" s="101" t="n">
        <v>24.1</v>
      </c>
      <c r="O7" s="101" t="n">
        <v>25.2</v>
      </c>
      <c r="P7" t="n">
        <v>28.7</v>
      </c>
    </row>
    <row r="8">
      <c r="F8" t="n">
        <v>2021</v>
      </c>
      <c r="G8" s="101" t="n">
        <v>18.9</v>
      </c>
      <c r="H8" s="101" t="n">
        <v>20.2</v>
      </c>
      <c r="I8" s="101" t="n">
        <v>17</v>
      </c>
      <c r="J8" s="101" t="n">
        <v>15.3</v>
      </c>
      <c r="K8" s="101" t="n">
        <v>19.1</v>
      </c>
      <c r="L8" s="101" t="n">
        <v>15.4</v>
      </c>
      <c r="M8" s="101" t="n">
        <v>21.3</v>
      </c>
      <c r="N8" s="101" t="n">
        <v>25.1</v>
      </c>
      <c r="O8" s="101" t="n">
        <v>25.8</v>
      </c>
      <c r="P8" s="14" t="n">
        <v>28.7</v>
      </c>
    </row>
    <row r="9">
      <c r="A9" s="98" t="inlineStr">
        <is>
          <t>Figure Rules</t>
        </is>
      </c>
      <c r="F9" t="n">
        <v>2022</v>
      </c>
      <c r="G9" s="101" t="n">
        <v>16.9</v>
      </c>
      <c r="H9" s="101" t="n">
        <v>19.7</v>
      </c>
      <c r="I9" s="101" t="n">
        <v>15.2</v>
      </c>
      <c r="J9" s="101" t="n">
        <v>15.2</v>
      </c>
      <c r="K9" s="101" t="n">
        <v>20.3</v>
      </c>
      <c r="L9" s="101" t="n">
        <v>16.4</v>
      </c>
      <c r="M9" s="101" t="n">
        <v>21.1</v>
      </c>
      <c r="N9" s="101" t="n">
        <v>24.6</v>
      </c>
      <c r="O9" s="101" t="n">
        <v>25.3</v>
      </c>
      <c r="P9" t="n">
        <v>28.7</v>
      </c>
    </row>
    <row r="10">
      <c r="A10" t="inlineStr">
        <is>
          <t>Figure Type</t>
        </is>
      </c>
      <c r="B10" t="inlineStr">
        <is>
          <t>Line</t>
        </is>
      </c>
      <c r="F10" t="n">
        <v>2023</v>
      </c>
      <c r="G10" s="101" t="n">
        <v>15.2</v>
      </c>
      <c r="H10" t="n">
        <v>15.2</v>
      </c>
      <c r="I10" t="n">
        <v>15.9</v>
      </c>
      <c r="J10" t="n">
        <v>15</v>
      </c>
      <c r="K10" t="n">
        <v>20.3</v>
      </c>
      <c r="L10" t="n">
        <v>16.1</v>
      </c>
      <c r="M10" t="n">
        <v>22.1</v>
      </c>
      <c r="N10" t="n">
        <v>24.5</v>
      </c>
      <c r="O10" t="n">
        <v>25.6</v>
      </c>
      <c r="P10" t="n">
        <v>28.7</v>
      </c>
    </row>
    <row r="11">
      <c r="A11" t="inlineStr">
        <is>
          <t>X Column</t>
        </is>
      </c>
      <c r="B11" t="inlineStr">
        <is>
          <t>County</t>
        </is>
      </c>
      <c r="F11" s="46" t="inlineStr">
        <is>
          <t>2024</t>
        </is>
      </c>
      <c r="G11" s="116" t="n">
        <v>16.1</v>
      </c>
      <c r="H11" s="116" t="n">
        <v>18.7</v>
      </c>
      <c r="I11" s="116" t="n">
        <v>14.5</v>
      </c>
      <c r="J11" s="42" t="n">
        <v>16.1</v>
      </c>
      <c r="K11" s="42" t="n">
        <v>19.8</v>
      </c>
      <c r="L11" s="42" t="n">
        <v>14.5</v>
      </c>
      <c r="M11" s="47" t="inlineStr">
        <is>
          <t>22.4</t>
        </is>
      </c>
      <c r="N11" s="47" t="inlineStr">
        <is>
          <t>24.4</t>
        </is>
      </c>
      <c r="O11" s="46" t="inlineStr">
        <is>
          <t>25.7</t>
        </is>
      </c>
      <c r="P11" t="n">
        <v>28.7</v>
      </c>
    </row>
    <row r="12">
      <c r="A12" t="inlineStr">
        <is>
          <t>Y Column</t>
        </is>
      </c>
      <c r="F12" s="74" t="n"/>
      <c r="G12" s="42" t="n"/>
      <c r="H12" s="42" t="n"/>
      <c r="I12" s="116" t="n"/>
      <c r="J12" s="116" t="n"/>
      <c r="K12" s="116" t="n"/>
      <c r="L12" s="116" t="n"/>
      <c r="M12" s="46" t="n"/>
      <c r="N12" s="46" t="n"/>
      <c r="O12" s="46" t="n"/>
    </row>
    <row r="13">
      <c r="A13" t="inlineStr">
        <is>
          <t>X Axis Title</t>
        </is>
      </c>
    </row>
    <row r="14">
      <c r="A14" t="inlineStr">
        <is>
          <t>Y Axis Title</t>
        </is>
      </c>
      <c r="B14" t="inlineStr">
        <is>
          <t>Percent</t>
        </is>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6">
    <mergeCell ref="B1:O1"/>
    <mergeCell ref="E5:E57"/>
    <mergeCell ref="A9:B9"/>
    <mergeCell ref="A5:B5"/>
    <mergeCell ref="A18:B18"/>
    <mergeCell ref="A27:B27"/>
  </mergeCells>
  <dataValidations count="4">
    <dataValidation sqref="B6 B15:B16" showDropDown="0" showInputMessage="1" showErrorMessage="1" allowBlank="1" type="list">
      <formula1>"True,False"</formula1>
    </dataValidation>
    <dataValidation sqref="B2" showDropDown="0" showInputMessage="1" showErrorMessage="1" allowBlank="1" type="list">
      <formula1>"Table,Figure,Both"</formula1>
    </dataValidation>
    <dataValidation sqref="B10" showDropDown="0" showInputMessage="1" showErrorMessage="1" allowBlank="1" type="list">
      <formula1>"Line,Clustered Bar,Stacked Bar,Bar,Horizontal Stacked Bar"</formula1>
    </dataValidation>
    <dataValidation sqref="P4:Q4" showDropDown="0" showInputMessage="1" showErrorMessage="1" allowBlank="1" type="list">
      <formula1>"integer, number, percent1"</formula1>
    </dataValidation>
  </dataValidations>
  <pageMargins left="0.75" right="0.75" top="1" bottom="1" header="0.5" footer="0.5"/>
</worksheet>
</file>

<file path=xl/worksheets/sheet246.xml><?xml version="1.0" encoding="utf-8"?>
<worksheet xmlns="http://schemas.openxmlformats.org/spreadsheetml/2006/main">
  <sheetPr>
    <outlinePr summaryBelow="1" summaryRight="1"/>
    <pageSetUpPr/>
  </sheetPr>
  <dimension ref="A1:Q57"/>
  <sheetViews>
    <sheetView tabSelected="1" workbookViewId="0">
      <selection activeCell="N20" sqref="N20"/>
    </sheetView>
  </sheetViews>
  <sheetFormatPr baseColWidth="10" defaultColWidth="8.6640625" defaultRowHeight="15"/>
  <cols>
    <col width="20" bestFit="1" customWidth="1" style="99" min="1" max="1"/>
    <col width="22.1640625" bestFit="1" customWidth="1" style="99" min="2" max="2"/>
    <col width="6.6640625" customWidth="1" style="99" min="5" max="5"/>
    <col width="28.1640625" bestFit="1" customWidth="1" style="99" min="6" max="6"/>
    <col width="9" bestFit="1" customWidth="1" style="99" min="7" max="7"/>
    <col width="8.33203125" bestFit="1" customWidth="1" style="99" min="8" max="8"/>
    <col width="8.83203125" bestFit="1" customWidth="1" style="99" min="9" max="9"/>
    <col width="9" bestFit="1" customWidth="1" style="99" min="10" max="10"/>
    <col width="8.83203125" bestFit="1" customWidth="1" style="99" min="11" max="11"/>
    <col width="8.33203125" bestFit="1" customWidth="1" style="99" min="12" max="12"/>
    <col width="12.1640625" bestFit="1" customWidth="1" style="99" min="13" max="13"/>
    <col width="12.33203125" bestFit="1" customWidth="1" style="99" min="14" max="14"/>
    <col width="12.5" bestFit="1" customWidth="1" style="99" min="15" max="16"/>
  </cols>
  <sheetData>
    <row r="1">
      <c r="A1" s="97" t="inlineStr">
        <is>
          <t>Name</t>
        </is>
      </c>
      <c r="B1" s="120" t="inlineStr">
        <is>
          <t>Teen Pregnancy, Rate per 1,000 Female Population 15–19 Years Old, 2014–2021</t>
        </is>
      </c>
    </row>
    <row r="2">
      <c r="A2" s="97" t="inlineStr">
        <is>
          <t>Table/Figure/Both</t>
        </is>
      </c>
      <c r="B2" t="inlineStr">
        <is>
          <t>Both</t>
        </is>
      </c>
    </row>
    <row r="3">
      <c r="A3" s="97" t="inlineStr">
        <is>
          <t xml:space="preserve">Object ID  </t>
        </is>
      </c>
      <c r="B3">
        <f>IF($B$1="","",_xlfn.XLOOKUP($B$1,Master!$F$2:$F$308,Master!$G$2:$G$308,""))</f>
        <v/>
      </c>
    </row>
    <row r="4">
      <c r="A4" s="97" t="inlineStr">
        <is>
          <t>Figure ID</t>
        </is>
      </c>
      <c r="B4">
        <f>IF($B$1="","",_xlfn.XLOOKUP($B$1,Master!$F$2:$F$308,Master!$H$2:$H$308,""))</f>
        <v/>
      </c>
      <c r="E4" s="13" t="n"/>
      <c r="F4" s="16" t="inlineStr">
        <is>
          <t>integer</t>
        </is>
      </c>
      <c r="G4" s="16" t="inlineStr">
        <is>
          <t>percent1</t>
        </is>
      </c>
      <c r="H4" s="16" t="inlineStr">
        <is>
          <t>percent1</t>
        </is>
      </c>
      <c r="I4" s="16" t="inlineStr">
        <is>
          <t>percent1</t>
        </is>
      </c>
      <c r="J4" s="16" t="inlineStr">
        <is>
          <t>percent1</t>
        </is>
      </c>
      <c r="K4" s="16" t="inlineStr">
        <is>
          <t>percent1</t>
        </is>
      </c>
      <c r="L4" s="16" t="inlineStr">
        <is>
          <t>percent1</t>
        </is>
      </c>
      <c r="M4" s="16" t="inlineStr">
        <is>
          <t>percent1</t>
        </is>
      </c>
      <c r="N4" s="16" t="inlineStr">
        <is>
          <t>percent1</t>
        </is>
      </c>
      <c r="O4" s="16" t="inlineStr">
        <is>
          <t>percent1</t>
        </is>
      </c>
      <c r="P4" s="16" t="n"/>
      <c r="Q4" s="16" t="n"/>
    </row>
    <row r="5">
      <c r="A5" s="98" t="inlineStr">
        <is>
          <t>Table Rules</t>
        </is>
      </c>
      <c r="E5" s="100" t="inlineStr">
        <is>
          <t xml:space="preserve">Enter Data </t>
        </is>
      </c>
      <c r="G5" s="101" t="inlineStr">
        <is>
          <t xml:space="preserve">Three-Year Average </t>
        </is>
      </c>
      <c r="N5" s="101" t="inlineStr">
        <is>
          <t>Single Year</t>
        </is>
      </c>
    </row>
    <row r="6" ht="15" customHeight="1" s="99">
      <c r="A6" t="inlineStr">
        <is>
          <t>Multilevel Headers</t>
        </is>
      </c>
      <c r="B6" t="b">
        <v>1</v>
      </c>
      <c r="F6" t="inlineStr">
        <is>
          <t>Year</t>
        </is>
      </c>
      <c r="G6" s="101" t="inlineStr">
        <is>
          <t>Dutchess</t>
        </is>
      </c>
      <c r="H6" s="101" t="inlineStr">
        <is>
          <t>Orange</t>
        </is>
      </c>
      <c r="I6" s="101" t="inlineStr">
        <is>
          <t>Putnam</t>
        </is>
      </c>
      <c r="J6" s="101" t="inlineStr">
        <is>
          <t>Rockland</t>
        </is>
      </c>
      <c r="K6" s="101" t="inlineStr">
        <is>
          <t>Sullivan</t>
        </is>
      </c>
      <c r="L6" s="101" t="inlineStr">
        <is>
          <t>Ulster</t>
        </is>
      </c>
      <c r="M6" s="101" t="inlineStr">
        <is>
          <t>Westchester</t>
        </is>
      </c>
      <c r="N6" s="101" t="inlineStr">
        <is>
          <t>NYS excl NYC</t>
        </is>
      </c>
      <c r="O6" s="101" t="inlineStr">
        <is>
          <t>NYS</t>
        </is>
      </c>
    </row>
    <row r="7" ht="15.75" customHeight="1" s="99">
      <c r="F7" t="n">
        <v>2014</v>
      </c>
      <c r="G7" s="101" t="n">
        <v>18.6</v>
      </c>
      <c r="H7" s="101" t="n">
        <v>29.7</v>
      </c>
      <c r="I7" s="101" t="n">
        <v>7.5</v>
      </c>
      <c r="J7" s="101" t="n">
        <v>14.8</v>
      </c>
      <c r="K7" s="101" t="n">
        <v>38.3</v>
      </c>
      <c r="L7" s="101" t="n">
        <v>23</v>
      </c>
      <c r="M7" s="101" t="n">
        <v>18.8</v>
      </c>
      <c r="N7" s="101" t="n">
        <v>24.2</v>
      </c>
      <c r="O7" s="101" t="n">
        <v>33.5</v>
      </c>
    </row>
    <row r="8">
      <c r="F8" t="n">
        <v>2015</v>
      </c>
      <c r="G8" s="101" t="n">
        <v>16.7</v>
      </c>
      <c r="H8" s="101" t="n">
        <v>28.7</v>
      </c>
      <c r="I8" s="101" t="n">
        <v>6.7</v>
      </c>
      <c r="J8" s="101" t="n">
        <v>15</v>
      </c>
      <c r="K8" s="101" t="n">
        <v>33.2</v>
      </c>
      <c r="L8" s="101" t="n">
        <v>21.1</v>
      </c>
      <c r="M8" s="101" t="n">
        <v>17.4</v>
      </c>
      <c r="N8" s="101" t="n">
        <v>22.6</v>
      </c>
      <c r="O8" s="101" t="n">
        <v>29.9</v>
      </c>
      <c r="P8" s="14" t="n"/>
    </row>
    <row r="9">
      <c r="A9" s="98" t="inlineStr">
        <is>
          <t>Figure Rules</t>
        </is>
      </c>
      <c r="F9" t="n">
        <v>2016</v>
      </c>
      <c r="G9" s="101" t="n">
        <v>16.2</v>
      </c>
      <c r="H9" s="101" t="n">
        <v>28.3</v>
      </c>
      <c r="I9" s="101" t="n">
        <v>5.5</v>
      </c>
      <c r="J9" s="101" t="n">
        <v>14.9</v>
      </c>
      <c r="K9" s="101" t="n">
        <v>31.7</v>
      </c>
      <c r="L9" s="101" t="n">
        <v>21.7</v>
      </c>
      <c r="M9" s="101" t="n">
        <v>14.7</v>
      </c>
      <c r="N9" s="101" t="n">
        <v>20.7</v>
      </c>
      <c r="O9" s="101" t="n">
        <v>27.1</v>
      </c>
    </row>
    <row r="10">
      <c r="A10" t="inlineStr">
        <is>
          <t>Figure Type</t>
        </is>
      </c>
      <c r="B10" t="inlineStr">
        <is>
          <t>Line</t>
        </is>
      </c>
      <c r="F10" t="n">
        <v>2017</v>
      </c>
      <c r="G10" s="101" t="n">
        <v>15.2</v>
      </c>
      <c r="H10" t="n">
        <v>25.1</v>
      </c>
      <c r="I10" t="n">
        <v>5.6</v>
      </c>
      <c r="J10" t="n">
        <v>14.3</v>
      </c>
      <c r="K10" t="n">
        <v>29.9</v>
      </c>
      <c r="L10" t="n">
        <v>19.5</v>
      </c>
      <c r="M10" t="n">
        <v>14</v>
      </c>
      <c r="N10" t="n">
        <v>19.9</v>
      </c>
      <c r="O10" t="n">
        <v>25.4</v>
      </c>
    </row>
    <row r="11">
      <c r="A11" t="inlineStr">
        <is>
          <t>X Column</t>
        </is>
      </c>
      <c r="B11" t="inlineStr">
        <is>
          <t>County</t>
        </is>
      </c>
      <c r="F11" s="46" t="inlineStr">
        <is>
          <t>2018</t>
        </is>
      </c>
      <c r="G11" s="116" t="n">
        <v>15.5</v>
      </c>
      <c r="H11" s="116" t="n">
        <v>22.4</v>
      </c>
      <c r="I11" s="116" t="n">
        <v>4.7</v>
      </c>
      <c r="J11" s="42" t="n">
        <v>14.4</v>
      </c>
      <c r="K11" s="42" t="n">
        <v>32.9</v>
      </c>
      <c r="L11" s="42" t="n">
        <v>20.2</v>
      </c>
      <c r="M11" s="47" t="inlineStr">
        <is>
          <t>14.5</t>
        </is>
      </c>
      <c r="N11" s="47" t="inlineStr">
        <is>
          <t>18.8</t>
        </is>
      </c>
      <c r="O11" s="46" t="inlineStr">
        <is>
          <t>23.3</t>
        </is>
      </c>
    </row>
    <row r="12">
      <c r="A12" t="inlineStr">
        <is>
          <t>Y Column</t>
        </is>
      </c>
      <c r="F12" s="74" t="inlineStr">
        <is>
          <t>2019</t>
        </is>
      </c>
      <c r="G12" s="42" t="n">
        <v>14</v>
      </c>
      <c r="H12" s="42" t="n">
        <v>18.6</v>
      </c>
      <c r="I12" s="116" t="n">
        <v>4.8</v>
      </c>
      <c r="J12" s="116" t="n">
        <v>13.6</v>
      </c>
      <c r="K12" s="116" t="n">
        <v>30.6</v>
      </c>
      <c r="L12" s="116" t="n">
        <v>16.6</v>
      </c>
      <c r="M12" s="46" t="inlineStr">
        <is>
          <t>14.0</t>
        </is>
      </c>
      <c r="N12" s="46" t="inlineStr">
        <is>
          <t>18.9</t>
        </is>
      </c>
      <c r="O12" s="46" t="inlineStr">
        <is>
          <t>23.0</t>
        </is>
      </c>
    </row>
    <row r="13">
      <c r="A13" t="inlineStr">
        <is>
          <t>X Axis Title</t>
        </is>
      </c>
      <c r="F13" t="n">
        <v>2020</v>
      </c>
      <c r="G13" t="n">
        <v>12.3</v>
      </c>
      <c r="H13" t="n">
        <v>16.8</v>
      </c>
      <c r="I13" t="n">
        <v>5.1</v>
      </c>
      <c r="J13" t="n">
        <v>13.6</v>
      </c>
      <c r="K13" t="n">
        <v>29.7</v>
      </c>
      <c r="L13" t="n">
        <v>14</v>
      </c>
      <c r="M13" t="n">
        <v>13.8</v>
      </c>
      <c r="N13" t="n">
        <v>16</v>
      </c>
      <c r="O13" t="n">
        <v>18.7</v>
      </c>
    </row>
    <row r="14">
      <c r="A14" t="inlineStr">
        <is>
          <t>Y Axis Title</t>
        </is>
      </c>
      <c r="B14" t="inlineStr">
        <is>
          <t>Rate per 1,000</t>
        </is>
      </c>
      <c r="F14" t="n">
        <v>2021</v>
      </c>
      <c r="G14" t="n">
        <v>10.1</v>
      </c>
      <c r="H14" t="n">
        <v>15.5</v>
      </c>
      <c r="I14" t="n">
        <v>6.4</v>
      </c>
      <c r="J14" t="n">
        <v>13.7</v>
      </c>
      <c r="K14" t="n">
        <v>24.4</v>
      </c>
      <c r="L14" t="n">
        <v>10.7</v>
      </c>
      <c r="M14" t="n">
        <v>12.8</v>
      </c>
      <c r="N14" t="n">
        <v>15.2</v>
      </c>
      <c r="O14" t="n">
        <v>17.6</v>
      </c>
    </row>
    <row r="15">
      <c r="A15" t="inlineStr">
        <is>
          <t>Start at Zero</t>
        </is>
      </c>
      <c r="B15" t="b">
        <v>1</v>
      </c>
    </row>
    <row r="16">
      <c r="A16" t="inlineStr">
        <is>
          <t>Pivot For Chart</t>
        </is>
      </c>
      <c r="B16" t="b">
        <v>1</v>
      </c>
    </row>
    <row r="17"/>
    <row r="18">
      <c r="A18" s="98" t="inlineStr">
        <is>
          <t>Source Specifications</t>
        </is>
      </c>
    </row>
    <row r="19">
      <c r="A19" t="inlineStr">
        <is>
          <t>Table ID</t>
        </is>
      </c>
    </row>
    <row r="20">
      <c r="A20" t="inlineStr">
        <is>
          <t>URL</t>
        </is>
      </c>
      <c r="F20" s="101" t="n"/>
      <c r="G20" s="119" t="n"/>
      <c r="H20" s="119" t="n"/>
      <c r="I20" s="46" t="n"/>
      <c r="J20" s="46" t="n"/>
      <c r="K20" s="46" t="n"/>
      <c r="L20" s="46" t="n"/>
      <c r="M20" s="46" t="n"/>
      <c r="N20" s="46" t="n"/>
      <c r="O20" s="46" t="n"/>
    </row>
    <row r="21">
      <c r="A21" t="inlineStr">
        <is>
          <t>Data Year</t>
        </is>
      </c>
      <c r="F21" s="101" t="n"/>
      <c r="G21" s="119" t="n"/>
      <c r="H21" s="119" t="n"/>
      <c r="I21" s="46" t="n"/>
      <c r="J21" s="46" t="n"/>
      <c r="K21" s="46" t="n"/>
      <c r="L21" s="46" t="n"/>
      <c r="M21" s="46" t="n"/>
      <c r="N21" s="46" t="n"/>
      <c r="O21" s="46" t="n"/>
    </row>
    <row r="22">
      <c r="A22" t="inlineStr">
        <is>
          <t>Estimate Type</t>
        </is>
      </c>
      <c r="F22" s="101" t="n"/>
      <c r="G22" s="119" t="n"/>
      <c r="H22" s="119" t="n"/>
      <c r="I22" s="46" t="n"/>
    </row>
    <row r="23">
      <c r="A23" t="inlineStr">
        <is>
          <t>Citation Month</t>
        </is>
      </c>
      <c r="F23" s="101" t="n"/>
      <c r="G23" s="119" t="n"/>
      <c r="H23" s="119" t="n"/>
      <c r="I23" s="46" t="n"/>
    </row>
    <row r="24">
      <c r="A24" t="inlineStr">
        <is>
          <t>Citation Year</t>
        </is>
      </c>
      <c r="F24" s="46" t="n"/>
      <c r="G24" s="46" t="n"/>
      <c r="H24" s="46" t="n"/>
      <c r="I24" s="46" t="n"/>
    </row>
    <row r="25">
      <c r="A25" t="inlineStr">
        <is>
          <t>Custom Text</t>
        </is>
      </c>
      <c r="F25" s="119" t="n"/>
      <c r="G25" s="119" t="n"/>
      <c r="H25" s="119" t="n"/>
      <c r="I25" s="46" t="n"/>
    </row>
    <row r="26">
      <c r="F26" s="101" t="n"/>
      <c r="G26" s="101" t="n"/>
      <c r="H26" s="70" t="n"/>
      <c r="I26" s="46" t="n"/>
    </row>
    <row r="27">
      <c r="A27" s="101" t="inlineStr">
        <is>
          <t>Note Specfications</t>
        </is>
      </c>
      <c r="F27" s="101" t="n"/>
      <c r="G27" s="101" t="n"/>
      <c r="H27" s="70" t="n"/>
      <c r="I27" s="46" t="n"/>
    </row>
    <row r="28">
      <c r="F28" s="101" t="n"/>
      <c r="G28" s="101" t="n"/>
      <c r="H28" s="70" t="n"/>
      <c r="I28" s="46" t="n"/>
    </row>
    <row r="29">
      <c r="F29" s="101" t="n"/>
      <c r="G29" s="101" t="n"/>
      <c r="H29" s="70" t="n"/>
      <c r="I29" s="46" t="n"/>
    </row>
    <row r="30">
      <c r="F30" s="101" t="n"/>
      <c r="G30" s="101" t="n"/>
      <c r="H30" s="70" t="n"/>
      <c r="I30" s="46" t="n"/>
    </row>
    <row r="31">
      <c r="F31" s="101" t="n"/>
      <c r="G31" s="101" t="n"/>
      <c r="H31" s="70" t="n"/>
      <c r="I31" s="46" t="n"/>
    </row>
    <row r="32">
      <c r="G32" s="46" t="n"/>
      <c r="H32" s="46" t="n"/>
      <c r="I32" s="46" t="n"/>
    </row>
    <row r="33">
      <c r="F33" s="101" t="n"/>
      <c r="G33" s="101" t="n"/>
      <c r="H33" s="70" t="n"/>
      <c r="I33" s="46" t="n"/>
    </row>
    <row r="34">
      <c r="F34" s="101" t="n"/>
      <c r="G34" s="101" t="n"/>
      <c r="H34" s="70" t="n"/>
      <c r="I34" s="47" t="n"/>
    </row>
    <row r="35">
      <c r="F35" s="101" t="n"/>
      <c r="G35" s="101" t="n"/>
      <c r="H35" s="70" t="n"/>
      <c r="I35" s="47" t="n"/>
    </row>
    <row r="36">
      <c r="F36" s="101" t="n"/>
      <c r="G36" s="101" t="n"/>
      <c r="H36" s="70" t="n"/>
      <c r="I36" s="47" t="n"/>
    </row>
    <row r="37">
      <c r="F37" s="101" t="n"/>
      <c r="G37" s="101" t="n"/>
      <c r="H37" s="70" t="n"/>
      <c r="I37" s="47" t="n"/>
    </row>
    <row r="38">
      <c r="F38" s="46" t="n"/>
      <c r="G38" s="46" t="n"/>
      <c r="H38" s="46" t="n"/>
      <c r="I38" s="46" t="n"/>
    </row>
    <row r="39">
      <c r="F39" s="46" t="n"/>
      <c r="G39" s="46" t="n"/>
      <c r="H39" s="46" t="n"/>
      <c r="I39" s="46" t="n"/>
    </row>
    <row r="40">
      <c r="F40" s="46" t="n"/>
      <c r="G40" s="46" t="n"/>
      <c r="H40" s="46" t="n"/>
      <c r="I40" s="46" t="n"/>
    </row>
    <row r="41"/>
    <row r="42"/>
    <row r="43"/>
    <row r="44"/>
    <row r="45"/>
    <row r="46"/>
    <row r="47"/>
    <row r="48"/>
    <row r="49"/>
    <row r="50"/>
    <row r="51"/>
    <row r="52"/>
    <row r="53"/>
    <row r="54"/>
    <row r="55"/>
    <row r="56"/>
    <row r="57"/>
  </sheetData>
  <mergeCells count="8">
    <mergeCell ref="B1:O1"/>
    <mergeCell ref="E5:E57"/>
    <mergeCell ref="A9:B9"/>
    <mergeCell ref="A5:B5"/>
    <mergeCell ref="A18:B18"/>
    <mergeCell ref="N5:O5"/>
    <mergeCell ref="A27:B27"/>
    <mergeCell ref="G5:M5"/>
  </mergeCells>
  <dataValidations count="4">
    <dataValidation sqref="P4:Q4" showDropDown="0" showInputMessage="1" showErrorMessage="1" allowBlank="1" type="list">
      <formula1>"integer, number, percent1"</formula1>
    </dataValidation>
    <dataValidation sqref="B10" showDropDown="0" showInputMessage="1" showErrorMessage="1" allowBlank="1" type="list">
      <formula1>"Line,Clustered Bar,Stacked Bar,Bar,Horizontal Stacked Bar"</formula1>
    </dataValidation>
    <dataValidation sqref="B2" showDropDown="0" showInputMessage="1" showErrorMessage="1" allowBlank="1" type="list">
      <formula1>"Table,Figure,Both"</formula1>
    </dataValidation>
    <dataValidation sqref="B6 B15:B16" showDropDown="0" showInputMessage="1" showErrorMessage="1" allowBlank="1" type="list">
      <formula1>"True,False"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2026-02-17T16:57:23Z</dcterms:created>
  <dcterms:modified xmlns:dcterms="http://purl.org/dc/terms/" xmlns:xsi="http://www.w3.org/2001/XMLSchema-instance" xsi:type="dcterms:W3CDTF">2026-06-05T14:19:50Z</dcterms:modified>
  <cp:lastModifiedBy>Crandell, Dayquan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0x0101005E06BBCF48891B4AA000B842D02367CE</vt:lpwstr>
  </property>
  <property name="MediaServiceImageTags" fmtid="{D5CDD505-2E9C-101B-9397-08002B2CF9AE}" pid="3">
    <vt:lpwstr xmlns:vt="http://schemas.openxmlformats.org/officeDocument/2006/docPropsVTypes"/>
  </property>
</Properties>
</file>