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dq/Coding/Coding Projects/Mid-Hudson Regional CHA 2025/Mid-HudsonRegionalCHA-2025/data/raw/"/>
    </mc:Choice>
  </mc:AlternateContent>
  <xr:revisionPtr revIDLastSave="0" documentId="13_ncr:1_{EB4B0B7E-708D-D84C-9A39-585EC084E26B}" xr6:coauthVersionLast="47" xr6:coauthVersionMax="47" xr10:uidLastSave="{00000000-0000-0000-0000-000000000000}"/>
  <bookViews>
    <workbookView xWindow="0" yWindow="660" windowWidth="34560" windowHeight="21680" firstSheet="154" activeTab="161" xr2:uid="{7B5489DC-BB92-4237-A1A8-C16ED0406E77}"/>
  </bookViews>
  <sheets>
    <sheet name="Master" sheetId="1" r:id="rId1"/>
    <sheet name="Dropdowns" sheetId="2" r:id="rId2"/>
    <sheet name="_Demographics" sheetId="40" r:id="rId3"/>
    <sheet name="Population Demographic Characte" sheetId="42" r:id="rId4"/>
    <sheet name="Sex-Population" sheetId="43" r:id="rId5"/>
    <sheet name="Age-Population" sheetId="44" r:id="rId6"/>
    <sheet name="Ethnicity-Population" sheetId="46" r:id="rId7"/>
    <sheet name="Race-Population" sheetId="47" r:id="rId8"/>
    <sheet name="Spoken Lang-Population" sheetId="48" r:id="rId9"/>
    <sheet name="25 Years+-Population" sheetId="49" r:id="rId10"/>
    <sheet name="Educational Attainment-Pop" sheetId="50" r:id="rId11"/>
    <sheet name="Total Households" sheetId="51" r:id="rId12"/>
    <sheet name="Households by Income" sheetId="52" r:id="rId13"/>
    <sheet name="Veteran Status-Population" sheetId="53" r:id="rId14"/>
    <sheet name="Type of Disability-Population" sheetId="54" r:id="rId15"/>
    <sheet name="No Vehicle" sheetId="87" r:id="rId16"/>
    <sheet name="Mode To Work" sheetId="88" r:id="rId17"/>
    <sheet name="Mean Time Work" sheetId="146" r:id="rId18"/>
    <sheet name="DC Top Affect Health" sheetId="90" r:id="rId19"/>
    <sheet name="DC Top Barriers" sheetId="91" r:id="rId20"/>
    <sheet name="DC Impact Health" sheetId="89" r:id="rId21"/>
    <sheet name="DC Impact SDOH" sheetId="92" r:id="rId22"/>
    <sheet name="DC Impact Eco Wellbeing" sheetId="93" r:id="rId23"/>
    <sheet name="DC Impact MH &amp; SU" sheetId="94" r:id="rId24"/>
    <sheet name="DC ImpSct Hlth Ins &amp; Access " sheetId="97" r:id="rId25"/>
    <sheet name="OC Top Affect Health" sheetId="132" r:id="rId26"/>
    <sheet name="OC Top Barriers" sheetId="126" r:id="rId27"/>
    <sheet name="OC Impact Health" sheetId="120" r:id="rId28"/>
    <sheet name="OC Impact SDOH" sheetId="114" r:id="rId29"/>
    <sheet name="OC Impact Eco Wellbeing" sheetId="112" r:id="rId30"/>
    <sheet name="OC Impact MH &amp; SU" sheetId="107" r:id="rId31"/>
    <sheet name="OC Impact Hlth Ins &amp; Access" sheetId="95" r:id="rId32"/>
    <sheet name="PC Big Health Problem" sheetId="133" r:id="rId33"/>
    <sheet name="PC Help Improve Health" sheetId="127" r:id="rId34"/>
    <sheet name="PC Health Screen &amp; Education" sheetId="121" r:id="rId35"/>
    <sheet name="PC Can't Get Healthcare" sheetId="115" r:id="rId36"/>
    <sheet name="PC Trusted Source" sheetId="113" r:id="rId37"/>
    <sheet name="RC Top Affect Health" sheetId="134" r:id="rId38"/>
    <sheet name="RC Top Barriers" sheetId="128" r:id="rId39"/>
    <sheet name="RC Impact Health" sheetId="123" r:id="rId40"/>
    <sheet name="RC Impact SDOH" sheetId="116" r:id="rId41"/>
    <sheet name="RC Impact Eco Wellbeing" sheetId="111" r:id="rId42"/>
    <sheet name="RC Impact MH &amp; SU" sheetId="105" r:id="rId43"/>
    <sheet name="RC Impact Hlth Ins &amp; Access " sheetId="100" r:id="rId44"/>
    <sheet name="SC Top Affect Health" sheetId="135" r:id="rId45"/>
    <sheet name="SC Top Barriers" sheetId="129" r:id="rId46"/>
    <sheet name="SC Impact Health" sheetId="122" r:id="rId47"/>
    <sheet name="SC Impact SDOH" sheetId="117" r:id="rId48"/>
    <sheet name="SC Impact Eco Wellbeing" sheetId="110" r:id="rId49"/>
    <sheet name="SC Impact MH &amp; SU" sheetId="104" r:id="rId50"/>
    <sheet name="SC Impact Hlth Ins &amp; Access" sheetId="101" r:id="rId51"/>
    <sheet name="UC Top Affect Health" sheetId="136" r:id="rId52"/>
    <sheet name="UC Top Barriers" sheetId="130" r:id="rId53"/>
    <sheet name="UC Impact Health" sheetId="124" r:id="rId54"/>
    <sheet name="UC Impact SDOH" sheetId="118" r:id="rId55"/>
    <sheet name="UC Impact Eco Wellbeing" sheetId="109" r:id="rId56"/>
    <sheet name="UC Impact MH &amp; SU" sheetId="103" r:id="rId57"/>
    <sheet name="UC Impact Hlth Ins &amp; Access" sheetId="98" r:id="rId58"/>
    <sheet name="WC Top Affect Health" sheetId="137" r:id="rId59"/>
    <sheet name="WC Top Barriers" sheetId="131" r:id="rId60"/>
    <sheet name="WC Impact Health" sheetId="125" r:id="rId61"/>
    <sheet name="WC Impact SDOH" sheetId="119" r:id="rId62"/>
    <sheet name="WC Impact Eco Wellbeing" sheetId="108" r:id="rId63"/>
    <sheet name="WC Impact MH &amp; SU" sheetId="102" r:id="rId64"/>
    <sheet name="WC Impact Hlth Ins &amp; Access" sheetId="99" r:id="rId65"/>
    <sheet name="HEALTH BEHAVIORS INDICATORS" sheetId="139" r:id="rId66"/>
    <sheet name="Leisure Time Physical Act Adult" sheetId="140" r:id="rId67"/>
    <sheet name="Consuming Less Fruit-Veg" sheetId="141" r:id="rId68"/>
    <sheet name="Consume Sugary Bev" sheetId="142" r:id="rId69"/>
    <sheet name="Health Indicators" sheetId="144" r:id="rId70"/>
    <sheet name="Top 5 Leading Cause Death" sheetId="143" r:id="rId71"/>
    <sheet name="Premature Deaths" sheetId="145" r:id="rId72"/>
    <sheet name="Premature Deaths BH-WH" sheetId="159" r:id="rId73"/>
    <sheet name="Premature Deaths His-WNH" sheetId="160" r:id="rId74"/>
    <sheet name="CLRD Hosp AAR" sheetId="161" r:id="rId75"/>
    <sheet name="CLRD Hosp AAR-RE" sheetId="162" r:id="rId76"/>
    <sheet name="Adults Asthma" sheetId="163" r:id="rId77"/>
    <sheet name="Asthma Hosp" sheetId="164" r:id="rId78"/>
    <sheet name="Asthma Hosp RE" sheetId="165" r:id="rId79"/>
    <sheet name="Asthma ED 0-17" sheetId="166" r:id="rId80"/>
    <sheet name="CVD Adults" sheetId="167" r:id="rId81"/>
    <sheet name="CVD Hosp AAR" sheetId="168" r:id="rId82"/>
    <sheet name="CVD Mort AAR" sheetId="169" r:id="rId83"/>
    <sheet name="Asthma Gastro OM Pneumonia" sheetId="170" r:id="rId84"/>
    <sheet name="Unintent Injury Mortality" sheetId="173" r:id="rId85"/>
    <sheet name="Poison Control Calls" sheetId="175" r:id="rId86"/>
    <sheet name="Poison Control Calls Child" sheetId="176" r:id="rId87"/>
    <sheet name="Poison Control Calls Cannabis" sheetId="177" r:id="rId88"/>
    <sheet name="MV Injury Mortality" sheetId="181" r:id="rId89"/>
    <sheet name="Alcohol MV Injury Mortality" sheetId="182" r:id="rId90"/>
    <sheet name="MV Injury Mortaltiy RE" sheetId="179" r:id="rId91"/>
    <sheet name="Falls Hospitalization" sheetId="188" r:id="rId92"/>
    <sheet name="Falls Hospitalization 85+" sheetId="189" r:id="rId93"/>
    <sheet name="Falls Hospitalization 65+ RE" sheetId="190" r:id="rId94"/>
    <sheet name="Homicide Mortality" sheetId="191" r:id="rId95"/>
    <sheet name="Assault Hospitalization" sheetId="192" r:id="rId96"/>
    <sheet name="Domestic Violence Victims" sheetId="193" r:id="rId97"/>
    <sheet name="_SOCIAL and PHYS DETERMINANT" sheetId="41" r:id="rId98"/>
    <sheet name="_Template (2)" sheetId="55" r:id="rId99"/>
    <sheet name="Labor-Force" sheetId="3" r:id="rId100"/>
    <sheet name="Population Unemployed" sheetId="4" r:id="rId101"/>
    <sheet name="Food-Insecurity" sheetId="56" r:id="rId102"/>
    <sheet name="Child-Food-Insecurity" sheetId="57" r:id="rId103"/>
    <sheet name="Cost-Burdened-Renters" sheetId="58" r:id="rId104"/>
    <sheet name="Severely-Cost-Burdened" sheetId="59" r:id="rId105"/>
    <sheet name="HUD-Housing" sheetId="60" r:id="rId106"/>
    <sheet name="Poverty-Threshold" sheetId="61" r:id="rId107"/>
    <sheet name="Poverty-Rate" sheetId="65" r:id="rId108"/>
    <sheet name="Poverty-By-Race" sheetId="67" r:id="rId109"/>
    <sheet name="Economically-Disadvantaged" sheetId="68" r:id="rId110"/>
    <sheet name="ALICE-Budget" sheetId="69" r:id="rId111"/>
    <sheet name="ALICE-Threshold" sheetId="66" r:id="rId112"/>
    <sheet name="Graduation-Rate" sheetId="63" r:id="rId113"/>
    <sheet name="Graduation-By-Race" sheetId="64" r:id="rId114"/>
    <sheet name="Educational-Attainment" sheetId="70" r:id="rId115"/>
    <sheet name="Language-Proficiency" sheetId="71" r:id="rId116"/>
    <sheet name="Disconnected-Youth" sheetId="72" r:id="rId117"/>
    <sheet name="Resdential Segregation" sheetId="73" r:id="rId118"/>
    <sheet name="Adults No Rec Medical Due To Co" sheetId="74" r:id="rId119"/>
    <sheet name="Children-Uninsured" sheetId="77" r:id="rId120"/>
    <sheet name="Adults-Health Insurance" sheetId="79" r:id="rId121"/>
    <sheet name="Medically Underserved Area" sheetId="81" r:id="rId122"/>
    <sheet name="Residents to Primary Care" sheetId="82" r:id="rId123"/>
    <sheet name="Residents to Dentist" sheetId="83" r:id="rId124"/>
    <sheet name="Residents to MH Providers" sheetId="84" r:id="rId125"/>
    <sheet name="Adults with PCP" sheetId="85" r:id="rId126"/>
    <sheet name="Potentially Preventable Hospita" sheetId="86" r:id="rId127"/>
    <sheet name="Pre Hosp BNH and WNH" sheetId="147" r:id="rId128"/>
    <sheet name="Pre Hosp H and WNH" sheetId="148" r:id="rId129"/>
    <sheet name="Index Food Env" sheetId="149" r:id="rId130"/>
    <sheet name="Limited Access Food" sheetId="150" r:id="rId131"/>
    <sheet name="Violent Crimes" sheetId="151" r:id="rId132"/>
    <sheet name="Density Matter" sheetId="152" r:id="rId133"/>
    <sheet name="Lead Before 36 Mon" sheetId="153" r:id="rId134"/>
    <sheet name="Servere Housing" sheetId="154" r:id="rId135"/>
    <sheet name="No Vehicles" sheetId="155" r:id="rId136"/>
    <sheet name="Workers Mode Trans" sheetId="156" r:id="rId137"/>
    <sheet name="Travel Time Work" sheetId="157" r:id="rId138"/>
    <sheet name="_COUNTY HEALTH SUMMARIES" sheetId="158" r:id="rId139"/>
    <sheet name="DC Resident Priority Area" sheetId="172" r:id="rId140"/>
    <sheet name="RC CHA Demo" sheetId="174" r:id="rId141"/>
    <sheet name="Respondents by Zip" sheetId="178" r:id="rId142"/>
    <sheet name="QOL Rockland County" sheetId="220" r:id="rId143"/>
    <sheet name="Top 3 Postiv" sheetId="180" r:id="rId144"/>
    <sheet name="Top Areas Need Improvement" sheetId="184" r:id="rId145"/>
    <sheet name="Economic Prior Need Improvment" sheetId="185" r:id="rId146"/>
    <sheet name="Safe and Health Comm Need Impro" sheetId="186" r:id="rId147"/>
    <sheet name="Education Prior Improv" sheetId="187" r:id="rId148"/>
    <sheet name="Cornary Heart RE" sheetId="194" r:id="rId149"/>
    <sheet name="Heart Attack Mortality" sheetId="195" r:id="rId150"/>
    <sheet name="Cong Heart Fail AAR" sheetId="196" r:id="rId151"/>
    <sheet name="Poor MH 14+" sheetId="197" r:id="rId152"/>
    <sheet name="Adults Report DD" sheetId="198" r:id="rId153"/>
    <sheet name="Incidence from Smoking" sheetId="199" r:id="rId154"/>
    <sheet name="Current Smokers" sheetId="200" r:id="rId155"/>
    <sheet name="Binge Drinking Past Month" sheetId="201" r:id="rId156"/>
    <sheet name="ED Visits Opioid OD" sheetId="202" r:id="rId157"/>
    <sheet name="Hosp Discharge Opioid OD" sheetId="203" r:id="rId158"/>
    <sheet name="Treatment Programs Prim Substan" sheetId="204" r:id="rId159"/>
    <sheet name="Overdose Deaths Any Drug" sheetId="205" r:id="rId160"/>
    <sheet name="Overdose Deaths Involving Opioi" sheetId="206" r:id="rId161"/>
    <sheet name="Overdose Deaths Any Opioid" sheetId="207" r:id="rId162"/>
    <sheet name="OD Deaths Herion CR" sheetId="208" r:id="rId163"/>
    <sheet name="OD Deaths Opioid PR CR" sheetId="209" r:id="rId164"/>
    <sheet name="Opioid Analgesics" sheetId="210" r:id="rId165"/>
    <sheet name="Buprenorphine Prescription" sheetId="211" r:id="rId166"/>
    <sheet name="Suicide Mortality 15-19" sheetId="212" r:id="rId167"/>
    <sheet name="Suicide Mortality AAR" sheetId="213" r:id="rId168"/>
    <sheet name="As-Gas-otis-Pne-Hosp" sheetId="214" r:id="rId169"/>
    <sheet name="OD Deaths Opioid CR" sheetId="215" r:id="rId170"/>
    <sheet name="Poison Center Calls" sheetId="216" r:id="rId171"/>
    <sheet name="Unintentional Injury Mort AAR" sheetId="217" r:id="rId172"/>
    <sheet name="% Pos CC 5Yo" sheetId="218" r:id="rId173"/>
    <sheet name="% Pos CC 5Yo (2)" sheetId="219" r:id="rId174"/>
    <sheet name="CRLD Mort AAR" sheetId="221" r:id="rId175"/>
    <sheet name="CRLD Mort AAR RE 100" sheetId="222" r:id="rId176"/>
    <sheet name="Cardiovas Hosp" sheetId="223" r:id="rId177"/>
    <sheet name="High BP" sheetId="224" r:id="rId178"/>
    <sheet name="Cerebrovas Hosp AAR" sheetId="225" r:id="rId179"/>
    <sheet name="Cerebrovas Hosp AAR RE" sheetId="226" r:id="rId180"/>
    <sheet name="Cerebrovas Hosp Mort AAR" sheetId="227" r:id="rId181"/>
    <sheet name="Cerebrovas Hosp Mort AAR RE" sheetId="228" r:id="rId182"/>
    <sheet name="Speaks English" sheetId="229" r:id="rId183"/>
    <sheet name="HeartAttack Hosp" sheetId="230" r:id="rId184"/>
    <sheet name="Diabete Hosp RE" sheetId="231" r:id="rId185"/>
    <sheet name="Pre-diabetes" sheetId="232" r:id="rId186"/>
    <sheet name="Diabetes Hosp AAR" sheetId="233" r:id="rId187"/>
    <sheet name="HBS or Diabetes" sheetId="235" r:id="rId188"/>
    <sheet name="Diabetes Mort AAR" sheetId="236" r:id="rId189"/>
    <sheet name="Diabetes Mort AAR RE" sheetId="237" r:id="rId190"/>
    <sheet name="Adults Obese-Overweight" sheetId="238" r:id="rId191"/>
    <sheet name="Adults Obese" sheetId="239" r:id="rId192"/>
    <sheet name="School Children-Overw-Obese" sheetId="240" r:id="rId193"/>
    <sheet name="Cirrhosis Hosp AAR" sheetId="241" r:id="rId194"/>
    <sheet name="Cirrhosis Mortal AAR" sheetId="242" r:id="rId195"/>
    <sheet name="All Cancer Inc and Mort AAR" sheetId="243" r:id="rId196"/>
    <sheet name="All Cancer Inc and Mort AAR Sex" sheetId="244" r:id="rId197"/>
    <sheet name="Colon Rectum Ind Mort" sheetId="245" r:id="rId198"/>
    <sheet name="Colon Rectum Ind Mort Sex" sheetId="246" r:id="rId199"/>
    <sheet name="Colon Rectum Ind Mort RE" sheetId="247" r:id="rId200"/>
    <sheet name="Colon Rectum 50-64" sheetId="248" r:id="rId201"/>
    <sheet name="Lung Bronch Ind Mort AAR" sheetId="249" r:id="rId202"/>
    <sheet name="Lung Bronch Ind Mort AAR Sex" sheetId="250" r:id="rId203"/>
    <sheet name="Lung Incidence RE" sheetId="251" r:id="rId204"/>
    <sheet name="Prostate Cancer AAR Male" sheetId="252" r:id="rId205"/>
    <sheet name="Breast Cancer AAR" sheetId="253" r:id="rId206"/>
    <sheet name="Women 50-74 Breast Cancer Scree" sheetId="254" r:id="rId207"/>
    <sheet name="Cervix Uteri Cancer AAR" sheetId="255" r:id="rId208"/>
    <sheet name="Women 21-65 Cancer Screening" sheetId="256" r:id="rId209"/>
    <sheet name="Children 24-35 Months" sheetId="257" r:id="rId210"/>
    <sheet name="COVID-19 Mort" sheetId="258" r:id="rId211"/>
    <sheet name="13 HPV" sheetId="259" r:id="rId212"/>
    <sheet name="Flu Immunization 16-21" sheetId="260" r:id="rId213"/>
    <sheet name="Flu Immunization 65 16-21" sheetId="261" r:id="rId214"/>
    <sheet name="Pneumo 65 16-21" sheetId="262" r:id="rId215"/>
    <sheet name="HIV AAR 14-21" sheetId="263" r:id="rId216"/>
    <sheet name="Gonorrhea AAR 17-23" sheetId="264" r:id="rId217"/>
    <sheet name="Chlamydia AAR" sheetId="265" r:id="rId218"/>
    <sheet name="Syphilis AAR" sheetId="266" r:id="rId219"/>
    <sheet name="Lyme Disease" sheetId="267" r:id="rId220"/>
    <sheet name="Anaplasmosis" sheetId="268" r:id="rId221"/>
    <sheet name="Babesiosis" sheetId="269" r:id="rId222"/>
    <sheet name="Rabies" sheetId="270" r:id="rId223"/>
    <sheet name="Rabies Wild" sheetId="271" r:id="rId224"/>
    <sheet name="Rabies PEP" sheetId="272" r:id="rId225"/>
    <sheet name="Early Prenatal Care" sheetId="273" r:id="rId226"/>
    <sheet name="Early Prenatal Care Late No" sheetId="274" r:id="rId227"/>
    <sheet name="Births RE" sheetId="275" r:id="rId228"/>
    <sheet name="Preg 15-44" sheetId="276" r:id="rId229"/>
    <sheet name="Preg 15-44 RE" sheetId="277" r:id="rId230"/>
    <sheet name="Teen Preg 15-19" sheetId="278" r:id="rId231"/>
    <sheet name="Teen Preg 17 RE" sheetId="279" r:id="rId232"/>
    <sheet name="Live Birth Financ" sheetId="280" r:id="rId233"/>
    <sheet name="Preterm Births" sheetId="281" r:id="rId234"/>
    <sheet name="Low Birthweight Infants" sheetId="282" r:id="rId235"/>
    <sheet name="Low Birthweight Inf RE" sheetId="284" r:id="rId236"/>
    <sheet name="Infant Mort Live" sheetId="285" r:id="rId237"/>
    <sheet name="Breastfed Infants" sheetId="287" r:id="rId238"/>
    <sheet name="Medicaid Enrolles 1 Dental" sheetId="288" r:id="rId239"/>
    <sheet name="All Medicaid Dental" sheetId="289" r:id="rId240"/>
    <sheet name="Cirrhosiis-Mortal" sheetId="290" r:id="rId241"/>
    <sheet name="Coronary HD AAR" sheetId="292" r:id="rId242"/>
    <sheet name="Coronary HD AAR RE" sheetId="293" r:id="rId243"/>
    <sheet name="50-70 BS" sheetId="294" r:id="rId244"/>
    <sheet name="CervCa Screen" sheetId="295" r:id="rId245"/>
    <sheet name="HPV 13" sheetId="296" r:id="rId24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87" l="1"/>
  <c r="B3" i="296"/>
  <c r="B3" i="295"/>
  <c r="B3" i="294"/>
  <c r="B3" i="293"/>
  <c r="B3" i="292"/>
  <c r="H124" i="1"/>
  <c r="B4" i="293" s="1"/>
  <c r="B3" i="290"/>
  <c r="H157" i="1"/>
  <c r="B3" i="289"/>
  <c r="B3" i="288"/>
  <c r="B3" i="287"/>
  <c r="B3" i="285"/>
  <c r="B3" i="284"/>
  <c r="B3" i="282"/>
  <c r="B3" i="281"/>
  <c r="B3" i="280"/>
  <c r="B3" i="279"/>
  <c r="B3" i="278"/>
  <c r="B3" i="277"/>
  <c r="B3" i="276"/>
  <c r="B3" i="275"/>
  <c r="B3" i="274"/>
  <c r="B3" i="273"/>
  <c r="B3" i="272"/>
  <c r="B3" i="271"/>
  <c r="B3" i="270"/>
  <c r="B3" i="269"/>
  <c r="B3" i="268"/>
  <c r="B3" i="267"/>
  <c r="B3" i="266"/>
  <c r="B3" i="265"/>
  <c r="B3" i="264"/>
  <c r="B3" i="263"/>
  <c r="B3" i="262"/>
  <c r="B3" i="261"/>
  <c r="B3" i="260"/>
  <c r="B3" i="259"/>
  <c r="B3" i="258"/>
  <c r="B3" i="257"/>
  <c r="B3" i="256"/>
  <c r="B3" i="255"/>
  <c r="B3" i="254"/>
  <c r="B3" i="253"/>
  <c r="B3" i="252"/>
  <c r="B3" i="251"/>
  <c r="B3" i="250"/>
  <c r="B3" i="249"/>
  <c r="B3" i="248"/>
  <c r="B3" i="247"/>
  <c r="B3" i="246"/>
  <c r="B3" i="245"/>
  <c r="B3" i="244"/>
  <c r="B3" i="243"/>
  <c r="B3" i="242"/>
  <c r="B3" i="241"/>
  <c r="B3" i="240"/>
  <c r="B3" i="239"/>
  <c r="B3" i="238"/>
  <c r="B3" i="237"/>
  <c r="B3" i="236"/>
  <c r="B3" i="235"/>
  <c r="B3" i="233"/>
  <c r="B3" i="232"/>
  <c r="B3" i="231"/>
  <c r="B3" i="230"/>
  <c r="B4" i="229"/>
  <c r="B3" i="229"/>
  <c r="B3" i="44"/>
  <c r="B3" i="228"/>
  <c r="B3" i="227"/>
  <c r="B3" i="226"/>
  <c r="B3" i="225"/>
  <c r="B4" i="224"/>
  <c r="B3" i="224"/>
  <c r="B3" i="223"/>
  <c r="B3" i="222"/>
  <c r="B3" i="221"/>
  <c r="B3" i="220"/>
  <c r="B3" i="219"/>
  <c r="B3" i="218"/>
  <c r="B3" i="217"/>
  <c r="H306" i="1"/>
  <c r="B3" i="216"/>
  <c r="B3" i="215"/>
  <c r="B3" i="214"/>
  <c r="B3" i="213"/>
  <c r="B3" i="212"/>
  <c r="B3" i="211"/>
  <c r="B3" i="210"/>
  <c r="B3" i="209"/>
  <c r="B3" i="208"/>
  <c r="B3" i="207"/>
  <c r="B3" i="206"/>
  <c r="B3" i="205"/>
  <c r="B3" i="204"/>
  <c r="B3" i="203"/>
  <c r="B3" i="202"/>
  <c r="B3" i="201"/>
  <c r="B3" i="200"/>
  <c r="B3" i="199"/>
  <c r="B3" i="198"/>
  <c r="B3" i="197"/>
  <c r="B3" i="196"/>
  <c r="B3" i="195"/>
  <c r="B3" i="194"/>
  <c r="B3" i="79"/>
  <c r="B3" i="193"/>
  <c r="B3" i="192"/>
  <c r="B3" i="191"/>
  <c r="B3" i="190"/>
  <c r="B3" i="189"/>
  <c r="B3" i="188"/>
  <c r="B3" i="187"/>
  <c r="B3" i="186"/>
  <c r="B3" i="185"/>
  <c r="B3" i="184"/>
  <c r="B3" i="182"/>
  <c r="B3" i="181"/>
  <c r="B3" i="180"/>
  <c r="B3" i="179"/>
  <c r="B3" i="178"/>
  <c r="B3" i="177"/>
  <c r="B3" i="176"/>
  <c r="B3" i="175"/>
  <c r="B3" i="174"/>
  <c r="B3" i="173"/>
  <c r="B3" i="172"/>
  <c r="B3" i="170"/>
  <c r="B3" i="169"/>
  <c r="B3" i="168"/>
  <c r="B3" i="167"/>
  <c r="B3" i="166"/>
  <c r="B3" i="165"/>
  <c r="B3" i="164"/>
  <c r="B3" i="163"/>
  <c r="B3" i="162"/>
  <c r="B3" i="161"/>
  <c r="B3" i="160"/>
  <c r="B3" i="159"/>
  <c r="B4" i="157"/>
  <c r="B3" i="157"/>
  <c r="B4" i="156"/>
  <c r="B3" i="156"/>
  <c r="B4" i="155"/>
  <c r="B3" i="155"/>
  <c r="B4" i="154"/>
  <c r="B3" i="154"/>
  <c r="B4" i="153"/>
  <c r="B3" i="153"/>
  <c r="B4" i="152"/>
  <c r="B3" i="152"/>
  <c r="B4" i="151"/>
  <c r="B3" i="151"/>
  <c r="B4" i="150"/>
  <c r="B3" i="150"/>
  <c r="B4" i="149"/>
  <c r="B3" i="149"/>
  <c r="B4" i="148"/>
  <c r="B3" i="148"/>
  <c r="B4" i="147"/>
  <c r="B3" i="147"/>
  <c r="B4" i="146"/>
  <c r="B3" i="146"/>
  <c r="B3" i="145"/>
  <c r="B4" i="143"/>
  <c r="B3" i="143"/>
  <c r="B4" i="142"/>
  <c r="B3" i="142"/>
  <c r="B4" i="141"/>
  <c r="B3" i="141"/>
  <c r="B4" i="140"/>
  <c r="B3" i="140"/>
  <c r="B4" i="137"/>
  <c r="B3" i="137"/>
  <c r="B4" i="136"/>
  <c r="B3" i="136"/>
  <c r="B4" i="135"/>
  <c r="B3" i="135"/>
  <c r="B4" i="134"/>
  <c r="B3" i="134"/>
  <c r="B4" i="133"/>
  <c r="B3" i="133"/>
  <c r="B4" i="132"/>
  <c r="B3" i="132"/>
  <c r="B4" i="131"/>
  <c r="B3" i="131"/>
  <c r="B4" i="130"/>
  <c r="B3" i="130"/>
  <c r="B4" i="129"/>
  <c r="B3" i="129"/>
  <c r="B4" i="128"/>
  <c r="B3" i="128"/>
  <c r="B4" i="127"/>
  <c r="B3" i="127"/>
  <c r="B4" i="126"/>
  <c r="B3" i="126"/>
  <c r="B4" i="125"/>
  <c r="B3" i="125"/>
  <c r="B4" i="124"/>
  <c r="B3" i="124"/>
  <c r="B4" i="123"/>
  <c r="B3" i="123"/>
  <c r="B4" i="122"/>
  <c r="B3" i="122"/>
  <c r="B4" i="121"/>
  <c r="B3" i="121"/>
  <c r="B4" i="120"/>
  <c r="B3" i="120"/>
  <c r="B4" i="119"/>
  <c r="B3" i="119"/>
  <c r="B4" i="118"/>
  <c r="B3" i="118"/>
  <c r="B4" i="117"/>
  <c r="B3" i="117"/>
  <c r="B4" i="116"/>
  <c r="B3" i="116"/>
  <c r="B4" i="115"/>
  <c r="B3" i="115"/>
  <c r="B4" i="114"/>
  <c r="B3" i="114"/>
  <c r="B4" i="113"/>
  <c r="B3" i="113"/>
  <c r="B4" i="112"/>
  <c r="B3" i="112"/>
  <c r="B4" i="111"/>
  <c r="B3" i="111"/>
  <c r="B4" i="110"/>
  <c r="B3" i="110"/>
  <c r="B4" i="109"/>
  <c r="B3" i="109"/>
  <c r="B4" i="108"/>
  <c r="B3" i="108"/>
  <c r="B4" i="107"/>
  <c r="B3" i="107"/>
  <c r="B4" i="105"/>
  <c r="B3" i="105"/>
  <c r="B4" i="104"/>
  <c r="B3" i="104"/>
  <c r="B4" i="103"/>
  <c r="B3" i="103"/>
  <c r="B4" i="102"/>
  <c r="B3" i="102"/>
  <c r="B4" i="101"/>
  <c r="B3" i="101"/>
  <c r="B4" i="100"/>
  <c r="B3" i="100"/>
  <c r="B4" i="99"/>
  <c r="B3" i="99"/>
  <c r="B4" i="98"/>
  <c r="B3" i="98"/>
  <c r="B4" i="97"/>
  <c r="B3" i="97"/>
  <c r="B4" i="95"/>
  <c r="B3" i="95"/>
  <c r="B4" i="94"/>
  <c r="B3" i="94"/>
  <c r="B4" i="93"/>
  <c r="B3" i="93"/>
  <c r="B4" i="92"/>
  <c r="B3" i="92"/>
  <c r="B4" i="91"/>
  <c r="B3" i="91"/>
  <c r="B4" i="90"/>
  <c r="B3" i="90"/>
  <c r="B4" i="89"/>
  <c r="B3" i="89"/>
  <c r="B4" i="88"/>
  <c r="B3" i="88"/>
  <c r="B4" i="87"/>
  <c r="B3" i="87"/>
  <c r="B4" i="86"/>
  <c r="B3" i="86"/>
  <c r="B4" i="85"/>
  <c r="B3" i="85"/>
  <c r="B4" i="84"/>
  <c r="B3" i="84"/>
  <c r="B4" i="83"/>
  <c r="B3" i="83"/>
  <c r="B4" i="82"/>
  <c r="B3" i="82"/>
  <c r="B4" i="81"/>
  <c r="B3" i="81"/>
  <c r="B4" i="79"/>
  <c r="B4" i="77"/>
  <c r="B3" i="77"/>
  <c r="B4" i="74"/>
  <c r="B3" i="74"/>
  <c r="B4" i="73"/>
  <c r="B3" i="73"/>
  <c r="B3" i="72"/>
  <c r="B4" i="72"/>
  <c r="B4" i="71"/>
  <c r="B3" i="71"/>
  <c r="B4" i="70"/>
  <c r="B3" i="70"/>
  <c r="B4" i="61"/>
  <c r="B4" i="69"/>
  <c r="B3" i="69"/>
  <c r="B4" i="68"/>
  <c r="B3" i="68"/>
  <c r="B4" i="67"/>
  <c r="B3" i="67"/>
  <c r="B4" i="66"/>
  <c r="B3" i="66"/>
  <c r="B4" i="65"/>
  <c r="B3" i="65"/>
  <c r="B4" i="64"/>
  <c r="B3" i="64"/>
  <c r="B4" i="63"/>
  <c r="B3" i="63"/>
  <c r="B3" i="61"/>
  <c r="B4" i="60"/>
  <c r="B3" i="60"/>
  <c r="B4" i="59"/>
  <c r="B3" i="59"/>
  <c r="B4" i="58"/>
  <c r="B3" i="58"/>
  <c r="B3" i="57"/>
  <c r="B4" i="55"/>
  <c r="B3" i="55"/>
  <c r="B3" i="4"/>
  <c r="B4" i="56"/>
  <c r="B4" i="4"/>
  <c r="B4" i="3"/>
  <c r="B3" i="56"/>
  <c r="B3" i="3"/>
  <c r="B3" i="54"/>
  <c r="B3" i="53"/>
  <c r="B3" i="52"/>
  <c r="B3" i="51"/>
  <c r="B3" i="50"/>
  <c r="B3" i="49"/>
  <c r="B3" i="48"/>
  <c r="B3" i="47"/>
  <c r="B3" i="46"/>
  <c r="B3" i="43"/>
  <c r="H305" i="1"/>
  <c r="B4" i="214" s="1"/>
  <c r="H304" i="1"/>
  <c r="B4" i="197" s="1"/>
  <c r="H258" i="1"/>
  <c r="B4" i="202" s="1"/>
  <c r="H219" i="1"/>
  <c r="B4" i="275" s="1"/>
  <c r="H228" i="1"/>
  <c r="B4" i="280" s="1"/>
  <c r="H217" i="1"/>
  <c r="B4" i="273" s="1"/>
  <c r="H176" i="1"/>
  <c r="B4" i="258" s="1"/>
  <c r="H151" i="1"/>
  <c r="B4" i="245" s="1"/>
  <c r="H150" i="1"/>
  <c r="B4" i="244" s="1"/>
  <c r="H147" i="1"/>
  <c r="B4" i="243" s="1"/>
  <c r="H145" i="1"/>
  <c r="B4" i="290" s="1"/>
  <c r="H144" i="1"/>
  <c r="B4" i="242" s="1"/>
  <c r="H140" i="1"/>
  <c r="B4" i="240" s="1"/>
  <c r="H129" i="1"/>
  <c r="B4" i="195" s="1"/>
  <c r="H128" i="1"/>
  <c r="B4" i="194" s="1"/>
  <c r="H303" i="1"/>
  <c r="B4" i="57" s="1"/>
  <c r="H284" i="1"/>
  <c r="B4" i="188" s="1"/>
  <c r="H283" i="1"/>
  <c r="B4" i="179" s="1"/>
  <c r="H302" i="1"/>
  <c r="H301" i="1"/>
  <c r="H300" i="1"/>
  <c r="B4" i="185" s="1"/>
  <c r="H299" i="1"/>
  <c r="B4" i="184" s="1"/>
  <c r="B4" i="187" l="1"/>
  <c r="B4" i="241"/>
  <c r="B4" i="186"/>
  <c r="H298" i="1"/>
  <c r="B4" i="180" s="1"/>
  <c r="H297" i="1"/>
  <c r="B4" i="220" s="1"/>
  <c r="H296" i="1"/>
  <c r="B4" i="178" s="1"/>
  <c r="H295" i="1"/>
  <c r="B4" i="174" s="1"/>
  <c r="H294" i="1"/>
  <c r="B4" i="172" s="1"/>
  <c r="H287" i="1" l="1"/>
  <c r="B4" i="190" s="1"/>
  <c r="H293" i="1" l="1"/>
  <c r="B4" i="193" s="1"/>
  <c r="H292" i="1"/>
  <c r="B4" i="192" s="1"/>
  <c r="H291" i="1"/>
  <c r="B4" i="191" s="1"/>
  <c r="H286" i="1"/>
  <c r="B4" i="189" s="1"/>
  <c r="H282" i="1"/>
  <c r="B4" i="181" s="1"/>
  <c r="H281" i="1"/>
  <c r="B4" i="182" s="1"/>
  <c r="H280" i="1"/>
  <c r="H279" i="1"/>
  <c r="H278" i="1"/>
  <c r="H277" i="1"/>
  <c r="H276" i="1"/>
  <c r="H273" i="1"/>
  <c r="B4" i="170" s="1"/>
  <c r="H272" i="1"/>
  <c r="B4" i="213" s="1"/>
  <c r="H271" i="1"/>
  <c r="B4" i="212" s="1"/>
  <c r="H269" i="1"/>
  <c r="B4" i="211" s="1"/>
  <c r="H268" i="1"/>
  <c r="B4" i="210" s="1"/>
  <c r="H267" i="1"/>
  <c r="B4" i="209" s="1"/>
  <c r="H266" i="1"/>
  <c r="B4" i="208" s="1"/>
  <c r="H265" i="1"/>
  <c r="B4" i="207" s="1"/>
  <c r="H264" i="1"/>
  <c r="B4" i="206" s="1"/>
  <c r="H263" i="1"/>
  <c r="B4" i="215" s="1"/>
  <c r="H261" i="1"/>
  <c r="H260" i="1"/>
  <c r="B4" i="204" s="1"/>
  <c r="H259" i="1"/>
  <c r="B4" i="203" s="1"/>
  <c r="H255" i="1"/>
  <c r="B4" i="205" s="1"/>
  <c r="H254" i="1"/>
  <c r="B4" i="201" s="1"/>
  <c r="H253" i="1"/>
  <c r="H252" i="1"/>
  <c r="B4" i="200" s="1"/>
  <c r="H251" i="1"/>
  <c r="H250" i="1"/>
  <c r="B4" i="199" s="1"/>
  <c r="H248" i="1"/>
  <c r="B4" i="198" s="1"/>
  <c r="H247" i="1"/>
  <c r="H245" i="1"/>
  <c r="B4" i="289" s="1"/>
  <c r="H244" i="1"/>
  <c r="B4" i="288" s="1"/>
  <c r="H238" i="1"/>
  <c r="H237" i="1"/>
  <c r="B4" i="285" s="1"/>
  <c r="H235" i="1"/>
  <c r="H234" i="1"/>
  <c r="H232" i="1"/>
  <c r="H230" i="1"/>
  <c r="H227" i="1"/>
  <c r="B4" i="279" s="1"/>
  <c r="H226" i="1"/>
  <c r="H222" i="1"/>
  <c r="B4" i="277" s="1"/>
  <c r="H221" i="1"/>
  <c r="H218" i="1"/>
  <c r="B4" i="274" s="1"/>
  <c r="H216" i="1"/>
  <c r="H215" i="1"/>
  <c r="B4" i="272" s="1"/>
  <c r="H214" i="1"/>
  <c r="H213" i="1"/>
  <c r="H210" i="1"/>
  <c r="B4" i="269" s="1"/>
  <c r="H208" i="1"/>
  <c r="B4" i="268" s="1"/>
  <c r="H206" i="1"/>
  <c r="B4" i="267" s="1"/>
  <c r="H203" i="1"/>
  <c r="H200" i="1"/>
  <c r="H188" i="1"/>
  <c r="H182" i="1"/>
  <c r="H180" i="1"/>
  <c r="H179" i="1"/>
  <c r="H178" i="1"/>
  <c r="B4" i="260" s="1"/>
  <c r="H177" i="1"/>
  <c r="H165" i="1"/>
  <c r="B4" i="257" s="1"/>
  <c r="H163" i="1"/>
  <c r="B4" i="295" s="1"/>
  <c r="H162" i="1"/>
  <c r="H161" i="1"/>
  <c r="B4" i="294" s="1"/>
  <c r="H160" i="1"/>
  <c r="H159" i="1"/>
  <c r="H158" i="1"/>
  <c r="B4" i="250"/>
  <c r="H156" i="1"/>
  <c r="B4" i="249" s="1"/>
  <c r="H155" i="1"/>
  <c r="H154" i="1"/>
  <c r="B4" i="248" s="1"/>
  <c r="H153" i="1"/>
  <c r="B4" i="247" s="1"/>
  <c r="H152" i="1"/>
  <c r="B4" i="246" s="1"/>
  <c r="H139" i="1"/>
  <c r="B4" i="239" s="1"/>
  <c r="H138" i="1"/>
  <c r="B4" i="238" s="1"/>
  <c r="H137" i="1"/>
  <c r="B4" i="237" s="1"/>
  <c r="H135" i="1"/>
  <c r="B4" i="236" s="1"/>
  <c r="H134" i="1"/>
  <c r="B4" i="235" s="1"/>
  <c r="H133" i="1"/>
  <c r="B4" i="231" s="1"/>
  <c r="H132" i="1"/>
  <c r="H130" i="1"/>
  <c r="H126" i="1"/>
  <c r="B4" i="196" s="1"/>
  <c r="H104" i="1"/>
  <c r="B4" i="145" s="1"/>
  <c r="H105" i="1"/>
  <c r="B4" i="159" s="1"/>
  <c r="H106" i="1"/>
  <c r="B4" i="160" s="1"/>
  <c r="H107" i="1"/>
  <c r="B4" i="161" s="1"/>
  <c r="H108" i="1"/>
  <c r="B4" i="221" s="1"/>
  <c r="H109" i="1"/>
  <c r="B4" i="162" s="1"/>
  <c r="H110" i="1"/>
  <c r="B4" i="222" s="1"/>
  <c r="H112" i="1"/>
  <c r="B4" i="164" s="1"/>
  <c r="H113" i="1"/>
  <c r="B4" i="165" s="1"/>
  <c r="H114" i="1"/>
  <c r="B4" i="166" s="1"/>
  <c r="H115" i="1"/>
  <c r="H116" i="1"/>
  <c r="B4" i="223" s="1"/>
  <c r="H117" i="1"/>
  <c r="B4" i="169" s="1"/>
  <c r="H118" i="1"/>
  <c r="H119" i="1"/>
  <c r="B4" i="225" s="1"/>
  <c r="H120" i="1"/>
  <c r="B4" i="226" s="1"/>
  <c r="H121" i="1"/>
  <c r="B4" i="227" s="1"/>
  <c r="H122" i="1"/>
  <c r="B4" i="228" s="1"/>
  <c r="H123" i="1"/>
  <c r="B4" i="292" s="1"/>
  <c r="H125" i="1"/>
  <c r="B4" i="230" s="1"/>
  <c r="H111" i="1"/>
  <c r="B4" i="163" s="1"/>
  <c r="B4" i="259" l="1"/>
  <c r="B4" i="296"/>
  <c r="B4" i="284"/>
  <c r="B4" i="287"/>
  <c r="B4" i="281"/>
  <c r="B4" i="282"/>
  <c r="B4" i="276"/>
  <c r="B4" i="278"/>
  <c r="B4" i="270"/>
  <c r="B4" i="271"/>
  <c r="B4" i="265"/>
  <c r="B4" i="266"/>
  <c r="B4" i="263"/>
  <c r="B4" i="264"/>
  <c r="B4" i="261"/>
  <c r="B4" i="262"/>
  <c r="B4" i="255"/>
  <c r="B4" i="256"/>
  <c r="B4" i="253"/>
  <c r="B4" i="254"/>
  <c r="B4" i="177"/>
  <c r="B4" i="219"/>
  <c r="B4" i="176"/>
  <c r="B4" i="218"/>
  <c r="B4" i="252"/>
  <c r="B4" i="251"/>
  <c r="B4" i="233"/>
  <c r="B4" i="232"/>
  <c r="B4" i="173"/>
  <c r="B4" i="217"/>
  <c r="B4" i="175"/>
  <c r="B4" i="216"/>
  <c r="B4" i="167"/>
  <c r="B4" i="168"/>
</calcChain>
</file>

<file path=xl/sharedStrings.xml><?xml version="1.0" encoding="utf-8"?>
<sst xmlns="http://schemas.openxmlformats.org/spreadsheetml/2006/main" count="14895" uniqueCount="2174">
  <si>
    <t>Activate/Deactivate</t>
  </si>
  <si>
    <t>Count</t>
  </si>
  <si>
    <t>Object_Type</t>
  </si>
  <si>
    <t>Old         F or T #</t>
  </si>
  <si>
    <t>Indicator Name</t>
  </si>
  <si>
    <t>Object ID</t>
  </si>
  <si>
    <t>Figure ID</t>
  </si>
  <si>
    <t>Our Data Source</t>
  </si>
  <si>
    <t xml:space="preserve">Table # </t>
  </si>
  <si>
    <t>Primary Data Source</t>
  </si>
  <si>
    <t>County Assigned</t>
  </si>
  <si>
    <t>Activate</t>
  </si>
  <si>
    <t>Table</t>
  </si>
  <si>
    <t>T1</t>
  </si>
  <si>
    <t>Population Demographic Characteristics, 2023</t>
  </si>
  <si>
    <t>tbl-population-demographics</t>
  </si>
  <si>
    <t>US Census ACS 5-Year</t>
  </si>
  <si>
    <t>Table S0101</t>
  </si>
  <si>
    <t>Orange</t>
  </si>
  <si>
    <t>T2</t>
  </si>
  <si>
    <t>Population by Sex, 2023</t>
  </si>
  <si>
    <t>tbl-sex</t>
  </si>
  <si>
    <t>T3</t>
  </si>
  <si>
    <t>Population by Age, 2023</t>
  </si>
  <si>
    <t>T4</t>
  </si>
  <si>
    <t>Population by Ethnicity, 2023</t>
  </si>
  <si>
    <t>tbl-ethnicity</t>
  </si>
  <si>
    <t>Table B03002</t>
  </si>
  <si>
    <t>T5</t>
  </si>
  <si>
    <t>Population by Race, 2023</t>
  </si>
  <si>
    <t>tbl-race</t>
  </si>
  <si>
    <t>T6</t>
  </si>
  <si>
    <t>Population by Spoken Language, 2023</t>
  </si>
  <si>
    <t>tbl-language</t>
  </si>
  <si>
    <t>Table S1601</t>
  </si>
  <si>
    <t>T7</t>
  </si>
  <si>
    <t>Population 25 Years and Older, 2023</t>
  </si>
  <si>
    <t>tbl-pop-25</t>
  </si>
  <si>
    <t>Table S1501</t>
  </si>
  <si>
    <t>T8</t>
  </si>
  <si>
    <t>Population by Educational Attainment, 2023</t>
  </si>
  <si>
    <t>T9</t>
  </si>
  <si>
    <t>Total Households, 2023</t>
  </si>
  <si>
    <t>tbl-households</t>
  </si>
  <si>
    <t>Table S1901</t>
  </si>
  <si>
    <t>T10</t>
  </si>
  <si>
    <t>Households by Income, 2023</t>
  </si>
  <si>
    <t>tbl-income</t>
  </si>
  <si>
    <t>T11</t>
  </si>
  <si>
    <t>Population by Veteran Status, 2023</t>
  </si>
  <si>
    <t>tbl-veteran</t>
  </si>
  <si>
    <t>Table S2101</t>
  </si>
  <si>
    <t>T12</t>
  </si>
  <si>
    <t>Percentage of Population by Type of Disability, 2023</t>
  </si>
  <si>
    <t>tbl-disability</t>
  </si>
  <si>
    <t>Table S1810</t>
  </si>
  <si>
    <t>Figure</t>
  </si>
  <si>
    <t>F1</t>
  </si>
  <si>
    <t>Percentage in Labor Force, Population 16 Years and Older, 2021–2023</t>
  </si>
  <si>
    <t>tbl-labor-force</t>
  </si>
  <si>
    <t>fig-labor-force</t>
  </si>
  <si>
    <t>Table DP03</t>
  </si>
  <si>
    <t>F2</t>
  </si>
  <si>
    <t xml:space="preserve">Percentage of Population Unemployed, 16 Years and Older, 2021-2023   </t>
  </si>
  <si>
    <t>tbl-unemployed</t>
  </si>
  <si>
    <t>fig-unemployed</t>
  </si>
  <si>
    <t>F3</t>
  </si>
  <si>
    <t>Percentage of Overall Food Insecurity, 2020–2023</t>
  </si>
  <si>
    <t>tbl-food-insecurity</t>
  </si>
  <si>
    <t>fig-food-insecurity</t>
  </si>
  <si>
    <t>Feeding America</t>
  </si>
  <si>
    <t>F4</t>
  </si>
  <si>
    <t>Percentage of Food Insecurty, Children 18 Years and Younger, 2020–2023</t>
  </si>
  <si>
    <t>fig-childhood-food-insecurity</t>
  </si>
  <si>
    <t>F5</t>
  </si>
  <si>
    <t>Percentage of Cost Burdened Renter Occupied Units, 2021–2023</t>
  </si>
  <si>
    <t>tbl-cost-burdened-renters</t>
  </si>
  <si>
    <t>fig-cost-burdened-renters</t>
  </si>
  <si>
    <t>Table DP04</t>
  </si>
  <si>
    <t>F6</t>
  </si>
  <si>
    <t>Percentage of Severely Cost Burdened Households, 2016–2023</t>
  </si>
  <si>
    <t>tbl-severely-cost-burdened</t>
  </si>
  <si>
    <t>fig-severely-cost-burdened</t>
  </si>
  <si>
    <t>County Health Rankings and Roadmaps</t>
  </si>
  <si>
    <t>T13</t>
  </si>
  <si>
    <t>Number of people living in HUD-Subsidized Housing in the Past 12 Months, 2021–2024</t>
  </si>
  <si>
    <t>tbl-hud-housing</t>
  </si>
  <si>
    <t xml:space="preserve"> </t>
  </si>
  <si>
    <t>US Department of Housing and Urban Development</t>
  </si>
  <si>
    <t>T14</t>
  </si>
  <si>
    <t>Poverty Threshold for 2024 by Size of Family and Number of Related Children 18 Years and Younger</t>
  </si>
  <si>
    <t>tbl-poverty-threshold</t>
  </si>
  <si>
    <t xml:space="preserve">US Census </t>
  </si>
  <si>
    <t>F7</t>
  </si>
  <si>
    <t>Percentage of Population in Poverty, 2021–2023</t>
  </si>
  <si>
    <t>tbl-poverty-rate</t>
  </si>
  <si>
    <t>fig-poverty-rate</t>
  </si>
  <si>
    <t>Table S1701</t>
  </si>
  <si>
    <t>F8</t>
  </si>
  <si>
    <t>Percentage of Families below Poverty by Race and Ethnicity, 2018–2022</t>
  </si>
  <si>
    <t>tbl-poverty-by-race</t>
  </si>
  <si>
    <t>fig-poverty-by-race</t>
  </si>
  <si>
    <t>NYS County Health Indicators by Race/Ethnicity (CHIRE)</t>
  </si>
  <si>
    <t>US Census SAIPE</t>
  </si>
  <si>
    <t>F9</t>
  </si>
  <si>
    <t xml:space="preserve">Enrollment Rate of Economically Disadvantaged Students, 2021-2023  </t>
  </si>
  <si>
    <t>tbl-economically-disadvantaged</t>
  </si>
  <si>
    <t>fig-economically-disadvantaged</t>
  </si>
  <si>
    <t>NYS Education Department</t>
  </si>
  <si>
    <t>T15</t>
  </si>
  <si>
    <t>ALICE Household Survival Budget, New York State, 2023</t>
  </si>
  <si>
    <t>tbl-alice-budget</t>
  </si>
  <si>
    <t>United for ALICE</t>
  </si>
  <si>
    <t>F10</t>
  </si>
  <si>
    <t>ALICE Threshold Percentage, 2023</t>
  </si>
  <si>
    <t>tbl-alice-threshold</t>
  </si>
  <si>
    <t>fig-alice-threshold</t>
  </si>
  <si>
    <t>F11</t>
  </si>
  <si>
    <t>High School Graduation Rate, 2021-2023</t>
  </si>
  <si>
    <t>tbl-graduation-rate</t>
  </si>
  <si>
    <t>fig-graduation-rate</t>
  </si>
  <si>
    <t>F12</t>
  </si>
  <si>
    <t>High School Graduation Rate, by Race and Ethnicity, 2023</t>
  </si>
  <si>
    <t>tbl-graduation-by-race</t>
  </si>
  <si>
    <t>fig-graduation-by-race</t>
  </si>
  <si>
    <t>F 13</t>
  </si>
  <si>
    <t>Rate of Higher Education Attainment, 2023</t>
  </si>
  <si>
    <t>tbl-educational-attainment</t>
  </si>
  <si>
    <t>fig-educational-attainment</t>
  </si>
  <si>
    <t>F 14</t>
  </si>
  <si>
    <t>Percentage of Population that Speaks English "Less Than Very Well", 5 Years and Older, 2021–2023</t>
  </si>
  <si>
    <t>tbl-language-proficiency</t>
  </si>
  <si>
    <t>fig-language-proficiency</t>
  </si>
  <si>
    <t>F15</t>
  </si>
  <si>
    <t>Percentage of Disconnected Youth, 16–19 Years Old, 2014–2023</t>
  </si>
  <si>
    <t>tbl-disconnected-youth</t>
  </si>
  <si>
    <t>fig-disconnected-youth</t>
  </si>
  <si>
    <t>F16</t>
  </si>
  <si>
    <t>Index Score of Residential Segregation, 2013–2023</t>
  </si>
  <si>
    <t>tbl-residential-segregation</t>
  </si>
  <si>
    <t>fig-residential-segregation</t>
  </si>
  <si>
    <t>F17</t>
  </si>
  <si>
    <t>Percentage of Adults Who Did Not Receive Medical Care Due to Cost,  2016, 2018, and 2021</t>
  </si>
  <si>
    <t>fig-medical-care-cost</t>
  </si>
  <si>
    <t xml:space="preserve">NYS Behavioral Risk Factor Surveillance System (BRFSS) </t>
  </si>
  <si>
    <t>F18</t>
  </si>
  <si>
    <t>Percentage of Children Without Health Insurance, 2020–2023</t>
  </si>
  <si>
    <t>tbl-children-uninsured</t>
  </si>
  <si>
    <t>fig-children-uninsured</t>
  </si>
  <si>
    <t>F19</t>
  </si>
  <si>
    <t>Percentage of Adults with Health Insurance, 2020–2023</t>
  </si>
  <si>
    <t>T16</t>
  </si>
  <si>
    <t>Medically Underserved Areas and Populations</t>
  </si>
  <si>
    <t>tbl-medically-underserved</t>
  </si>
  <si>
    <t>HRSA</t>
  </si>
  <si>
    <t>Data Warehouse</t>
  </si>
  <si>
    <t>F20</t>
  </si>
  <si>
    <t>Ratio of Residents to Primary Care Providers, 2019–2022</t>
  </si>
  <si>
    <t>tbl-primary-care-providers</t>
  </si>
  <si>
    <t>fig-primary-care-providers</t>
  </si>
  <si>
    <t>F21</t>
  </si>
  <si>
    <t>Ratio of Residents to Dentists, 2019–2022</t>
  </si>
  <si>
    <t>tbl-dentists</t>
  </si>
  <si>
    <t>fig-dentists</t>
  </si>
  <si>
    <t>F22</t>
  </si>
  <si>
    <t>Ratio of Residents to Mental Health Providers, 2021–2024</t>
  </si>
  <si>
    <t>tbl-mental-health-providers</t>
  </si>
  <si>
    <t>fig-mental-health-providers</t>
  </si>
  <si>
    <t xml:space="preserve">National Provider Identification Registry, Center for Medicaid and Medicare Services </t>
  </si>
  <si>
    <t>F23</t>
  </si>
  <si>
    <t>Percentage of Adults Who Have a Regular Health Care Provider, 2016, 2018, and 2021</t>
  </si>
  <si>
    <t>fig-access-to-primary-care</t>
  </si>
  <si>
    <t>NYS Community Health Indicator Reports (CHIRS)</t>
  </si>
  <si>
    <t>F24</t>
  </si>
  <si>
    <t>Potentially Preventable Hospitalizations, Age-Adjusted Rate per 10,000 Population, 2020–2022 </t>
  </si>
  <si>
    <t>NY Statewide Planning and Research Cooperative System</t>
  </si>
  <si>
    <t>F25</t>
  </si>
  <si>
    <t>Potentially Preventable Hospitalizations, Rate Difference Between Black Non-Hispanics and White Non-Hispanics, 2016–2022</t>
  </si>
  <si>
    <t xml:space="preserve">NYS Prevention Agenda Tracking Dashboard </t>
  </si>
  <si>
    <t>F26</t>
  </si>
  <si>
    <t>Potentially Preventable Hospitalizations, Rate Difference Between Hispanics and White Non-Hispanics, 2016–2022</t>
  </si>
  <si>
    <t>F27</t>
  </si>
  <si>
    <t>Index of Factors that Contribute to a Healthy Food Environment, 2018, 2019, and 2022</t>
  </si>
  <si>
    <t>US Department of Agriculture</t>
  </si>
  <si>
    <t>F28</t>
  </si>
  <si>
    <t>Percentage of Population with Limited Access to Healthy Foods, 2015 and 2019</t>
  </si>
  <si>
    <t>tbl-limited-healthy-foods</t>
  </si>
  <si>
    <t>fig-limited-healthy-foods</t>
  </si>
  <si>
    <t>F29</t>
  </si>
  <si>
    <t>Violent Crimes, Rate per 100,000 Population, 2018–2021</t>
  </si>
  <si>
    <t>NYS Division of Criminal Justice Services</t>
  </si>
  <si>
    <t>F30</t>
  </si>
  <si>
    <t>Average Daily Density of Fine Particulate Matter, 2014, 2016, 2018, and 2020</t>
  </si>
  <si>
    <t>tbl-density-matter</t>
  </si>
  <si>
    <t>fig-density-matter</t>
  </si>
  <si>
    <t xml:space="preserve">Environmental Public Health Tracking Network </t>
  </si>
  <si>
    <t>F31</t>
  </si>
  <si>
    <t>Percentage of Children Tested for Lead Before 36 Months of Age, 2013, 2016, 2017, and 2019</t>
  </si>
  <si>
    <t>tbl-lead-children</t>
  </si>
  <si>
    <t>fig-lead-children</t>
  </si>
  <si>
    <t xml:space="preserve">NYS Child Health Lead Poisoning Prevention Program </t>
  </si>
  <si>
    <t>F32</t>
  </si>
  <si>
    <t>Percentage of Households with Severe Housing Problems, 2017–2021</t>
  </si>
  <si>
    <t>F33</t>
  </si>
  <si>
    <t>Percentage of Households with No Vehicles Available, 2021–2023</t>
  </si>
  <si>
    <t>F34</t>
  </si>
  <si>
    <t>Percentage of Workers by Mode of Transportation to Work, 2023</t>
  </si>
  <si>
    <t>tbl-mode-to-work</t>
  </si>
  <si>
    <t>fig-mode-to-work</t>
  </si>
  <si>
    <t>Table B08141</t>
  </si>
  <si>
    <t>F35</t>
  </si>
  <si>
    <t>Mean Travel Time to Work, 2021–2023</t>
  </si>
  <si>
    <t>tbl-mean-time-work</t>
  </si>
  <si>
    <t>fig-mean-time-work</t>
  </si>
  <si>
    <t>F36</t>
  </si>
  <si>
    <t>Top Rated Issues That Affect Health in Dutchess County (n = 109)</t>
  </si>
  <si>
    <t>tbl-DC-affect-health</t>
  </si>
  <si>
    <t>fig-DC-affect-health</t>
  </si>
  <si>
    <t xml:space="preserve">Community Partner Survey </t>
  </si>
  <si>
    <t>Community Partner Survey</t>
  </si>
  <si>
    <t>Dutchess</t>
  </si>
  <si>
    <t>F37</t>
  </si>
  <si>
    <t>Top Rated Barriers to Achieving Better Health in Dutchess County (n = 109)</t>
  </si>
  <si>
    <t>tbl-DC-achieve-health</t>
  </si>
  <si>
    <t>fig-DC-achieve-health</t>
  </si>
  <si>
    <t>F38</t>
  </si>
  <si>
    <t>The Impact of Health Issues in Dutchess County (n = 106)</t>
  </si>
  <si>
    <t>tbl-DC-impact-hlth-issue</t>
  </si>
  <si>
    <t>fig-DC-impact-hlth-issue</t>
  </si>
  <si>
    <t>F39</t>
  </si>
  <si>
    <t>The Impact of the Social Determinants of Health in Dutchess County (n = 103)</t>
  </si>
  <si>
    <t>tbl-DC-impact-sdoh</t>
  </si>
  <si>
    <t>fig-DC-impact-sdoh</t>
  </si>
  <si>
    <t>F40</t>
  </si>
  <si>
    <t>The Impact of Economic Wellbeing in Dutchess County (n = 103)</t>
  </si>
  <si>
    <t>tbl-DC-eco-wellbeing</t>
  </si>
  <si>
    <t>fig-DC-eco-wellbeing</t>
  </si>
  <si>
    <t>F41</t>
  </si>
  <si>
    <t>The Impact of Mental Wellbeing &amp; Substance Use in Dutchess County (n = 101)</t>
  </si>
  <si>
    <t>tbl-DC-impact-mhsu</t>
  </si>
  <si>
    <t>fig-DC-impact-mhsu</t>
  </si>
  <si>
    <t>F42</t>
  </si>
  <si>
    <t>The Impact of Health Insurance Coverage &amp; Access to Care in Dutchess County (n = 100)</t>
  </si>
  <si>
    <t>tbl-DC-impact-hlthinsur-access</t>
  </si>
  <si>
    <t>fig-DC-impact-hlthinsur-access</t>
  </si>
  <si>
    <t>F43</t>
  </si>
  <si>
    <t>Top Rated Issues That Affect Health in Orange County (n = 170)</t>
  </si>
  <si>
    <t>tbl-OC-affect-health</t>
  </si>
  <si>
    <t>fig-OC-affect-health</t>
  </si>
  <si>
    <t>F44</t>
  </si>
  <si>
    <t>Top Rated Barriers to Achieving Better Health in Orange County (n = 170)</t>
  </si>
  <si>
    <t>tbl-OC-achieve-health</t>
  </si>
  <si>
    <t>fig-OC-achieve-health</t>
  </si>
  <si>
    <t>F45</t>
  </si>
  <si>
    <t>The Impact of Health Issues in Orange County (n = 163)</t>
  </si>
  <si>
    <t>tbl-OC-impact-hlth-issue</t>
  </si>
  <si>
    <t>fig-OC-impact-hlth-issue</t>
  </si>
  <si>
    <t>F46</t>
  </si>
  <si>
    <t>The Impact of the Social Determinants of Health in Orange County (n = 160)</t>
  </si>
  <si>
    <t>tbl-OC-impact-sdoh</t>
  </si>
  <si>
    <t>fig-OC-impact-sdoh</t>
  </si>
  <si>
    <t>F47</t>
  </si>
  <si>
    <t>The Impact of Economic Wellbeing in Orange County (n = 159)</t>
  </si>
  <si>
    <t>tbl-OC-eco-wellbeing</t>
  </si>
  <si>
    <t>fig-OC-eco-wellbeing</t>
  </si>
  <si>
    <t>F48</t>
  </si>
  <si>
    <t>The Impact of Mental Wellbeing &amp; Substance Use in Orange County (n = 157)</t>
  </si>
  <si>
    <t>tbl-OC-impact-mhsu</t>
  </si>
  <si>
    <t>fig-OC-impact-mhsu</t>
  </si>
  <si>
    <t>F49</t>
  </si>
  <si>
    <t>The Impact of Health Insurance Coverage &amp; Access to Care in Orange County (n = 156)</t>
  </si>
  <si>
    <t>tbl-OC-impact-hlthinsur-access</t>
  </si>
  <si>
    <t>fig-OC-impact-hlthinsur-access</t>
  </si>
  <si>
    <t>F50</t>
  </si>
  <si>
    <t>Biggest Health Problems in Populations Served, Putnam County (n = 128)</t>
  </si>
  <si>
    <t>tbl-PC-big-hlth-prob</t>
  </si>
  <si>
    <t>fig-PC-big-hlth-prob</t>
  </si>
  <si>
    <t>F51</t>
  </si>
  <si>
    <t>Most Helpful to Improve Health in Populations Served, Putnam County (n = 128)</t>
  </si>
  <si>
    <t>tbl-PC-help-improve-hlth</t>
  </si>
  <si>
    <t>fig-PC-help-improve-hlth</t>
  </si>
  <si>
    <t>F52</t>
  </si>
  <si>
    <t>tbl-PC-help-hlth-screen-education</t>
  </si>
  <si>
    <t>fig-PC-help-hlth-screen-education</t>
  </si>
  <si>
    <t>F53</t>
  </si>
  <si>
    <t>Reasons Populations Served Can't Get Needed Healthcare, Putnam County (n = 99)</t>
  </si>
  <si>
    <t>tbl-PC-reason-no-hlthcare</t>
  </si>
  <si>
    <t>fig-PC-reason-no-hlthcare</t>
  </si>
  <si>
    <t>F54</t>
  </si>
  <si>
    <t>Trusted Sources of Health Information for Populations Served, Putnam County (n = 128)</t>
  </si>
  <si>
    <t>tbl-PC-trust-hlth-source</t>
  </si>
  <si>
    <t>fig-PC-trust-hlth-source</t>
  </si>
  <si>
    <t>F55</t>
  </si>
  <si>
    <t>Top Rated Issues That Affect Health in Rockland County (n = 135)</t>
  </si>
  <si>
    <t>tbl-RC-affect-health</t>
  </si>
  <si>
    <t>fig-RC-affect-health</t>
  </si>
  <si>
    <t>F56</t>
  </si>
  <si>
    <t>Top Rated Barriers to Achieving Better Health in Rockland County (n = 135)</t>
  </si>
  <si>
    <t>tbl-RC-achieve-health</t>
  </si>
  <si>
    <t>fig-RC-achieve-health</t>
  </si>
  <si>
    <t>F57</t>
  </si>
  <si>
    <t>The Impact of Health Issues in Rockland County (n = 132)</t>
  </si>
  <si>
    <t>tbl-RC-impact-hlth-issue</t>
  </si>
  <si>
    <t>fig-RC-impact-hlth-issue</t>
  </si>
  <si>
    <t>F58</t>
  </si>
  <si>
    <t>The Impact of the Social Determinants of Health in Rockland County (n = 128)</t>
  </si>
  <si>
    <t>tbl-RC-impact-sdoh</t>
  </si>
  <si>
    <t>fig-RC-impact-sdoh</t>
  </si>
  <si>
    <t>F59</t>
  </si>
  <si>
    <t>The Impact of Economic Wellbeing in Rockland County (n = 127)</t>
  </si>
  <si>
    <t>tbl-RC-eco-wellbeing</t>
  </si>
  <si>
    <t>fig-RC-eco-wellbeing</t>
  </si>
  <si>
    <t>F60</t>
  </si>
  <si>
    <t>The Impact of Mental Wellbeing &amp; Substance Use in Rockland County (n = 125)</t>
  </si>
  <si>
    <t>tbl-RC-impact-mhsu</t>
  </si>
  <si>
    <t>fig-RC-impact-mhsu</t>
  </si>
  <si>
    <t>F61</t>
  </si>
  <si>
    <t>The Impact of Health Insurance Coverage &amp; Access to Care in Rockland County (n = 124)</t>
  </si>
  <si>
    <t>tbl-RC-impact-hlthinsur-access</t>
  </si>
  <si>
    <t>fig-RC-impact-hlthinsur-access</t>
  </si>
  <si>
    <t>F62</t>
  </si>
  <si>
    <t>Top Rated Issues That Affect Health in Sullivan County (n = 102)</t>
  </si>
  <si>
    <t>tbl-SC-affect-health</t>
  </si>
  <si>
    <t>fig-SC-affect-health</t>
  </si>
  <si>
    <t>F63</t>
  </si>
  <si>
    <t>Top Rated Barriers to Achieving Better Health in Sullivan County (n = 102)</t>
  </si>
  <si>
    <t>tbl-SC-achieve-health</t>
  </si>
  <si>
    <t>fig-SC-achieve-health</t>
  </si>
  <si>
    <t>F64</t>
  </si>
  <si>
    <t>The Impact of Health Issues in Sullivan County (n = 98)</t>
  </si>
  <si>
    <t>tbl-SC-impact-hlth-issue</t>
  </si>
  <si>
    <t>fig-SC-impact-hlth-issue</t>
  </si>
  <si>
    <t>F65</t>
  </si>
  <si>
    <t>The Impact of the Social Determinants of Health in Sullivan County (n = 96)</t>
  </si>
  <si>
    <t>tbl-SC-impact-sdoh</t>
  </si>
  <si>
    <t>fig-SC-impact-sdoh</t>
  </si>
  <si>
    <t>F66</t>
  </si>
  <si>
    <t>The Impact of Economic Wellbeing in Sullivan County (n = 95)</t>
  </si>
  <si>
    <t>tbl-SC-eco-wellbeing</t>
  </si>
  <si>
    <t>fig-SC-eco-wellbeing</t>
  </si>
  <si>
    <t>F67</t>
  </si>
  <si>
    <t>The Impact of Mental Wellbeing &amp; Substance Use in Sullivan County (n = 93)</t>
  </si>
  <si>
    <t>tbl-SC-impact-mhsu</t>
  </si>
  <si>
    <t>fig-SC-impact-mhsu</t>
  </si>
  <si>
    <t>F68</t>
  </si>
  <si>
    <t>The Impact of Health Insurance Coverage &amp; Access to Care in Sullivan County (n = 92)</t>
  </si>
  <si>
    <t>tbl-SC-impact-hlthinsur-access</t>
  </si>
  <si>
    <t>fig-SC-impact-hlthinsur-access</t>
  </si>
  <si>
    <t>F69</t>
  </si>
  <si>
    <t>Top Rated Issues That Affect Health in Ulster County (n = 73)</t>
  </si>
  <si>
    <t>tbl-UC-affect-health</t>
  </si>
  <si>
    <t>fig-UC-affect-health</t>
  </si>
  <si>
    <t>F70</t>
  </si>
  <si>
    <t>Top Rated Barriers to Achieving Better Health in Ulster County (n = 73)</t>
  </si>
  <si>
    <t>tbl-UC-achieve-health</t>
  </si>
  <si>
    <t>fig-UC-achieve-health</t>
  </si>
  <si>
    <t>F71</t>
  </si>
  <si>
    <t>The Impact of Health Issues in Ulster County (n = 73)</t>
  </si>
  <si>
    <t>tbl-UC-impact-hlth-issue</t>
  </si>
  <si>
    <t>fig-UC-impact-hlth-issue</t>
  </si>
  <si>
    <t>F72</t>
  </si>
  <si>
    <t>The Impact of the Social Determinants of Health in Ulster County (n = 70)</t>
  </si>
  <si>
    <t>tbl-UC-impact-sdoh</t>
  </si>
  <si>
    <t>fig-UC-impact-sdoh</t>
  </si>
  <si>
    <t>F73</t>
  </si>
  <si>
    <t>The Impact of Economic Wellbeing in Ulster County (n = 69)</t>
  </si>
  <si>
    <t>tbl-UC-eco-wellbeing</t>
  </si>
  <si>
    <t>fig-UC-eco-wellbeing</t>
  </si>
  <si>
    <t>F74</t>
  </si>
  <si>
    <t>The Impact of Mental Wellbeing &amp; Substance Use in Ulster County (n = 67)</t>
  </si>
  <si>
    <t>tbl-UC-impact-mhsu</t>
  </si>
  <si>
    <t>fig-UC-impact-mhsu</t>
  </si>
  <si>
    <t>F75</t>
  </si>
  <si>
    <t>The Impact of Health Insurance Coverage &amp; Access to Care in Ulster County (n = 66)</t>
  </si>
  <si>
    <t>tbl-UC-impact-hlthinsur-access</t>
  </si>
  <si>
    <t>fig-UC-impact-hlthinsur-access</t>
  </si>
  <si>
    <t>F76</t>
  </si>
  <si>
    <t>Top Rated Issues That Affect Health in Westchester County (n = 40)</t>
  </si>
  <si>
    <t>tbl-WC-affect-health</t>
  </si>
  <si>
    <t>fig-WC-affect-health</t>
  </si>
  <si>
    <t>F77</t>
  </si>
  <si>
    <t>Top Rated Barriers to Achieving Better Health in Westchester County (n = 40)</t>
  </si>
  <si>
    <t>tbl-WC-achieve-health</t>
  </si>
  <si>
    <t>fig-WC-achieve-health</t>
  </si>
  <si>
    <t>F78</t>
  </si>
  <si>
    <t>The Impact of Health Issues in Westchester County (n = 39)</t>
  </si>
  <si>
    <t>tbl-WC-impact-hlth-issue</t>
  </si>
  <si>
    <t>fig-WC-impact-hlth-issue</t>
  </si>
  <si>
    <t>F79</t>
  </si>
  <si>
    <t>The Impact of the Social Determinants of Health in Westchester County (n = 38)</t>
  </si>
  <si>
    <t>tbl-WC-impact-sdoh</t>
  </si>
  <si>
    <t>fig-WC-impact-sdoh</t>
  </si>
  <si>
    <t>F80</t>
  </si>
  <si>
    <t>The Impact of Economic Wellbeing in Westchester County (n = 37)</t>
  </si>
  <si>
    <t>tbl-WC-eco-wellbeing</t>
  </si>
  <si>
    <t>fig-WC-eco-wellbeing</t>
  </si>
  <si>
    <t>F81</t>
  </si>
  <si>
    <t>The Impact of Mental Wellbeing &amp; Substance Use in Westchester County (n = 35)</t>
  </si>
  <si>
    <t>tbl-WC-impact-mhsu</t>
  </si>
  <si>
    <t>fig-WC-impact-mhsu</t>
  </si>
  <si>
    <t>F82</t>
  </si>
  <si>
    <t>The Impact of Health Insurance Coverage &amp; Access to Care in Westchester County (n = 35)</t>
  </si>
  <si>
    <t>tbl-WC-impact-hlthinsur-access</t>
  </si>
  <si>
    <t>fig-WC-impact-hlthinsur-access</t>
  </si>
  <si>
    <t>F83</t>
  </si>
  <si>
    <t>Percentage of Adults Who Participated in Leisure Time Physical Activity in the Past 30 Days, 2016, 2018, and 2021</t>
  </si>
  <si>
    <t>fig-BRFSS-leisure-PA</t>
  </si>
  <si>
    <t xml:space="preserve">NYS Behavioral Risk Factor Surveillance System (NYS Behavioral Risk Factor Surveillance System (BRFSS) ) </t>
  </si>
  <si>
    <t>BRFSS</t>
  </si>
  <si>
    <t>Sullivan</t>
  </si>
  <si>
    <t>F84</t>
  </si>
  <si>
    <t>Percentage of Adults Who Report Consuming Less Than One Fruit and Less Than One Vegetable Daily, 2016, 2018, and 2021</t>
  </si>
  <si>
    <t>fig-BRFSS-fruit-veg</t>
  </si>
  <si>
    <t>F85</t>
  </si>
  <si>
    <t>Percentage of Adults Who Consume One or More Sugary Beverages Daily, 2016, 2018, and 2021</t>
  </si>
  <si>
    <t>fig-BRFSS-sug-bev</t>
  </si>
  <si>
    <t>T17</t>
  </si>
  <si>
    <t xml:space="preserve">Top Five Leading Causes of Death, by Count and Age-Adjusted Rate per 100,000 Population, 2022 </t>
  </si>
  <si>
    <t xml:space="preserve">NYS Vital Statistics </t>
  </si>
  <si>
    <t>Leading Causes of Death</t>
  </si>
  <si>
    <t>Vital Statistics of NYS</t>
  </si>
  <si>
    <t>Ulster</t>
  </si>
  <si>
    <t>F86</t>
  </si>
  <si>
    <t xml:space="preserve">Percentage of Deaths That are Premature, 2019–2022 </t>
  </si>
  <si>
    <t>F87</t>
  </si>
  <si>
    <t>Premature Deaths, Percentage Difference Between Black Non-Hispanics and White Non-Hispanics, 2019–2022</t>
  </si>
  <si>
    <t>F88</t>
  </si>
  <si>
    <t>Premature Deaths, Percentage Difference Between Hispanics and White Non-Hispanics, 2019–2022</t>
  </si>
  <si>
    <t xml:space="preserve">Vital Statistics of NYS </t>
  </si>
  <si>
    <t>F89</t>
  </si>
  <si>
    <t>Chronic Lower Respiratory Disease Hospitalization, Age-Adjusted Rate per 10,000 Population, 2020–2022</t>
  </si>
  <si>
    <t>F90</t>
  </si>
  <si>
    <t>Chronic Lower Respiratory Disease Mortality, Age-Adjusted Rate per 100,000 Population, 2020-2022</t>
  </si>
  <si>
    <t>F91</t>
  </si>
  <si>
    <t>Chronic Lower Respiratory Disease Hospitalization, Age-Adjusted Rate per 10,000 by Race and Ethnicity, 2020–2022</t>
  </si>
  <si>
    <t>F92</t>
  </si>
  <si>
    <t>Chronic Lower Respiratory Disease Mortality, Age-Adjusted Rate per 100,000 Population by Race and Ethnicity, 2020–2022</t>
  </si>
  <si>
    <t>F93</t>
  </si>
  <si>
    <t>Percentage of Adults with Current Asthma, 2016, 2018, and 2021</t>
  </si>
  <si>
    <t>F94</t>
  </si>
  <si>
    <t>Asthma Hospitalization, Age-Adjusted Rate per 10,000 Population, 2020–2022</t>
  </si>
  <si>
    <t>F95</t>
  </si>
  <si>
    <t>Asthma Hospitalization, Age-Adjusted Rate per 10,000 Population by Race and Ethnicity, 2020–2022</t>
  </si>
  <si>
    <t>F96</t>
  </si>
  <si>
    <t>Asthma Emergency Department Visits, Rate per 10,000 Population 0–17 Years Old, 2017–2023</t>
  </si>
  <si>
    <t>NYSDOH Asthma Dashboard</t>
  </si>
  <si>
    <t>F97</t>
  </si>
  <si>
    <t>Percentage of Adults with Cardiovascular Disease, 2016, 2018, and 2021</t>
  </si>
  <si>
    <t>F98</t>
  </si>
  <si>
    <t>Rockland</t>
  </si>
  <si>
    <t>F99</t>
  </si>
  <si>
    <t xml:space="preserve">Cardiovascular Disease Mortality, Age-Adjusted Rate Per 100,000 Population, 2018–2021 </t>
  </si>
  <si>
    <t>F100</t>
  </si>
  <si>
    <t>Percentage of Adults with Physician Diagnosed High Blood Pressure, 2022</t>
  </si>
  <si>
    <t>F101</t>
  </si>
  <si>
    <t>Cerebrovascular Disease Hospitalization, Age-Adjusted Rate per 10,000 Population, 2019–2021</t>
  </si>
  <si>
    <t xml:space="preserve">NY Statewide Planning and Research Cooperative System </t>
  </si>
  <si>
    <t>F102</t>
  </si>
  <si>
    <t>Cerebrovascular Disease Hospitalization, Age-Adjusted Rate per 10,000 Population by Race and Ethnicity, 2020–2022</t>
  </si>
  <si>
    <t>F103</t>
  </si>
  <si>
    <t xml:space="preserve">Cerebrovascular Disease Mortality, Age-Adjusted Rate per 100,000 Population, 2018–2021 </t>
  </si>
  <si>
    <t>F104</t>
  </si>
  <si>
    <t>Cerebrovascular Disease Mortality, Age-Adjusted Rate per 100,000 Population by Race and Ethnicity, 2020–2022</t>
  </si>
  <si>
    <t>F105</t>
  </si>
  <si>
    <t>F106</t>
  </si>
  <si>
    <t>Coronary Heart Disease Age-Adjusted Hospitalization Rate per 10,00 by Race/Ethnicity, 2020–2022</t>
  </si>
  <si>
    <t>F107</t>
  </si>
  <si>
    <t>F108</t>
  </si>
  <si>
    <t>Congestive Heart Failure Mortality, Age-Adjusted Rate per 100,000 Population, 2018–2021</t>
  </si>
  <si>
    <t xml:space="preserve">Vital Statistics </t>
  </si>
  <si>
    <t>Westchester</t>
  </si>
  <si>
    <t>F203</t>
  </si>
  <si>
    <t>Dropped</t>
  </si>
  <si>
    <t>Percentage of Adults with Physician Diagnosed Prediabetes and Diabetes, 2021</t>
  </si>
  <si>
    <t>F205</t>
  </si>
  <si>
    <t>Diabetes Hospitalization, Age-Adjusted Rate per 10,000 Population, 2021</t>
  </si>
  <si>
    <t>Diabetes Hospitalization, Age-Adjusted Rate per 10,000 by Race and Ethnicity, 2020–2022</t>
  </si>
  <si>
    <t>Percentage of Adults Who Had a Test for High Blood Sugar or Diabetes Within the Past Three Years, 2013–2014, 2016, 2018, and 2021</t>
  </si>
  <si>
    <t>Diabetes Mortality, Age-Adjusted Rate per 100,000 Population, 2018–2021</t>
  </si>
  <si>
    <t>F210</t>
  </si>
  <si>
    <t>Diabetes Mortality, Age-Adjusted per 100,000 Population by Race and Ethnicity, 2020–2022</t>
  </si>
  <si>
    <t>Percentage of Adults Overweight or Obese, 2013–2014, 2016, 2018, 2021</t>
  </si>
  <si>
    <t xml:space="preserve">NYS Student Weight Status Category Reporting System </t>
  </si>
  <si>
    <t>Percentage of Adults who are Obese, 2013–2014, 2016, 2018, and 2021</t>
  </si>
  <si>
    <t>Percentage of School-Aged Children and Adolescents Who Are Overweight or Obese, 2014–2023</t>
  </si>
  <si>
    <t>F215</t>
  </si>
  <si>
    <t>F216</t>
  </si>
  <si>
    <t>F217</t>
  </si>
  <si>
    <t>Cirrhosis Hospitalization, Age-Adjusted Rate per 10,000 Population, 2020–2022</t>
  </si>
  <si>
    <t>Cirrhosis Mortality, Age-Adjusted Rate per 100,000 Population, 2014–2021</t>
  </si>
  <si>
    <t>F220</t>
  </si>
  <si>
    <t>All Cancer Incidence and Mortality, Age-Adjusted Rates per 100,000 Population, 2019–2021</t>
  </si>
  <si>
    <t>NYS Cancer Registry</t>
  </si>
  <si>
    <t>F222</t>
  </si>
  <si>
    <t>F223</t>
  </si>
  <si>
    <t>All Cancer Incidence and Mortality, Age-Adjusted Rates per 100,000 Population by Sex, 2018–2022</t>
  </si>
  <si>
    <t xml:space="preserve">Cancer Statistics Dashboard </t>
  </si>
  <si>
    <t>Colon and Rectum Cancer Incidence and Mortality, Age-Adjusted Rates per 100,000 Population, 2019–2021</t>
  </si>
  <si>
    <t>Colon and Rectum Cancer Incidence and Mortality, Age-Adjusted Rates per 100,000 Population by Sex, 2018–2022</t>
  </si>
  <si>
    <t>Colorectal Cancer Incidence, Age-Adjusted Rate per 100,000 Population by Race and Ethnicity, 2020–2022</t>
  </si>
  <si>
    <t xml:space="preserve">NYS Cancer Registry </t>
  </si>
  <si>
    <t>Percentage of Adults 50–64 Years Old Who Received a Colorectal Cancer Screening Based on the Most Recent Guidelines, 2018</t>
  </si>
  <si>
    <t>NYS Prevention Agenda Dashboard</t>
  </si>
  <si>
    <t xml:space="preserve">NYS Behavioral Risk Factor Surveillance System </t>
  </si>
  <si>
    <t>NEW</t>
  </si>
  <si>
    <t>? Missing ?</t>
  </si>
  <si>
    <t>Lung and Bronchus Cancer Incidence and Mortality, Age-Adjusted Rates per 100,000 Population, 2018–2022</t>
  </si>
  <si>
    <t xml:space="preserve">NYS Cancer Statistics Dashboard </t>
  </si>
  <si>
    <t>Lung and Bronchus Cancer Incidence and Mortality, Age-Adjusted Rates per 100,000 Population by Sex, 2015–2019</t>
  </si>
  <si>
    <t>Lung Cancer Incidence, Age-Adjusted Rate per 100,000 Population by Race and Ethnicity, 2020–2022</t>
  </si>
  <si>
    <t>Prostate Cancer Incidence and Mortality, Age-Adjusted Rates per 100,000 Population Males, 2018–2022</t>
  </si>
  <si>
    <t>NYS Cancer Statistics Dashboard</t>
  </si>
  <si>
    <t>Breast Cancer Incidence and Mortality, Age-Adjusted Rates per 100,000 Population Females, 2018–2022</t>
  </si>
  <si>
    <t>Percentage of Women 50-74 Years Old Receiving Breast Cancer Screening Based on the Most Recent Guidelines, 2013–2018</t>
  </si>
  <si>
    <t>Cervix Uteri Cancer Incidence and Mortality, Age-Adjusted Rates per 100,000 Female Population, 2018–2022</t>
  </si>
  <si>
    <t>Cancer Statistics Dashboard</t>
  </si>
  <si>
    <t>Percentage of Women 21–65 Years Old Receiving Cervical Cancer Screening Based on Most Recent Guidelines, 2018</t>
  </si>
  <si>
    <t>F237</t>
  </si>
  <si>
    <t>Percentage of Children Aged 24–35 Months with the 4:3:1:3:3:1:4 Vaccine Series, 2019–2024</t>
  </si>
  <si>
    <t xml:space="preserve">NYS Immunization Information System </t>
  </si>
  <si>
    <t>F239</t>
  </si>
  <si>
    <t>F240</t>
  </si>
  <si>
    <t>F241</t>
  </si>
  <si>
    <t>F242</t>
  </si>
  <si>
    <t>F243</t>
  </si>
  <si>
    <t>F244</t>
  </si>
  <si>
    <t>F245</t>
  </si>
  <si>
    <t>F246</t>
  </si>
  <si>
    <t>F247</t>
  </si>
  <si>
    <t>F248</t>
  </si>
  <si>
    <t xml:space="preserve">Percentage of Adolescents 13 Years Old with a Complete HPV Vaccine Series, 2019–2024  </t>
  </si>
  <si>
    <t>Percentage of Adults with Flu Immunization in the Past Year,  2016, 2018, and 2021</t>
  </si>
  <si>
    <t>Percentage of Adults 65 Years and Older with Flu Immunization in the Past Year,  2016, 2018, and 2021</t>
  </si>
  <si>
    <t>Percentage of Adults 65 Years and Older with Pneumococcal Immunization, 2016, 2018, and 2021</t>
  </si>
  <si>
    <t>F253</t>
  </si>
  <si>
    <t>Newly Diagnosed HIV, Age-Adjusted Case Rate per 100,000 Population, 2014–2021</t>
  </si>
  <si>
    <t xml:space="preserve">NYS HIV Surveillance System </t>
  </si>
  <si>
    <t>Putnam</t>
  </si>
  <si>
    <t>F255</t>
  </si>
  <si>
    <t>F256</t>
  </si>
  <si>
    <t>F257</t>
  </si>
  <si>
    <t>F258</t>
  </si>
  <si>
    <t>F259</t>
  </si>
  <si>
    <t>Gonorrhea Incidence, Age-Adjusted Rate per 100,000 Population, 2017–2023</t>
  </si>
  <si>
    <t>NYS Office of Sexual Health and Epidemiology</t>
  </si>
  <si>
    <t xml:space="preserve">Sexually Transmitted Infections Surveillance Summary Reports </t>
  </si>
  <si>
    <t>F261</t>
  </si>
  <si>
    <t>F262</t>
  </si>
  <si>
    <t>F263</t>
  </si>
  <si>
    <t>F264</t>
  </si>
  <si>
    <t>F265</t>
  </si>
  <si>
    <t>F266</t>
  </si>
  <si>
    <t>F267</t>
  </si>
  <si>
    <t>F268</t>
  </si>
  <si>
    <t>F269</t>
  </si>
  <si>
    <t>Chlamydia Incidence, Age-Adjusted Rate per 100,000 Population, 2017–2023</t>
  </si>
  <si>
    <t>Early Syphilis Incidence, Age-Adjusted Rate per 100,000 Population, 2017–2023</t>
  </si>
  <si>
    <t xml:space="preserve">NYS Office of Sexual Health and Epidemiology </t>
  </si>
  <si>
    <t>Sexually Transmitted Infections Surveillance Summary Reports</t>
  </si>
  <si>
    <t>F273</t>
  </si>
  <si>
    <t>F274</t>
  </si>
  <si>
    <t>Lyme Disease, Case Rate per 100,000 Population, 2020–2023</t>
  </si>
  <si>
    <t xml:space="preserve">NYS Communicable Disease Annual Reports </t>
  </si>
  <si>
    <t>CD Annual report</t>
  </si>
  <si>
    <t xml:space="preserve">NYS Communicable Disease Electronic Surveillance System </t>
  </si>
  <si>
    <t>F276</t>
  </si>
  <si>
    <t>Anaplasmosis, Case Rate per 100,000 Population, 2020–2023</t>
  </si>
  <si>
    <t>F278</t>
  </si>
  <si>
    <t xml:space="preserve">Babesiosis, Case Rate per 100,000 Population, 2020–2023 </t>
  </si>
  <si>
    <t>F280</t>
  </si>
  <si>
    <t>F281</t>
  </si>
  <si>
    <t>T 38</t>
  </si>
  <si>
    <t>Animal Rabies Testing of Domestic Species†, 2024</t>
  </si>
  <si>
    <t>NYS Wadsworth</t>
  </si>
  <si>
    <t>T 39</t>
  </si>
  <si>
    <t>Animal Rabies Testing of Wild Species†, 2024</t>
  </si>
  <si>
    <t>Persons Authorized to Receive Rabies Post-Exposure Prophylaxis, Rate per 10,000 Population, 2021–2024</t>
  </si>
  <si>
    <t>NYSDOH Bureau of Communicable Disease Control</t>
  </si>
  <si>
    <t>F283</t>
  </si>
  <si>
    <t>Percentage of Births with Early Prenatal Care or Late and No Prenatal Care, 2020–2022</t>
  </si>
  <si>
    <t>Percentage of Births with Early Prenatal Care, 2014–2021</t>
  </si>
  <si>
    <t>Percentage of Births with Late or No Prenatal Care, 2014–2021</t>
  </si>
  <si>
    <t>Percentage of Births with Early Prenatal Care by Race and Ethnicity, 2020–2022</t>
  </si>
  <si>
    <t>F287</t>
  </si>
  <si>
    <t>Pregnancy, Rate per 1,000 Female Population 15–44 Years Old, 2014–2021</t>
  </si>
  <si>
    <t>Pregnancy, Rate per 1,000 Female Population 15–44 Years Old  by Race and Ethnicity, 2020–2022</t>
  </si>
  <si>
    <t>F290</t>
  </si>
  <si>
    <t>F291</t>
  </si>
  <si>
    <t>F292</t>
  </si>
  <si>
    <t>Teen Pregnancy, Rate per 1,000 Female Population 17 Years Old and Younger by Race and Ethnicity, 2020–2022</t>
  </si>
  <si>
    <t>Percentage of Live Births by Financial Coverage, 2022</t>
  </si>
  <si>
    <t>NYS Vital Statistics</t>
  </si>
  <si>
    <t>Percentage of Infants Who Are Exclusively Breastfed in the Hospital among All Infants, 2013–2022</t>
  </si>
  <si>
    <t xml:space="preserve">NYS Prevention Agenda Dashboard </t>
  </si>
  <si>
    <t>F296</t>
  </si>
  <si>
    <t>Percentage of Preterm Births, 2014–2021</t>
  </si>
  <si>
    <t>F298</t>
  </si>
  <si>
    <t>Percentage of Low Birthweight Infants, 2014–2021</t>
  </si>
  <si>
    <t>Percentage of Low Birthweight Infants by Race and Ethnicity, 2020–2022</t>
  </si>
  <si>
    <t>F301</t>
  </si>
  <si>
    <t>Infant Mortality, Rate per 1,000 Live Births, 2014–2021</t>
  </si>
  <si>
    <t>Maternal Mortality, Rate per 100,000 Live Births, 2013–2022 Unstable Data</t>
  </si>
  <si>
    <t>F303</t>
  </si>
  <si>
    <t>F304</t>
  </si>
  <si>
    <t>F305</t>
  </si>
  <si>
    <t>?</t>
  </si>
  <si>
    <t>F307</t>
  </si>
  <si>
    <t>Percentage of Medicaid Enrollees with at least One Dental Visit Within The Last Year, 2021–2023</t>
  </si>
  <si>
    <t>NYS Medicaid Program</t>
  </si>
  <si>
    <t>Percentage of All Medicaid Enrollees with a Dental Visit in the Past 12 Months, 2019–2022</t>
  </si>
  <si>
    <t xml:space="preserve">NYS Medicaid Program </t>
  </si>
  <si>
    <t>F310</t>
  </si>
  <si>
    <t>Percentage Adults with Poor Mental Health for 14 or More Days in the Last Month, 2016, 2018, and 2021</t>
  </si>
  <si>
    <t>Percentage of Adults Reporting a Depressive Disorder, 2016, 2018, and 2021</t>
  </si>
  <si>
    <t>Dropped- Why dropped? It is in the NYSPA and I found the chart in the Ulster workbook</t>
  </si>
  <si>
    <t>NYS Opioid Dashboard</t>
  </si>
  <si>
    <t>T 40</t>
  </si>
  <si>
    <t>Increased Risk of Disease Incidence from Smoking, 2021</t>
  </si>
  <si>
    <t>CDC</t>
  </si>
  <si>
    <t xml:space="preserve">US Department of Health and Human Services </t>
  </si>
  <si>
    <t>Need to download</t>
  </si>
  <si>
    <t>NYS Smokers’ Quitline</t>
  </si>
  <si>
    <t>Percentage of Adults Who Are Current Smokers, 2016, 2018, and 2021</t>
  </si>
  <si>
    <t>Percentage of Cigarette Smoking among Adults Who Report Poor Mental Health, 2016, 2018, and 2021</t>
  </si>
  <si>
    <t>Percentage of Adults Binge Drinking During the Past Month, 2016, 2018, and 2021</t>
  </si>
  <si>
    <t>Overdose Deaths Involving Any Drug, Crude Rate per 100,000 Population, 2019–2022</t>
  </si>
  <si>
    <t>NYS Opioid Data Dashboard</t>
  </si>
  <si>
    <t>F318</t>
  </si>
  <si>
    <t>All Emergency Department Visits Involving Any Opioid Overdose, Age-Adjusted Rate per 100,000 Population, 2019–2022</t>
  </si>
  <si>
    <t>Hospital Discharges Involving Any Opioid Overdose, Age-Adjusted Rate per 100,000 Population, 2019–2022</t>
  </si>
  <si>
    <t>Individuals Enrolled in Treatment Programs Reporting Any Opioid as a Primary Substance, Crude Rate per 100,000 Population, 2020–2023</t>
  </si>
  <si>
    <t xml:space="preserve">Data request from NYS Office of Addiciton Services and Supports Client Data System </t>
  </si>
  <si>
    <t xml:space="preserve">NYS OASAS Data Warehouse </t>
  </si>
  <si>
    <t>Individuals Enrolled in Treatment Programs Reporting Alcohol as a Primary Substance, Crude Rate per 100,000 Population, 2020–2023</t>
  </si>
  <si>
    <t>F320</t>
  </si>
  <si>
    <t>Overdose Deaths Involving Any Opioid, Crude Rate per 100,000 Population, 2019–2022</t>
  </si>
  <si>
    <t>Overdose Deaths Involving Opioid Pain Relievers, Heroin, and Synthetic Opioids Other than Methadone, Age-Adjusted Rate per 100,000 Population, 2022</t>
  </si>
  <si>
    <t>Opioid Analgesics Prescriptions, Age-Adjusted Rate per 1,000 Population, 2020–2023</t>
  </si>
  <si>
    <t>NYS Prescription Monitoring Program</t>
  </si>
  <si>
    <t>Patients Who Received at Least One Buprenorphine Prescription for Opioid Use Disorder, Age-Adjusted Rate per 100,000 Population, 2020–2023</t>
  </si>
  <si>
    <t>Suicide Mortality, Age-Adjusted Rate per 100,000 Population, 2018–2021</t>
  </si>
  <si>
    <t>Asthma, Gastroenteritis, Otitis Media, and Pneumonia Hospitalizations, Rate per 10,000 Population 0–4 Years Old, 2020–2022</t>
  </si>
  <si>
    <t>Combined Above</t>
  </si>
  <si>
    <t>NYSDOH Community Health Indicator Report (CHIRS)</t>
  </si>
  <si>
    <t>Unintentional Injury Mortality, Age-Adjusted Rate per 100,000 Population, 2018–2021</t>
  </si>
  <si>
    <t>Poison Center Calls, Rate per 100,000, 2020–2024</t>
  </si>
  <si>
    <t xml:space="preserve">Upstate NY Poison Center  &amp; NYC Poison Center </t>
  </si>
  <si>
    <t>Poison Center Cannabis Calls, Rate per 100,000 Population, 2020–2024</t>
  </si>
  <si>
    <t>Poison Center Calls, Percentage Children 5 Years Old and Younger, 2020–2024</t>
  </si>
  <si>
    <t xml:space="preserve">Upstate NY Poison Center &amp; NYC Poison Center </t>
  </si>
  <si>
    <t>Alcohol Related Motor Vehicle Injuries and Deaths, Crude Rate per 100,000 Population, 2018–2021</t>
  </si>
  <si>
    <t>Motor Vehicle Injury Mortality, Rate per 100,000 Population, 2018–2021</t>
  </si>
  <si>
    <t>Motor Vehicle Related Mortality, Age-Adjusted Rate per 100,000 Population by Race and Ethnicity, 2020–2022</t>
  </si>
  <si>
    <t>Falls Hospitalization, Age-Adjusted Rate per 10,000 Population, 2018–2021</t>
  </si>
  <si>
    <t>Falls Hospitalization, Rate per 10,000 Population 85 Years and Older, 2018–2021</t>
  </si>
  <si>
    <t>NY Statewide Planning and  Research Cooperative System</t>
  </si>
  <si>
    <t>Falls Hospitalization, Rate per 10,000 Population 65 Years and Older by Race and Ethnicity, 2020–2022</t>
  </si>
  <si>
    <t>F342</t>
  </si>
  <si>
    <t>F343</t>
  </si>
  <si>
    <t>F344</t>
  </si>
  <si>
    <t>Homicide Mortality, Age-Adjusted Rate per 100,000 Population, 2018–2021</t>
  </si>
  <si>
    <t>Assault Hospitalization, Age-Adjusted Rate per 10,000 Population, 2018–2021</t>
  </si>
  <si>
    <t>Domestic Violence Victims Reported, Rate per 100,000 Population, 2020–2023</t>
  </si>
  <si>
    <t>Domestic Violence Victim Data by County</t>
  </si>
  <si>
    <t>integer</t>
  </si>
  <si>
    <t>Y-labels</t>
  </si>
  <si>
    <t>Footnotes</t>
  </si>
  <si>
    <t>Sources</t>
  </si>
  <si>
    <t>Links</t>
  </si>
  <si>
    <t>Dates</t>
  </si>
  <si>
    <t>Notes</t>
  </si>
  <si>
    <t>number</t>
  </si>
  <si>
    <t>Case Rate</t>
  </si>
  <si>
    <t>*</t>
  </si>
  <si>
    <t>*: BRFSS - Crude rate is unreliable due to large standard error.</t>
  </si>
  <si>
    <t>Source: Centers for Disease Control and Prevention</t>
  </si>
  <si>
    <t>https://health.data.ny.gov/Health/Behavioral-Risk-Factor-Surveillance-System-BRFSS-H/jsy7-eb4n/data</t>
  </si>
  <si>
    <t>July 2025</t>
  </si>
  <si>
    <t>Note: "Other" includes American Indian or Alaska Native and Native Hawaiian or Other Pacific Islander. </t>
  </si>
  <si>
    <t>percent1</t>
  </si>
  <si>
    <t>Index</t>
  </si>
  <si>
    <t>*: BRFSS - Percentage is unreliable due to large standard error.</t>
  </si>
  <si>
    <t>Source: Community Partner Survey Focus Groups</t>
  </si>
  <si>
    <t>https://www.cdc.gov/places/</t>
  </si>
  <si>
    <t>June 2025</t>
  </si>
  <si>
    <t>Note:A community water system is a public water system that serves the same people year-round. Most residences including homes, apartments, and condominiums in cities, towns, and mobile home parks are served by community water systems. This is a measure of the number of residents served by community water systems with optimal fluoride levels per 100 residents served by community water systems.</t>
  </si>
  <si>
    <t>percent2</t>
  </si>
  <si>
    <t>Number of Cases</t>
  </si>
  <si>
    <t>*: Data are unstable due to a margin of error greater than 10%.</t>
  </si>
  <si>
    <t>Source: Feeding America</t>
  </si>
  <si>
    <t>https://webbi1.health.ny.gov/SASStoredProcess/guest?_program=%2FEBI%2FPHIG%2Fapps%2Fchir_dashboard%2Fchir_dashboard&amp;p=ch&amp;cos=33</t>
  </si>
  <si>
    <t>May 2025</t>
  </si>
  <si>
    <t>Note: County of residence was assigned based on ZIP Code for cases in which patient county of residence was listed as unknown or missing but a valid NY ZIP Code was present.</t>
  </si>
  <si>
    <t>currency</t>
  </si>
  <si>
    <t>Percent</t>
  </si>
  <si>
    <t>*: Data are unstable due to fewer than 10 events in the numerator.</t>
  </si>
  <si>
    <t>Source: Health Resources and Services Administration Data Warehouse</t>
  </si>
  <si>
    <t>https://www.health.ny.gov/statistics/community/minority/county/orange.htm</t>
  </si>
  <si>
    <t>April 2025</t>
  </si>
  <si>
    <t>Note: Feeding America takes the CPS data and analyzes the relationships between food insecurity and its determinants (i.e., unemployment, poverty, disability, homeownership, and median income), as well as the percentage of the population that is Black and the percentage of the population that is Hispanic. Coefficient estimates from this analysis combined with information on the same variables defined at the county and congressional district levels are generated to estimate food insecurity.</t>
  </si>
  <si>
    <t>currency2</t>
  </si>
  <si>
    <t>Rate per 1,000</t>
  </si>
  <si>
    <t>*: Data are unstable due to fewer than 20 events in the numerator.</t>
  </si>
  <si>
    <t>Source: NYC Poison Center</t>
  </si>
  <si>
    <t>https://www.health.ny.gov/statistics/diseases/communicable/docs/2019_hepc_regional.pdf</t>
  </si>
  <si>
    <t>March 2025</t>
  </si>
  <si>
    <t>Note: Five-year age-adjusted rates.</t>
  </si>
  <si>
    <t>ratio</t>
  </si>
  <si>
    <t>Rate per 10,000</t>
  </si>
  <si>
    <t>*: The percentage is unstable.</t>
  </si>
  <si>
    <t>Source: NYS Board of Elections</t>
  </si>
  <si>
    <t>https://www.health.ny.gov/statistics/chac/perinatal/county/2018-2020/orange.htm</t>
  </si>
  <si>
    <t>February 2025</t>
  </si>
  <si>
    <t>Note: IMU* = Index of Medical Underservice.</t>
  </si>
  <si>
    <t>date</t>
  </si>
  <si>
    <t>Rate per 100,000</t>
  </si>
  <si>
    <t>*: The rate is unstable.</t>
  </si>
  <si>
    <t>Source: NYS Cancer Registry and Cancer Statistics</t>
  </si>
  <si>
    <t>https://www.criminaljustice.ny.gov/crimnet/ojsa/arrests/index.htm</t>
  </si>
  <si>
    <t>January 2025</t>
  </si>
  <si>
    <t>Note: Incidence and mortality rates stratified by race/ethnicity are not available. However, trend data for incidence and mortality rates can be found on NYSDOH Community Health Indicator Reports (CHIRS).</t>
  </si>
  <si>
    <t>Ratio</t>
  </si>
  <si>
    <t>+</t>
  </si>
  <si>
    <t>: The 2019 ED data in NYC may be incomplete and subject to change. Thus, the state rates may be underestimated and subject to change.</t>
  </si>
  <si>
    <t xml:space="preserve">Source: NYS Community Health Indicator Reports Dashboard </t>
  </si>
  <si>
    <t>https://data.nysed.gov/gradrate.php?year=2022&amp;county=44</t>
  </si>
  <si>
    <t>December 2024</t>
  </si>
  <si>
    <t>Note: Incidence and mortality rates stratified by race/ethnicity are not shown due to suppressed and/or unstable data in most counties. However, trend data for incidence and mortality rates can be found on NYSDOH Community Health Indicator Reports (CHIRS).</t>
  </si>
  <si>
    <t>Other</t>
  </si>
  <si>
    <t>Other (please specify): Some additional responses from participants include access to healthy affordable food, transportation, valuing health as a family priority, affordable housing, lack of chronic disease self-management programs, lack of social support systems, language barriers.</t>
  </si>
  <si>
    <t xml:space="preserve">Source: NYS County Health Indicators by Race and Ethnicity </t>
  </si>
  <si>
    <t>https://webbi1.health.ny.gov/SASStoredProcess/guest?_program=%2FEBI%2FPHIG%2Fapps%2Fmch_dashboard%2Fmch_dashboard&amp;p=ch&amp;cos=33</t>
  </si>
  <si>
    <t>November 2024</t>
  </si>
  <si>
    <t>Note: Index of dissimilarity where higher values indicate greater residential segregation between Black and White County residents.</t>
  </si>
  <si>
    <t>Other (please specify): Some additional responses from participants include finding child care, access to health care providers who are trained in LGBTQIA+ health care needs, mental health services, immigration issues, language and cultural barriers, and financial issues.</t>
  </si>
  <si>
    <t>Source: NYS Department of Health Office of Sexual Health and Epidemiology</t>
  </si>
  <si>
    <t>https://webbi1.health.ny.gov/SASStoredProcess/guest?_program=%2FEBI%2FPHIG%2Fapps%2Fopioid_dashboard%2Fop_dashboard&amp;p=ch&amp;cos=33</t>
  </si>
  <si>
    <t>October 2024</t>
  </si>
  <si>
    <t>Note: Mortality rates stratified by race/ethnicity are not available.</t>
  </si>
  <si>
    <t>Other (please specify): Some additional responses from participants include location of services, lack of financial resources, transportation, affordable housing, and service providers not being aware of biases they bring into marginalized communities.</t>
  </si>
  <si>
    <t>Source: NYS Division of Criminal Justice Services</t>
  </si>
  <si>
    <t>https://webbi1.health.ny.gov/SASStoredProcess/guest?_program=%2FEBI%2FPHIG%2Fapps%2Fdashboard%2Fpa_dashboard&amp;p=ch&amp;cos=33</t>
  </si>
  <si>
    <t>September 2024</t>
  </si>
  <si>
    <t>Note: Opioid pain relievers include illicitly produced opioids such as fentanyl.</t>
  </si>
  <si>
    <t>Other (please specify): Some additional responses from participants include navigating health care access, poverty, affordable transportation, and accessibility and availability of quality services.</t>
  </si>
  <si>
    <t>Source: NYS Education Department</t>
  </si>
  <si>
    <t>https://www.health.ny.gov/statistics/diseases/communicable/std/docs/sti_surveillance_report_2021.pdf</t>
  </si>
  <si>
    <t>August 2024</t>
  </si>
  <si>
    <t>Note: Other forms of coverage not shown include Indian Health, CHAMPUS, Other, and Not Stated. Medicaid includes births with Medicaid listed as secondary payer.</t>
  </si>
  <si>
    <t>Other (please specify): Some additional responses from participants include stigma, language barrier as a large portion of the population being served speaks Spanish, navigating the health system, and places to play and/or exercise.</t>
  </si>
  <si>
    <t>Source: NYS Leading Causes of Death Dashboard</t>
  </si>
  <si>
    <t>https://statecancerprofiles.cancer.gov/</t>
  </si>
  <si>
    <t>July 2024</t>
  </si>
  <si>
    <t>Note: Race or races with which the student primarily identifies are indicated by the student or the parent/guardian.</t>
  </si>
  <si>
    <t>s</t>
  </si>
  <si>
    <t xml:space="preserve">s: Data are suppressed due to unreliable or missing data. </t>
  </si>
  <si>
    <t>Source: NYS Opioid Data Dashboard</t>
  </si>
  <si>
    <t>https://data.census.gov/cedsci/</t>
  </si>
  <si>
    <t>June 2024</t>
  </si>
  <si>
    <t>Note: Ranks are based on numbers of deaths, then on mortality rates.</t>
  </si>
  <si>
    <t>s: Data are suppressed due to not meeting reporting criteria.</t>
  </si>
  <si>
    <t>Source: NYS Prevention Agenda Tracking Dashboard</t>
  </si>
  <si>
    <t>https://www.americashealthrankings.org/</t>
  </si>
  <si>
    <t>May 2024</t>
  </si>
  <si>
    <t>Note: Respondents who report any one of the six disability types are considered to have a disability in the American Community Survey. The previous Regional CHA utilized data from the NYSDOH Expanded Behavioral Risk Factor Surveillance System (BRFSS). The data change between the BRFSS and the ACS accounts for the drastic changes between the Regional CHAs.</t>
  </si>
  <si>
    <t xml:space="preserve">s: Data are suppressed due to lack of preliminary data. </t>
  </si>
  <si>
    <t>Source: NYS Smoker's Quitline</t>
  </si>
  <si>
    <t>https://ahead.hiv.gov/</t>
  </si>
  <si>
    <t>April 2024</t>
  </si>
  <si>
    <t>Note: Severely cost burdened is defined as the percent of households that spend 50% or more of their household income on housing. The 2019 County Health Rankings (CHR) used data from 2013-2017 and the 2022 CHR used data from 2016-2020 for this measure.</t>
  </si>
  <si>
    <t xml:space="preserve">s: Data are suppressed due to not meeting confidentialty criteria. </t>
  </si>
  <si>
    <t>Source: NYSDOH Behavioral Risk Factor Surveillance System</t>
  </si>
  <si>
    <t>https://wonder.cdc.gov/</t>
  </si>
  <si>
    <t>March 2024</t>
  </si>
  <si>
    <t>Note: Single-year crude rates.</t>
  </si>
  <si>
    <t xml:space="preserve">s: Data are suppressed due to small sample size. </t>
  </si>
  <si>
    <t>Source: NYSDOH Bureau of Communicable Disease Control</t>
  </si>
  <si>
    <t>https://nccd.cdc.gov/Youthonline/App/Results.aspx?LID=XX</t>
  </si>
  <si>
    <t>February 2024</t>
  </si>
  <si>
    <t>Note: The American Community Survey asks respondents how many automobiles, vans, and trucks of one-ton capacity or less are kept at home for use by members of the household.</t>
  </si>
  <si>
    <t>Source: NYSDOH Communicable Disease Annual Reports</t>
  </si>
  <si>
    <t>https://www.cdc.gov/injury/wisqars/index.html</t>
  </si>
  <si>
    <t>January 2024</t>
  </si>
  <si>
    <t>Note: The American Community Survey asks respondents how they usually got to work last week. For respondents who use multiple transportation modes they are restricted to the single method of transportation used for the longest distance.</t>
  </si>
  <si>
    <t xml:space="preserve">Source: NYSDOH Communicable Disease Electronic Surveillance System </t>
  </si>
  <si>
    <t>https://www.cdc.gov/mmwr/index.html</t>
  </si>
  <si>
    <t>December 2023</t>
  </si>
  <si>
    <t>Note: The American Community Survey asks respondents if they have ever served on active duty in the US Armed Forces.</t>
  </si>
  <si>
    <t>Source: NYSDOH, Wadsworth Center Rabies Laboratory</t>
  </si>
  <si>
    <t>https://www.cdc.gov/asthma/asthmadata.htm</t>
  </si>
  <si>
    <t>November 2023</t>
  </si>
  <si>
    <t>Note: The American Community Survey asks respondents if they have worked in the past week. If the answer is no, they are asked why they are not working. For those who are not working, they are asked whether they plan to return to work, and when they last worked.</t>
  </si>
  <si>
    <t>Source: United for ALICE</t>
  </si>
  <si>
    <t>https://www.cdc.gov/nceh/</t>
  </si>
  <si>
    <t>October 2023</t>
  </si>
  <si>
    <t>Note: The American Community Survey asks respondents if they own or rent the house, apartment, or mobile home they live in. If rented, they ask the monthly rent. Cost burdened is defined as the percentage of renter occupied units in which gross rent is 30% or more of household income.</t>
  </si>
  <si>
    <t>Source: University of Wisconsin Population Health Institute. County Health Rankings &amp; Roadmaps</t>
  </si>
  <si>
    <t>https://www.cdc.gov/nchs/index.htm</t>
  </si>
  <si>
    <t>September 2023</t>
  </si>
  <si>
    <t>Note: The American Community Survey asks respondents in the workforce how many minutes it usually takes them to get from home to work. The travel time refers to a one-way trip on a typical day. This includes time spent waiting for public transportation, picking up passengers in carpools, and time spent in other activities related to getting to work.</t>
  </si>
  <si>
    <t>Source: Upstate NY Poison Center</t>
  </si>
  <si>
    <t>https://www.cdc.gov/nchs/nhis/shs.htm</t>
  </si>
  <si>
    <t>August 2023</t>
  </si>
  <si>
    <t>Note: The American Community Survey asks respondents their income in the past 12 months including joint income. This is for income that is received on a regular basis before payments for taxes, social security, etc. If a family’s total income is less than the official poverty threshold for a family of that size and composition, they are considered to be in poverty.</t>
  </si>
  <si>
    <t>Source: US Census Bureau</t>
  </si>
  <si>
    <t>https://www.cdc.gov/diabetes/data/index.html</t>
  </si>
  <si>
    <t>July 2023</t>
  </si>
  <si>
    <t>Note: The American Community Survey asks respondents their income in the past 12 months. Data are provided as a percent of total households in Table S1901. Calculations were made to provide data as a number in Table 28.</t>
  </si>
  <si>
    <t>Source: US Census Bureau; American Community Survey</t>
  </si>
  <si>
    <t>https://www.cdc.gov/nchhstp/atlas/index.htm</t>
  </si>
  <si>
    <t>June 2023</t>
  </si>
  <si>
    <t>Note: The American Community Survey asks respondents to report whether they sometimes or always spoke a language other than English at home. People who knew languages other than English but did not use them at home, who only used them elsewhere, or whose usage was limited to a few expressions or slang were excluded.</t>
  </si>
  <si>
    <t>Source: Vital Statistics of NYS</t>
  </si>
  <si>
    <t>https://www.cdc.gov/std/statistics/2021/default.htm</t>
  </si>
  <si>
    <t>May 2023</t>
  </si>
  <si>
    <t>Note: The American Community Survey asks respondents what the highest degree or level of school the person has completed.</t>
  </si>
  <si>
    <t>https://www.cdc.gov/vaccines/imz-managers/coverage/teenvaxview/data-reports/index.html</t>
  </si>
  <si>
    <t>April 2023</t>
  </si>
  <si>
    <t>Note: The American Community Survey includes a question that intends to capture current sex; there are no questions about gender, sexual orientation, or sex at birth. Respondents should respond either "male" or "female" based on how they currently identify their sex.</t>
  </si>
  <si>
    <t>https://gis.cdc.gov/grasp/diabetes/diabetesatlas-surveillance.html</t>
  </si>
  <si>
    <t>March 2023</t>
  </si>
  <si>
    <t>Note: The American Community Survey utilized industry titles based on the North American Industry Classification System from 2018.</t>
  </si>
  <si>
    <t>https://www.cdc.gov/hepatitis/statistics/SurveillanceRpts.htm</t>
  </si>
  <si>
    <t>February 2023</t>
  </si>
  <si>
    <t>Note: The Census Bureau collects racial data in accordance with guidelines provide by the US Office of Management and Budget, and these data are based on self-identification. People who identify with more than one race may choose to provide multiple races in response to the race question. For ethnicity, the OMB standards classify individuals in one of two categories: “Hispanic or Latino” or “Not Hispanic or Latino.” The Census Bureau uses the term “Hispanic or Latino” interchangeably with the term “Hispanic,” and also refer to this concept as “ethnicity.”</t>
  </si>
  <si>
    <t>https://www.ghrconnects.org/indicators</t>
  </si>
  <si>
    <t>January 2023</t>
  </si>
  <si>
    <t>Note: The Census Bureau collects racial data in accordance with guidelines provided by the US Office of Management and Budget (OMB) and these data are based on self-identification. People who identify with more than one race may choose to provide multiple races in response to the race question. For ethnicity, the OMB standards classify individuals in one of two categories: “Hispanic or Latino” or “Not Hispanic or Latino.” The Census Bureau uses the term “Hispanic or Latino” interchangeably with the term “Hispanic,” and also refer to this concept as “ethnicity.” The American Community Survey asks respondents their income in the past 12 months including joint income. This is for income that is received on a regular basis before payments for taxes, social security, etc. If a family’s total income is less than the official poverty threshold for a family of that size and composition, then they are considered to be in poverty.</t>
  </si>
  <si>
    <t>https://www.kff.org/</t>
  </si>
  <si>
    <t>December 2022</t>
  </si>
  <si>
    <t>Note: The Census Bureau defines educational attainment as the highest level of education that an individual has completed. This is distinct from the level of schooling that an individual is attending.</t>
  </si>
  <si>
    <t>https://progressreport.cancer.gov/detection</t>
  </si>
  <si>
    <t>November 2022</t>
  </si>
  <si>
    <t>Note: The most recent data are from 2019.</t>
  </si>
  <si>
    <t>https://statecancerprofiles.cancer.gov/index.html</t>
  </si>
  <si>
    <t>October 2022</t>
  </si>
  <si>
    <t>Note: The number of cases is determined using sentinel surveillance, which is extrapolated from samples of positive laboratory results to generate estimates of the total number of cases. Sentinel surveillance was conducted in all Mid-Hudson counties in 2017.</t>
  </si>
  <si>
    <t>https://nces.ed.gov/</t>
  </si>
  <si>
    <t>September 2022</t>
  </si>
  <si>
    <t>Note: The overall violent crime rate of a county is calculated by dividing the total number of violent crimes submitted by police agencies in each county by the county’s population and multiplying the result by 100,000. The US Census Bureau is the source of county population data. Includes all reports received as of May 16, 2022.</t>
  </si>
  <si>
    <t>https://www.niaaa.nih.gov/</t>
  </si>
  <si>
    <t>August 2022</t>
  </si>
  <si>
    <t>Note: The previous Mid-Hudson Region Community Health Assessment, 2019-2021, reported this data on populations aged 5-17 years.</t>
  </si>
  <si>
    <t>https://data.oecd.org/</t>
  </si>
  <si>
    <t>July 2022</t>
  </si>
  <si>
    <t>Note: The rate for 2015 is excluded due to SPARCS data transitioning on October 1, 2015 from ICD-9-CM to ICD-10-CM diagnosis codes. Since ICD-9-CM and ICD-10-CM are not comparable, an annual rate for 2015 cannot be calculated, and data for 2016-andforward should not be compared with data for 2014-and-prior.</t>
  </si>
  <si>
    <t>June 2022</t>
  </si>
  <si>
    <t>Note: The rate for 2015 is excluded due to SPARCS data transitioning on October 1, 2015, from ICD-9-CM to ICD-10-CM diagnosis codes. Since ICD-9-CM and ICD-10-CM are not comparable, an annual rate for 2015 cannot be calculated, and data for 2016-andforward should not be compared with data for 2014-and-prior.</t>
  </si>
  <si>
    <t>https://www.bls.gov/cps/data-overview.htm</t>
  </si>
  <si>
    <t>May 2022</t>
  </si>
  <si>
    <t>Note: The US Census asks respondents if they are currently covered by any type of health insurance or health coverage plans.</t>
  </si>
  <si>
    <t>https://health.gov/healthypeople</t>
  </si>
  <si>
    <t>April 2022</t>
  </si>
  <si>
    <t>Note: The US Census Bureau gathers data called the Comprehensive Housing Affordability Strategy, and these data are shared with the US Department of Housing and Urban Development for reporting purposes. Incomplete kitchen facilities are defined as a unit which lacks a sink with running water, a stove or range, or a refrigerator. Incomplete plumbing facilities is defined as lacking hot and cold piped water, a flush toilet, or a bathtub/shower. Overcrowding is defined as more than one person per room. Severe cost burden is defined as monthly housing costs, including utilities, that exceed 50% of monthly income. Graph reflects the percentage of households with at least one of these four housing problems.</t>
  </si>
  <si>
    <t>March 2022</t>
  </si>
  <si>
    <t>Note: This is a measure of the average daily density of fine particulate matter. Fine particulate matter is defined as particles of air pollutants with an aerodynamic diameter less than 2.5 micrometers. The Environmental Public Health Tracking Network data come from the US Environmental Protection Agency's Air Quality System.</t>
  </si>
  <si>
    <t>February 2022</t>
  </si>
  <si>
    <t>Note: This is a measure of the percentage of children in a single birth cohort tested at least twice for lead before 36 months of age.</t>
  </si>
  <si>
    <t>January 2022</t>
  </si>
  <si>
    <t>Note: Three-year age-adjusted rates for counties and single-year age-adjusted rates for NYS and NYS excluding NYC are used in both the table and graph above.</t>
  </si>
  <si>
    <t>December 2021</t>
  </si>
  <si>
    <t>Note: Three-year age-adjusted rates.</t>
  </si>
  <si>
    <t>November 2021</t>
  </si>
  <si>
    <t>Note: Three-year averages are used for counties and single-year estimates are used for Mid-Hudson and NYS.</t>
  </si>
  <si>
    <t>October 2021</t>
  </si>
  <si>
    <t>Note: Three-year averages were used for counties, while single-year estimates were used for NYS and NYS excluding NYC.</t>
  </si>
  <si>
    <t>September 2021</t>
  </si>
  <si>
    <t>Note: Three-year averages are used for counties and single-year rates are used for NYS and NYS excluding NYC.</t>
  </si>
  <si>
    <t>August 2021</t>
  </si>
  <si>
    <t>Note: Trend data for incidence and mortality rates can be found on NYS Community Health Indicator Reports (CHIRS).</t>
  </si>
  <si>
    <t>July 2021</t>
  </si>
  <si>
    <t>Note: Two-year crude rates.</t>
  </si>
  <si>
    <t>Note: Y-axis does not begin at zero in order to clearly display trend lines.</t>
  </si>
  <si>
    <t>Note: Y-axis does not begin at zero in order to clearly display trend lines. Graduates include students who received a local diploma or a local diploma with Regents endorsement (Regents diploma). All students who received a Regents diploma (with or without Advanced Designation or Career and Technical Education endorsement) are included in the number of students with Regents diploma.</t>
  </si>
  <si>
    <t>Note: Only the crude rate for 2017-2019 is available for this measure.</t>
  </si>
  <si>
    <t>Note: The 2019 ED data in New York City may be incomplete and subject to change. Thus, the state rate may be underestimated and subject to change.</t>
  </si>
  <si>
    <t>Note: The rate for 2015 is excluded due to SPARCS data transitioning on October 1, 2015 from ICD-9-CM to ICD-10-CM diagnosis codes. Since ICD-9-CM and ICD-10-CM are not comparable, an annual rate for 2015 cannot be calculated, and data for 2016-and-forward should not be compared with data for 2014-and-prior. On the graph, the distinction is signified by a dotted line for ICD-9-CM years and a solid line for ICD-10-CM years.</t>
  </si>
  <si>
    <t>Note: 2021 population estimates not available. Rates determined with 2020 population estimates.</t>
  </si>
  <si>
    <t>Note: Data for Westchester provided by NYC Poison Center.</t>
  </si>
  <si>
    <t>Note: Data totals for 2020 are preliminary at the time of this report. </t>
  </si>
  <si>
    <t>Note: Domestic animals include dogs, cats, ferrets, horses, donkeys, mules, cattle, sheep, goats, and pigs.</t>
  </si>
  <si>
    <t>Note: Wild animals include bats, bears, bobcats, coyote, deer, fox, opossum, porcupine, rabbit, raccoon, rat, skunk, squirrel, weasel, woodchuck.</t>
  </si>
  <si>
    <t>Name</t>
  </si>
  <si>
    <t>Table/Figure/Both</t>
  </si>
  <si>
    <t xml:space="preserve">Object ID  </t>
  </si>
  <si>
    <t>Table Rules</t>
  </si>
  <si>
    <t xml:space="preserve">Enter Data </t>
  </si>
  <si>
    <t>County</t>
  </si>
  <si>
    <t>Total Population</t>
  </si>
  <si>
    <t>Percent of Mid-Hudson Region</t>
  </si>
  <si>
    <t>Percent of NYS</t>
  </si>
  <si>
    <t>Multilevel Headers</t>
  </si>
  <si>
    <t>Data Type</t>
  </si>
  <si>
    <t>Figure Rules</t>
  </si>
  <si>
    <t>Figure Type</t>
  </si>
  <si>
    <t>X Column</t>
  </si>
  <si>
    <t>Y Column</t>
  </si>
  <si>
    <t>X Axis Title</t>
  </si>
  <si>
    <t>Mid-Hudson</t>
  </si>
  <si>
    <t>Y Axis Title</t>
  </si>
  <si>
    <t>N/A</t>
  </si>
  <si>
    <t>Start at Zero</t>
  </si>
  <si>
    <t>Source Specifications</t>
  </si>
  <si>
    <t>Table ID</t>
  </si>
  <si>
    <t>URL</t>
  </si>
  <si>
    <t>Data Year</t>
  </si>
  <si>
    <t>Estimate Type</t>
  </si>
  <si>
    <t>Citation Month</t>
  </si>
  <si>
    <t>Citation Year</t>
  </si>
  <si>
    <t>Custom Text</t>
  </si>
  <si>
    <t>Note Specfications</t>
  </si>
  <si>
    <t>Male</t>
  </si>
  <si>
    <t>Female</t>
  </si>
  <si>
    <t>%</t>
  </si>
  <si>
    <t>NYS excl NYC</t>
  </si>
  <si>
    <t>NYS</t>
  </si>
  <si>
    <t>&lt;5 years</t>
  </si>
  <si>
    <t>5-9 years</t>
  </si>
  <si>
    <t>10-19 years</t>
  </si>
  <si>
    <t>20-29 years</t>
  </si>
  <si>
    <t>30-39 years</t>
  </si>
  <si>
    <t>40-49 years</t>
  </si>
  <si>
    <t>50-59 years</t>
  </si>
  <si>
    <t>60-69 years</t>
  </si>
  <si>
    <t>70-79 years</t>
  </si>
  <si>
    <t>&gt;80 years</t>
  </si>
  <si>
    <t>&lt;18 years</t>
  </si>
  <si>
    <t>Hispanic</t>
  </si>
  <si>
    <t>Non-Hispanic</t>
  </si>
  <si>
    <t>Non-Hispanic White</t>
  </si>
  <si>
    <t>Non-Hispanic Black or African American</t>
  </si>
  <si>
    <t>Non-Hispanic American Indian and Alaskan Native</t>
  </si>
  <si>
    <t>Non-Hispanic Asian</t>
  </si>
  <si>
    <t>Non-Hispanic Native Hawaiian and Other Pacific Islander</t>
  </si>
  <si>
    <t>Non-Hispanic Other</t>
  </si>
  <si>
    <t>Non-Hispanic Two or More Races</t>
  </si>
  <si>
    <t>Only English</t>
  </si>
  <si>
    <t>Language other than English</t>
  </si>
  <si>
    <t>Spanish</t>
  </si>
  <si>
    <t>Other Indo-European languages</t>
  </si>
  <si>
    <t>Asian and Pacific Islander languages</t>
  </si>
  <si>
    <t>Other languages</t>
  </si>
  <si>
    <t>Less than 9th grade</t>
  </si>
  <si>
    <t>9th to 12th grade, no diploma</t>
  </si>
  <si>
    <t>High school graduate or equivalent</t>
  </si>
  <si>
    <t>Some college, no degree</t>
  </si>
  <si>
    <t>Associate degree</t>
  </si>
  <si>
    <t>Bachelor's degree</t>
  </si>
  <si>
    <t>Graduate or professional degree</t>
  </si>
  <si>
    <t>N</t>
  </si>
  <si>
    <t>Households</t>
  </si>
  <si>
    <t>&lt;$10,000</t>
  </si>
  <si>
    <t>$10,000-$14,999</t>
  </si>
  <si>
    <t>$15,000-$24,999</t>
  </si>
  <si>
    <t>$25,000-$34,999</t>
  </si>
  <si>
    <t>$35,000-$49,999</t>
  </si>
  <si>
    <t>$50,000-$74,999</t>
  </si>
  <si>
    <t>$75,000-$99,999</t>
  </si>
  <si>
    <t>$100,000-$149,999</t>
  </si>
  <si>
    <t>$150,000-$199,999</t>
  </si>
  <si>
    <t>&gt;$200,000</t>
  </si>
  <si>
    <t>Civilian Population 18 Years and Older</t>
  </si>
  <si>
    <t>Civilian Veterans</t>
  </si>
  <si>
    <t>Total with Any Disability</t>
  </si>
  <si>
    <t>Hearing Difficulty</t>
  </si>
  <si>
    <t>Vision Difficulty</t>
  </si>
  <si>
    <t>Cognitive Difficulty</t>
  </si>
  <si>
    <t>Ambulatory Difficulty</t>
  </si>
  <si>
    <t>Independent Living Difficulty</t>
  </si>
  <si>
    <t>2017–2021</t>
  </si>
  <si>
    <t>2018–2022</t>
  </si>
  <si>
    <t>2019–2023</t>
  </si>
  <si>
    <t>Line</t>
  </si>
  <si>
    <t>Period</t>
  </si>
  <si>
    <t xml:space="preserve">
https://data.census.gov/table/ACSDP5Y2022.DP04?q=dp04&amp;g=050XX00US36105,36027,36071,36119,36087,36079,36111_04
0XX00US36</t>
  </si>
  <si>
    <r>
      <t>2021</t>
    </r>
    <r>
      <rPr>
        <sz val="11"/>
        <color theme="1"/>
        <rFont val="Aptos Narrow"/>
        <family val="2"/>
      </rPr>
      <t>–</t>
    </r>
    <r>
      <rPr>
        <sz val="11"/>
        <color theme="1"/>
        <rFont val="Calibri"/>
        <family val="2"/>
        <scheme val="minor"/>
      </rPr>
      <t>2023</t>
    </r>
  </si>
  <si>
    <t>April</t>
  </si>
  <si>
    <t>Note Specifications</t>
  </si>
  <si>
    <t>The American Community Survey asks respondents how many automobiles, vans, and trucks of one-ton capacity or less are kept at home for use by members of the household. 2023 ACS includes 2019–2023</t>
  </si>
  <si>
    <t>Drove Alone</t>
  </si>
  <si>
    <t>Carpooled</t>
  </si>
  <si>
    <t>Public transportation</t>
  </si>
  <si>
    <t>Walked</t>
  </si>
  <si>
    <t>Clustered Bar</t>
  </si>
  <si>
    <t>Taxicab, motorcycle, bicycle, or other means</t>
  </si>
  <si>
    <t>Category</t>
  </si>
  <si>
    <t>Worked from home</t>
  </si>
  <si>
    <t>https://data.census.gov/table/ACSDT5Y2023.B08141?q=b08141&amp;g=050XX00US36105,36027,36071,36119,36087,36079,3611 1_040XX00US36</t>
  </si>
  <si>
    <t>The American Community Survey asks respondents how they usually got to work last week. For respondents who use multiple
transportation modes they are restricted to the single method of transportation used for the longest distance. 2023 ACS includes 2019–2023</t>
  </si>
  <si>
    <t>Minutes</t>
  </si>
  <si>
    <t>https://data.census.gov/table/ACSDP5Y2023.DP03?q=DP03&amp;g=050XX00US36105,36027,36071,36119,36087,36079,36111_04 0XX00US36</t>
  </si>
  <si>
    <t>The American Community Survey asks respondents in the workforce how many minutes it usually takes them to get from home to work.
The travel time refers to a one-way trip on a typical day. This includes time spent waiting for public transportation, picking up passengers in
carpools, and time spent in other activities related to getting to work. Sullivan County and Ulster County do have the same data according
to the Census. 2023 ACS includes 2019–2023.</t>
  </si>
  <si>
    <t>Access to affordable, nutritious food</t>
  </si>
  <si>
    <t>Access to mental health providers</t>
  </si>
  <si>
    <t>Access to affordable, decent and safe housing</t>
  </si>
  <si>
    <t>Access to specialty services/providers</t>
  </si>
  <si>
    <t>Access to affordable, reliable transportation</t>
  </si>
  <si>
    <t>Access to affordable health insurance</t>
  </si>
  <si>
    <t>Access to medical providers</t>
  </si>
  <si>
    <t>Access to culturally sensitive health care providers</t>
  </si>
  <si>
    <t>Access to high quality education</t>
  </si>
  <si>
    <t>Access to clean water and non-polluted air</t>
  </si>
  <si>
    <t>Bar</t>
  </si>
  <si>
    <t>Knowledge of existing resources</t>
  </si>
  <si>
    <t>Health literacy</t>
  </si>
  <si>
    <t>Geographic location living in a rural area</t>
  </si>
  <si>
    <t>Having someone to help them understand their medical condition</t>
  </si>
  <si>
    <t>Having someone help them understand insurance</t>
  </si>
  <si>
    <t>Substance Use Disorder (SUD) or Alcohol Use Disorder (AUD)</t>
  </si>
  <si>
    <t>Geographic location- living in an urban area</t>
  </si>
  <si>
    <t>Attainment of education</t>
  </si>
  <si>
    <t>Having a safe place to play and/or exercise</t>
  </si>
  <si>
    <t>Quality of education</t>
  </si>
  <si>
    <t>Cultural customs</t>
  </si>
  <si>
    <t>Chronic Disease</t>
  </si>
  <si>
    <t>Health Disparities</t>
  </si>
  <si>
    <t>Mental Health and Substance Use Issues</t>
  </si>
  <si>
    <t>Maternal and Child Health Issues</t>
  </si>
  <si>
    <t>Environmental Factors</t>
  </si>
  <si>
    <t>Communicable Diseases</t>
  </si>
  <si>
    <t>Stacked Bar</t>
  </si>
  <si>
    <t>Economic</t>
  </si>
  <si>
    <t>Mental Wellbeing &amp; Substance Use</t>
  </si>
  <si>
    <t>Health Insurance Coverage &amp; Access to Care</t>
  </si>
  <si>
    <t>Safe &amp; Healthy Communities</t>
  </si>
  <si>
    <t>Healthy Children</t>
  </si>
  <si>
    <t>Pre K - Grade 12 Student Success &amp; Educational Attainment</t>
  </si>
  <si>
    <t>Poverty</t>
  </si>
  <si>
    <t>Unemployment</t>
  </si>
  <si>
    <t>Nutrition Security</t>
  </si>
  <si>
    <t xml:space="preserve">Housing Stability &amp; Affordability </t>
  </si>
  <si>
    <t>Anxiety &amp; Stress</t>
  </si>
  <si>
    <t>Suicide</t>
  </si>
  <si>
    <t>Depression</t>
  </si>
  <si>
    <t>Substance Use</t>
  </si>
  <si>
    <t>Adverse Childhood Experiences</t>
  </si>
  <si>
    <t>Healthy Eating</t>
  </si>
  <si>
    <t>Access To &amp; Use of Prenatal Care</t>
  </si>
  <si>
    <t>Prevention of Infant &amp; Maternal Mortality</t>
  </si>
  <si>
    <t>Preventive Services for Chronic Disease Prevention &amp; Control</t>
  </si>
  <si>
    <t>Oral Health Care</t>
  </si>
  <si>
    <t>Preventable injuries</t>
  </si>
  <si>
    <t>Asthma/lung disease</t>
  </si>
  <si>
    <t>Environmental hazards</t>
  </si>
  <si>
    <t>Safety</t>
  </si>
  <si>
    <t>Pregnancy associated health issues</t>
  </si>
  <si>
    <t>Communicable diseases and other infections</t>
  </si>
  <si>
    <t>Violence</t>
  </si>
  <si>
    <t>Heart Disease and Stroke</t>
  </si>
  <si>
    <t>Cancer</t>
  </si>
  <si>
    <t>Falls among the elderly</t>
  </si>
  <si>
    <t>Cognitive impairment</t>
  </si>
  <si>
    <t>Diabetes</t>
  </si>
  <si>
    <t>Women's health and wellness</t>
  </si>
  <si>
    <t>Smoking/tobacco/nicotine use</t>
  </si>
  <si>
    <t>Nutrition/eating habits</t>
  </si>
  <si>
    <t>Obesity/weight management issues</t>
  </si>
  <si>
    <t>Child health &amp; wellness</t>
  </si>
  <si>
    <t>Care for the elderly</t>
  </si>
  <si>
    <t>Substance Misuse</t>
  </si>
  <si>
    <t>Access to Healthcare Providers</t>
  </si>
  <si>
    <t>Mental Health</t>
  </si>
  <si>
    <t>Horizontal Bar</t>
  </si>
  <si>
    <t>Safer workplaces</t>
  </si>
  <si>
    <t>Safer places to walk/play</t>
  </si>
  <si>
    <t>Parks and recreation</t>
  </si>
  <si>
    <t>Breast feeding</t>
  </si>
  <si>
    <t>Weight management programs</t>
  </si>
  <si>
    <t>Smoking cessation programs</t>
  </si>
  <si>
    <t>Health insurance enrollment programs</t>
  </si>
  <si>
    <t>Clean air and water</t>
  </si>
  <si>
    <t>Improved childcare options</t>
  </si>
  <si>
    <t>Health screenings</t>
  </si>
  <si>
    <t>Investments in schools</t>
  </si>
  <si>
    <t>Improved homecare options</t>
  </si>
  <si>
    <t>Health education</t>
  </si>
  <si>
    <t>Access to healthier food</t>
  </si>
  <si>
    <t>Drugs and alcohol rehabilitation services</t>
  </si>
  <si>
    <t>Affordable Housing</t>
  </si>
  <si>
    <t>Access to transportation</t>
  </si>
  <si>
    <t>Mental health services</t>
  </si>
  <si>
    <t>Most Beneficial Health Screenings or Health Education Topics for Populations Served, Putnam County (n=128)</t>
  </si>
  <si>
    <t>Hepatitis C virus</t>
  </si>
  <si>
    <t>Eating disorders</t>
  </si>
  <si>
    <t>Antibiotic resistance</t>
  </si>
  <si>
    <t>Pedestrian/cyclist safety</t>
  </si>
  <si>
    <t>Cholesterol</t>
  </si>
  <si>
    <t>Breastfeeding</t>
  </si>
  <si>
    <t>Disease outbreak prevention</t>
  </si>
  <si>
    <t>Prenatal care</t>
  </si>
  <si>
    <t>Emergency preparedness</t>
  </si>
  <si>
    <t>Heart disease and stroke</t>
  </si>
  <si>
    <t>Environments to promote physical activity</t>
  </si>
  <si>
    <t>Nutrition</t>
  </si>
  <si>
    <t>Dental Screenings</t>
  </si>
  <si>
    <t>Exercise/physical activity</t>
  </si>
  <si>
    <t>Fall prevention for the elderly</t>
  </si>
  <si>
    <t>Blood pressure</t>
  </si>
  <si>
    <t>Food security</t>
  </si>
  <si>
    <t>Diabetes/pre-diabetes</t>
  </si>
  <si>
    <t>Drug and alcohol misuse</t>
  </si>
  <si>
    <t>Chronic disease management</t>
  </si>
  <si>
    <t>Mental health</t>
  </si>
  <si>
    <t>Lack of cultural/religious sensitive care</t>
  </si>
  <si>
    <t>Language barriers</t>
  </si>
  <si>
    <t>Misinformation/limited health literacy</t>
  </si>
  <si>
    <t>Don't know how to find provider</t>
  </si>
  <si>
    <t>Fear/hesitancy</t>
  </si>
  <si>
    <t>Lack of appointment availability</t>
  </si>
  <si>
    <t>Lack of transportation</t>
  </si>
  <si>
    <t>Cost</t>
  </si>
  <si>
    <t>Religious organizations</t>
  </si>
  <si>
    <t>Schools or colleges</t>
  </si>
  <si>
    <t>Workplace</t>
  </si>
  <si>
    <t>Online health sites</t>
  </si>
  <si>
    <t>Hospitals</t>
  </si>
  <si>
    <t>Health Departments</t>
  </si>
  <si>
    <t>Family or friends</t>
  </si>
  <si>
    <t>Doctors/healthcare providers</t>
  </si>
  <si>
    <t>Geographic locationliving in a rural area</t>
  </si>
  <si>
    <t>Both</t>
  </si>
  <si>
    <t>May</t>
  </si>
  <si>
    <t>Note: The percentage is age-adjusted. An adult is a person aged 18 years or older. The Behavioral Risk Factor Surveillance System asks respondents “During the past month, other than your regular job, did you participate in any physical activities or exercises such as running, calisthenics, golf, gardening, or walking for exercise?”</t>
  </si>
  <si>
    <t>Year</t>
  </si>
  <si>
    <t>39.2*</t>
  </si>
  <si>
    <t xml:space="preserve">
https://health.data.ny.gov/Health/Behavioral-Risk-Factor-Surveillance-System-BRFSS-H/jsy7-eb4n/data</t>
  </si>
  <si>
    <t>*: Percentage is unreliable due to large standard error.
Note: The percentage is age-adjusted. An adult is a person aged 18 years or older. The Behavioral Risk Factor Surveillance System asks
respondents “How often do you eat fruits, excluding juice?" and "How often do you eat vegetables or salad (excluding
juices and potatoes)?”</t>
  </si>
  <si>
    <t>Note: The percentage is age-adjusted. An adult is a person aged 18 years or older. The Behavioral Risk Factor Surveillance System asks
respondents "During the past 30 days, how often did you drink regular soda or pop that contains sugar? Do not include diet soda or diet
pop." and "During the past 30 days, how often did you drink sugar-sweetened fruit drinks (such as Kool-aid™ and lemonade), sweet tea,
and sports or energy drinks (such as Gatorade™ and Red Bull™)? Do not include 100% fruit juice, diet drinks, or artificially sweetened
drinks."</t>
  </si>
  <si>
    <t>All Deaths</t>
  </si>
  <si>
    <t>#1 Cause of Death</t>
  </si>
  <si>
    <t>#2 Cause of Death</t>
  </si>
  <si>
    <t>#3 Cause of Death</t>
  </si>
  <si>
    <t>#4 Cause of Death</t>
  </si>
  <si>
    <t>#5 Cause of Death</t>
  </si>
  <si>
    <t>Heart Disease</t>
  </si>
  <si>
    <t>Unintentional Injury</t>
  </si>
  <si>
    <t>COVID-19</t>
  </si>
  <si>
    <t>CLRD</t>
  </si>
  <si>
    <t>Count:</t>
  </si>
  <si>
    <t>Rate:</t>
  </si>
  <si>
    <t>Cerebrovascular Disease</t>
  </si>
  <si>
    <t>US</t>
  </si>
  <si>
    <t>2021</t>
  </si>
  <si>
    <t>2022</t>
  </si>
  <si>
    <t>2023</t>
  </si>
  <si>
    <t>Pivot For Chart</t>
  </si>
  <si>
    <t>True</t>
  </si>
  <si>
    <t>DP03</t>
  </si>
  <si>
    <t>https://data.census.gov/table/ACSDP5Y2023.DP03</t>
  </si>
  <si>
    <t>5-Year Estimates</t>
  </si>
  <si>
    <t>https://map.feedingamerica.org/district/2023/overall/new-york</t>
  </si>
  <si>
    <t>June</t>
  </si>
  <si>
    <t>Feeding America, June 2025</t>
  </si>
  <si>
    <t>DP04</t>
  </si>
  <si>
    <t>https://data.census.gov/table/ACSDP5Y2023.DP04</t>
  </si>
  <si>
    <t>2016–2020</t>
  </si>
  <si>
    <t>https://www.countyhealthrankings.org/</t>
  </si>
  <si>
    <t>County Health Rankings and Roadmaps, 2025</t>
  </si>
  <si>
    <t>Number of People</t>
  </si>
  <si>
    <t>https://www.huduser.gov/portal/datasets/assthsg.html</t>
  </si>
  <si>
    <t>July</t>
  </si>
  <si>
    <t>US Department of Housing and Urban Development, July 2025</t>
  </si>
  <si>
    <t>Size of family unit</t>
  </si>
  <si>
    <t>Related children under 18 years</t>
  </si>
  <si>
    <t>None</t>
  </si>
  <si>
    <t>One</t>
  </si>
  <si>
    <t>Two</t>
  </si>
  <si>
    <t>Three</t>
  </si>
  <si>
    <t>Four</t>
  </si>
  <si>
    <t>Five</t>
  </si>
  <si>
    <t>Six</t>
  </si>
  <si>
    <t>Seven</t>
  </si>
  <si>
    <t>Eight</t>
  </si>
  <si>
    <t>Nine or more</t>
  </si>
  <si>
    <t xml:space="preserve">One person (unrelated individual): </t>
  </si>
  <si>
    <t>Under age 65</t>
  </si>
  <si>
    <t>$16,320</t>
  </si>
  <si>
    <t>Aged 65 and older</t>
  </si>
  <si>
    <t>$15,045</t>
  </si>
  <si>
    <t xml:space="preserve">Two people: </t>
  </si>
  <si>
    <t>Householder under age 65</t>
  </si>
  <si>
    <t>$21,006</t>
  </si>
  <si>
    <t>$21,621</t>
  </si>
  <si>
    <t>Aged Householder aged 65 and older</t>
  </si>
  <si>
    <t>$18,961</t>
  </si>
  <si>
    <t>$21,540</t>
  </si>
  <si>
    <t>Three people</t>
  </si>
  <si>
    <t>$24,537</t>
  </si>
  <si>
    <t>$25,249</t>
  </si>
  <si>
    <t>$25,273</t>
  </si>
  <si>
    <t>Four people</t>
  </si>
  <si>
    <t>$32,355</t>
  </si>
  <si>
    <t>$32,884</t>
  </si>
  <si>
    <t>$31,812</t>
  </si>
  <si>
    <t>$31,922</t>
  </si>
  <si>
    <t>Five people</t>
  </si>
  <si>
    <t>$39,019</t>
  </si>
  <si>
    <t>$39,586</t>
  </si>
  <si>
    <t>$38,374</t>
  </si>
  <si>
    <t>$37,436</t>
  </si>
  <si>
    <t>$36,863</t>
  </si>
  <si>
    <t>Six people</t>
  </si>
  <si>
    <t>$44,879</t>
  </si>
  <si>
    <t>$45,057</t>
  </si>
  <si>
    <t>$44,128</t>
  </si>
  <si>
    <t>$43,238</t>
  </si>
  <si>
    <t>$41,915</t>
  </si>
  <si>
    <t>$41,131</t>
  </si>
  <si>
    <t>Seven people</t>
  </si>
  <si>
    <t>$51,638</t>
  </si>
  <si>
    <t>$51,961</t>
  </si>
  <si>
    <t>$50,849</t>
  </si>
  <si>
    <t>$50,075</t>
  </si>
  <si>
    <t>$48,631</t>
  </si>
  <si>
    <t>$46,948</t>
  </si>
  <si>
    <t>$45,100</t>
  </si>
  <si>
    <t>Eight people</t>
  </si>
  <si>
    <t>$57,753</t>
  </si>
  <si>
    <t>$58,263</t>
  </si>
  <si>
    <t>$57,215</t>
  </si>
  <si>
    <t>$56,296</t>
  </si>
  <si>
    <t>$54,992</t>
  </si>
  <si>
    <t>$53,337</t>
  </si>
  <si>
    <t>$51,614</t>
  </si>
  <si>
    <t>$51,177</t>
  </si>
  <si>
    <t>Nine people or more</t>
  </si>
  <si>
    <t>$69,473</t>
  </si>
  <si>
    <t>$69,810</t>
  </si>
  <si>
    <t>$68,882</t>
  </si>
  <si>
    <t>$68,102</t>
  </si>
  <si>
    <t>$66,822</t>
  </si>
  <si>
    <t>$65,062</t>
  </si>
  <si>
    <t>$63,469</t>
  </si>
  <si>
    <t>$63,075</t>
  </si>
  <si>
    <t>$60,645</t>
  </si>
  <si>
    <t>https://www.census.gov/data/tables/time-series/demo/income-poverty/historical-poverty-thresholds.html</t>
  </si>
  <si>
    <t>US Census Bureau, 2024 Poverty Thresholds, April 2025</t>
  </si>
  <si>
    <t>S1701</t>
  </si>
  <si>
    <t>https://data.census.gov/table/ACSST5Y2023.S1701</t>
  </si>
  <si>
    <t>White (non-Hispanic)</t>
  </si>
  <si>
    <t>Black (including Hispanic)</t>
  </si>
  <si>
    <t>7.5*</t>
  </si>
  <si>
    <t>10.3*</t>
  </si>
  <si>
    <t>23.4*</t>
  </si>
  <si>
    <t>1.8*</t>
  </si>
  <si>
    <t>13.3*</t>
  </si>
  <si>
    <t>4.8*</t>
  </si>
  <si>
    <t>Hispanic (any race)</t>
  </si>
  <si>
    <t>Total</t>
  </si>
  <si>
    <t>White (non-Hispanic),Black (including Hispanic),Asian (including Hispanic, excluding PI),Hispanic (any race),Total</t>
  </si>
  <si>
    <t>S1702</t>
  </si>
  <si>
    <t>https://data.census.gov/table/ACSST5Y2023.S1702</t>
  </si>
  <si>
    <t>2021-2022</t>
  </si>
  <si>
    <t>2022-2023</t>
  </si>
  <si>
    <t>2023-2024</t>
  </si>
  <si>
    <t>https://data.nysed.gov/</t>
  </si>
  <si>
    <t>NYS Education Department, April 2025</t>
  </si>
  <si>
    <t>Single Adult</t>
  </si>
  <si>
    <t>One Adult, One Child</t>
  </si>
  <si>
    <t>One Adult, One in Child Care</t>
  </si>
  <si>
    <t>Two Adults</t>
  </si>
  <si>
    <t>Two Adults, Two Children</t>
  </si>
  <si>
    <t>Two Adults, Two in Child Care</t>
  </si>
  <si>
    <t>Single Adult 65+</t>
  </si>
  <si>
    <t>Two Adults 65+</t>
  </si>
  <si>
    <t>Housing</t>
  </si>
  <si>
    <t>Child Care</t>
  </si>
  <si>
    <t>Food</t>
  </si>
  <si>
    <t>Transportation</t>
  </si>
  <si>
    <t>Health Care</t>
  </si>
  <si>
    <t>Technology</t>
  </si>
  <si>
    <t>Miscellaneous</t>
  </si>
  <si>
    <t>Taxes</t>
  </si>
  <si>
    <t>Monthly Total</t>
  </si>
  <si>
    <t>ANNUAL TOTAL</t>
  </si>
  <si>
    <t>Hourly Wage</t>
  </si>
  <si>
    <t>https://www.unitedforalice.org/county-reports/new-york</t>
  </si>
  <si>
    <t>United For ALICE, 2023 County Reports, April 2025</t>
  </si>
  <si>
    <t>ALICE</t>
  </si>
  <si>
    <t>Above ALICE Threshold</t>
  </si>
  <si>
    <t>https://data.nysed.gov/gradrate.php</t>
  </si>
  <si>
    <t>NYS Education Department, Graduation Rate Data, April 2025</t>
  </si>
  <si>
    <t>Black or African American</t>
  </si>
  <si>
    <t>White</t>
  </si>
  <si>
    <t>Multiracial</t>
  </si>
  <si>
    <t>Associate's degree</t>
  </si>
  <si>
    <t>Education Level</t>
  </si>
  <si>
    <t>S1501</t>
  </si>
  <si>
    <t>https://data.census.gov/table/ACSST5Y2023.S1501</t>
  </si>
  <si>
    <t>S1601</t>
  </si>
  <si>
    <t>https://data.census.gov/table/ACSST5Y2023.S1601</t>
  </si>
  <si>
    <t>2014–2018</t>
  </si>
  <si>
    <t>2015–2019</t>
  </si>
  <si>
    <t>S1401</t>
  </si>
  <si>
    <t>https://data.census.gov/table/ACSST5Y2023.S1401</t>
  </si>
  <si>
    <t>2013-2017</t>
  </si>
  <si>
    <t>5.0*</t>
  </si>
  <si>
    <t>Area Name</t>
  </si>
  <si>
    <t>Designation Type</t>
  </si>
  <si>
    <t>IMU Score</t>
  </si>
  <si>
    <t>Designation Date</t>
  </si>
  <si>
    <t>Low Income - Poughkeepsie</t>
  </si>
  <si>
    <t>MUP Low Income</t>
  </si>
  <si>
    <t>Migrant &amp; Seasonal Farm Worker - East Dutchess</t>
  </si>
  <si>
    <t>Medicaid Eligible and Medically Indigent - Beacon Service Area</t>
  </si>
  <si>
    <t>MUP Other Population Governor's Exception</t>
  </si>
  <si>
    <t>Orange County Service Area</t>
  </si>
  <si>
    <t>Medically Underserved Area</t>
  </si>
  <si>
    <t>Village of Walden Service Area</t>
  </si>
  <si>
    <t>Village of Kiryas Joel Service Area</t>
  </si>
  <si>
    <t>Low Income - Middletown Service Area</t>
  </si>
  <si>
    <t>Village of New Square Service Area</t>
  </si>
  <si>
    <t>Low Income - Haverstraw</t>
  </si>
  <si>
    <t>Low Income - Western Sullivan Service Area</t>
  </si>
  <si>
    <t>Low Income - Monticello</t>
  </si>
  <si>
    <t>Sullivan and Ulster</t>
  </si>
  <si>
    <t>Low Income - Wawarsing/Fallsburg Service Area</t>
  </si>
  <si>
    <t>Plattekill Town - County</t>
  </si>
  <si>
    <t>Westchester Service Area - Elmsford</t>
  </si>
  <si>
    <t>Westchester Service Area - Mount Vernon</t>
  </si>
  <si>
    <t>Low Income - Mount Kisco</t>
  </si>
  <si>
    <t>Westchester Service Area - Peekskill</t>
  </si>
  <si>
    <t>Medicaid Eligible and Medically Indigent - Port Chester</t>
  </si>
  <si>
    <t>Westchester Service Area - Yonkers</t>
  </si>
  <si>
    <t>1,500:1</t>
  </si>
  <si>
    <t>1,450:1</t>
  </si>
  <si>
    <t>2,090:1</t>
  </si>
  <si>
    <t>1,100:1</t>
  </si>
  <si>
    <t>2,900:1</t>
  </si>
  <si>
    <t>1,480:1</t>
  </si>
  <si>
    <t>720:1</t>
  </si>
  <si>
    <t>1,180:1</t>
  </si>
  <si>
    <t>1,440:1</t>
  </si>
  <si>
    <t>1,970:1</t>
  </si>
  <si>
    <t>1,130:1</t>
  </si>
  <si>
    <t>2,710:1</t>
  </si>
  <si>
    <t>840:1</t>
  </si>
  <si>
    <t>1,170:1</t>
  </si>
  <si>
    <t>1,410:1</t>
  </si>
  <si>
    <t>1,880:1</t>
  </si>
  <si>
    <t>3,070:1</t>
  </si>
  <si>
    <t>1,680:1</t>
  </si>
  <si>
    <t>760:1</t>
  </si>
  <si>
    <t>1,240:1</t>
  </si>
  <si>
    <t>1,370:1</t>
  </si>
  <si>
    <t>1,420:1</t>
  </si>
  <si>
    <t>1,670:1</t>
  </si>
  <si>
    <t>980:1</t>
  </si>
  <si>
    <t>2,430:1</t>
  </si>
  <si>
    <t>1,570:1</t>
  </si>
  <si>
    <t>890:1</t>
  </si>
  <si>
    <t>1,380:1</t>
  </si>
  <si>
    <t>1,460:1</t>
  </si>
  <si>
    <t>1,700:1</t>
  </si>
  <si>
    <t>1,020:1</t>
  </si>
  <si>
    <t>2,370:1</t>
  </si>
  <si>
    <t>900:1</t>
  </si>
  <si>
    <t>1,190:1</t>
  </si>
  <si>
    <t>1,490:1</t>
  </si>
  <si>
    <t>1,660:1</t>
  </si>
  <si>
    <t>1,060:1</t>
  </si>
  <si>
    <t>2,490:1</t>
  </si>
  <si>
    <t>930:1</t>
  </si>
  <si>
    <t>1,220:1</t>
  </si>
  <si>
    <t>1,400:1</t>
  </si>
  <si>
    <t>1,610:1</t>
  </si>
  <si>
    <t>2,410:1</t>
  </si>
  <si>
    <t>1,470:1</t>
  </si>
  <si>
    <t>910:1</t>
  </si>
  <si>
    <t>1,200:1</t>
  </si>
  <si>
    <t>320:1</t>
  </si>
  <si>
    <t>390:1</t>
  </si>
  <si>
    <t>260:1</t>
  </si>
  <si>
    <t>340:1</t>
  </si>
  <si>
    <t>510:1</t>
  </si>
  <si>
    <t>270:1</t>
  </si>
  <si>
    <t>230:1</t>
  </si>
  <si>
    <t>310:1</t>
  </si>
  <si>
    <t>240:1</t>
  </si>
  <si>
    <t>330:1</t>
  </si>
  <si>
    <t>490:1</t>
  </si>
  <si>
    <t>300:1</t>
  </si>
  <si>
    <t>370:1</t>
  </si>
  <si>
    <t>450:1</t>
  </si>
  <si>
    <t>250:1</t>
  </si>
  <si>
    <t>220:1</t>
  </si>
  <si>
    <t>280:1</t>
  </si>
  <si>
    <t>290:1</t>
  </si>
  <si>
    <t>350:1</t>
  </si>
  <si>
    <t>210:1</t>
  </si>
  <si>
    <t>200:1</t>
  </si>
  <si>
    <t>2020–2022</t>
  </si>
  <si>
    <t>tbl-pph-black-white-nh</t>
  </si>
  <si>
    <t>tbl-pph</t>
  </si>
  <si>
    <t>tbl-pph-white-nh</t>
  </si>
  <si>
    <t>fig-pph</t>
  </si>
  <si>
    <t>fig-pph-black-white-nh</t>
  </si>
  <si>
    <t>fig-pph-white-nh</t>
  </si>
  <si>
    <t>Note: Y-axis does not begin at zero in order to clearly display trend lines. The American Community Survey asks respondents if they have worked in the past week. If the answer is no, they are asked why they are not working. For those who are not working, they are asked whether they plan to return to work, and when they last worked. Labor Force refers to the total number of people who are either employed or unemployed and actively seeking work, plus members of the US Armed Forces.</t>
  </si>
  <si>
    <t>fig-five-lead-death</t>
  </si>
  <si>
    <t>tbl-premature-death-percent-diff-BNHvsWNH</t>
  </si>
  <si>
    <t>tbl-premature-death-percent-diff-HvsWNH</t>
  </si>
  <si>
    <t>tbl-five-lead-death-aar</t>
  </si>
  <si>
    <t>tbl-clrd-hospital-aar</t>
  </si>
  <si>
    <t>tbl-clrd-mortal-aar</t>
  </si>
  <si>
    <t>tbl-clrd-mortal-rande-aar</t>
  </si>
  <si>
    <t>tbl-brfss-adult-asthma</t>
  </si>
  <si>
    <t>tbl-asthma-hopsital-aar</t>
  </si>
  <si>
    <t>tbl-asthma-hopsital-rande-aar</t>
  </si>
  <si>
    <t>tbl-premature-death-percent</t>
  </si>
  <si>
    <t>tbl-adult-cardiovasdz-percent</t>
  </si>
  <si>
    <t>tbl-cardiovasdz-hospi-aar</t>
  </si>
  <si>
    <t>tbl-cardiovasdz-mortal-aar</t>
  </si>
  <si>
    <t>tbl-adult-highbp-mddx-percent</t>
  </si>
  <si>
    <t>tbl-clrd-hospital-rande-aar</t>
  </si>
  <si>
    <t>tbl-heartattack-hospital-aar</t>
  </si>
  <si>
    <t>tbl-congheartfail-mortal-aar</t>
  </si>
  <si>
    <t>tbl-mddx-predm-dm-percent</t>
  </si>
  <si>
    <t>tbl-dm-hospital-aar</t>
  </si>
  <si>
    <t>tbl-dm-hospital-rande-aar</t>
  </si>
  <si>
    <t>tbl-highbs-dm-percent</t>
  </si>
  <si>
    <t>tbl-dm-mortal-aar</t>
  </si>
  <si>
    <t>tbl-dm-mortal-rande-aar</t>
  </si>
  <si>
    <t>tbl-adult-oando-percent</t>
  </si>
  <si>
    <t>tbl-adult-obese-percent</t>
  </si>
  <si>
    <t>tbl-0to17-asthma-ed-rate</t>
  </si>
  <si>
    <t>tbl-child-oando-percent</t>
  </si>
  <si>
    <t>tbl-cirrhosis-hospital-aar</t>
  </si>
  <si>
    <t>-42.1*</t>
  </si>
  <si>
    <t>-21.2*</t>
  </si>
  <si>
    <t>-21.9</t>
  </si>
  <si>
    <t>69.1</t>
  </si>
  <si>
    <t>-12.3</t>
  </si>
  <si>
    <t>53.9</t>
  </si>
  <si>
    <t>154.3</t>
  </si>
  <si>
    <t>82.3</t>
  </si>
  <si>
    <t>102.7</t>
  </si>
  <si>
    <t>71.1</t>
  </si>
  <si>
    <t>21.7</t>
  </si>
  <si>
    <t>NYS Prevention Agenda Tracking Dashboard, August 2025 sourced from NY Statewide Planning and Research Cooperative System https://apps.health.ny.gov/public/tabvis/PHIG_Public/pa/reports/#county</t>
  </si>
  <si>
    <t>Source: NYS Prevention Agenda Tracking Dashboard, July 2025 sourced from NY Statewide Planning and Research Cooperative
System https://apps.health.ny.gov/public/tabvis/PHIG_Public/pa/reports/#county</t>
  </si>
  <si>
    <t>-1.0</t>
  </si>
  <si>
    <t>-7.7</t>
  </si>
  <si>
    <t>-20.8</t>
  </si>
  <si>
    <t>12.2</t>
  </si>
  <si>
    <t>0.8</t>
  </si>
  <si>
    <t>-3.0</t>
  </si>
  <si>
    <t>8.2</t>
  </si>
  <si>
    <t>-0.8</t>
  </si>
  <si>
    <t>7.1</t>
  </si>
  <si>
    <t>Source: University of Wisconsin Population Health Institute. County Health Rankings &amp; Roadmaps, July 2025 sourced from US
Department of Agriculture - Food Environment Atlas and Feeding America - Map the Meal Gap
https://www.countyhealthrankings.org/health-data/new-york?year=2025&amp;measure=Food+Environment+Index&amp;tab=1</t>
  </si>
  <si>
    <t>Source: NYS Division of Criminal Justice Services, Uniform Crime and Incident-Based Reporting System, July 2025
https://www.criminaljustice.ny.gov/crimnet/ojsa/countycrimestats.htm</t>
  </si>
  <si>
    <t>180.7</t>
  </si>
  <si>
    <t>192.4</t>
  </si>
  <si>
    <t>48.5</t>
  </si>
  <si>
    <t>97.9</t>
  </si>
  <si>
    <t>168.8</t>
  </si>
  <si>
    <t>130.9</t>
  </si>
  <si>
    <t>151.5</t>
  </si>
  <si>
    <t>201.3</t>
  </si>
  <si>
    <t>384.4</t>
  </si>
  <si>
    <t>Micrograms per Cubic Meter</t>
  </si>
  <si>
    <t>Source: University of Wisconsin Population Health Institute. County Health Rankings &amp; Roadmaps, July 2025 sourced from US Environmental Protection Agency's Air Quality System - Environmental Public Health Tracking Network https://www.countyhealthrankings.org/health-data/new-york?year=2025&amp;measure=Air+Pollution%3A+Particulate+Matter&amp;tab=1</t>
  </si>
  <si>
    <t>8.3</t>
  </si>
  <si>
    <t>8.1</t>
  </si>
  <si>
    <t>8.4</t>
  </si>
  <si>
    <t>6.9</t>
  </si>
  <si>
    <t>8.0</t>
  </si>
  <si>
    <t>8.8</t>
  </si>
  <si>
    <t>Source: NYS Community Health Indicator Reports Dashboard, July 2025 sourced from NYS Child Health Lead Poisoning Prevention Program https://apps.health.ny.gov/public/tabvis/PHIG_Public/chirs/reports/#county</t>
  </si>
  <si>
    <t>53.3</t>
  </si>
  <si>
    <t>41.4</t>
  </si>
  <si>
    <t>58.0</t>
  </si>
  <si>
    <t>43.8</t>
  </si>
  <si>
    <t>36.6</t>
  </si>
  <si>
    <t>49.5</t>
  </si>
  <si>
    <t>60.2</t>
  </si>
  <si>
    <t>50.9</t>
  </si>
  <si>
    <t>59.3</t>
  </si>
  <si>
    <t>Source: University of Wisconsin Population Health Institute. County Health Rankings &amp; Roadmaps, July 2025 sourced from US Census Bureau, Comprehensive Housing Affordability Strategy data https://www.countyhealthrankings.org/health-data/newyork?year=2025&amp;measure=Severe+Housing+Problems&amp;tab=1https%3A%2F%2Fwebbi1.health.ny.gov%2FSASStoredProcess%2Fguest %3F_program%3D%2FEBI%2FPHIG%2Fapps%2Fchir_dashboard%2Fchir_dashboard&amp;p=it&amp;ind_id=Cg27</t>
  </si>
  <si>
    <t>Source: US Census Bureau; American Community Survey, 2023 American Community Survey 5-Year Estimates, Table DP04, April 2025 https://data.census.gov/table/ACSDP5Y2022.DP04?q=dp04&amp;g=050XX00US36105,36027,36071,36119,36087,36079,36111_04 0XX00US36</t>
  </si>
  <si>
    <t>Source: US Census Bureau; American Community Survey, 2023 American Community Survey 5-Year Estimates, Table B08141, April 2025 https://data.census.gov/table/ACSDT5Y2023.B08141?q=b08141&amp;g=050XX00US36105,36027,36071,36119,36087,36079,3611 1_040XX00US36</t>
  </si>
  <si>
    <t>66.6</t>
  </si>
  <si>
    <t>8.5</t>
  </si>
  <si>
    <t>6.2</t>
  </si>
  <si>
    <t>3.1</t>
  </si>
  <si>
    <t>2.8</t>
  </si>
  <si>
    <t>12.7</t>
  </si>
  <si>
    <t>74.1</t>
  </si>
  <si>
    <t>1.2</t>
  </si>
  <si>
    <t>2.4</t>
  </si>
  <si>
    <t>1.9</t>
  </si>
  <si>
    <t>11.6</t>
  </si>
  <si>
    <t>71.7</t>
  </si>
  <si>
    <t>6.7</t>
  </si>
  <si>
    <t>2.1</t>
  </si>
  <si>
    <t>1.8</t>
  </si>
  <si>
    <t>15.3</t>
  </si>
  <si>
    <t>51.9</t>
  </si>
  <si>
    <t>7.2</t>
  </si>
  <si>
    <t>17.8</t>
  </si>
  <si>
    <t>3.7</t>
  </si>
  <si>
    <t>17.3</t>
  </si>
  <si>
    <t>50.0</t>
  </si>
  <si>
    <t>6.3</t>
  </si>
  <si>
    <t>22.4</t>
  </si>
  <si>
    <t>5.3</t>
  </si>
  <si>
    <t>2.6</t>
  </si>
  <si>
    <t>13.3</t>
  </si>
  <si>
    <t>Source: US Census Bureau; American Community Survey, 2023 American Community Survey 5-Year Estimates, Table DP03, April 2025 https://data.census.gov/table/ACSDP5Y2023.DP03?q=DP03&amp;g=050XX00US36105,36027,36071,36119,36087,36079,36111_04 0XX00US36</t>
  </si>
  <si>
    <t>tbl-assault-hospital-aar</t>
  </si>
  <si>
    <t>tbl-oddeath-anydrug-crude-rate</t>
  </si>
  <si>
    <t>tbl-edvisits-anyopioidod-aar</t>
  </si>
  <si>
    <t>tbl-hospdisch-anyopioidod-aar</t>
  </si>
  <si>
    <t>tbl-allca-incident-mortal-sex-aar</t>
  </si>
  <si>
    <t>tbl-colonrectca-incident-mortal-sex-aar</t>
  </si>
  <si>
    <t>tbl-colonrectca-incident-mortal-aar</t>
  </si>
  <si>
    <t>tbl-colorectalca-incidence-rande-aar</t>
  </si>
  <si>
    <t>tbl-lungca-incidence-rande-aar</t>
  </si>
  <si>
    <t>tbl-male-prostateca-incidence-mortal-aar</t>
  </si>
  <si>
    <t>tbl-female-breastca-incidence-mortal-aar</t>
  </si>
  <si>
    <t>tbl-cervutca-incident-mortal-aar</t>
  </si>
  <si>
    <t>tbl-adult-50to64-colorectalca-screening-percent</t>
  </si>
  <si>
    <t>tbl-24to35mo-child-vaccine-series-percent</t>
  </si>
  <si>
    <t>tbl-adult-flu-immi-lastyear-percent</t>
  </si>
  <si>
    <t>tbl-13yo+-hpv-vaccine-complete-percent</t>
  </si>
  <si>
    <t>tbl-65+-pneumo-immi-percent</t>
  </si>
  <si>
    <t>tbl-hiv-incident-aar</t>
  </si>
  <si>
    <t>tbl-gono-incident-aar</t>
  </si>
  <si>
    <t>tbl-smoke-risk</t>
  </si>
  <si>
    <t>tbl-rabies-test-wild</t>
  </si>
  <si>
    <t>tbl-rabies-test-domestic</t>
  </si>
  <si>
    <t>tbl-babesiosis</t>
  </si>
  <si>
    <t>tbl-anaplasmosis</t>
  </si>
  <si>
    <t>tbl-lyme-disease</t>
  </si>
  <si>
    <t>tbl-syph-early-aar</t>
  </si>
  <si>
    <t>Column1</t>
  </si>
  <si>
    <t xml:space="preserve">*: The rate is unstable.
Note: Premature death includes deaths occurring before the age of 65. The percentage of premature deaths is calculated for both Black
non-Hispanics and White non-Hispanics. Then, the difference is the Black non-Hispanic rate minus the White non-Hispanic rate. </t>
  </si>
  <si>
    <t>Source: NYS Prevention Agenda Tracking Dashboard, March 2025 sourced from Vital Statistics of NYS https://apps.health.ny.gov/public/tabvis/PHIG_Public/pa/</t>
  </si>
  <si>
    <t>32.4*</t>
  </si>
  <si>
    <t>22.3*</t>
  </si>
  <si>
    <t>1.9*</t>
  </si>
  <si>
    <t>16.7*</t>
  </si>
  <si>
    <t>Note: Premature death includes deaths occurring before the age of 65. The percentage of premature deaths is calculated for Hispanics and
White non-Hispanics. Then, the difference is the Hispanic rate minus the White non-Hispanic rate.</t>
  </si>
  <si>
    <t>Percentage of Food Insecurity, Children 18 Years and Younger, 2020–2023</t>
  </si>
  <si>
    <t>Coronary Heart Disease Hospitalization, Age-Adjusted Rate per 10,000, 2021</t>
  </si>
  <si>
    <t>Heart Attack, Age-Adjusted Hospitalization Rate per 10,000 population, 2021</t>
  </si>
  <si>
    <t>Note: The 2018 population estimates are also used to calculate 2019 and 2020 rates. The ICD-10 codes for CLRD are: J40-J47</t>
  </si>
  <si>
    <t>Source: NYS Community Health Indicator Reports Dashboard, June 2025 sourced from NY Statewide Planning and Research Cooperative System https://apps.health.ny.gov/public/tabvis/PHIG_Public/chirs/reports/#county</t>
  </si>
  <si>
    <t>tbl-lbw-percent</t>
  </si>
  <si>
    <t>tbl-lbw-rande-percent</t>
  </si>
  <si>
    <t>Group</t>
  </si>
  <si>
    <t>Non-Hispanic Black</t>
  </si>
  <si>
    <t>Non-Hispanic Asian/Pacific Islander</t>
  </si>
  <si>
    <t>tbl-adult-currsmoke-percent</t>
  </si>
  <si>
    <t>tbl-adult-cigsmoke-poormh-percent</t>
  </si>
  <si>
    <t>tbl-adult-bingedrink-percent</t>
  </si>
  <si>
    <t>s: Data are suppressed due to not meeting confidentiality criteria.
Note: The ICD-10-CM codes for CLRD are: J40-J47.</t>
  </si>
  <si>
    <t>Source: NYS County Health Indicators by Race and Ethnicity Dashboard, June 2025 sourced from NY Statewide Planning and Research
Cooperative System
https://www.health.ny.gov/statistics/community/minority/county/orange.htm</t>
  </si>
  <si>
    <t>Source: NYS County Health Indicators by Race and Ethnicity Dashboard, June 2025 sourced from NY Statewide Planning and Research Cooperative System https://www.health.ny.gov/statistics/community/minority/county/orange.htm</t>
  </si>
  <si>
    <t>tbl-adult-medical-care-cost</t>
  </si>
  <si>
    <t>tbl-adult-access-primary-care</t>
  </si>
  <si>
    <t>tbl-BRFSS-adult-leisure-PA</t>
  </si>
  <si>
    <t>tbl-BRFSS-adult-fruit-veg</t>
  </si>
  <si>
    <t>tbl-BRFSS-adult-sug-bev</t>
  </si>
  <si>
    <t>tbl-child-under5-poison-control</t>
  </si>
  <si>
    <t>Source: NYS County Health Indicators by Race and Ethnicity Dashboard, June 2025 sourced from Vital Statistics of NYS
https://www.health.ny.gov/statistics/community/minority/county/orange.htm</t>
  </si>
  <si>
    <t>Note: The percentage is age-adjusted. An adult is a person aged 18 years or older. The Behavioral Risk Factor Surveillance System asks
respondents, “Has a doctor, nurse, or other health professional ever told you had asthma?” and “Do you still have asthma?”</t>
  </si>
  <si>
    <t>tbl-mva-mortal-rate</t>
  </si>
  <si>
    <t>tbl-mva-alcohol-injury-death-crude</t>
  </si>
  <si>
    <t>tbl-poison-control-cannabis</t>
  </si>
  <si>
    <t>tbl-poison-control-calls</t>
  </si>
  <si>
    <t>tbl-mva-mortal-rande-aar</t>
  </si>
  <si>
    <t>tbl-85+-falls-hospital</t>
  </si>
  <si>
    <t>tbl-mortal-homicide-aar</t>
  </si>
  <si>
    <t>tbl-dv-victim-rate</t>
  </si>
  <si>
    <t>tbl-unint-injury-mortal-aar</t>
  </si>
  <si>
    <t>tbl-0to4-hosp-asthma-gastor-om-pnu-rate</t>
  </si>
  <si>
    <t>tbl-suicide-mortal-aar</t>
  </si>
  <si>
    <t>tbl-15to19-suicide-mortal-crude</t>
  </si>
  <si>
    <t>tbl-at-least-1-bup-aar</t>
  </si>
  <si>
    <t>Note: The 2018 population estimates are also used to calculate 2019 and 2020 rates. The ICD-10 code for asthma is: J45.</t>
  </si>
  <si>
    <t>tbl-opioid-analgesic-rx-aar</t>
  </si>
  <si>
    <t>Source: NYS Community Health Indicator Reports Dashboard, June 2025 sourced from NY Statewide Planning and Research
Cooperative System
https://webbi1.health.ny.gov/SASStoredProcess/guest?_program=%2FEBI%2FPHIG%2Fapps%2Fchir_dashboard%2Fchir_dashboard&amp;
p=ch&amp;cos=33</t>
  </si>
  <si>
    <t>tbl-maternal-mortal-rate</t>
  </si>
  <si>
    <t>tbl-medicaid-1dental-visit-percent</t>
  </si>
  <si>
    <t>tbl-medicaid-dental-past12-percent</t>
  </si>
  <si>
    <t>tbl-adult-poormh-14ormore-percent</t>
  </si>
  <si>
    <t>*: The rate is unstable.
s: Data are suppressed due to not meeting confidentiality criteria.
Note: The ICD-10-CM code used for asthma is: J45.</t>
  </si>
  <si>
    <t>tbl-adult-depressive-do-percent</t>
  </si>
  <si>
    <t>0.0*</t>
  </si>
  <si>
    <t>tbl-ed-visit-opioid-aar</t>
  </si>
  <si>
    <t>tbl-hospital-dc-opioid-aar</t>
  </si>
  <si>
    <t>tbl-treat-prog-opioid-crude</t>
  </si>
  <si>
    <t>† 2023 data not available for Mid-Hudson
Note: The 2018 population estimates are used to calculate rates for 2019 and 2020. Population estimates for 2021 and later are from the
US Census Bureau's most recently published estimates. Changes seen in 2020 and subsequent data years are possibly due to impacts of the
COVID-19 pandemic. The ICD-10 code for asthma is: J45.</t>
  </si>
  <si>
    <t>tbl-treat-prog-alcohol-crude</t>
  </si>
  <si>
    <t>Source: NYS Asthma Dashboard, June 2025 sourced from NY Statewide Planning and Research Cooperative System
https://apps.health.ny.gov/public/tabvis/PHIG_Public/asthma/reports/#county</t>
  </si>
  <si>
    <t>Objective</t>
  </si>
  <si>
    <t>tbl-OD-anyopioid-crude</t>
  </si>
  <si>
    <t>†</t>
  </si>
  <si>
    <t>tbl-OD-multiple-opioid-aar</t>
  </si>
  <si>
    <t>tbl-18to64-anyop-od-crude</t>
  </si>
  <si>
    <t>tbl-18to64-heroin-od-crude</t>
  </si>
  <si>
    <t>tbl-18to64-opioid-pain-crude</t>
  </si>
  <si>
    <t xml:space="preserve">Note: The percentage is age-adjusted. An adult is a person aged 18 years or older. The Behavioral Risk Factor Surveillance System asks
respondents "Has a doctor, nurse, or other health professional ever told you that you had any of the following:” and “Ever told you that you
had a heart attack also called a myocardial infarction?” and “Ever told you that you had angina or coronary heart disease?” Based on
responses to these questions, a person has Cardiovascular Disease if they responded yes to either of these questions. </t>
  </si>
  <si>
    <t>Source: NYS Community Health Indicator Reports Dashboard, April 2025 sourced from NYSDOH Behavioral Risk Factor Surveillance
System
https://webbi1.health.ny.gov/SASStoredProcess/guest?_program=%2FEBI%2FPHIG%2Fapps%2Fchir_dashboard%2Fchir_dashboard&amp;
p=ch&amp;cos=33</t>
  </si>
  <si>
    <t>tbl-hospital-exclusive-bf-percent</t>
  </si>
  <si>
    <t>tbl-financial-coverage-liveb-percent</t>
  </si>
  <si>
    <t>tbl-15to19-teenpreg-rate</t>
  </si>
  <si>
    <t>tbl-15to44-preg-rate</t>
  </si>
  <si>
    <t>tbl-epc-rande-percent</t>
  </si>
  <si>
    <t>tbl-late-no-pnc-percent</t>
  </si>
  <si>
    <t>tbl-early-pnc-percent</t>
  </si>
  <si>
    <t>tbl-early-late-no-pnc-percent</t>
  </si>
  <si>
    <t>tbl-rabies-pep-rate</t>
  </si>
  <si>
    <t>tbl-chlamy-incident-aar</t>
  </si>
  <si>
    <t>tbl-17+-teenpreg-rande-rate</t>
  </si>
  <si>
    <t>tbl-infant-mortal-rate</t>
  </si>
  <si>
    <t>2019–2021</t>
  </si>
  <si>
    <t>Note: The ICD-10 codes used for cardiovascular disease are: I00-I99.</t>
  </si>
  <si>
    <t>Source: NYS Community Health Indicator Reports Dashboard, March 2025 sourced from NY Statewide Planning and Research
Cooperative System
https://webbi1.health.ny.gov/SASStoredProcess/guest?_program=%2FEBI%2FPHIG%2Fapps%2Fchir_dashboard%2Fchir_dashboard&amp;
p=ch&amp;cos=33</t>
  </si>
  <si>
    <t>Source: NYS Community Health Indicator Reports Dashboard, March 2025 sourced from Vital Statistics of NYS
https://webbi1.health.ny.gov/SASStoredProcess/guest?_program=%2FEBI%2FPHIG%2Fapps%2Fchir_dashboard%2Fchir_dashboard&amp;
p=ch&amp;cos=33</t>
  </si>
  <si>
    <t>Three Year Average</t>
  </si>
  <si>
    <t xml:space="preserve"> Single Year</t>
  </si>
  <si>
    <t>Note: This indicator includes deaths with cardiovascular disease as the primary cause of death. The ICD-10 codes for cardiovascular disease
are: I00-I99.</t>
  </si>
  <si>
    <t>Rate</t>
  </si>
  <si>
    <t xml:space="preserve"> The ICD-10 codes for otitis media are: H65.0, H65.1, H65.2, H65.3, H66.0, H66.1, and H66.2.</t>
  </si>
  <si>
    <t>https://apps.health.ny.gov/public/tabvis/PHIG_Public/chirs/reports/#county</t>
  </si>
  <si>
    <t>2020-2022</t>
  </si>
  <si>
    <t>NYS Community Health Indicator Reports Dashboard</t>
  </si>
  <si>
    <t>Source: NYS Community Health Indicator Reports Dashboard, April 2025 sourced from NY Statewide Planning and Research Cooperative System https://apps.health.ny.gov/public/tabvis/PHIG_Public/chirs/reports/#county</t>
  </si>
  <si>
    <t>Asthma</t>
  </si>
  <si>
    <t>Gastroenteritis</t>
  </si>
  <si>
    <t>Otitis Media</t>
  </si>
  <si>
    <t>Pneumonia</t>
  </si>
  <si>
    <t>Dutchess County Resident Prevention Agenda Priority Area Voting, 2025</t>
  </si>
  <si>
    <t>tbl-dc-pav</t>
  </si>
  <si>
    <t>Source: NYS Community Health Indicator Reports Dashboard , May 2025 sourced from Vital Statistics of NYS https://apps.health.ny.gov/public/tabvis/PHIG_Public/chirs/reports/#county</t>
  </si>
  <si>
    <t>Note: Three-year averages are used for counties and single-year rates are used for NYS and NYS excluding NYC. Y-axis does not begin at
zero in order to clearly display trend lines. The ICD-10 codes for unintentional injury are: V01-X59, Y85-Y86.</t>
  </si>
  <si>
    <t>Student Success &amp; Educational Attainment</t>
  </si>
  <si>
    <t>Economic Wellbeing</t>
  </si>
  <si>
    <t>Rockland County Community Health Assessment Demographics</t>
  </si>
  <si>
    <t>tbl-rccha-demo</t>
  </si>
  <si>
    <t>Sex</t>
  </si>
  <si>
    <t>Age</t>
  </si>
  <si>
    <t>18-29</t>
  </si>
  <si>
    <t>30-39</t>
  </si>
  <si>
    <t>122</t>
  </si>
  <si>
    <t>20.2%</t>
  </si>
  <si>
    <t>40-49</t>
  </si>
  <si>
    <t>104</t>
  </si>
  <si>
    <t>17.2%</t>
  </si>
  <si>
    <t>50-59</t>
  </si>
  <si>
    <t>102</t>
  </si>
  <si>
    <t>16.9%</t>
  </si>
  <si>
    <t>60+</t>
  </si>
  <si>
    <t>185</t>
  </si>
  <si>
    <t>30.7%</t>
  </si>
  <si>
    <t>344</t>
  </si>
  <si>
    <t>55.2%</t>
  </si>
  <si>
    <t>79</t>
  </si>
  <si>
    <t>12.7%</t>
  </si>
  <si>
    <t>88</t>
  </si>
  <si>
    <t>14.1%</t>
  </si>
  <si>
    <t>25</t>
  </si>
  <si>
    <t>4.0%</t>
  </si>
  <si>
    <t>American Indian or Alaskan Native</t>
  </si>
  <si>
    <t>2</t>
  </si>
  <si>
    <t>0.3%</t>
  </si>
  <si>
    <t>Native Hawaiian or Other Pacific Islander</t>
  </si>
  <si>
    <t>0</t>
  </si>
  <si>
    <t>0.0%</t>
  </si>
  <si>
    <t>2 or more selected</t>
  </si>
  <si>
    <t>10</t>
  </si>
  <si>
    <t>1.6%</t>
  </si>
  <si>
    <t>16</t>
  </si>
  <si>
    <t>2.6%</t>
  </si>
  <si>
    <t>Income</t>
  </si>
  <si>
    <t>0-29,999</t>
  </si>
  <si>
    <t>71</t>
  </si>
  <si>
    <t>11.8%</t>
  </si>
  <si>
    <t>30,000-69,999</t>
  </si>
  <si>
    <t>70,000-109,999</t>
  </si>
  <si>
    <t>110,000-140,999</t>
  </si>
  <si>
    <t>150,000-189,999</t>
  </si>
  <si>
    <t>190,000-229,999</t>
  </si>
  <si>
    <t>230,000+</t>
  </si>
  <si>
    <t>Household Size</t>
  </si>
  <si>
    <t>5+</t>
  </si>
  <si>
    <t xml:space="preserve">Rates calculated using population estimates from U.S. Census Bureau’s 2023 American Community Survey (ACS) 5-Year Estimate,
Table B01003. </t>
  </si>
  <si>
    <t>Data request from Upstate NY Poison Center and NYC Poison Center</t>
  </si>
  <si>
    <t>2020-2024</t>
  </si>
  <si>
    <t>Source: Data request from Upstate NY Poison Center and NYC Poison Center, May 2025</t>
  </si>
  <si>
    <t>Asian or Asian American 25</t>
  </si>
  <si>
    <t>% of total calls</t>
  </si>
  <si>
    <t>Respondents by Zip Code</t>
  </si>
  <si>
    <t>tbl-resp-zip</t>
  </si>
  <si>
    <t>Note: Rates calculated using population estimates from U.S. Census Bureau’s 2023 American Community Survey (ACS) 5-Year Estimate,
Table B01003.</t>
  </si>
  <si>
    <t>Respondents' Ratings of Quality of Life in Rockand County</t>
  </si>
  <si>
    <t>tbl-resp-qol-rc</t>
  </si>
  <si>
    <t>tbl-t3-pos-rc</t>
  </si>
  <si>
    <t>Top 3 Factors that Make a Positive Contribution to Healthy Living in Rockland County</t>
  </si>
  <si>
    <t>Access to community services</t>
  </si>
  <si>
    <t>2018-2021</t>
  </si>
  <si>
    <t>Access to prenatal care</t>
  </si>
  <si>
    <t>Access to health care for children</t>
  </si>
  <si>
    <t>Access to good public transportation</t>
  </si>
  <si>
    <t>Clean enviorment</t>
  </si>
  <si>
    <t>Good jobs</t>
  </si>
  <si>
    <t>Good schools</t>
  </si>
  <si>
    <t>Access to affordable child care</t>
  </si>
  <si>
    <t>Access to affordable,high-quality housing</t>
  </si>
  <si>
    <t>Note: Three-year averages are used for counties and single-year rates are used for NYS and NYS excluding NYC. Y-axis does not begin at
zero in order to clearly display trend lines. Data include persons killed or injured in motor vehicle crashes where alcohol was considered to be
a factor. It also includes pedestrians, bicyclists and all other non-vehicle involved persons as well as vehicle occupants. These data were
gathered from police reports. Crashes are reported by the county where the event occurred.</t>
  </si>
  <si>
    <t>Opportunities for outdoor recreation/physical activity</t>
  </si>
  <si>
    <t>Access to services for mental health/substance abuse</t>
  </si>
  <si>
    <t>Safe Neighborhoods</t>
  </si>
  <si>
    <t>Note: Three-year averages are used for counties and single-year rates are used for NYS and NYS excluding NYC. The ICD-10 codes for
motor vehicle related injuries are: V02-V04, V09.0, V09.2, V12-V14, V19.0-V19.2, V19.4-V19.6, V20-V79, V80.3-V80.5, V81.0-
V81.1, V82.0-V82.1, V83-V86, V87.0-V87.8, V88.0-V88.8,V89.0,V89.2.</t>
  </si>
  <si>
    <t>Access to healthy food</t>
  </si>
  <si>
    <t xml:space="preserve">Horizontal Bar </t>
  </si>
  <si>
    <t>Top Selected Areas the Need Improvement</t>
  </si>
  <si>
    <t>tbl-top-need-improve</t>
  </si>
  <si>
    <t>Safe and Healthy Communities</t>
  </si>
  <si>
    <t>Education</t>
  </si>
  <si>
    <t>NYS County Health Indicators by Race and Ethnicity Dashboard</t>
  </si>
  <si>
    <t xml:space="preserve">Mental Wellbeing and Substance Use </t>
  </si>
  <si>
    <t>*: The rate is unstable.
Note: This indicator includes deaths with motor vehicle related as the primary cause of death. The ICD-10 codes for motor vehicle related
injuries are: V02-V04, V09.0, V09.2, V12-V14, V19.0-V19.2, V19.4-V19.6, V20-V79, V80.3-V80.5, V81.0-V81.1, V82.0-V82.1,
V83-V86, V87.0-V87.8, V88.0-V88.8,V89.0,V89.2.</t>
  </si>
  <si>
    <t>Source: NYS County Health Indicators by Race and Ethnicity Dashboard, May 2025 sourced from Vital Statistics of NYS https://www.health.ny.gov/community/health_equity/reports/county/</t>
  </si>
  <si>
    <t>https://www.health.ny.gov/community/health_equity/reports/county/</t>
  </si>
  <si>
    <t>Health Care Access and Quality</t>
  </si>
  <si>
    <t>6.3*</t>
  </si>
  <si>
    <t>Affordable Childcare</t>
  </si>
  <si>
    <t>Availablity of Jobs</t>
  </si>
  <si>
    <t>Affordable Food</t>
  </si>
  <si>
    <t>1 (Needs Little)</t>
  </si>
  <si>
    <t>5 (Needs a lot)</t>
  </si>
  <si>
    <t>No Opinion</t>
  </si>
  <si>
    <t>18.6</t>
  </si>
  <si>
    <t>27.6</t>
  </si>
  <si>
    <t>5.7</t>
  </si>
  <si>
    <t>Economic Priorities that Need Improvement</t>
  </si>
  <si>
    <t>tbl-econ-need-improve</t>
  </si>
  <si>
    <t>Safe and Healthy Communties Priorities that Need Improvement</t>
  </si>
  <si>
    <t>tbl-safe-health-need-improve</t>
  </si>
  <si>
    <t>Horizontal Stacked Bar</t>
  </si>
  <si>
    <t>Public transportation availabilty</t>
  </si>
  <si>
    <t>Drinking water quality</t>
  </si>
  <si>
    <t>Traffic Safety</t>
  </si>
  <si>
    <t>Injuries and Violence Prevention</t>
  </si>
  <si>
    <t>Access to community services and resources</t>
  </si>
  <si>
    <t>Accees to classes, activities, and groups</t>
  </si>
  <si>
    <t>Access to community spaces</t>
  </si>
  <si>
    <t>20.9</t>
  </si>
  <si>
    <t>23.4</t>
  </si>
  <si>
    <t>12.3</t>
  </si>
  <si>
    <t>19.0</t>
  </si>
  <si>
    <t>23.0</t>
  </si>
  <si>
    <t>9.5</t>
  </si>
  <si>
    <t>12.5</t>
  </si>
  <si>
    <t>22.0</t>
  </si>
  <si>
    <t>27.8</t>
  </si>
  <si>
    <t>5.8</t>
  </si>
  <si>
    <t>15.5</t>
  </si>
  <si>
    <t>13.9</t>
  </si>
  <si>
    <t>Education Priorities the Need Improvement</t>
  </si>
  <si>
    <t>tbl-educat-need-improv</t>
  </si>
  <si>
    <t>Vocational Programs</t>
  </si>
  <si>
    <t>Options for Continuing Education</t>
  </si>
  <si>
    <t>Health and Wellness Prog in Schools</t>
  </si>
  <si>
    <t>5.8*</t>
  </si>
  <si>
    <t>Source: NYS Community Health Indicator Reports Dashboard, May 2025 sourced from NY Statewide Planning and Research
Cooperative System https://www.health.ny.gov/community/health_equity/reports/county/</t>
  </si>
  <si>
    <t>Note: Three-year averages were used for counties, while single-year estimates were used for NYS and NYS excluding NYC. Y-axis does not
begin at zero in order to clearly display trend lines. The ICD-10 codes for falls are:
V00111,V00121,V00131,V00141,V00151,V00181,V00211,V00221,V00281,V00311,V00321,V00381,V00811,V00821,V0083
1,V00841,V00891,W000XX,W001XX,W002XX,W009XX,W010XX,W0110X,W01110,W01111,W01118,W01119,W01190,W0
1198,W03XXX,W04XXX,W050XX,W051XX,W052XX,W06XXX,W07XXX,W08XXX,W090XX,W091XX,W092XX,W098XX,W100
XX,W101XX,W102XX,W108XX,W109XX,W11XXX,W12XXX,W130XX,W131XX,W132XX,W133XX,W134XX,W138XX,W139XX,
W14XXX,W15XXX,W16012,W16022,W16032,W16112,W16122,W16132,W16212,W16222,W16312,W16322,W16332,W1
642X,W16512,W16522,W16532,W16612,W16622,W16712,W16722,W16812,W16822,W16832,W1692X,W170XX,W171
XX,W172XX,W173XX,W174XX,W1781X,W1782X,W1789X,W1811X,W1812X,W182XX,W1830X,W1831X,W1839X,W19XXX,
and Y01XXX</t>
  </si>
  <si>
    <t>Source: NYS Community Health Indicator Reports Dashboard, May 2025 sourced from NY Statewide Planning and Research Cooperative System https://www.health.ny.gov/community/health_equity/reports/county/</t>
  </si>
  <si>
    <t>Note: Three-year averages were used for counties, while single-year estimates were used for NYS and NYS excluding NYC. Y-axis does not
begin at zero in order to clearly display trend lines. The ICD-10 codes for falls are:
V00111,V00121,V00131,V00141,V00151,V00181,V00211,V00221,V00281,V00311,V00321,V00381,V00811,V00821,V0083
1,V00841,V00891,W000XX,W001XX,W002XX,W009XX,W010XX,W0110X,W01110,W01111,W01118,W01119,W01190,W0
1198,W03XXX,W04XXX,W050XX,W051XX,W052XX,W06XXX,W07XXX,W08XXX,W090XX,W091XX,W092XX,W098XX,W100
XX,W101XX,W102XX,W108XX,W109XX,W11XXX,W12XXX,W130XX,W131XX,W132XX,W133XX,W134XX,W138XX,W139XX,
W14XXX,W15XXX,W16012,W16022,W16032,W16112,W16122,W16132,W16212,W16222,W16312,W16322,W16332,W1
642X,W16512,W16522,W16532,W16612,W16622,W16712,W16722,W16812,W16822,W16832,W1692X,W170XX,W171
XX,W172XX,W173XX,W174XX,W1781X,W1782X,W1789X,W1811X,W1812X,W182XX,W1830X,W1831X,W1839X,W19XXX,
and Y01XXX.</t>
  </si>
  <si>
    <t>*: The rate is unstable.
s: Data are suppressed due to not meeting confidentiality criteria.
Note: Three-year average is used for this indicator. This indicator includes deaths with falls as the primary cause of death. The ICD-10 codes
for falls are:
V00111,V00121,V00131,V00141,V00151,V00181,V00211,V00221,V00281,V00311,V00321,V00381,V00811,V00821,V0083
1,V00841,V00891,W000XX,W001XX,W002XX,W009XX,W010XX,W0110X,W01110,W01111,W01118,W01119,W01190,W0
1198,W03XXX,W04XXX,W050XX,W051XX,W052XX,W06XXX,W07XXX,W08XXX,W090XX,W091XX,W092XX,W098XX,W100
XX,W101XX,W102XX,W108XX,W109XX,W11XXX,W12XXX,W130XX,W131XX,W132XX,W133XX,W134XX,W138XX,W139XX,
W14XXX,W15XXX,W16012,W16022,W16032,W16112,W16122,W16132,W16212,W16222,W16312,W16322,W16332,W1
642X,W16512,W16522,W16532,W16612,W16622,W16712,W16722,W16812,W16822,W16832,W1692X,W170XX,W171
XX,W172XX,W173XX,W174XX,W1781X,W1782X,W1789X,W1811X,W1812X,W182XX,W1830X,W1831X,W1839X,W19XXX.
V00111,V00121,V00131,V00141,V00151,V00181,V00211,V00221,V00281,V00311,V00321,V00381,V00811,V00821,V0083
1,V00841,V00891,W000XX,W001XX,W002XX,W009XX,W010XX,W0110X,W01110,W01111,W01118,W01119,W01190,W0
1198,W03XXX,W04XXX,W050XX,W051XX,W052XX,W06XXX,W07XXX,W08XXX,W090XX,W091XX,W092XX,W098XX,W100
XX,W101XX,W102XX,W108XX,W109XX,W11XXX,W12XXX,W130XX,W131XX,W132XX,W133XX,W134XX,W138XX,W139XX,
W14XXX,W15XXX,W16012,W16022,W16032,W16112,W16122,W16132,W16212,W16222,W16312,W16322,W16332,W1
642X,W16512,W16522,W16532,W16612,W16622,W16712,W16722,W16812,W16822,W16832,W1692X,W170XX,W171
XX,W172XX,W173XX,W174XX,W1781X,W1782X,W1789X,W1811X,W1812X,W182XX,W1830X,W1831X,W1839X,W19XXX,
and Y01XXX.</t>
  </si>
  <si>
    <t>Source: NYS County Health Indicators by Race and Ethnicity Dashboard, May 2025 sourced from NY Statewide Planning and Research Cooperative System https://www.health.ny.gov/community/health_equity/reports/county/</t>
  </si>
  <si>
    <t>Three-Year Average</t>
  </si>
  <si>
    <t>Single-Year</t>
  </si>
  <si>
    <t>93.8*</t>
  </si>
  <si>
    <t>61.2*</t>
  </si>
  <si>
    <t>*: Data are unstable due to fewer than 10 events in the numerator.
Note: Three-year averages were used for counties, while single-year estimates were used for NYS and NYS excluding NYC. The ICD-10
codes for homicide are: X85-Y09, Y87.1</t>
  </si>
  <si>
    <t>Source: NYS Community Health Indicator Reports Dashboard, May 2025 sourced from Vital Statistics of NYS https://apps.health.ny.gov/public/tabvis/PHIG_Public/chirs/reports/#county</t>
  </si>
  <si>
    <t>1.0*</t>
  </si>
  <si>
    <t>0.5*</t>
  </si>
  <si>
    <t>0.7*</t>
  </si>
  <si>
    <t>2.4*</t>
  </si>
  <si>
    <t>2.6*</t>
  </si>
  <si>
    <t>1.5*</t>
  </si>
  <si>
    <t>Note: Three-year averages were used for counties, while single-year estimates were used for NYS and NYS excluding NYC. The ICD-10
codes for assault are:???.</t>
  </si>
  <si>
    <t>Source: NYS Community Health Indicator Reports Dashboard, May 2025 sourced from NY Statewide Planning and Research Cooperative System https://apps.health.ny.gov/public/tabvis/PHIG_Public/chirs/reports/#county</t>
  </si>
  <si>
    <t>NYS County Health Indicator Reports Dashboard</t>
  </si>
  <si>
    <t>Note: Rates calculated using population estimates from U.S. Census Bureau’s 2023 American Community Survey (ACS) 5-Year Estimate,
Table B01003. Police agencies in New York State collect data on the number of individuals victimized during domestic incidents involving
members of the same family, including but not limited to parents, children and siblings, and intimate partners. These individuals may or may
not live together at the time of the incident. Victim counts are reported for the following offenses: aggravated assault, simple assault, sex
offenses, and violation of protective orders</t>
  </si>
  <si>
    <t>Source: NYS Division of Criminal Justice Services, June 2025 sourced from Domestic Violence Victim Data by County: 2020-2023 https://www.criminaljustice.ny.gov/crimnet/ojsa/domestic-violence-data.html</t>
  </si>
  <si>
    <t>https://www.criminaljustice.ny.gov/crimnet/ojsa/domestic-violence-data.html</t>
  </si>
  <si>
    <t>2020-2023</t>
  </si>
  <si>
    <t>10964</t>
  </si>
  <si>
    <t>10982</t>
  </si>
  <si>
    <t>% of Respondents</t>
  </si>
  <si>
    <t>Zip Code</t>
  </si>
  <si>
    <t>tbl-childhood-food-insecurity</t>
  </si>
  <si>
    <t>Pivot for Chart</t>
  </si>
  <si>
    <t>tbl-food-environment</t>
  </si>
  <si>
    <t>tbl-violent-crime</t>
  </si>
  <si>
    <t>fig-violent-crime</t>
  </si>
  <si>
    <t>tbl-severe-housing</t>
  </si>
  <si>
    <t>fig-severe-housing</t>
  </si>
  <si>
    <t>fig-no-vehicles</t>
  </si>
  <si>
    <t>tbl-no-vehicles</t>
  </si>
  <si>
    <t>Group By</t>
  </si>
  <si>
    <t>x_col</t>
  </si>
  <si>
    <t>1 is Very Listtle to 5 is highly impacted</t>
  </si>
  <si>
    <t>tbl-adult-health-insured</t>
  </si>
  <si>
    <t>fig-adult-health-insured</t>
  </si>
  <si>
    <t>Coronary Heart Disease, Age-Adjusted Hospitalization Rate per 10,000 by Race/Ethnicity, 2020-2022</t>
  </si>
  <si>
    <t>tbl-congheartfail-mortal-rande</t>
  </si>
  <si>
    <t>Asian/Pacific Islander</t>
  </si>
  <si>
    <t>7.1*</t>
  </si>
  <si>
    <t>15.2</t>
  </si>
  <si>
    <t>17.2</t>
  </si>
  <si>
    <t>15.9</t>
  </si>
  <si>
    <t>24.1</t>
  </si>
  <si>
    <t>20.3</t>
  </si>
  <si>
    <t>Mortality</t>
  </si>
  <si>
    <t>Heart Attack Mortality, Age-Adjusted Rate per 100,000 Population, 2018–2021</t>
  </si>
  <si>
    <t>tbl-heartattack-mortal-aar</t>
  </si>
  <si>
    <t>13.6</t>
  </si>
  <si>
    <t>11.2</t>
  </si>
  <si>
    <t>Heart Failure Mortality</t>
  </si>
  <si>
    <t>tbl-cirrhosis-mortal-aar</t>
  </si>
  <si>
    <t>tbl-allca-incident-mortal-aar</t>
  </si>
  <si>
    <t>tbl-lungbronchca-incident-mortal-aar</t>
  </si>
  <si>
    <t>COVID-19 Mortality, Age-Adjusted Rate per 100,000 Population, 2020–2022</t>
  </si>
  <si>
    <t>tbl-covid-mort-aar</t>
  </si>
  <si>
    <t>Overdose Deaths among Adults Involving Any Opioid, Crude Rate per 100,000 Population, 2022</t>
  </si>
  <si>
    <t>Overdose Deaths among Adults Involving Heroin, Crude Rate per 100,000 Population, 2022</t>
  </si>
  <si>
    <t>Percentage of Adults with Poor Mental Health for 14 or More Days in the Last Month, 2016, 2018, and 2021</t>
  </si>
  <si>
    <t>Disease</t>
  </si>
  <si>
    <t>Risk Increase</t>
  </si>
  <si>
    <t>Coronary Heart Disease Incidence</t>
  </si>
  <si>
    <t>2–4 times</t>
  </si>
  <si>
    <t>Stroke Incidence</t>
  </si>
  <si>
    <t>Lung Cancer Incidence</t>
  </si>
  <si>
    <t>25 times</t>
  </si>
  <si>
    <t>34.8</t>
  </si>
  <si>
    <t>51.1</t>
  </si>
  <si>
    <t>64.8</t>
  </si>
  <si>
    <t>9.5*</t>
  </si>
  <si>
    <t>10.7</t>
  </si>
  <si>
    <t>12.1</t>
  </si>
  <si>
    <t>233.2</t>
  </si>
  <si>
    <t>15.4</t>
  </si>
  <si>
    <t>24.0</t>
  </si>
  <si>
    <t>26.3</t>
  </si>
  <si>
    <t>Overdose Deaths Involving Any Drug</t>
  </si>
  <si>
    <t>Overdose Deaths Involving Opioid Pain Relievers, Heroin, and Synthetic Opioids Other than Methadone</t>
  </si>
  <si>
    <t>Opioid Pain Relievers</t>
  </si>
  <si>
    <t>Heroin</t>
  </si>
  <si>
    <t>Synthetic Opioids Other Than Methadone</t>
  </si>
  <si>
    <t>Overdose Deaths among Adults Involving Any Opioid</t>
  </si>
  <si>
    <t>Age Group</t>
  </si>
  <si>
    <t>18–44 years</t>
  </si>
  <si>
    <t>45–64 years</t>
  </si>
  <si>
    <t>6.4*</t>
  </si>
  <si>
    <t>3.2*</t>
  </si>
  <si>
    <t>0.9*</t>
  </si>
  <si>
    <t>11.5*</t>
  </si>
  <si>
    <t>6.0*</t>
  </si>
  <si>
    <t>3.4*</t>
  </si>
  <si>
    <t>7.8*</t>
  </si>
  <si>
    <t>23.5*</t>
  </si>
  <si>
    <t>4.0*</t>
  </si>
  <si>
    <t>Overdose Deaths among Adults Involving Opioid Pain Relievers, Crude Rate per 100,000 Population, 2022</t>
  </si>
  <si>
    <t>28.7*</t>
  </si>
  <si>
    <t>Opioid Analgesics Prescriptions</t>
  </si>
  <si>
    <t>162.9</t>
  </si>
  <si>
    <t>216.3</t>
  </si>
  <si>
    <t>283.8</t>
  </si>
  <si>
    <t>215.3</t>
  </si>
  <si>
    <t>436.6</t>
  </si>
  <si>
    <t>705.4</t>
  </si>
  <si>
    <t>Suicide Mortality, Crude Rate per 100,000 Total Population Compared to Those 15–19 Years Old, 2020–2022</t>
  </si>
  <si>
    <t>15–19 Years</t>
  </si>
  <si>
    <t>1.1*</t>
  </si>
  <si>
    <t>5.5*</t>
  </si>
  <si>
    <t>7.2*</t>
  </si>
  <si>
    <t>12.0*</t>
  </si>
  <si>
    <t>5.4*</t>
  </si>
  <si>
    <t>6.5</t>
  </si>
  <si>
    <t>9.6</t>
  </si>
  <si>
    <t>7.9</t>
  </si>
  <si>
    <t>7.3</t>
  </si>
  <si>
    <t>Asthma, Gastroenteritis, Otitis Media, and Pneumonia Hospitalizations, Rate per 10,000 Population Aged 0–4 Years, 2020–2022</t>
  </si>
  <si>
    <t>tbl-agop-hosp-0-4</t>
  </si>
  <si>
    <t>Asthma, Gastroenteritis, Otitis Media, and Pneumonia Hospitalizations</t>
  </si>
  <si>
    <t>Region</t>
  </si>
  <si>
    <t>Poison Center Calls, Rate per 100,000 Population, 2020–2024</t>
  </si>
  <si>
    <t>Percentage of Poison Center Calls Involving Children 5 Years Old and Younger, 2020–2024</t>
  </si>
  <si>
    <t>tbl-poison-cc-5yo</t>
  </si>
  <si>
    <t>tbl-falls-hospital-aar</t>
  </si>
  <si>
    <t>tbl-65+-falls-hospital-rande-rate</t>
  </si>
  <si>
    <t>Excellent</t>
  </si>
  <si>
    <t>Good</t>
  </si>
  <si>
    <t>Fair</t>
  </si>
  <si>
    <t>Poor</t>
  </si>
  <si>
    <t>Very Poor</t>
  </si>
  <si>
    <t>21.6</t>
  </si>
  <si>
    <t>14.8</t>
  </si>
  <si>
    <t>0*</t>
  </si>
  <si>
    <t>37.9*</t>
  </si>
  <si>
    <t>6.8*</t>
  </si>
  <si>
    <t>6.9*</t>
  </si>
  <si>
    <t>8.8*</t>
  </si>
  <si>
    <t>8.4*</t>
  </si>
  <si>
    <t>23.7*</t>
  </si>
  <si>
    <t>20.2*</t>
  </si>
  <si>
    <t>Cardiovascular Hospitalization, Age-Adjusted Rate per 10,000, 2019–2021</t>
  </si>
  <si>
    <t>2019-2021</t>
  </si>
  <si>
    <t>Age-Adjusted Percentage of Adults with Physician Diagnosed High Blood Pressure, 2016 and 2021</t>
  </si>
  <si>
    <t>fig-adult-highbp-mddx-percent</t>
  </si>
  <si>
    <t>8.0*</t>
  </si>
  <si>
    <t>14.1*</t>
  </si>
  <si>
    <t>9.1*</t>
  </si>
  <si>
    <t>Single Year</t>
  </si>
  <si>
    <t xml:space="preserve">NYS </t>
  </si>
  <si>
    <t>Self-Care Difficulty</t>
  </si>
  <si>
    <t>tbl-age</t>
  </si>
  <si>
    <t>tbl-education-base</t>
  </si>
  <si>
    <t>Area</t>
  </si>
  <si>
    <t>tbl-coronary-heart-disease-hospital-aar</t>
  </si>
  <si>
    <t>tbl-coronary-heart-disease-hospital-rande-aar</t>
  </si>
  <si>
    <t>Condition</t>
  </si>
  <si>
    <t>Prediabetes</t>
  </si>
  <si>
    <t>2013-2014</t>
  </si>
  <si>
    <t>18*</t>
  </si>
  <si>
    <t>28*</t>
  </si>
  <si>
    <t>4.9*</t>
  </si>
  <si>
    <t>13.4*</t>
  </si>
  <si>
    <t>47.3*</t>
  </si>
  <si>
    <t>34.1*</t>
  </si>
  <si>
    <t>20.7*</t>
  </si>
  <si>
    <t>16.3*</t>
  </si>
  <si>
    <t>2013–2014</t>
  </si>
  <si>
    <t>2014–2016</t>
  </si>
  <si>
    <t>2016–2018</t>
  </si>
  <si>
    <t>2021–2023</t>
  </si>
  <si>
    <t>2018</t>
  </si>
  <si>
    <t>5.9</t>
  </si>
  <si>
    <t>2019</t>
  </si>
  <si>
    <t>5.6</t>
  </si>
  <si>
    <t>2020</t>
  </si>
  <si>
    <t>7.8</t>
  </si>
  <si>
    <t>4.6</t>
  </si>
  <si>
    <t>6.4</t>
  </si>
  <si>
    <t>4.9</t>
  </si>
  <si>
    <t>8</t>
  </si>
  <si>
    <t>Incidence - Male</t>
  </si>
  <si>
    <t>Incidence - Female</t>
  </si>
  <si>
    <t>Mortality - Male</t>
  </si>
  <si>
    <t>Mortality - Female</t>
  </si>
  <si>
    <t>Incidence</t>
  </si>
  <si>
    <t>PA Objective</t>
  </si>
  <si>
    <t>Incidence (Male)</t>
  </si>
  <si>
    <t>Incidence (Female)</t>
  </si>
  <si>
    <t>Mortality (Male)</t>
  </si>
  <si>
    <t>Mortality (Female)</t>
  </si>
  <si>
    <t>2024</t>
  </si>
  <si>
    <t>60.3</t>
  </si>
  <si>
    <t>60.9</t>
  </si>
  <si>
    <t>24.4</t>
  </si>
  <si>
    <t>25.7</t>
  </si>
  <si>
    <t>65.6*</t>
  </si>
  <si>
    <t>64.0*</t>
  </si>
  <si>
    <t>63.2*</t>
  </si>
  <si>
    <t>66.4*</t>
  </si>
  <si>
    <t>62.7*</t>
  </si>
  <si>
    <t>61.7*</t>
  </si>
  <si>
    <t>68.2*</t>
  </si>
  <si>
    <t>44.6*</t>
  </si>
  <si>
    <t>63.4*</t>
  </si>
  <si>
    <t>3.9*</t>
  </si>
  <si>
    <t>1.7*</t>
  </si>
  <si>
    <t>1.3*</t>
  </si>
  <si>
    <t>2.9*</t>
  </si>
  <si>
    <t>10.2</t>
  </si>
  <si>
    <t>6.0</t>
  </si>
  <si>
    <t>13.2</t>
  </si>
  <si>
    <t>5.4</t>
  </si>
  <si>
    <t>2.2*</t>
  </si>
  <si>
    <t>6.6</t>
  </si>
  <si>
    <t>3.5*</t>
  </si>
  <si>
    <t>7.5</t>
  </si>
  <si>
    <t>5.1</t>
  </si>
  <si>
    <t>10.8</t>
  </si>
  <si>
    <t>4.2</t>
  </si>
  <si>
    <t>4.8</t>
  </si>
  <si>
    <t>2.1*</t>
  </si>
  <si>
    <t>3.2</t>
  </si>
  <si>
    <t>6.8</t>
  </si>
  <si>
    <t>11.</t>
  </si>
  <si>
    <t>86</t>
  </si>
  <si>
    <t>135.3</t>
  </si>
  <si>
    <t>99</t>
  </si>
  <si>
    <t>96</t>
  </si>
  <si>
    <t>131.5</t>
  </si>
  <si>
    <t>429</t>
  </si>
  <si>
    <t>360</t>
  </si>
  <si>
    <t>377</t>
  </si>
  <si>
    <t>446</t>
  </si>
  <si>
    <t>387</t>
  </si>
  <si>
    <t>404</t>
  </si>
  <si>
    <t>Mid-Hudson Region</t>
  </si>
  <si>
    <t>22</t>
  </si>
  <si>
    <t>24</t>
  </si>
  <si>
    <t>19</t>
  </si>
  <si>
    <t>20</t>
  </si>
  <si>
    <t>Total Domestic Animals Tested</t>
  </si>
  <si>
    <t>Total Domestic Animals Positive</t>
  </si>
  <si>
    <t>Percent Positive</t>
  </si>
  <si>
    <t>238</t>
  </si>
  <si>
    <t>5</t>
  </si>
  <si>
    <t>Total Wild Animals Tested</t>
  </si>
  <si>
    <t>Total Wild Animals Positive</t>
  </si>
  <si>
    <t>597</t>
  </si>
  <si>
    <t>44</t>
  </si>
  <si>
    <t>81.5</t>
  </si>
  <si>
    <t>78.6</t>
  </si>
  <si>
    <t>76.0</t>
  </si>
  <si>
    <t>81.0</t>
  </si>
  <si>
    <t>78.8</t>
  </si>
  <si>
    <t>76.7</t>
  </si>
  <si>
    <t>83.2</t>
  </si>
  <si>
    <t>69.9</t>
  </si>
  <si>
    <t>85.1</t>
  </si>
  <si>
    <t>73.0</t>
  </si>
  <si>
    <t>63.1</t>
  </si>
  <si>
    <t>71.6</t>
  </si>
  <si>
    <t>79.9</t>
  </si>
  <si>
    <t>77.7</t>
  </si>
  <si>
    <t>75.7</t>
  </si>
  <si>
    <t>81.3</t>
  </si>
  <si>
    <t>68.5</t>
  </si>
  <si>
    <t>84.0</t>
  </si>
  <si>
    <t>71.5</t>
  </si>
  <si>
    <t>61.3</t>
  </si>
  <si>
    <t>70.1</t>
  </si>
  <si>
    <t>78.0</t>
  </si>
  <si>
    <t>78.2</t>
  </si>
  <si>
    <t>75.4</t>
  </si>
  <si>
    <t>3.9</t>
  </si>
  <si>
    <t>4.3</t>
  </si>
  <si>
    <t>5.5</t>
  </si>
  <si>
    <t>3.8</t>
  </si>
  <si>
    <t>4.0</t>
  </si>
  <si>
    <t>7.0</t>
  </si>
  <si>
    <t>5.2</t>
  </si>
  <si>
    <t>4.4</t>
  </si>
  <si>
    <t>72.0</t>
  </si>
  <si>
    <t>79.4</t>
  </si>
  <si>
    <t>71.3</t>
  </si>
  <si>
    <t>72.2</t>
  </si>
  <si>
    <t>78.5</t>
  </si>
  <si>
    <t>60.7</t>
  </si>
  <si>
    <t>87.4</t>
  </si>
  <si>
    <t>57.4</t>
  </si>
  <si>
    <t>109.1</t>
  </si>
  <si>
    <t>87.6</t>
  </si>
  <si>
    <t>58.2</t>
  </si>
  <si>
    <t>68.3</t>
  </si>
  <si>
    <t>70.9</t>
  </si>
  <si>
    <t>57.7</t>
  </si>
  <si>
    <t>84.3</t>
  </si>
  <si>
    <t>59.1</t>
  </si>
  <si>
    <t>111.1</t>
  </si>
  <si>
    <t>83.4</t>
  </si>
  <si>
    <t>55.3</t>
  </si>
  <si>
    <t>70.5</t>
  </si>
  <si>
    <t>68.4</t>
  </si>
  <si>
    <t>71.2</t>
  </si>
  <si>
    <t>14.5</t>
  </si>
  <si>
    <t>18.8</t>
  </si>
  <si>
    <t>23.3</t>
  </si>
  <si>
    <t>14.0</t>
  </si>
  <si>
    <t>18.9</t>
  </si>
  <si>
    <t>16.8</t>
  </si>
  <si>
    <t>29.7</t>
  </si>
  <si>
    <t>13.8</t>
  </si>
  <si>
    <t>16.0</t>
  </si>
  <si>
    <t>18.7</t>
  </si>
  <si>
    <t>10.1</t>
  </si>
  <si>
    <t>13.7</t>
  </si>
  <si>
    <t>12.8</t>
  </si>
  <si>
    <t>17.6</t>
  </si>
  <si>
    <t>0.6*</t>
  </si>
  <si>
    <t>0.1*</t>
  </si>
  <si>
    <t>0.3*</t>
  </si>
  <si>
    <t>Teen Pregnancy, Rate per 1,000 Female Population 15–19 Years Old, 2014–2021</t>
  </si>
  <si>
    <t>Insurance</t>
  </si>
  <si>
    <t>Medicaid</t>
  </si>
  <si>
    <t>Self-pay</t>
  </si>
  <si>
    <t>Private</t>
  </si>
  <si>
    <t>9.1</t>
  </si>
  <si>
    <t>9.0</t>
  </si>
  <si>
    <t>9.3</t>
  </si>
  <si>
    <t>9.2</t>
  </si>
  <si>
    <t>9.4</t>
  </si>
  <si>
    <t>9.7</t>
  </si>
  <si>
    <t>9.9</t>
  </si>
  <si>
    <t>10.0</t>
  </si>
  <si>
    <t>7.7</t>
  </si>
  <si>
    <t>10.2*</t>
  </si>
  <si>
    <t>4.2*</t>
  </si>
  <si>
    <t>3.7*</t>
  </si>
  <si>
    <t>2.0*</t>
  </si>
  <si>
    <t>1.6*</t>
  </si>
  <si>
    <t>2.5*</t>
  </si>
  <si>
    <t>3.6*</t>
  </si>
  <si>
    <t>4.7</t>
  </si>
  <si>
    <t>3.5</t>
  </si>
  <si>
    <t>2.8*</t>
  </si>
  <si>
    <t>3.3</t>
  </si>
  <si>
    <t>4.5</t>
  </si>
  <si>
    <t>4.1</t>
  </si>
  <si>
    <t>3.6</t>
  </si>
  <si>
    <t>2.9</t>
  </si>
  <si>
    <t>5.0</t>
  </si>
  <si>
    <t>52.1</t>
  </si>
  <si>
    <t>46.1</t>
  </si>
  <si>
    <t>50.7</t>
  </si>
  <si>
    <t>51.0</t>
  </si>
  <si>
    <t>44.9</t>
  </si>
  <si>
    <t>49.6</t>
  </si>
  <si>
    <t>52.4</t>
  </si>
  <si>
    <t>37.7</t>
  </si>
  <si>
    <t>48.3</t>
  </si>
  <si>
    <t>29.8</t>
  </si>
  <si>
    <t>50.2</t>
  </si>
  <si>
    <t>57.8</t>
  </si>
  <si>
    <t>43.4</t>
  </si>
  <si>
    <t>48.8</t>
  </si>
  <si>
    <t>49.7</t>
  </si>
  <si>
    <t>38.1</t>
  </si>
  <si>
    <t>49.1</t>
  </si>
  <si>
    <t>34.0</t>
  </si>
  <si>
    <t>49.0</t>
  </si>
  <si>
    <t>60.4</t>
  </si>
  <si>
    <t>42.5</t>
  </si>
  <si>
    <t>47.9</t>
  </si>
  <si>
    <t>38.2</t>
  </si>
  <si>
    <t>38.5</t>
  </si>
  <si>
    <t>27.7</t>
  </si>
  <si>
    <t>43.5</t>
  </si>
  <si>
    <t>37.2</t>
  </si>
  <si>
    <t>46.7</t>
  </si>
  <si>
    <t>All Enrollees</t>
  </si>
  <si>
    <t>Enrollees Aged 2-20</t>
  </si>
  <si>
    <t>tbl-15to44-preg-rate-rande</t>
  </si>
  <si>
    <t>tbl-preterm-births-percent</t>
  </si>
  <si>
    <t>Percentage of Adolescents 13 Years Old with a Complete HPV Vaccine Series, 2019–2024</t>
  </si>
  <si>
    <t>tbl-cervutca-screening-percent</t>
  </si>
  <si>
    <t>tbl-female-breastca-screening-percent</t>
  </si>
  <si>
    <t>tbl-lungbronchca-incident-mortal-sex-aar</t>
  </si>
  <si>
    <t>8.9</t>
  </si>
  <si>
    <t xml:space="preserve">Three-Year Average </t>
  </si>
  <si>
    <t>tbl-cerebrovasdz-hospital-aar</t>
  </si>
  <si>
    <t>tbl-cerebrovasdz-hospital-rande-aar</t>
  </si>
  <si>
    <t>tbl-cerebrovasdz-mortal-aar</t>
  </si>
  <si>
    <t>tbl-cerebrovasdz-mortal-rande-aar</t>
  </si>
  <si>
    <t>tbl-65+-flu-immi-percent</t>
  </si>
  <si>
    <t>Race and Ethnicity</t>
  </si>
  <si>
    <t>White or Caucasian</t>
  </si>
  <si>
    <t>Hispanic or Latino or Latinx</t>
  </si>
  <si>
    <t>Asian (including Hispanic, excluding Pacific Islander)</t>
  </si>
  <si>
    <t>Asian or Native Hawaiian/Other Pacific Islander</t>
  </si>
  <si>
    <t>Likert Scale</t>
  </si>
  <si>
    <t>Likert Scale (1 = Very Little Impact and 5 = Highly Impacted)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</si>
</sst>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quot;#,##0.00"/>
    <numFmt numFmtId="166" formatCode="m/d/yyyy;@"/>
    <numFmt numFmtId="167" formatCode="00000"/>
    <numFmt numFmtId="168" formatCode="0.0%"/>
  </numFmts>
  <fonts count="39"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sz val="11"/>
      <color rgb="FF92D050"/>
      <name val="Calibri"/>
      <family val="2"/>
      <scheme val="minor"/>
    </font>
    <font>
      <b/>
      <sz val="48"/>
      <color theme="0"/>
      <name val="Calibri"/>
      <family val="2"/>
      <scheme val="minor"/>
    </font>
    <font>
      <b/>
      <sz val="11"/>
      <color theme="0"/>
      <name val="Calibri"/>
      <family val="2"/>
      <scheme val="minor"/>
    </font>
    <font>
      <b/>
      <sz val="9.6"/>
      <color rgb="FF000000"/>
      <name val="Tw Cen MT"/>
      <family val="2"/>
    </font>
    <font>
      <sz val="9.9"/>
      <color rgb="FF000000"/>
      <name val="Tw Cen MT"/>
      <family val="2"/>
    </font>
    <font>
      <sz val="9.6"/>
      <color rgb="FF000000"/>
      <name val="Tw Cen MT"/>
      <family val="2"/>
    </font>
    <font>
      <b/>
      <sz val="9.6"/>
      <color theme="1"/>
      <name val="Calibri"/>
      <family val="2"/>
      <scheme val="minor"/>
    </font>
    <font>
      <sz val="9.9"/>
      <color theme="1"/>
      <name val="Calibri"/>
      <family val="2"/>
      <scheme val="minor"/>
    </font>
    <font>
      <sz val="9.6"/>
      <color theme="1"/>
      <name val="Calibri"/>
      <family val="2"/>
      <scheme val="minor"/>
    </font>
    <font>
      <sz val="15"/>
      <color rgb="FF000000"/>
      <name val="Tw Cen MT"/>
      <family val="2"/>
    </font>
    <font>
      <sz val="12"/>
      <color rgb="FF6A737D"/>
      <name val="Calibri"/>
      <family val="2"/>
      <scheme val="minor"/>
    </font>
    <font>
      <b/>
      <sz val="11"/>
      <color theme="1"/>
      <name val="Tw Cen MT"/>
      <family val="2"/>
    </font>
    <font>
      <sz val="11"/>
      <color theme="1"/>
      <name val="Tw Cen MT"/>
      <family val="2"/>
    </font>
    <font>
      <b/>
      <sz val="11"/>
      <color theme="0"/>
      <name val="Tw Cen MT"/>
      <family val="2"/>
    </font>
    <font>
      <b/>
      <sz val="48"/>
      <color theme="0"/>
      <name val="Tw Cen MT"/>
      <family val="2"/>
    </font>
    <font>
      <b/>
      <sz val="9.6"/>
      <color theme="1"/>
      <name val="Tw Cen MT"/>
      <family val="2"/>
    </font>
    <font>
      <sz val="9.9"/>
      <color theme="1"/>
      <name val="Tw Cen MT"/>
      <family val="2"/>
    </font>
    <font>
      <sz val="9.6"/>
      <color theme="1"/>
      <name val="Tw Cen MT"/>
      <family val="2"/>
    </font>
    <font>
      <sz val="16"/>
      <color rgb="FF000000"/>
      <name val="Tw Cen MT"/>
      <family val="2"/>
    </font>
    <font>
      <sz val="8"/>
      <name val="Calibri"/>
      <family val="2"/>
      <scheme val="minor"/>
    </font>
    <font>
      <sz val="11"/>
      <color theme="1"/>
      <name val="Aptos Narrow"/>
      <family val="2"/>
    </font>
    <font>
      <sz val="11"/>
      <color theme="1"/>
      <name val="Calibri"/>
      <family val="2"/>
      <scheme val="minor"/>
    </font>
    <font>
      <b/>
      <sz val="11"/>
      <color rgb="FF000000"/>
      <name val="Calibri"/>
      <family val="2"/>
      <scheme val="minor"/>
    </font>
    <font>
      <sz val="12"/>
      <color rgb="FF000000"/>
      <name val="Calibri"/>
      <family val="2"/>
    </font>
    <font>
      <sz val="12"/>
      <color rgb="FFD1D5DA"/>
      <name val="Menlo"/>
      <family val="2"/>
    </font>
    <font>
      <b/>
      <sz val="14"/>
      <color rgb="FF000000"/>
      <name val="Tw Cen MT"/>
      <family val="2"/>
    </font>
    <font>
      <sz val="12"/>
      <color theme="1"/>
      <name val="Menlo"/>
      <family val="2"/>
    </font>
    <font>
      <b/>
      <sz val="11"/>
      <color rgb="FFFFFFFF"/>
      <name val="Calibri"/>
      <family val="2"/>
      <scheme val="minor"/>
    </font>
    <font>
      <sz val="12"/>
      <color theme="1"/>
      <name val="Calibri"/>
      <family val="2"/>
      <scheme val="minor"/>
    </font>
    <font>
      <sz val="12"/>
      <color rgb="FFF97583"/>
      <name val="Menlo"/>
      <family val="2"/>
    </font>
    <font>
      <sz val="12"/>
      <color rgb="FF6E7781"/>
      <name val="Menlo"/>
      <family val="2"/>
    </font>
    <font>
      <sz val="12"/>
      <color rgb="FFCF222E"/>
      <name val="Menlo"/>
      <family val="2"/>
    </font>
    <font>
      <sz val="12"/>
      <color rgb="FF0A3069"/>
      <name val="Menlo"/>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1"/>
        <bgColor indexed="64"/>
      </patternFill>
    </fill>
    <fill>
      <patternFill patternType="solid">
        <fgColor rgb="FF92D050"/>
        <bgColor indexed="64"/>
      </patternFill>
    </fill>
    <fill>
      <patternFill patternType="solid">
        <fgColor theme="4" tint="0.59999389629810485"/>
        <bgColor theme="4" tint="0.59999389629810485"/>
      </patternFill>
    </fill>
    <fill>
      <patternFill patternType="solid">
        <fgColor rgb="FF000000"/>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s>
  <cellStyleXfs count="4">
    <xf numFmtId="0" fontId="0" fillId="0" borderId="0"/>
    <xf numFmtId="0" fontId="3" fillId="0" borderId="0"/>
    <xf numFmtId="0" fontId="29" fillId="0" borderId="0"/>
    <xf numFmtId="0" fontId="27" fillId="0" borderId="0"/>
  </cellStyleXfs>
  <cellXfs count="121">
    <xf numFmtId="0" fontId="0" fillId="0" borderId="0" xfId="0"/>
    <xf numFmtId="0" fontId="1" fillId="0" borderId="1" xfId="0" applyFont="1" applyBorder="1" applyAlignment="1">
      <alignment horizontal="center" vertical="top"/>
    </xf>
    <xf numFmtId="0" fontId="0" fillId="0" borderId="0" xfId="0" applyProtection="1">
      <protection locked="0"/>
    </xf>
    <xf numFmtId="0" fontId="0" fillId="2" borderId="0" xfId="0" applyFill="1" applyProtection="1">
      <protection locked="0"/>
    </xf>
    <xf numFmtId="0" fontId="3" fillId="0" borderId="0" xfId="1" applyAlignment="1">
      <alignment horizontal="left" vertical="top"/>
    </xf>
    <xf numFmtId="49" fontId="0" fillId="0" borderId="0" xfId="0" applyNumberFormat="1" applyProtection="1">
      <protection locked="0"/>
    </xf>
    <xf numFmtId="0" fontId="4" fillId="0" borderId="0" xfId="0" applyFont="1" applyAlignment="1">
      <alignment horizontal="left" vertical="top"/>
    </xf>
    <xf numFmtId="0" fontId="4" fillId="2" borderId="0" xfId="0" applyFont="1" applyFill="1" applyAlignment="1">
      <alignment horizontal="left" vertical="top"/>
    </xf>
    <xf numFmtId="0" fontId="0" fillId="0" borderId="0" xfId="0" applyAlignment="1">
      <alignment horizontal="left" vertical="top"/>
    </xf>
    <xf numFmtId="0" fontId="5" fillId="0" borderId="0" xfId="0" applyFont="1"/>
    <xf numFmtId="0" fontId="4" fillId="4" borderId="0" xfId="0" applyFont="1" applyFill="1"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0" fillId="5" borderId="0" xfId="0" applyFill="1"/>
    <xf numFmtId="164" fontId="0" fillId="0" borderId="0" xfId="0" applyNumberFormat="1"/>
    <xf numFmtId="0" fontId="1" fillId="0" borderId="2" xfId="0" applyFont="1" applyBorder="1" applyAlignment="1">
      <alignment horizontal="center" vertical="top"/>
    </xf>
    <xf numFmtId="0" fontId="8" fillId="5" borderId="0" xfId="0" applyFont="1" applyFill="1"/>
    <xf numFmtId="0" fontId="9" fillId="0" borderId="0" xfId="0" applyFont="1"/>
    <xf numFmtId="0" fontId="10" fillId="0" borderId="0" xfId="0" applyFont="1"/>
    <xf numFmtId="3" fontId="11" fillId="0" borderId="0" xfId="0" applyNumberFormat="1" applyFont="1"/>
    <xf numFmtId="0" fontId="11" fillId="0" borderId="0" xfId="0" applyFont="1"/>
    <xf numFmtId="0" fontId="12" fillId="0" borderId="0" xfId="0" applyFont="1"/>
    <xf numFmtId="0" fontId="13" fillId="0" borderId="0" xfId="0" applyFont="1"/>
    <xf numFmtId="0" fontId="15" fillId="0" borderId="0" xfId="0" applyFont="1"/>
    <xf numFmtId="0" fontId="13" fillId="0" borderId="0" xfId="0" applyFont="1" applyAlignment="1">
      <alignment horizontal="center" vertical="center"/>
    </xf>
    <xf numFmtId="3" fontId="14" fillId="0" borderId="0" xfId="0" applyNumberFormat="1" applyFont="1" applyAlignment="1">
      <alignment horizontal="center" vertical="center"/>
    </xf>
    <xf numFmtId="0" fontId="14" fillId="0" borderId="0" xfId="0" applyFont="1" applyAlignment="1">
      <alignment horizontal="center" vertical="center"/>
    </xf>
    <xf numFmtId="0" fontId="16" fillId="0" borderId="0" xfId="0" applyFont="1"/>
    <xf numFmtId="0" fontId="17" fillId="0" borderId="0" xfId="0" applyFont="1"/>
    <xf numFmtId="0" fontId="18" fillId="5" borderId="0" xfId="0" applyFont="1" applyFill="1"/>
    <xf numFmtId="0" fontId="19" fillId="5" borderId="0" xfId="0" applyFont="1" applyFill="1"/>
    <xf numFmtId="0" fontId="10" fillId="0" borderId="0" xfId="0" applyFont="1" applyAlignment="1">
      <alignment horizontal="center" vertical="center"/>
    </xf>
    <xf numFmtId="3" fontId="11" fillId="0" borderId="0" xfId="0" applyNumberFormat="1" applyFont="1" applyAlignment="1">
      <alignment horizontal="center" vertical="center"/>
    </xf>
    <xf numFmtId="0" fontId="11" fillId="0" borderId="0" xfId="0" applyFont="1" applyAlignment="1">
      <alignment horizontal="center" vertical="center"/>
    </xf>
    <xf numFmtId="0" fontId="21" fillId="0" borderId="0" xfId="0" applyFont="1"/>
    <xf numFmtId="3" fontId="23" fillId="0" borderId="0" xfId="0" applyNumberFormat="1" applyFont="1"/>
    <xf numFmtId="0" fontId="24" fillId="0" borderId="0" xfId="0" applyFont="1"/>
    <xf numFmtId="0" fontId="22" fillId="0" borderId="0" xfId="0" applyFont="1" applyAlignment="1">
      <alignment horizontal="center" vertical="center"/>
    </xf>
    <xf numFmtId="3" fontId="23" fillId="0" borderId="0" xfId="0" applyNumberFormat="1" applyFont="1" applyAlignment="1">
      <alignment horizontal="center" vertical="center"/>
    </xf>
    <xf numFmtId="0" fontId="23" fillId="0" borderId="0" xfId="0" applyFont="1" applyAlignment="1">
      <alignment horizontal="center" vertical="center"/>
    </xf>
    <xf numFmtId="0" fontId="8" fillId="5" borderId="0" xfId="0" applyFont="1" applyFill="1" applyAlignment="1">
      <alignment horizontal="center" vertical="center"/>
    </xf>
    <xf numFmtId="165" fontId="0" fillId="0" borderId="0" xfId="0" applyNumberFormat="1"/>
    <xf numFmtId="164" fontId="0" fillId="0" borderId="0" xfId="0" applyNumberFormat="1" applyAlignment="1">
      <alignment horizontal="center" vertical="center"/>
    </xf>
    <xf numFmtId="0" fontId="0" fillId="0" borderId="0" xfId="0" applyAlignment="1">
      <alignment horizontal="right"/>
    </xf>
    <xf numFmtId="166" fontId="0" fillId="0" borderId="0" xfId="0" applyNumberFormat="1" applyAlignment="1">
      <alignment horizontal="center" vertical="center"/>
    </xf>
    <xf numFmtId="166" fontId="0" fillId="0" borderId="0" xfId="0" applyNumberFormat="1"/>
    <xf numFmtId="49" fontId="0" fillId="0" borderId="0" xfId="0" applyNumberFormat="1"/>
    <xf numFmtId="49" fontId="0" fillId="0" borderId="0" xfId="0" applyNumberFormat="1" applyAlignment="1">
      <alignment horizontal="center" vertical="center"/>
    </xf>
    <xf numFmtId="49" fontId="0" fillId="0" borderId="0" xfId="0" quotePrefix="1" applyNumberFormat="1" applyAlignment="1">
      <alignment horizontal="center" vertical="center"/>
    </xf>
    <xf numFmtId="2" fontId="0" fillId="0" borderId="0" xfId="0" applyNumberFormat="1"/>
    <xf numFmtId="0" fontId="0" fillId="0" borderId="0" xfId="0" applyAlignment="1">
      <alignment wrapText="1"/>
    </xf>
    <xf numFmtId="1" fontId="0" fillId="0" borderId="0" xfId="0" applyNumberFormat="1" applyAlignment="1">
      <alignment horizontal="center"/>
    </xf>
    <xf numFmtId="3" fontId="0" fillId="0" borderId="0" xfId="0" applyNumberFormat="1"/>
    <xf numFmtId="164" fontId="0" fillId="0" borderId="0" xfId="0" applyNumberFormat="1" applyAlignment="1">
      <alignment horizontal="left"/>
    </xf>
    <xf numFmtId="2" fontId="0" fillId="0" borderId="0" xfId="0" applyNumberFormat="1" applyAlignment="1">
      <alignment horizontal="center"/>
    </xf>
    <xf numFmtId="0" fontId="0" fillId="0" borderId="0" xfId="0" applyAlignment="1">
      <alignment horizontal="center"/>
    </xf>
    <xf numFmtId="0" fontId="18" fillId="0" borderId="0" xfId="0" applyFont="1"/>
    <xf numFmtId="0" fontId="9" fillId="0" borderId="0" xfId="0" applyFont="1" applyAlignment="1">
      <alignment horizontal="center" vertical="center"/>
    </xf>
    <xf numFmtId="0" fontId="2" fillId="0" borderId="0" xfId="0" applyFont="1"/>
    <xf numFmtId="164"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left"/>
    </xf>
    <xf numFmtId="0" fontId="5" fillId="6" borderId="0" xfId="0" applyFont="1" applyFill="1"/>
    <xf numFmtId="1" fontId="0" fillId="0" borderId="0" xfId="0" applyNumberFormat="1"/>
    <xf numFmtId="0" fontId="0" fillId="6" borderId="0" xfId="0" applyFill="1"/>
    <xf numFmtId="0" fontId="0" fillId="0" borderId="0" xfId="0" applyAlignment="1">
      <alignment vertical="center"/>
    </xf>
    <xf numFmtId="0" fontId="28" fillId="6" borderId="0" xfId="0" applyFont="1" applyFill="1"/>
    <xf numFmtId="0" fontId="0" fillId="7" borderId="3" xfId="0" applyFill="1" applyBorder="1"/>
    <xf numFmtId="49" fontId="0" fillId="0" borderId="0" xfId="0" applyNumberFormat="1" applyAlignment="1">
      <alignment horizontal="center"/>
    </xf>
    <xf numFmtId="1" fontId="0" fillId="0" borderId="0" xfId="0" applyNumberFormat="1" applyAlignment="1">
      <alignment horizontal="left"/>
    </xf>
    <xf numFmtId="10" fontId="0" fillId="0" borderId="0" xfId="0" applyNumberFormat="1" applyAlignment="1">
      <alignment horizontal="center"/>
    </xf>
    <xf numFmtId="0" fontId="29" fillId="0" borderId="0" xfId="2"/>
    <xf numFmtId="0" fontId="29" fillId="0" borderId="0" xfId="2" applyAlignment="1">
      <alignment horizontal="left"/>
    </xf>
    <xf numFmtId="0" fontId="29" fillId="0" borderId="0" xfId="2" applyAlignment="1">
      <alignment horizontal="center"/>
    </xf>
    <xf numFmtId="49" fontId="0" fillId="0" borderId="0" xfId="0" applyNumberFormat="1" applyAlignment="1">
      <alignment vertical="center"/>
    </xf>
    <xf numFmtId="164" fontId="29" fillId="0" borderId="0" xfId="2" applyNumberFormat="1" applyAlignment="1">
      <alignment horizontal="center"/>
    </xf>
    <xf numFmtId="167" fontId="27" fillId="0" borderId="0" xfId="3" applyNumberFormat="1" applyAlignment="1">
      <alignment horizontal="right"/>
    </xf>
    <xf numFmtId="168" fontId="27" fillId="0" borderId="0" xfId="3" applyNumberFormat="1"/>
    <xf numFmtId="0" fontId="30" fillId="0" borderId="0" xfId="0" applyFont="1"/>
    <xf numFmtId="0" fontId="31" fillId="0" borderId="0" xfId="0" applyFont="1"/>
    <xf numFmtId="0" fontId="32" fillId="0" borderId="0" xfId="0" applyFont="1" applyAlignment="1">
      <alignment horizontal="center"/>
    </xf>
    <xf numFmtId="0" fontId="33" fillId="8" borderId="0" xfId="0" applyFont="1" applyFill="1"/>
    <xf numFmtId="0" fontId="4" fillId="0" borderId="0" xfId="0" applyFont="1"/>
    <xf numFmtId="0" fontId="4" fillId="0" borderId="0" xfId="0" applyFont="1" applyAlignment="1">
      <alignment horizontal="left"/>
    </xf>
    <xf numFmtId="0" fontId="5" fillId="0" borderId="0" xfId="0" applyFont="1" applyAlignment="1">
      <alignment vertical="center"/>
    </xf>
    <xf numFmtId="1" fontId="29" fillId="0" borderId="0" xfId="2" applyNumberFormat="1"/>
    <xf numFmtId="0" fontId="34" fillId="0" borderId="0" xfId="0" applyFont="1"/>
    <xf numFmtId="0" fontId="0" fillId="2" borderId="0" xfId="0" applyFill="1"/>
    <xf numFmtId="164" fontId="29" fillId="0" borderId="0" xfId="2" applyNumberFormat="1" applyAlignment="1">
      <alignment horizontal="center" vertical="center"/>
    </xf>
    <xf numFmtId="0" fontId="29" fillId="0" borderId="0" xfId="2" applyAlignment="1">
      <alignment horizontal="center" vertical="center"/>
    </xf>
    <xf numFmtId="1" fontId="29" fillId="0" borderId="0" xfId="2" applyNumberFormat="1" applyAlignment="1">
      <alignment horizontal="center" vertical="center"/>
    </xf>
    <xf numFmtId="1" fontId="0" fillId="0" borderId="0" xfId="0" applyNumberFormat="1" applyAlignment="1">
      <alignment horizontal="center" vertical="center"/>
    </xf>
    <xf numFmtId="0" fontId="35" fillId="0" borderId="0" xfId="0" applyFont="1"/>
    <xf numFmtId="0" fontId="36" fillId="0" borderId="0" xfId="0" applyFont="1"/>
    <xf numFmtId="0" fontId="37" fillId="0" borderId="0" xfId="0" applyFont="1"/>
    <xf numFmtId="0" fontId="38" fillId="0" borderId="0" xfId="0" applyFont="1"/>
    <xf numFmtId="0" fontId="2" fillId="3" borderId="0" xfId="0" applyFont="1" applyFill="1" applyAlignment="1">
      <alignment horizontal="left"/>
    </xf>
    <xf numFmtId="0" fontId="2" fillId="0" borderId="0" xfId="0" applyFont="1"/>
    <xf numFmtId="0" fontId="2" fillId="2" borderId="0" xfId="0" applyFont="1" applyFill="1" applyAlignment="1">
      <alignment horizontal="center"/>
    </xf>
    <xf numFmtId="0" fontId="0" fillId="0" borderId="0" xfId="0"/>
    <xf numFmtId="0" fontId="7" fillId="5" borderId="0" xfId="0" applyFont="1" applyFill="1" applyAlignment="1">
      <alignment horizontal="center" vertical="center" textRotation="90"/>
    </xf>
    <xf numFmtId="0" fontId="0" fillId="0" borderId="0" xfId="0" applyAlignment="1">
      <alignment horizontal="center"/>
    </xf>
    <xf numFmtId="0" fontId="0" fillId="3" borderId="0" xfId="0" applyFill="1" applyAlignment="1">
      <alignment horizontal="left"/>
    </xf>
    <xf numFmtId="0" fontId="18" fillId="3" borderId="0" xfId="0" applyFont="1" applyFill="1" applyAlignment="1">
      <alignment horizontal="left"/>
    </xf>
    <xf numFmtId="0" fontId="18" fillId="0" borderId="0" xfId="0" applyFont="1"/>
    <xf numFmtId="0" fontId="17" fillId="2" borderId="0" xfId="0" applyFont="1" applyFill="1" applyAlignment="1">
      <alignment horizontal="center"/>
    </xf>
    <xf numFmtId="0" fontId="20" fillId="5" borderId="0" xfId="0" applyFont="1" applyFill="1" applyAlignment="1">
      <alignment horizontal="center" vertical="center" textRotation="90"/>
    </xf>
    <xf numFmtId="0" fontId="18" fillId="0" borderId="0" xfId="0" applyFont="1" applyAlignment="1">
      <alignment horizontal="center"/>
    </xf>
    <xf numFmtId="0" fontId="9" fillId="0" borderId="0" xfId="0" applyFont="1" applyAlignment="1">
      <alignment horizontal="center"/>
    </xf>
    <xf numFmtId="0" fontId="17" fillId="0" borderId="0" xfId="0" applyFont="1" applyAlignment="1">
      <alignment horizontal="center"/>
    </xf>
    <xf numFmtId="0" fontId="12" fillId="0" borderId="0" xfId="0" applyFont="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21" fillId="0" borderId="0" xfId="0" applyFon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left" vertical="center"/>
    </xf>
    <xf numFmtId="0" fontId="0" fillId="0" borderId="0" xfId="0" applyAlignment="1">
      <alignment horizontal="left"/>
    </xf>
    <xf numFmtId="49" fontId="0" fillId="0" borderId="0" xfId="0" applyNumberFormat="1" applyAlignment="1">
      <alignment horizontal="center"/>
    </xf>
    <xf numFmtId="0" fontId="2" fillId="3" borderId="0" xfId="0" applyFont="1" applyFill="1" applyAlignment="1">
      <alignment horizontal="left" wrapText="1"/>
    </xf>
  </cellXfs>
  <cellStyles count="4">
    <cellStyle name="Hyperlink" xfId="1" builtinId="8"/>
    <cellStyle name="Normal" xfId="0" builtinId="0"/>
    <cellStyle name="Normal 2" xfId="3" xr:uid="{E70A6FF2-F6CA-45EB-BCEF-0236FCAB5AAF}"/>
    <cellStyle name="Normal 3" xfId="2" xr:uid="{30DD5AF7-CD6F-48A9-A328-3FCDFCE24994}"/>
  </cellStyles>
  <dxfs count="4">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dxf>
    <dxf>
      <font>
        <strike val="0"/>
        <outline val="0"/>
        <shadow val="0"/>
        <u val="none"/>
        <vertAlign val="baseline"/>
        <color auto="1"/>
      </font>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theme" Target="theme/theme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styles" Target="style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sharedStrings" Target="sharedString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calcChain" Target="calcChain.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customXml" Target="../customXml/item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customXml" Target="../customXml/item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customXml" Target="../customXml/item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L308" totalsRowShown="0">
  <autoFilter ref="A1:L308" xr:uid="{00000000-0009-0000-0100-000001000000}"/>
  <tableColumns count="12">
    <tableColumn id="1" xr3:uid="{00000000-0010-0000-0000-000001000000}" name="Activate/Deactivate"/>
    <tableColumn id="9" xr3:uid="{00000000-0010-0000-0000-000009000000}" name="Count"/>
    <tableColumn id="12" xr3:uid="{49698481-825A-48B6-AF57-B39C908DCAEE}" name="Column1"/>
    <tableColumn id="2" xr3:uid="{00000000-0010-0000-0000-000002000000}" name="Object_Type"/>
    <tableColumn id="3" xr3:uid="{00000000-0010-0000-0000-000003000000}" name="Old         F or T #"/>
    <tableColumn id="4" xr3:uid="{00000000-0010-0000-0000-000004000000}" name="Indicator Name"/>
    <tableColumn id="10" xr3:uid="{8B017159-49BC-D540-81F1-06135461E9C6}" name="Object ID" dataDxfId="3"/>
    <tableColumn id="11" xr3:uid="{893B6C8F-F54C-3943-991E-6888D6A38628}" name="Figure ID" dataDxfId="2"/>
    <tableColumn id="5" xr3:uid="{00000000-0010-0000-0000-000005000000}" name="Our Data Source"/>
    <tableColumn id="6" xr3:uid="{00000000-0010-0000-0000-000006000000}" name="Table # "/>
    <tableColumn id="7" xr3:uid="{00000000-0010-0000-0000-000007000000}" name="Primary Data Source"/>
    <tableColumn id="8" xr3:uid="{00000000-0010-0000-0000-000008000000}" name="County Assign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statecancerprofiles.cancer.gov/" TargetMode="External"/><Relationship Id="rId18" Type="http://schemas.openxmlformats.org/officeDocument/2006/relationships/hyperlink" Target="https://nccd.cdc.gov/Youthonline/App/Results.aspx?LID=XX" TargetMode="External"/><Relationship Id="rId26" Type="http://schemas.openxmlformats.org/officeDocument/2006/relationships/hyperlink" Target="https://www.cdc.gov/nchhstp/atlas/index.htm" TargetMode="External"/><Relationship Id="rId39" Type="http://schemas.openxmlformats.org/officeDocument/2006/relationships/hyperlink" Target="https://www.bls.gov/cps/data-overview.htm" TargetMode="External"/><Relationship Id="rId21" Type="http://schemas.openxmlformats.org/officeDocument/2006/relationships/hyperlink" Target="https://www.cdc.gov/asthma/asthmadata.htm" TargetMode="External"/><Relationship Id="rId34" Type="http://schemas.openxmlformats.org/officeDocument/2006/relationships/hyperlink" Target="https://statecancerprofiles.cancer.gov/index.html" TargetMode="External"/><Relationship Id="rId7" Type="http://schemas.openxmlformats.org/officeDocument/2006/relationships/hyperlink" Target="https://www.criminaljustice.ny.gov/crimnet/ojsa/arrests/index.htm" TargetMode="External"/><Relationship Id="rId12" Type="http://schemas.openxmlformats.org/officeDocument/2006/relationships/hyperlink" Target="https://www.health.ny.gov/statistics/diseases/communicable/std/docs/sti_surveillance_report_2021.pdf" TargetMode="External"/><Relationship Id="rId17" Type="http://schemas.openxmlformats.org/officeDocument/2006/relationships/hyperlink" Target="https://wonder.cdc.gov/" TargetMode="External"/><Relationship Id="rId25" Type="http://schemas.openxmlformats.org/officeDocument/2006/relationships/hyperlink" Target="https://www.cdc.gov/diabetes/data/index.html" TargetMode="External"/><Relationship Id="rId33" Type="http://schemas.openxmlformats.org/officeDocument/2006/relationships/hyperlink" Target="https://progressreport.cancer.gov/detection" TargetMode="External"/><Relationship Id="rId38" Type="http://schemas.openxmlformats.org/officeDocument/2006/relationships/hyperlink" Target="https://data.census.gov/cedsci/" TargetMode="External"/><Relationship Id="rId2" Type="http://schemas.openxmlformats.org/officeDocument/2006/relationships/hyperlink" Target="https://www.cdc.gov/places/" TargetMode="External"/><Relationship Id="rId16" Type="http://schemas.openxmlformats.org/officeDocument/2006/relationships/hyperlink" Target="https://ahead.hiv.gov/" TargetMode="External"/><Relationship Id="rId20" Type="http://schemas.openxmlformats.org/officeDocument/2006/relationships/hyperlink" Target="https://www.cdc.gov/mmwr/index.html" TargetMode="External"/><Relationship Id="rId29" Type="http://schemas.openxmlformats.org/officeDocument/2006/relationships/hyperlink" Target="https://gis.cdc.gov/grasp/diabetes/diabetesatlas-surveillance.html" TargetMode="External"/><Relationship Id="rId1" Type="http://schemas.openxmlformats.org/officeDocument/2006/relationships/hyperlink" Target="https://health.data.ny.gov/Health/Behavioral-Risk-Factor-Surveillance-System-BRFSS-H/jsy7-eb4n/data" TargetMode="External"/><Relationship Id="rId6" Type="http://schemas.openxmlformats.org/officeDocument/2006/relationships/hyperlink" Target="https://www.health.ny.gov/statistics/chac/perinatal/county/2018-2020/orange.htm" TargetMode="External"/><Relationship Id="rId11" Type="http://schemas.openxmlformats.org/officeDocument/2006/relationships/hyperlink" Target="https://webbi1.health.ny.gov/SASStoredProcess/guest?_program=%2FEBI%2FPHIG%2Fapps%2Fdashboard%2Fpa_dashboard&amp;p=ch&amp;cos=33" TargetMode="External"/><Relationship Id="rId24" Type="http://schemas.openxmlformats.org/officeDocument/2006/relationships/hyperlink" Target="https://www.cdc.gov/nchs/nhis/shs.htm" TargetMode="External"/><Relationship Id="rId32" Type="http://schemas.openxmlformats.org/officeDocument/2006/relationships/hyperlink" Target="https://www.kff.org/" TargetMode="External"/><Relationship Id="rId37" Type="http://schemas.openxmlformats.org/officeDocument/2006/relationships/hyperlink" Target="https://data.oecd.org/" TargetMode="External"/><Relationship Id="rId40" Type="http://schemas.openxmlformats.org/officeDocument/2006/relationships/hyperlink" Target="https://health.gov/healthypeople" TargetMode="External"/><Relationship Id="rId5" Type="http://schemas.openxmlformats.org/officeDocument/2006/relationships/hyperlink" Target="https://www.health.ny.gov/statistics/diseases/communicable/docs/2019_hepc_regional.pdf" TargetMode="External"/><Relationship Id="rId15" Type="http://schemas.openxmlformats.org/officeDocument/2006/relationships/hyperlink" Target="https://www.americashealthrankings.org/" TargetMode="External"/><Relationship Id="rId23" Type="http://schemas.openxmlformats.org/officeDocument/2006/relationships/hyperlink" Target="https://www.cdc.gov/nchs/index.htm" TargetMode="External"/><Relationship Id="rId28" Type="http://schemas.openxmlformats.org/officeDocument/2006/relationships/hyperlink" Target="https://www.cdc.gov/vaccines/imz-managers/coverage/teenvaxview/data-reports/index.html" TargetMode="External"/><Relationship Id="rId36" Type="http://schemas.openxmlformats.org/officeDocument/2006/relationships/hyperlink" Target="https://www.niaaa.nih.gov/" TargetMode="External"/><Relationship Id="rId10" Type="http://schemas.openxmlformats.org/officeDocument/2006/relationships/hyperlink" Target="https://webbi1.health.ny.gov/SASStoredProcess/guest?_program=%2FEBI%2FPHIG%2Fapps%2Fopioid_dashboard%2Fop_dashboard&amp;p=ch&amp;cos=33" TargetMode="External"/><Relationship Id="rId19" Type="http://schemas.openxmlformats.org/officeDocument/2006/relationships/hyperlink" Target="https://www.cdc.gov/injury/wisqars/index.html" TargetMode="External"/><Relationship Id="rId31" Type="http://schemas.openxmlformats.org/officeDocument/2006/relationships/hyperlink" Target="https://www.ghrconnects.org/indicators" TargetMode="External"/><Relationship Id="rId4" Type="http://schemas.openxmlformats.org/officeDocument/2006/relationships/hyperlink" Target="https://www.health.ny.gov/statistics/community/minority/county/orange.htm" TargetMode="External"/><Relationship Id="rId9" Type="http://schemas.openxmlformats.org/officeDocument/2006/relationships/hyperlink" Target="https://webbi1.health.ny.gov/SASStoredProcess/guest?_program=%2FEBI%2FPHIG%2Fapps%2Fmch_dashboard%2Fmch_dashboard&amp;p=ch&amp;cos=33" TargetMode="External"/><Relationship Id="rId14" Type="http://schemas.openxmlformats.org/officeDocument/2006/relationships/hyperlink" Target="https://data.census.gov/cedsci/" TargetMode="External"/><Relationship Id="rId22" Type="http://schemas.openxmlformats.org/officeDocument/2006/relationships/hyperlink" Target="https://www.cdc.gov/nceh/" TargetMode="External"/><Relationship Id="rId27" Type="http://schemas.openxmlformats.org/officeDocument/2006/relationships/hyperlink" Target="https://www.cdc.gov/std/statistics/2021/default.htm" TargetMode="External"/><Relationship Id="rId30" Type="http://schemas.openxmlformats.org/officeDocument/2006/relationships/hyperlink" Target="https://www.cdc.gov/hepatitis/statistics/SurveillanceRpts.htm" TargetMode="External"/><Relationship Id="rId35" Type="http://schemas.openxmlformats.org/officeDocument/2006/relationships/hyperlink" Target="https://nces.ed.gov/" TargetMode="External"/><Relationship Id="rId8" Type="http://schemas.openxmlformats.org/officeDocument/2006/relationships/hyperlink" Target="https://data.nysed.gov/gradrate.php?year=2022&amp;county=44" TargetMode="External"/><Relationship Id="rId3" Type="http://schemas.openxmlformats.org/officeDocument/2006/relationships/hyperlink" Target="https://webbi1.health.ny.gov/SASStoredProcess/guest?_program=%2FEBI%2FPHIG%2Fapps%2Fchir_dashboard%2Fchir_dashboard&amp;p=ch&amp;cos=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8"/>
  <sheetViews>
    <sheetView topLeftCell="A226" zoomScale="125" workbookViewId="0">
      <selection activeCell="F247" sqref="F247"/>
    </sheetView>
  </sheetViews>
  <sheetFormatPr baseColWidth="10" defaultColWidth="8.6640625" defaultRowHeight="15" x14ac:dyDescent="0.2"/>
  <cols>
    <col min="1" max="2" width="19" customWidth="1"/>
    <col min="3" max="3" width="14.33203125" customWidth="1"/>
    <col min="4" max="4" width="16.33203125" customWidth="1"/>
    <col min="5" max="5" width="19.6640625" customWidth="1"/>
    <col min="6" max="6" width="121.6640625" bestFit="1" customWidth="1"/>
    <col min="7" max="7" width="38.6640625" bestFit="1" customWidth="1"/>
    <col min="8" max="8" width="96.5" bestFit="1" customWidth="1"/>
    <col min="9" max="9" width="83.6640625" bestFit="1" customWidth="1"/>
    <col min="10" max="10" width="20.6640625" customWidth="1"/>
    <col min="11" max="11" width="17.6640625" customWidth="1"/>
  </cols>
  <sheetData>
    <row r="1" spans="1:12" x14ac:dyDescent="0.2">
      <c r="A1" t="s">
        <v>0</v>
      </c>
      <c r="B1" t="s">
        <v>1</v>
      </c>
      <c r="C1" t="s">
        <v>1536</v>
      </c>
      <c r="D1" t="s">
        <v>2</v>
      </c>
      <c r="E1" t="s">
        <v>3</v>
      </c>
      <c r="F1" t="s">
        <v>4</v>
      </c>
      <c r="G1" t="s">
        <v>5</v>
      </c>
      <c r="H1" t="s">
        <v>6</v>
      </c>
      <c r="I1" t="s">
        <v>7</v>
      </c>
      <c r="J1" t="s">
        <v>8</v>
      </c>
      <c r="K1" t="s">
        <v>9</v>
      </c>
      <c r="L1" t="s">
        <v>10</v>
      </c>
    </row>
    <row r="2" spans="1:12" s="64" customFormat="1" x14ac:dyDescent="0.2">
      <c r="A2" s="64" t="s">
        <v>11</v>
      </c>
      <c r="B2" s="64">
        <v>1</v>
      </c>
      <c r="D2" s="64" t="s">
        <v>12</v>
      </c>
      <c r="E2" s="64" t="s">
        <v>13</v>
      </c>
      <c r="F2" s="64" t="s">
        <v>14</v>
      </c>
      <c r="G2" s="62" t="s">
        <v>15</v>
      </c>
      <c r="H2" s="62"/>
      <c r="I2" s="64" t="s">
        <v>16</v>
      </c>
      <c r="J2" s="64" t="s">
        <v>17</v>
      </c>
      <c r="L2" s="64" t="s">
        <v>18</v>
      </c>
    </row>
    <row r="3" spans="1:12" s="64" customFormat="1" x14ac:dyDescent="0.2">
      <c r="A3" s="64" t="s">
        <v>11</v>
      </c>
      <c r="B3" s="64">
        <v>2</v>
      </c>
      <c r="D3" s="64" t="s">
        <v>12</v>
      </c>
      <c r="E3" s="64" t="s">
        <v>19</v>
      </c>
      <c r="F3" s="64" t="s">
        <v>20</v>
      </c>
      <c r="G3" s="62" t="s">
        <v>21</v>
      </c>
      <c r="H3" s="62"/>
      <c r="I3" s="64" t="s">
        <v>16</v>
      </c>
      <c r="J3" s="64" t="s">
        <v>17</v>
      </c>
      <c r="L3" s="64" t="s">
        <v>18</v>
      </c>
    </row>
    <row r="4" spans="1:12" s="64" customFormat="1" ht="16" x14ac:dyDescent="0.2">
      <c r="A4" s="64" t="s">
        <v>11</v>
      </c>
      <c r="B4" s="64">
        <v>3</v>
      </c>
      <c r="D4" s="64" t="s">
        <v>12</v>
      </c>
      <c r="E4" s="64" t="s">
        <v>22</v>
      </c>
      <c r="F4" s="64" t="s">
        <v>23</v>
      </c>
      <c r="G4" s="95" t="s">
        <v>1924</v>
      </c>
      <c r="H4" s="62"/>
      <c r="I4" s="64" t="s">
        <v>16</v>
      </c>
      <c r="J4" s="64" t="s">
        <v>17</v>
      </c>
      <c r="L4" s="64" t="s">
        <v>18</v>
      </c>
    </row>
    <row r="5" spans="1:12" s="64" customFormat="1" x14ac:dyDescent="0.2">
      <c r="A5" s="64" t="s">
        <v>11</v>
      </c>
      <c r="B5" s="64">
        <v>4</v>
      </c>
      <c r="D5" s="64" t="s">
        <v>12</v>
      </c>
      <c r="E5" s="64" t="s">
        <v>24</v>
      </c>
      <c r="F5" s="64" t="s">
        <v>25</v>
      </c>
      <c r="G5" s="62" t="s">
        <v>26</v>
      </c>
      <c r="H5" s="62"/>
      <c r="I5" s="64" t="s">
        <v>16</v>
      </c>
      <c r="J5" s="64" t="s">
        <v>27</v>
      </c>
      <c r="L5" s="64" t="s">
        <v>18</v>
      </c>
    </row>
    <row r="6" spans="1:12" s="64" customFormat="1" x14ac:dyDescent="0.2">
      <c r="A6" s="64" t="s">
        <v>11</v>
      </c>
      <c r="B6" s="64">
        <v>5</v>
      </c>
      <c r="D6" s="64" t="s">
        <v>12</v>
      </c>
      <c r="E6" s="64" t="s">
        <v>28</v>
      </c>
      <c r="F6" s="64" t="s">
        <v>29</v>
      </c>
      <c r="G6" s="62" t="s">
        <v>30</v>
      </c>
      <c r="H6" s="62"/>
      <c r="I6" s="64" t="s">
        <v>16</v>
      </c>
      <c r="J6" s="64" t="s">
        <v>27</v>
      </c>
      <c r="L6" s="64" t="s">
        <v>18</v>
      </c>
    </row>
    <row r="7" spans="1:12" s="64" customFormat="1" x14ac:dyDescent="0.2">
      <c r="A7" s="64" t="s">
        <v>11</v>
      </c>
      <c r="B7" s="64">
        <v>6</v>
      </c>
      <c r="D7" s="64" t="s">
        <v>12</v>
      </c>
      <c r="E7" s="64" t="s">
        <v>31</v>
      </c>
      <c r="F7" s="64" t="s">
        <v>32</v>
      </c>
      <c r="G7" s="62" t="s">
        <v>33</v>
      </c>
      <c r="H7" s="62"/>
      <c r="I7" s="64" t="s">
        <v>16</v>
      </c>
      <c r="J7" s="64" t="s">
        <v>34</v>
      </c>
      <c r="L7" s="64" t="s">
        <v>18</v>
      </c>
    </row>
    <row r="8" spans="1:12" s="64" customFormat="1" x14ac:dyDescent="0.2">
      <c r="A8" s="64" t="s">
        <v>11</v>
      </c>
      <c r="B8" s="64">
        <v>7</v>
      </c>
      <c r="D8" s="64" t="s">
        <v>12</v>
      </c>
      <c r="E8" s="64" t="s">
        <v>35</v>
      </c>
      <c r="F8" s="64" t="s">
        <v>36</v>
      </c>
      <c r="G8" s="62" t="s">
        <v>37</v>
      </c>
      <c r="H8" s="62"/>
      <c r="I8" s="64" t="s">
        <v>16</v>
      </c>
      <c r="J8" s="64" t="s">
        <v>38</v>
      </c>
      <c r="L8" s="64" t="s">
        <v>18</v>
      </c>
    </row>
    <row r="9" spans="1:12" s="64" customFormat="1" ht="16" x14ac:dyDescent="0.2">
      <c r="A9" s="64" t="s">
        <v>11</v>
      </c>
      <c r="B9" s="64">
        <v>8</v>
      </c>
      <c r="D9" s="64" t="s">
        <v>12</v>
      </c>
      <c r="E9" s="64" t="s">
        <v>39</v>
      </c>
      <c r="F9" s="64" t="s">
        <v>40</v>
      </c>
      <c r="G9" s="94" t="s">
        <v>1925</v>
      </c>
      <c r="H9" s="62"/>
      <c r="I9" s="64" t="s">
        <v>16</v>
      </c>
      <c r="J9" s="64" t="s">
        <v>38</v>
      </c>
      <c r="L9" s="64" t="s">
        <v>18</v>
      </c>
    </row>
    <row r="10" spans="1:12" s="64" customFormat="1" x14ac:dyDescent="0.2">
      <c r="A10" s="64" t="s">
        <v>11</v>
      </c>
      <c r="B10" s="64">
        <v>9</v>
      </c>
      <c r="D10" s="64" t="s">
        <v>12</v>
      </c>
      <c r="E10" s="64" t="s">
        <v>41</v>
      </c>
      <c r="F10" s="64" t="s">
        <v>42</v>
      </c>
      <c r="G10" s="62" t="s">
        <v>43</v>
      </c>
      <c r="H10" s="62"/>
      <c r="I10" s="64" t="s">
        <v>16</v>
      </c>
      <c r="J10" s="64" t="s">
        <v>44</v>
      </c>
      <c r="L10" s="64" t="s">
        <v>18</v>
      </c>
    </row>
    <row r="11" spans="1:12" s="64" customFormat="1" x14ac:dyDescent="0.2">
      <c r="A11" s="64" t="s">
        <v>11</v>
      </c>
      <c r="B11" s="64">
        <v>10</v>
      </c>
      <c r="D11" s="64" t="s">
        <v>12</v>
      </c>
      <c r="E11" s="64" t="s">
        <v>45</v>
      </c>
      <c r="F11" s="64" t="s">
        <v>46</v>
      </c>
      <c r="G11" s="62" t="s">
        <v>47</v>
      </c>
      <c r="H11" s="62"/>
      <c r="I11" s="64" t="s">
        <v>16</v>
      </c>
      <c r="J11" s="64" t="s">
        <v>44</v>
      </c>
      <c r="L11" s="64" t="s">
        <v>18</v>
      </c>
    </row>
    <row r="12" spans="1:12" s="64" customFormat="1" x14ac:dyDescent="0.2">
      <c r="A12" s="64" t="s">
        <v>11</v>
      </c>
      <c r="B12" s="64">
        <v>11</v>
      </c>
      <c r="D12" s="64" t="s">
        <v>12</v>
      </c>
      <c r="E12" s="64" t="s">
        <v>48</v>
      </c>
      <c r="F12" s="64" t="s">
        <v>49</v>
      </c>
      <c r="G12" s="62" t="s">
        <v>50</v>
      </c>
      <c r="H12" s="62"/>
      <c r="I12" s="64" t="s">
        <v>16</v>
      </c>
      <c r="J12" s="64" t="s">
        <v>51</v>
      </c>
      <c r="L12" s="64" t="s">
        <v>18</v>
      </c>
    </row>
    <row r="13" spans="1:12" s="64" customFormat="1" x14ac:dyDescent="0.2">
      <c r="A13" s="64" t="s">
        <v>11</v>
      </c>
      <c r="B13" s="64">
        <v>12</v>
      </c>
      <c r="D13" s="64" t="s">
        <v>12</v>
      </c>
      <c r="E13" s="64" t="s">
        <v>52</v>
      </c>
      <c r="F13" s="64" t="s">
        <v>53</v>
      </c>
      <c r="G13" s="62" t="s">
        <v>54</v>
      </c>
      <c r="H13" s="62"/>
      <c r="I13" s="64" t="s">
        <v>16</v>
      </c>
      <c r="J13" s="64" t="s">
        <v>55</v>
      </c>
      <c r="L13" s="64" t="s">
        <v>18</v>
      </c>
    </row>
    <row r="14" spans="1:12" s="64" customFormat="1" x14ac:dyDescent="0.2">
      <c r="A14" s="64" t="s">
        <v>11</v>
      </c>
      <c r="B14" s="64">
        <v>13</v>
      </c>
      <c r="D14" s="64" t="s">
        <v>56</v>
      </c>
      <c r="E14" s="64" t="s">
        <v>57</v>
      </c>
      <c r="F14" s="64" t="s">
        <v>58</v>
      </c>
      <c r="G14" s="62" t="s">
        <v>59</v>
      </c>
      <c r="H14" s="62" t="s">
        <v>60</v>
      </c>
      <c r="I14" s="64" t="s">
        <v>16</v>
      </c>
      <c r="J14" s="64" t="s">
        <v>61</v>
      </c>
      <c r="L14" s="64" t="s">
        <v>18</v>
      </c>
    </row>
    <row r="15" spans="1:12" s="64" customFormat="1" x14ac:dyDescent="0.2">
      <c r="A15" s="64" t="s">
        <v>11</v>
      </c>
      <c r="B15" s="64">
        <v>14</v>
      </c>
      <c r="D15" s="64" t="s">
        <v>56</v>
      </c>
      <c r="E15" s="64" t="s">
        <v>62</v>
      </c>
      <c r="F15" s="64" t="s">
        <v>63</v>
      </c>
      <c r="G15" s="62" t="s">
        <v>64</v>
      </c>
      <c r="H15" s="62" t="s">
        <v>65</v>
      </c>
      <c r="I15" s="64" t="s">
        <v>16</v>
      </c>
      <c r="J15" s="64" t="s">
        <v>61</v>
      </c>
      <c r="L15" s="64" t="s">
        <v>18</v>
      </c>
    </row>
    <row r="16" spans="1:12" s="64" customFormat="1" x14ac:dyDescent="0.2">
      <c r="A16" s="64" t="s">
        <v>11</v>
      </c>
      <c r="B16" s="64">
        <v>15</v>
      </c>
      <c r="D16" s="64" t="s">
        <v>56</v>
      </c>
      <c r="E16" s="64" t="s">
        <v>66</v>
      </c>
      <c r="F16" s="64" t="s">
        <v>67</v>
      </c>
      <c r="G16" s="62" t="s">
        <v>68</v>
      </c>
      <c r="H16" s="62" t="s">
        <v>69</v>
      </c>
      <c r="I16" s="64" t="s">
        <v>70</v>
      </c>
      <c r="L16" s="64" t="s">
        <v>18</v>
      </c>
    </row>
    <row r="17" spans="1:12" s="64" customFormat="1" ht="16" x14ac:dyDescent="0.2">
      <c r="A17" s="64" t="s">
        <v>11</v>
      </c>
      <c r="B17" s="64">
        <v>16</v>
      </c>
      <c r="D17" s="64" t="s">
        <v>56</v>
      </c>
      <c r="E17" s="64" t="s">
        <v>71</v>
      </c>
      <c r="F17" s="64" t="s">
        <v>1544</v>
      </c>
      <c r="G17" s="78" t="s">
        <v>1798</v>
      </c>
      <c r="H17" s="62" t="s">
        <v>73</v>
      </c>
      <c r="I17" s="64" t="s">
        <v>70</v>
      </c>
      <c r="L17" s="64" t="s">
        <v>18</v>
      </c>
    </row>
    <row r="18" spans="1:12" s="64" customFormat="1" x14ac:dyDescent="0.2">
      <c r="A18" s="64" t="s">
        <v>11</v>
      </c>
      <c r="B18" s="64">
        <v>17</v>
      </c>
      <c r="D18" s="64" t="s">
        <v>56</v>
      </c>
      <c r="E18" s="64" t="s">
        <v>74</v>
      </c>
      <c r="F18" s="64" t="s">
        <v>75</v>
      </c>
      <c r="G18" s="62" t="s">
        <v>76</v>
      </c>
      <c r="H18" s="62" t="s">
        <v>77</v>
      </c>
      <c r="I18" s="64" t="s">
        <v>16</v>
      </c>
      <c r="J18" s="64" t="s">
        <v>78</v>
      </c>
      <c r="L18" s="64" t="s">
        <v>18</v>
      </c>
    </row>
    <row r="19" spans="1:12" s="64" customFormat="1" x14ac:dyDescent="0.2">
      <c r="A19" s="64" t="s">
        <v>11</v>
      </c>
      <c r="B19" s="64">
        <v>18</v>
      </c>
      <c r="D19" s="64" t="s">
        <v>56</v>
      </c>
      <c r="E19" s="64" t="s">
        <v>79</v>
      </c>
      <c r="F19" s="64" t="s">
        <v>80</v>
      </c>
      <c r="G19" s="62" t="s">
        <v>81</v>
      </c>
      <c r="H19" s="62" t="s">
        <v>82</v>
      </c>
      <c r="I19" s="64" t="s">
        <v>83</v>
      </c>
      <c r="K19" s="64" t="s">
        <v>16</v>
      </c>
      <c r="L19" s="64" t="s">
        <v>18</v>
      </c>
    </row>
    <row r="20" spans="1:12" s="64" customFormat="1" x14ac:dyDescent="0.2">
      <c r="A20" s="64" t="s">
        <v>11</v>
      </c>
      <c r="B20" s="64">
        <v>19</v>
      </c>
      <c r="D20" s="64" t="s">
        <v>12</v>
      </c>
      <c r="E20" s="64" t="s">
        <v>84</v>
      </c>
      <c r="F20" s="64" t="s">
        <v>85</v>
      </c>
      <c r="G20" s="62" t="s">
        <v>86</v>
      </c>
      <c r="H20" s="62" t="s">
        <v>87</v>
      </c>
      <c r="I20" s="64" t="s">
        <v>88</v>
      </c>
      <c r="L20" s="64" t="s">
        <v>18</v>
      </c>
    </row>
    <row r="21" spans="1:12" s="64" customFormat="1" x14ac:dyDescent="0.2">
      <c r="A21" s="64" t="s">
        <v>11</v>
      </c>
      <c r="B21" s="64">
        <v>20</v>
      </c>
      <c r="D21" s="64" t="s">
        <v>12</v>
      </c>
      <c r="E21" s="64" t="s">
        <v>89</v>
      </c>
      <c r="F21" s="64" t="s">
        <v>90</v>
      </c>
      <c r="G21" s="62" t="s">
        <v>91</v>
      </c>
      <c r="H21" s="62"/>
      <c r="I21" s="64" t="s">
        <v>92</v>
      </c>
      <c r="L21" s="64" t="s">
        <v>18</v>
      </c>
    </row>
    <row r="22" spans="1:12" s="64" customFormat="1" x14ac:dyDescent="0.2">
      <c r="A22" s="64" t="s">
        <v>11</v>
      </c>
      <c r="B22" s="64">
        <v>21</v>
      </c>
      <c r="D22" s="64" t="s">
        <v>56</v>
      </c>
      <c r="E22" s="64" t="s">
        <v>93</v>
      </c>
      <c r="F22" s="64" t="s">
        <v>94</v>
      </c>
      <c r="G22" s="62" t="s">
        <v>95</v>
      </c>
      <c r="H22" s="62" t="s">
        <v>96</v>
      </c>
      <c r="I22" s="64" t="s">
        <v>16</v>
      </c>
      <c r="J22" s="64" t="s">
        <v>97</v>
      </c>
      <c r="L22" s="64" t="s">
        <v>18</v>
      </c>
    </row>
    <row r="23" spans="1:12" s="64" customFormat="1" x14ac:dyDescent="0.2">
      <c r="A23" s="64" t="s">
        <v>11</v>
      </c>
      <c r="B23" s="64">
        <v>22</v>
      </c>
      <c r="D23" s="64" t="s">
        <v>56</v>
      </c>
      <c r="E23" s="64" t="s">
        <v>98</v>
      </c>
      <c r="F23" s="64" t="s">
        <v>99</v>
      </c>
      <c r="G23" s="62" t="s">
        <v>100</v>
      </c>
      <c r="H23" s="62" t="s">
        <v>101</v>
      </c>
      <c r="I23" s="64" t="s">
        <v>102</v>
      </c>
      <c r="K23" s="64" t="s">
        <v>103</v>
      </c>
      <c r="L23" s="64" t="s">
        <v>18</v>
      </c>
    </row>
    <row r="24" spans="1:12" s="64" customFormat="1" x14ac:dyDescent="0.2">
      <c r="A24" s="64" t="s">
        <v>11</v>
      </c>
      <c r="B24" s="64">
        <v>23</v>
      </c>
      <c r="D24" s="64" t="s">
        <v>56</v>
      </c>
      <c r="E24" s="64" t="s">
        <v>104</v>
      </c>
      <c r="F24" s="64" t="s">
        <v>105</v>
      </c>
      <c r="G24" s="62" t="s">
        <v>106</v>
      </c>
      <c r="H24" s="62" t="s">
        <v>107</v>
      </c>
      <c r="I24" s="64" t="s">
        <v>108</v>
      </c>
      <c r="L24" s="64" t="s">
        <v>18</v>
      </c>
    </row>
    <row r="25" spans="1:12" s="64" customFormat="1" x14ac:dyDescent="0.2">
      <c r="A25" s="64" t="s">
        <v>11</v>
      </c>
      <c r="B25" s="64">
        <v>24</v>
      </c>
      <c r="D25" s="64" t="s">
        <v>12</v>
      </c>
      <c r="E25" s="64" t="s">
        <v>109</v>
      </c>
      <c r="F25" s="64" t="s">
        <v>110</v>
      </c>
      <c r="G25" s="62" t="s">
        <v>111</v>
      </c>
      <c r="H25" s="62"/>
      <c r="I25" s="64" t="s">
        <v>112</v>
      </c>
      <c r="L25" s="64" t="s">
        <v>18</v>
      </c>
    </row>
    <row r="26" spans="1:12" s="64" customFormat="1" x14ac:dyDescent="0.2">
      <c r="A26" s="64" t="s">
        <v>11</v>
      </c>
      <c r="B26" s="64">
        <v>25</v>
      </c>
      <c r="D26" s="64" t="s">
        <v>56</v>
      </c>
      <c r="E26" s="64" t="s">
        <v>113</v>
      </c>
      <c r="F26" s="64" t="s">
        <v>114</v>
      </c>
      <c r="G26" s="62" t="s">
        <v>115</v>
      </c>
      <c r="H26" s="62" t="s">
        <v>116</v>
      </c>
      <c r="I26" s="64" t="s">
        <v>112</v>
      </c>
      <c r="L26" s="64" t="s">
        <v>18</v>
      </c>
    </row>
    <row r="27" spans="1:12" s="64" customFormat="1" x14ac:dyDescent="0.2">
      <c r="A27" s="64" t="s">
        <v>11</v>
      </c>
      <c r="B27" s="64">
        <v>26</v>
      </c>
      <c r="D27" s="64" t="s">
        <v>56</v>
      </c>
      <c r="E27" s="64" t="s">
        <v>117</v>
      </c>
      <c r="F27" s="64" t="s">
        <v>118</v>
      </c>
      <c r="G27" s="62" t="s">
        <v>119</v>
      </c>
      <c r="H27" s="62" t="s">
        <v>120</v>
      </c>
      <c r="I27" s="64" t="s">
        <v>108</v>
      </c>
      <c r="L27" s="64" t="s">
        <v>18</v>
      </c>
    </row>
    <row r="28" spans="1:12" s="64" customFormat="1" x14ac:dyDescent="0.2">
      <c r="A28" s="64" t="s">
        <v>11</v>
      </c>
      <c r="B28" s="64">
        <v>27</v>
      </c>
      <c r="D28" s="64" t="s">
        <v>56</v>
      </c>
      <c r="E28" s="64" t="s">
        <v>121</v>
      </c>
      <c r="F28" s="64" t="s">
        <v>122</v>
      </c>
      <c r="G28" s="62" t="s">
        <v>123</v>
      </c>
      <c r="H28" s="62" t="s">
        <v>124</v>
      </c>
      <c r="I28" s="64" t="s">
        <v>108</v>
      </c>
      <c r="L28" s="64" t="s">
        <v>18</v>
      </c>
    </row>
    <row r="29" spans="1:12" s="64" customFormat="1" x14ac:dyDescent="0.2">
      <c r="A29" s="64" t="s">
        <v>11</v>
      </c>
      <c r="B29" s="64">
        <v>28</v>
      </c>
      <c r="D29" s="64" t="s">
        <v>56</v>
      </c>
      <c r="E29" s="64" t="s">
        <v>125</v>
      </c>
      <c r="F29" s="64" t="s">
        <v>126</v>
      </c>
      <c r="G29" s="62" t="s">
        <v>127</v>
      </c>
      <c r="H29" s="62" t="s">
        <v>128</v>
      </c>
      <c r="I29" s="64" t="s">
        <v>16</v>
      </c>
      <c r="J29" s="64" t="s">
        <v>38</v>
      </c>
      <c r="L29" s="64" t="s">
        <v>18</v>
      </c>
    </row>
    <row r="30" spans="1:12" s="64" customFormat="1" x14ac:dyDescent="0.2">
      <c r="A30" s="64" t="s">
        <v>11</v>
      </c>
      <c r="B30" s="64">
        <v>29</v>
      </c>
      <c r="D30" s="64" t="s">
        <v>56</v>
      </c>
      <c r="E30" s="64" t="s">
        <v>129</v>
      </c>
      <c r="F30" s="64" t="s">
        <v>130</v>
      </c>
      <c r="G30" s="62" t="s">
        <v>131</v>
      </c>
      <c r="H30" s="62" t="s">
        <v>132</v>
      </c>
      <c r="I30" s="64" t="s">
        <v>16</v>
      </c>
      <c r="J30" s="64" t="s">
        <v>34</v>
      </c>
      <c r="L30" s="64" t="s">
        <v>18</v>
      </c>
    </row>
    <row r="31" spans="1:12" s="64" customFormat="1" x14ac:dyDescent="0.2">
      <c r="A31" s="64" t="s">
        <v>11</v>
      </c>
      <c r="B31" s="64">
        <v>30</v>
      </c>
      <c r="D31" s="64" t="s">
        <v>56</v>
      </c>
      <c r="E31" s="64" t="s">
        <v>133</v>
      </c>
      <c r="F31" s="64" t="s">
        <v>134</v>
      </c>
      <c r="G31" s="62" t="s">
        <v>135</v>
      </c>
      <c r="H31" s="62" t="s">
        <v>136</v>
      </c>
      <c r="I31" s="64" t="s">
        <v>83</v>
      </c>
      <c r="L31" s="64" t="s">
        <v>18</v>
      </c>
    </row>
    <row r="32" spans="1:12" s="64" customFormat="1" x14ac:dyDescent="0.2">
      <c r="A32" s="64" t="s">
        <v>11</v>
      </c>
      <c r="B32" s="64">
        <v>31</v>
      </c>
      <c r="D32" s="64" t="s">
        <v>56</v>
      </c>
      <c r="E32" s="64" t="s">
        <v>137</v>
      </c>
      <c r="F32" s="64" t="s">
        <v>138</v>
      </c>
      <c r="G32" s="62" t="s">
        <v>139</v>
      </c>
      <c r="H32" s="62" t="s">
        <v>140</v>
      </c>
      <c r="I32" s="64" t="s">
        <v>83</v>
      </c>
      <c r="L32" s="64" t="s">
        <v>18</v>
      </c>
    </row>
    <row r="33" spans="1:12" s="64" customFormat="1" x14ac:dyDescent="0.2">
      <c r="A33" s="64" t="s">
        <v>11</v>
      </c>
      <c r="B33" s="64">
        <v>32</v>
      </c>
      <c r="D33" s="64" t="s">
        <v>56</v>
      </c>
      <c r="E33" s="64" t="s">
        <v>141</v>
      </c>
      <c r="F33" s="64" t="s">
        <v>142</v>
      </c>
      <c r="G33" s="66" t="s">
        <v>1560</v>
      </c>
      <c r="H33" s="66" t="s">
        <v>143</v>
      </c>
      <c r="I33" s="64" t="s">
        <v>144</v>
      </c>
      <c r="L33" s="64" t="s">
        <v>18</v>
      </c>
    </row>
    <row r="34" spans="1:12" s="64" customFormat="1" x14ac:dyDescent="0.2">
      <c r="A34" s="64" t="s">
        <v>11</v>
      </c>
      <c r="B34" s="64">
        <v>33</v>
      </c>
      <c r="D34" s="64" t="s">
        <v>56</v>
      </c>
      <c r="E34" s="64" t="s">
        <v>145</v>
      </c>
      <c r="F34" s="64" t="s">
        <v>146</v>
      </c>
      <c r="G34" s="66" t="s">
        <v>147</v>
      </c>
      <c r="H34" s="66" t="s">
        <v>148</v>
      </c>
      <c r="I34" s="64" t="s">
        <v>83</v>
      </c>
      <c r="L34" s="64" t="s">
        <v>18</v>
      </c>
    </row>
    <row r="35" spans="1:12" s="64" customFormat="1" x14ac:dyDescent="0.2">
      <c r="A35" s="64" t="s">
        <v>11</v>
      </c>
      <c r="B35" s="64">
        <v>34</v>
      </c>
      <c r="D35" s="64" t="s">
        <v>56</v>
      </c>
      <c r="E35" s="64" t="s">
        <v>149</v>
      </c>
      <c r="F35" s="64" t="s">
        <v>150</v>
      </c>
      <c r="G35" s="62" t="s">
        <v>1810</v>
      </c>
      <c r="H35" s="62" t="s">
        <v>1811</v>
      </c>
      <c r="I35" s="64" t="s">
        <v>92</v>
      </c>
      <c r="L35" s="64" t="s">
        <v>18</v>
      </c>
    </row>
    <row r="36" spans="1:12" s="64" customFormat="1" x14ac:dyDescent="0.2">
      <c r="A36" s="64" t="s">
        <v>11</v>
      </c>
      <c r="B36" s="64">
        <v>35</v>
      </c>
      <c r="D36" s="64" t="s">
        <v>12</v>
      </c>
      <c r="E36" s="64" t="s">
        <v>151</v>
      </c>
      <c r="F36" s="64" t="s">
        <v>152</v>
      </c>
      <c r="G36" s="62" t="s">
        <v>153</v>
      </c>
      <c r="H36" s="62"/>
      <c r="I36" s="64" t="s">
        <v>154</v>
      </c>
      <c r="J36" s="64" t="s">
        <v>155</v>
      </c>
      <c r="L36" s="64" t="s">
        <v>18</v>
      </c>
    </row>
    <row r="37" spans="1:12" s="64" customFormat="1" x14ac:dyDescent="0.2">
      <c r="A37" s="64" t="s">
        <v>11</v>
      </c>
      <c r="B37" s="64">
        <v>36</v>
      </c>
      <c r="E37" s="64" t="s">
        <v>156</v>
      </c>
      <c r="F37" s="64" t="s">
        <v>157</v>
      </c>
      <c r="G37" s="62" t="s">
        <v>158</v>
      </c>
      <c r="H37" s="62" t="s">
        <v>159</v>
      </c>
      <c r="I37" s="64" t="s">
        <v>83</v>
      </c>
      <c r="L37" s="64" t="s">
        <v>18</v>
      </c>
    </row>
    <row r="38" spans="1:12" s="64" customFormat="1" x14ac:dyDescent="0.2">
      <c r="A38" s="64" t="s">
        <v>11</v>
      </c>
      <c r="B38" s="64">
        <v>37</v>
      </c>
      <c r="E38" s="64" t="s">
        <v>160</v>
      </c>
      <c r="F38" s="64" t="s">
        <v>161</v>
      </c>
      <c r="G38" s="62" t="s">
        <v>162</v>
      </c>
      <c r="H38" s="62" t="s">
        <v>163</v>
      </c>
      <c r="I38" s="64" t="s">
        <v>83</v>
      </c>
      <c r="L38" s="64" t="s">
        <v>18</v>
      </c>
    </row>
    <row r="39" spans="1:12" s="64" customFormat="1" x14ac:dyDescent="0.2">
      <c r="A39" s="64" t="s">
        <v>11</v>
      </c>
      <c r="B39" s="64">
        <v>38</v>
      </c>
      <c r="E39" s="64" t="s">
        <v>164</v>
      </c>
      <c r="F39" s="64" t="s">
        <v>165</v>
      </c>
      <c r="G39" s="62" t="s">
        <v>166</v>
      </c>
      <c r="H39" s="62" t="s">
        <v>167</v>
      </c>
      <c r="I39" s="64" t="s">
        <v>83</v>
      </c>
      <c r="K39" s="64" t="s">
        <v>168</v>
      </c>
      <c r="L39" s="64" t="s">
        <v>18</v>
      </c>
    </row>
    <row r="40" spans="1:12" s="64" customFormat="1" ht="19.5" customHeight="1" x14ac:dyDescent="0.2">
      <c r="A40" s="64" t="s">
        <v>11</v>
      </c>
      <c r="B40" s="64">
        <v>39</v>
      </c>
      <c r="E40" s="64" t="s">
        <v>169</v>
      </c>
      <c r="F40" s="64" t="s">
        <v>170</v>
      </c>
      <c r="G40" s="62" t="s">
        <v>1561</v>
      </c>
      <c r="H40" s="66" t="s">
        <v>171</v>
      </c>
      <c r="I40" s="64" t="s">
        <v>172</v>
      </c>
      <c r="K40" s="64" t="s">
        <v>144</v>
      </c>
      <c r="L40" s="64" t="s">
        <v>18</v>
      </c>
    </row>
    <row r="41" spans="1:12" s="64" customFormat="1" x14ac:dyDescent="0.2">
      <c r="A41" s="64" t="s">
        <v>11</v>
      </c>
      <c r="B41" s="64">
        <v>40</v>
      </c>
      <c r="E41" s="64" t="s">
        <v>173</v>
      </c>
      <c r="F41" s="64" t="s">
        <v>174</v>
      </c>
      <c r="G41" s="62" t="s">
        <v>1393</v>
      </c>
      <c r="H41" s="62" t="s">
        <v>1395</v>
      </c>
      <c r="I41" s="64" t="s">
        <v>102</v>
      </c>
      <c r="K41" s="64" t="s">
        <v>175</v>
      </c>
      <c r="L41" s="64" t="s">
        <v>18</v>
      </c>
    </row>
    <row r="42" spans="1:12" s="64" customFormat="1" x14ac:dyDescent="0.2">
      <c r="A42" s="64" t="s">
        <v>11</v>
      </c>
      <c r="B42" s="64">
        <v>41</v>
      </c>
      <c r="E42" s="64" t="s">
        <v>176</v>
      </c>
      <c r="F42" s="64" t="s">
        <v>177</v>
      </c>
      <c r="G42" s="62" t="s">
        <v>1392</v>
      </c>
      <c r="H42" s="62" t="s">
        <v>1396</v>
      </c>
      <c r="I42" s="64" t="s">
        <v>178</v>
      </c>
      <c r="K42" s="64" t="s">
        <v>175</v>
      </c>
      <c r="L42" s="64" t="s">
        <v>18</v>
      </c>
    </row>
    <row r="43" spans="1:12" s="64" customFormat="1" x14ac:dyDescent="0.2">
      <c r="A43" s="64" t="s">
        <v>11</v>
      </c>
      <c r="B43" s="64">
        <v>42</v>
      </c>
      <c r="E43" s="64" t="s">
        <v>179</v>
      </c>
      <c r="F43" s="64" t="s">
        <v>180</v>
      </c>
      <c r="G43" s="62" t="s">
        <v>1394</v>
      </c>
      <c r="H43" s="62" t="s">
        <v>1397</v>
      </c>
      <c r="I43" s="64" t="s">
        <v>178</v>
      </c>
      <c r="K43" s="64" t="s">
        <v>175</v>
      </c>
      <c r="L43" s="64" t="s">
        <v>18</v>
      </c>
    </row>
    <row r="44" spans="1:12" s="64" customFormat="1" ht="18" x14ac:dyDescent="0.2">
      <c r="A44" s="64" t="s">
        <v>11</v>
      </c>
      <c r="B44" s="64">
        <v>43</v>
      </c>
      <c r="E44" s="64" t="s">
        <v>181</v>
      </c>
      <c r="F44" s="64" t="s">
        <v>182</v>
      </c>
      <c r="G44" s="79" t="s">
        <v>1800</v>
      </c>
      <c r="H44" s="79" t="s">
        <v>1800</v>
      </c>
      <c r="I44" s="64" t="s">
        <v>83</v>
      </c>
      <c r="K44" s="64" t="s">
        <v>183</v>
      </c>
      <c r="L44" s="64" t="s">
        <v>18</v>
      </c>
    </row>
    <row r="45" spans="1:12" s="64" customFormat="1" x14ac:dyDescent="0.2">
      <c r="A45" s="64" t="s">
        <v>11</v>
      </c>
      <c r="B45" s="64">
        <v>44</v>
      </c>
      <c r="E45" s="64" t="s">
        <v>184</v>
      </c>
      <c r="F45" s="64" t="s">
        <v>185</v>
      </c>
      <c r="G45" s="62" t="s">
        <v>186</v>
      </c>
      <c r="H45" s="62" t="s">
        <v>187</v>
      </c>
      <c r="I45" s="64" t="s">
        <v>83</v>
      </c>
      <c r="K45" s="64" t="s">
        <v>183</v>
      </c>
      <c r="L45" s="64" t="s">
        <v>18</v>
      </c>
    </row>
    <row r="46" spans="1:12" s="64" customFormat="1" x14ac:dyDescent="0.2">
      <c r="A46" s="64" t="s">
        <v>11</v>
      </c>
      <c r="B46" s="64">
        <v>45</v>
      </c>
      <c r="E46" s="64" t="s">
        <v>188</v>
      </c>
      <c r="F46" s="64" t="s">
        <v>189</v>
      </c>
      <c r="G46" s="62" t="s">
        <v>1801</v>
      </c>
      <c r="H46" s="62" t="s">
        <v>1802</v>
      </c>
      <c r="I46" s="64" t="s">
        <v>190</v>
      </c>
      <c r="L46" s="64" t="s">
        <v>18</v>
      </c>
    </row>
    <row r="47" spans="1:12" s="64" customFormat="1" x14ac:dyDescent="0.2">
      <c r="A47" s="64" t="s">
        <v>11</v>
      </c>
      <c r="B47" s="64">
        <v>46</v>
      </c>
      <c r="E47" s="64" t="s">
        <v>191</v>
      </c>
      <c r="F47" s="64" t="s">
        <v>192</v>
      </c>
      <c r="G47" s="62" t="s">
        <v>193</v>
      </c>
      <c r="H47" s="62" t="s">
        <v>194</v>
      </c>
      <c r="I47" s="64" t="s">
        <v>83</v>
      </c>
      <c r="K47" s="64" t="s">
        <v>195</v>
      </c>
      <c r="L47" s="64" t="s">
        <v>18</v>
      </c>
    </row>
    <row r="48" spans="1:12" s="64" customFormat="1" x14ac:dyDescent="0.2">
      <c r="A48" s="64" t="s">
        <v>11</v>
      </c>
      <c r="B48" s="64">
        <v>47</v>
      </c>
      <c r="E48" s="64" t="s">
        <v>196</v>
      </c>
      <c r="F48" s="64" t="s">
        <v>197</v>
      </c>
      <c r="G48" s="62" t="s">
        <v>198</v>
      </c>
      <c r="H48" s="62" t="s">
        <v>199</v>
      </c>
      <c r="I48" s="64" t="s">
        <v>172</v>
      </c>
      <c r="K48" s="64" t="s">
        <v>200</v>
      </c>
      <c r="L48" s="64" t="s">
        <v>18</v>
      </c>
    </row>
    <row r="49" spans="1:12" s="64" customFormat="1" ht="18" x14ac:dyDescent="0.2">
      <c r="A49" s="64" t="s">
        <v>11</v>
      </c>
      <c r="B49" s="64">
        <v>48</v>
      </c>
      <c r="E49" s="64" t="s">
        <v>201</v>
      </c>
      <c r="F49" s="64" t="s">
        <v>202</v>
      </c>
      <c r="G49" s="62" t="s">
        <v>1803</v>
      </c>
      <c r="H49" s="79" t="s">
        <v>1804</v>
      </c>
      <c r="I49" s="64" t="s">
        <v>83</v>
      </c>
      <c r="K49" s="64" t="s">
        <v>92</v>
      </c>
      <c r="L49" s="64" t="s">
        <v>18</v>
      </c>
    </row>
    <row r="50" spans="1:12" s="64" customFormat="1" ht="15.75" customHeight="1" x14ac:dyDescent="0.2">
      <c r="A50" s="64" t="s">
        <v>11</v>
      </c>
      <c r="B50" s="64">
        <v>49</v>
      </c>
      <c r="E50" s="64" t="s">
        <v>203</v>
      </c>
      <c r="F50" s="64" t="s">
        <v>204</v>
      </c>
      <c r="G50" s="62" t="s">
        <v>1806</v>
      </c>
      <c r="H50" s="62" t="s">
        <v>1805</v>
      </c>
      <c r="I50" s="64" t="s">
        <v>16</v>
      </c>
      <c r="J50" s="64" t="s">
        <v>78</v>
      </c>
      <c r="K50" s="64" t="s">
        <v>92</v>
      </c>
      <c r="L50" s="64" t="s">
        <v>18</v>
      </c>
    </row>
    <row r="51" spans="1:12" s="64" customFormat="1" x14ac:dyDescent="0.2">
      <c r="A51" s="64" t="s">
        <v>11</v>
      </c>
      <c r="B51" s="64">
        <v>50</v>
      </c>
      <c r="E51" s="64" t="s">
        <v>205</v>
      </c>
      <c r="F51" s="64" t="s">
        <v>206</v>
      </c>
      <c r="G51" s="62" t="s">
        <v>207</v>
      </c>
      <c r="H51" s="62" t="s">
        <v>208</v>
      </c>
      <c r="I51" s="64" t="s">
        <v>16</v>
      </c>
      <c r="J51" s="64" t="s">
        <v>209</v>
      </c>
      <c r="K51" s="64" t="s">
        <v>92</v>
      </c>
      <c r="L51" s="64" t="s">
        <v>18</v>
      </c>
    </row>
    <row r="52" spans="1:12" s="64" customFormat="1" x14ac:dyDescent="0.2">
      <c r="A52" s="64" t="s">
        <v>11</v>
      </c>
      <c r="B52" s="64">
        <v>51</v>
      </c>
      <c r="E52" s="64" t="s">
        <v>210</v>
      </c>
      <c r="F52" s="64" t="s">
        <v>211</v>
      </c>
      <c r="G52" s="62" t="s">
        <v>212</v>
      </c>
      <c r="H52" s="62" t="s">
        <v>213</v>
      </c>
      <c r="I52" s="64" t="s">
        <v>16</v>
      </c>
      <c r="J52" s="64" t="s">
        <v>61</v>
      </c>
      <c r="K52" s="64" t="s">
        <v>92</v>
      </c>
      <c r="L52" s="64" t="s">
        <v>18</v>
      </c>
    </row>
    <row r="53" spans="1:12" s="64" customFormat="1" x14ac:dyDescent="0.2">
      <c r="A53" s="64" t="s">
        <v>11</v>
      </c>
      <c r="B53" s="64">
        <v>52</v>
      </c>
      <c r="E53" s="64" t="s">
        <v>214</v>
      </c>
      <c r="F53" s="64" t="s">
        <v>215</v>
      </c>
      <c r="G53" s="62" t="s">
        <v>216</v>
      </c>
      <c r="H53" s="62" t="s">
        <v>217</v>
      </c>
      <c r="I53" s="64" t="s">
        <v>218</v>
      </c>
      <c r="K53" s="64" t="s">
        <v>219</v>
      </c>
      <c r="L53" s="64" t="s">
        <v>220</v>
      </c>
    </row>
    <row r="54" spans="1:12" s="64" customFormat="1" x14ac:dyDescent="0.2">
      <c r="A54" s="64" t="s">
        <v>11</v>
      </c>
      <c r="B54" s="64">
        <v>53</v>
      </c>
      <c r="E54" s="64" t="s">
        <v>221</v>
      </c>
      <c r="F54" s="64" t="s">
        <v>222</v>
      </c>
      <c r="G54" s="62" t="s">
        <v>223</v>
      </c>
      <c r="H54" s="62" t="s">
        <v>224</v>
      </c>
      <c r="I54" s="64" t="s">
        <v>218</v>
      </c>
      <c r="K54" s="64" t="s">
        <v>219</v>
      </c>
      <c r="L54" s="64" t="s">
        <v>220</v>
      </c>
    </row>
    <row r="55" spans="1:12" s="64" customFormat="1" x14ac:dyDescent="0.2">
      <c r="A55" s="64" t="s">
        <v>11</v>
      </c>
      <c r="B55" s="64">
        <v>54</v>
      </c>
      <c r="E55" s="64" t="s">
        <v>225</v>
      </c>
      <c r="F55" s="64" t="s">
        <v>226</v>
      </c>
      <c r="G55" s="62" t="s">
        <v>227</v>
      </c>
      <c r="H55" s="62" t="s">
        <v>228</v>
      </c>
      <c r="I55" s="64" t="s">
        <v>218</v>
      </c>
      <c r="K55" s="64" t="s">
        <v>219</v>
      </c>
      <c r="L55" s="64" t="s">
        <v>220</v>
      </c>
    </row>
    <row r="56" spans="1:12" s="64" customFormat="1" x14ac:dyDescent="0.2">
      <c r="A56" s="64" t="s">
        <v>11</v>
      </c>
      <c r="B56" s="64">
        <v>55</v>
      </c>
      <c r="E56" s="64" t="s">
        <v>229</v>
      </c>
      <c r="F56" s="64" t="s">
        <v>230</v>
      </c>
      <c r="G56" s="62" t="s">
        <v>231</v>
      </c>
      <c r="H56" s="62" t="s">
        <v>232</v>
      </c>
      <c r="I56" s="64" t="s">
        <v>218</v>
      </c>
      <c r="K56" s="64" t="s">
        <v>219</v>
      </c>
      <c r="L56" s="64" t="s">
        <v>220</v>
      </c>
    </row>
    <row r="57" spans="1:12" s="64" customFormat="1" x14ac:dyDescent="0.2">
      <c r="A57" s="64" t="s">
        <v>11</v>
      </c>
      <c r="B57" s="64">
        <v>56</v>
      </c>
      <c r="E57" s="64" t="s">
        <v>233</v>
      </c>
      <c r="F57" s="64" t="s">
        <v>234</v>
      </c>
      <c r="G57" s="62" t="s">
        <v>235</v>
      </c>
      <c r="H57" s="62" t="s">
        <v>236</v>
      </c>
      <c r="I57" s="64" t="s">
        <v>218</v>
      </c>
      <c r="K57" s="64" t="s">
        <v>219</v>
      </c>
      <c r="L57" s="64" t="s">
        <v>220</v>
      </c>
    </row>
    <row r="58" spans="1:12" s="64" customFormat="1" x14ac:dyDescent="0.2">
      <c r="A58" s="64" t="s">
        <v>11</v>
      </c>
      <c r="B58" s="64">
        <v>57</v>
      </c>
      <c r="E58" s="64" t="s">
        <v>237</v>
      </c>
      <c r="F58" s="64" t="s">
        <v>238</v>
      </c>
      <c r="G58" s="62" t="s">
        <v>239</v>
      </c>
      <c r="H58" s="62" t="s">
        <v>240</v>
      </c>
      <c r="I58" s="64" t="s">
        <v>218</v>
      </c>
      <c r="K58" s="64" t="s">
        <v>219</v>
      </c>
      <c r="L58" s="64" t="s">
        <v>220</v>
      </c>
    </row>
    <row r="59" spans="1:12" x14ac:dyDescent="0.2">
      <c r="A59" t="s">
        <v>11</v>
      </c>
      <c r="B59">
        <v>58</v>
      </c>
      <c r="E59" t="s">
        <v>241</v>
      </c>
      <c r="F59" t="s">
        <v>242</v>
      </c>
      <c r="G59" s="9" t="s">
        <v>243</v>
      </c>
      <c r="H59" s="9" t="s">
        <v>244</v>
      </c>
      <c r="I59" t="s">
        <v>218</v>
      </c>
      <c r="K59" t="s">
        <v>219</v>
      </c>
      <c r="L59" t="s">
        <v>220</v>
      </c>
    </row>
    <row r="60" spans="1:12" x14ac:dyDescent="0.2">
      <c r="A60" t="s">
        <v>11</v>
      </c>
      <c r="B60">
        <v>59</v>
      </c>
      <c r="E60" t="s">
        <v>245</v>
      </c>
      <c r="F60" t="s">
        <v>246</v>
      </c>
      <c r="G60" s="9" t="s">
        <v>247</v>
      </c>
      <c r="H60" s="9" t="s">
        <v>248</v>
      </c>
      <c r="I60" t="s">
        <v>218</v>
      </c>
      <c r="K60" t="s">
        <v>219</v>
      </c>
      <c r="L60" t="s">
        <v>220</v>
      </c>
    </row>
    <row r="61" spans="1:12" x14ac:dyDescent="0.2">
      <c r="A61" t="s">
        <v>11</v>
      </c>
      <c r="B61">
        <v>60</v>
      </c>
      <c r="E61" t="s">
        <v>249</v>
      </c>
      <c r="F61" t="s">
        <v>250</v>
      </c>
      <c r="G61" s="9" t="s">
        <v>251</v>
      </c>
      <c r="H61" s="9" t="s">
        <v>252</v>
      </c>
      <c r="I61" t="s">
        <v>218</v>
      </c>
      <c r="K61" t="s">
        <v>219</v>
      </c>
      <c r="L61" t="s">
        <v>220</v>
      </c>
    </row>
    <row r="62" spans="1:12" x14ac:dyDescent="0.2">
      <c r="A62" t="s">
        <v>11</v>
      </c>
      <c r="B62">
        <v>61</v>
      </c>
      <c r="E62" t="s">
        <v>253</v>
      </c>
      <c r="F62" t="s">
        <v>254</v>
      </c>
      <c r="G62" s="9" t="s">
        <v>255</v>
      </c>
      <c r="H62" s="9" t="s">
        <v>256</v>
      </c>
      <c r="I62" t="s">
        <v>218</v>
      </c>
      <c r="K62" t="s">
        <v>219</v>
      </c>
      <c r="L62" t="s">
        <v>220</v>
      </c>
    </row>
    <row r="63" spans="1:12" x14ac:dyDescent="0.2">
      <c r="A63" t="s">
        <v>11</v>
      </c>
      <c r="B63">
        <v>62</v>
      </c>
      <c r="E63" t="s">
        <v>257</v>
      </c>
      <c r="F63" t="s">
        <v>258</v>
      </c>
      <c r="G63" s="9" t="s">
        <v>259</v>
      </c>
      <c r="H63" s="9" t="s">
        <v>260</v>
      </c>
      <c r="I63" t="s">
        <v>218</v>
      </c>
      <c r="K63" t="s">
        <v>219</v>
      </c>
      <c r="L63" t="s">
        <v>220</v>
      </c>
    </row>
    <row r="64" spans="1:12" x14ac:dyDescent="0.2">
      <c r="A64" t="s">
        <v>11</v>
      </c>
      <c r="B64">
        <v>63</v>
      </c>
      <c r="E64" t="s">
        <v>261</v>
      </c>
      <c r="F64" t="s">
        <v>262</v>
      </c>
      <c r="G64" s="9" t="s">
        <v>263</v>
      </c>
      <c r="H64" s="9" t="s">
        <v>264</v>
      </c>
      <c r="I64" t="s">
        <v>218</v>
      </c>
      <c r="K64" t="s">
        <v>219</v>
      </c>
      <c r="L64" t="s">
        <v>220</v>
      </c>
    </row>
    <row r="65" spans="1:12" x14ac:dyDescent="0.2">
      <c r="A65" t="s">
        <v>11</v>
      </c>
      <c r="B65">
        <v>64</v>
      </c>
      <c r="E65" t="s">
        <v>265</v>
      </c>
      <c r="F65" t="s">
        <v>266</v>
      </c>
      <c r="G65" s="9" t="s">
        <v>267</v>
      </c>
      <c r="H65" s="9" t="s">
        <v>268</v>
      </c>
      <c r="I65" t="s">
        <v>218</v>
      </c>
      <c r="K65" t="s">
        <v>219</v>
      </c>
      <c r="L65" t="s">
        <v>220</v>
      </c>
    </row>
    <row r="66" spans="1:12" x14ac:dyDescent="0.2">
      <c r="A66" t="s">
        <v>11</v>
      </c>
      <c r="B66">
        <v>65</v>
      </c>
      <c r="E66" t="s">
        <v>269</v>
      </c>
      <c r="F66" t="s">
        <v>270</v>
      </c>
      <c r="G66" s="9" t="s">
        <v>271</v>
      </c>
      <c r="H66" s="9" t="s">
        <v>272</v>
      </c>
      <c r="I66" t="s">
        <v>218</v>
      </c>
      <c r="K66" t="s">
        <v>219</v>
      </c>
      <c r="L66" t="s">
        <v>220</v>
      </c>
    </row>
    <row r="67" spans="1:12" x14ac:dyDescent="0.2">
      <c r="A67" t="s">
        <v>11</v>
      </c>
      <c r="B67">
        <v>66</v>
      </c>
      <c r="E67" t="s">
        <v>273</v>
      </c>
      <c r="F67" t="s">
        <v>274</v>
      </c>
      <c r="G67" s="9" t="s">
        <v>275</v>
      </c>
      <c r="H67" s="9" t="s">
        <v>276</v>
      </c>
      <c r="I67" t="s">
        <v>218</v>
      </c>
      <c r="K67" t="s">
        <v>219</v>
      </c>
      <c r="L67" t="s">
        <v>220</v>
      </c>
    </row>
    <row r="68" spans="1:12" x14ac:dyDescent="0.2">
      <c r="A68" t="s">
        <v>11</v>
      </c>
      <c r="B68">
        <v>67</v>
      </c>
      <c r="E68" t="s">
        <v>277</v>
      </c>
      <c r="F68" t="s">
        <v>278</v>
      </c>
      <c r="G68" s="9" t="s">
        <v>279</v>
      </c>
      <c r="H68" s="9" t="s">
        <v>280</v>
      </c>
      <c r="I68" t="s">
        <v>218</v>
      </c>
      <c r="K68" t="s">
        <v>219</v>
      </c>
      <c r="L68" t="s">
        <v>220</v>
      </c>
    </row>
    <row r="69" spans="1:12" x14ac:dyDescent="0.2">
      <c r="A69" t="s">
        <v>11</v>
      </c>
      <c r="B69">
        <v>68</v>
      </c>
      <c r="E69" t="s">
        <v>281</v>
      </c>
      <c r="F69" t="s">
        <v>1081</v>
      </c>
      <c r="G69" s="9" t="s">
        <v>282</v>
      </c>
      <c r="H69" s="9" t="s">
        <v>283</v>
      </c>
      <c r="I69" t="s">
        <v>218</v>
      </c>
      <c r="K69" t="s">
        <v>219</v>
      </c>
      <c r="L69" t="s">
        <v>220</v>
      </c>
    </row>
    <row r="70" spans="1:12" x14ac:dyDescent="0.2">
      <c r="A70" t="s">
        <v>11</v>
      </c>
      <c r="B70">
        <v>69</v>
      </c>
      <c r="E70" t="s">
        <v>284</v>
      </c>
      <c r="F70" t="s">
        <v>285</v>
      </c>
      <c r="G70" s="9" t="s">
        <v>286</v>
      </c>
      <c r="H70" s="9" t="s">
        <v>287</v>
      </c>
      <c r="I70" t="s">
        <v>218</v>
      </c>
      <c r="K70" t="s">
        <v>219</v>
      </c>
      <c r="L70" t="s">
        <v>220</v>
      </c>
    </row>
    <row r="71" spans="1:12" x14ac:dyDescent="0.2">
      <c r="A71" t="s">
        <v>11</v>
      </c>
      <c r="B71">
        <v>70</v>
      </c>
      <c r="E71" t="s">
        <v>288</v>
      </c>
      <c r="F71" t="s">
        <v>289</v>
      </c>
      <c r="G71" s="9" t="s">
        <v>290</v>
      </c>
      <c r="H71" s="9" t="s">
        <v>291</v>
      </c>
      <c r="I71" t="s">
        <v>218</v>
      </c>
      <c r="K71" t="s">
        <v>219</v>
      </c>
      <c r="L71" t="s">
        <v>220</v>
      </c>
    </row>
    <row r="72" spans="1:12" x14ac:dyDescent="0.2">
      <c r="A72" t="s">
        <v>11</v>
      </c>
      <c r="B72">
        <v>71</v>
      </c>
      <c r="E72" t="s">
        <v>292</v>
      </c>
      <c r="F72" t="s">
        <v>293</v>
      </c>
      <c r="G72" s="9" t="s">
        <v>294</v>
      </c>
      <c r="H72" s="9" t="s">
        <v>295</v>
      </c>
      <c r="I72" t="s">
        <v>218</v>
      </c>
      <c r="K72" t="s">
        <v>219</v>
      </c>
      <c r="L72" t="s">
        <v>220</v>
      </c>
    </row>
    <row r="73" spans="1:12" x14ac:dyDescent="0.2">
      <c r="A73" t="s">
        <v>11</v>
      </c>
      <c r="B73">
        <v>72</v>
      </c>
      <c r="E73" t="s">
        <v>296</v>
      </c>
      <c r="F73" t="s">
        <v>297</v>
      </c>
      <c r="G73" s="9" t="s">
        <v>298</v>
      </c>
      <c r="H73" s="9" t="s">
        <v>299</v>
      </c>
      <c r="I73" t="s">
        <v>218</v>
      </c>
      <c r="K73" t="s">
        <v>219</v>
      </c>
      <c r="L73" t="s">
        <v>220</v>
      </c>
    </row>
    <row r="74" spans="1:12" x14ac:dyDescent="0.2">
      <c r="A74" t="s">
        <v>11</v>
      </c>
      <c r="B74">
        <v>73</v>
      </c>
      <c r="E74" t="s">
        <v>300</v>
      </c>
      <c r="F74" t="s">
        <v>301</v>
      </c>
      <c r="G74" s="9" t="s">
        <v>302</v>
      </c>
      <c r="H74" s="9" t="s">
        <v>303</v>
      </c>
      <c r="I74" t="s">
        <v>218</v>
      </c>
      <c r="K74" t="s">
        <v>219</v>
      </c>
      <c r="L74" t="s">
        <v>220</v>
      </c>
    </row>
    <row r="75" spans="1:12" x14ac:dyDescent="0.2">
      <c r="A75" t="s">
        <v>11</v>
      </c>
      <c r="B75">
        <v>74</v>
      </c>
      <c r="E75" t="s">
        <v>304</v>
      </c>
      <c r="F75" t="s">
        <v>305</v>
      </c>
      <c r="G75" s="9" t="s">
        <v>306</v>
      </c>
      <c r="H75" s="9" t="s">
        <v>307</v>
      </c>
      <c r="I75" t="s">
        <v>218</v>
      </c>
      <c r="K75" t="s">
        <v>219</v>
      </c>
      <c r="L75" t="s">
        <v>220</v>
      </c>
    </row>
    <row r="76" spans="1:12" x14ac:dyDescent="0.2">
      <c r="A76" t="s">
        <v>11</v>
      </c>
      <c r="B76">
        <v>75</v>
      </c>
      <c r="E76" t="s">
        <v>308</v>
      </c>
      <c r="F76" t="s">
        <v>309</v>
      </c>
      <c r="G76" s="9" t="s">
        <v>310</v>
      </c>
      <c r="H76" s="9" t="s">
        <v>311</v>
      </c>
      <c r="I76" t="s">
        <v>218</v>
      </c>
      <c r="K76" t="s">
        <v>219</v>
      </c>
      <c r="L76" t="s">
        <v>220</v>
      </c>
    </row>
    <row r="77" spans="1:12" x14ac:dyDescent="0.2">
      <c r="A77" t="s">
        <v>11</v>
      </c>
      <c r="B77">
        <v>76</v>
      </c>
      <c r="E77" t="s">
        <v>312</v>
      </c>
      <c r="F77" t="s">
        <v>313</v>
      </c>
      <c r="G77" s="9" t="s">
        <v>314</v>
      </c>
      <c r="H77" s="9" t="s">
        <v>315</v>
      </c>
      <c r="I77" t="s">
        <v>218</v>
      </c>
      <c r="K77" t="s">
        <v>219</v>
      </c>
      <c r="L77" t="s">
        <v>220</v>
      </c>
    </row>
    <row r="78" spans="1:12" x14ac:dyDescent="0.2">
      <c r="A78" t="s">
        <v>11</v>
      </c>
      <c r="B78">
        <v>77</v>
      </c>
      <c r="E78" t="s">
        <v>316</v>
      </c>
      <c r="F78" t="s">
        <v>317</v>
      </c>
      <c r="G78" s="9" t="s">
        <v>318</v>
      </c>
      <c r="H78" s="9" t="s">
        <v>319</v>
      </c>
      <c r="I78" t="s">
        <v>218</v>
      </c>
      <c r="K78" t="s">
        <v>219</v>
      </c>
      <c r="L78" t="s">
        <v>220</v>
      </c>
    </row>
    <row r="79" spans="1:12" x14ac:dyDescent="0.2">
      <c r="A79" t="s">
        <v>11</v>
      </c>
      <c r="B79">
        <v>78</v>
      </c>
      <c r="E79" t="s">
        <v>320</v>
      </c>
      <c r="F79" t="s">
        <v>321</v>
      </c>
      <c r="G79" s="9" t="s">
        <v>322</v>
      </c>
      <c r="H79" s="9" t="s">
        <v>323</v>
      </c>
      <c r="I79" t="s">
        <v>218</v>
      </c>
      <c r="K79" t="s">
        <v>219</v>
      </c>
      <c r="L79" t="s">
        <v>220</v>
      </c>
    </row>
    <row r="80" spans="1:12" x14ac:dyDescent="0.2">
      <c r="A80" t="s">
        <v>11</v>
      </c>
      <c r="B80">
        <v>79</v>
      </c>
      <c r="E80" t="s">
        <v>324</v>
      </c>
      <c r="F80" t="s">
        <v>325</v>
      </c>
      <c r="G80" s="9" t="s">
        <v>326</v>
      </c>
      <c r="H80" s="9" t="s">
        <v>327</v>
      </c>
      <c r="I80" t="s">
        <v>218</v>
      </c>
      <c r="K80" t="s">
        <v>219</v>
      </c>
      <c r="L80" t="s">
        <v>220</v>
      </c>
    </row>
    <row r="81" spans="1:12" x14ac:dyDescent="0.2">
      <c r="A81" t="s">
        <v>11</v>
      </c>
      <c r="B81">
        <v>80</v>
      </c>
      <c r="E81" t="s">
        <v>328</v>
      </c>
      <c r="F81" t="s">
        <v>329</v>
      </c>
      <c r="G81" s="9" t="s">
        <v>330</v>
      </c>
      <c r="H81" s="9" t="s">
        <v>331</v>
      </c>
      <c r="I81" t="s">
        <v>218</v>
      </c>
      <c r="K81" t="s">
        <v>219</v>
      </c>
      <c r="L81" t="s">
        <v>220</v>
      </c>
    </row>
    <row r="82" spans="1:12" x14ac:dyDescent="0.2">
      <c r="A82" t="s">
        <v>11</v>
      </c>
      <c r="B82">
        <v>81</v>
      </c>
      <c r="E82" t="s">
        <v>332</v>
      </c>
      <c r="F82" t="s">
        <v>333</v>
      </c>
      <c r="G82" s="9" t="s">
        <v>334</v>
      </c>
      <c r="H82" s="9" t="s">
        <v>335</v>
      </c>
      <c r="I82" t="s">
        <v>218</v>
      </c>
      <c r="K82" t="s">
        <v>219</v>
      </c>
      <c r="L82" t="s">
        <v>220</v>
      </c>
    </row>
    <row r="83" spans="1:12" x14ac:dyDescent="0.2">
      <c r="A83" t="s">
        <v>11</v>
      </c>
      <c r="B83">
        <v>82</v>
      </c>
      <c r="E83" t="s">
        <v>336</v>
      </c>
      <c r="F83" t="s">
        <v>337</v>
      </c>
      <c r="G83" s="9" t="s">
        <v>338</v>
      </c>
      <c r="H83" s="9" t="s">
        <v>339</v>
      </c>
      <c r="I83" t="s">
        <v>218</v>
      </c>
      <c r="K83" t="s">
        <v>219</v>
      </c>
      <c r="L83" t="s">
        <v>220</v>
      </c>
    </row>
    <row r="84" spans="1:12" x14ac:dyDescent="0.2">
      <c r="A84" t="s">
        <v>11</v>
      </c>
      <c r="B84">
        <v>83</v>
      </c>
      <c r="E84" t="s">
        <v>340</v>
      </c>
      <c r="F84" t="s">
        <v>341</v>
      </c>
      <c r="G84" s="9" t="s">
        <v>342</v>
      </c>
      <c r="H84" s="9" t="s">
        <v>343</v>
      </c>
      <c r="I84" t="s">
        <v>218</v>
      </c>
      <c r="K84" t="s">
        <v>219</v>
      </c>
      <c r="L84" t="s">
        <v>220</v>
      </c>
    </row>
    <row r="85" spans="1:12" x14ac:dyDescent="0.2">
      <c r="A85" t="s">
        <v>11</v>
      </c>
      <c r="B85">
        <v>84</v>
      </c>
      <c r="E85" t="s">
        <v>344</v>
      </c>
      <c r="F85" t="s">
        <v>345</v>
      </c>
      <c r="G85" s="9" t="s">
        <v>346</v>
      </c>
      <c r="H85" s="9" t="s">
        <v>347</v>
      </c>
      <c r="I85" t="s">
        <v>218</v>
      </c>
      <c r="K85" t="s">
        <v>219</v>
      </c>
      <c r="L85" t="s">
        <v>220</v>
      </c>
    </row>
    <row r="86" spans="1:12" x14ac:dyDescent="0.2">
      <c r="A86" t="s">
        <v>11</v>
      </c>
      <c r="B86">
        <v>85</v>
      </c>
      <c r="E86" t="s">
        <v>348</v>
      </c>
      <c r="F86" t="s">
        <v>349</v>
      </c>
      <c r="G86" s="9" t="s">
        <v>350</v>
      </c>
      <c r="H86" s="9" t="s">
        <v>351</v>
      </c>
      <c r="I86" t="s">
        <v>218</v>
      </c>
      <c r="K86" t="s">
        <v>219</v>
      </c>
      <c r="L86" t="s">
        <v>220</v>
      </c>
    </row>
    <row r="87" spans="1:12" x14ac:dyDescent="0.2">
      <c r="A87" t="s">
        <v>11</v>
      </c>
      <c r="B87">
        <v>86</v>
      </c>
      <c r="E87" t="s">
        <v>352</v>
      </c>
      <c r="F87" t="s">
        <v>353</v>
      </c>
      <c r="G87" s="9" t="s">
        <v>354</v>
      </c>
      <c r="H87" s="9" t="s">
        <v>355</v>
      </c>
      <c r="I87" t="s">
        <v>218</v>
      </c>
      <c r="K87" t="s">
        <v>219</v>
      </c>
      <c r="L87" t="s">
        <v>220</v>
      </c>
    </row>
    <row r="88" spans="1:12" x14ac:dyDescent="0.2">
      <c r="A88" t="s">
        <v>11</v>
      </c>
      <c r="B88">
        <v>87</v>
      </c>
      <c r="E88" t="s">
        <v>356</v>
      </c>
      <c r="F88" t="s">
        <v>357</v>
      </c>
      <c r="G88" s="9" t="s">
        <v>358</v>
      </c>
      <c r="H88" s="9" t="s">
        <v>359</v>
      </c>
      <c r="I88" t="s">
        <v>218</v>
      </c>
      <c r="K88" t="s">
        <v>219</v>
      </c>
      <c r="L88" t="s">
        <v>220</v>
      </c>
    </row>
    <row r="89" spans="1:12" x14ac:dyDescent="0.2">
      <c r="A89" t="s">
        <v>11</v>
      </c>
      <c r="B89">
        <v>88</v>
      </c>
      <c r="E89" t="s">
        <v>360</v>
      </c>
      <c r="F89" t="s">
        <v>361</v>
      </c>
      <c r="G89" s="9" t="s">
        <v>362</v>
      </c>
      <c r="H89" s="9" t="s">
        <v>363</v>
      </c>
      <c r="I89" t="s">
        <v>218</v>
      </c>
      <c r="K89" t="s">
        <v>219</v>
      </c>
      <c r="L89" t="s">
        <v>220</v>
      </c>
    </row>
    <row r="90" spans="1:12" x14ac:dyDescent="0.2">
      <c r="A90" t="s">
        <v>11</v>
      </c>
      <c r="B90">
        <v>89</v>
      </c>
      <c r="E90" t="s">
        <v>364</v>
      </c>
      <c r="F90" t="s">
        <v>365</v>
      </c>
      <c r="G90" s="9" t="s">
        <v>366</v>
      </c>
      <c r="H90" s="9" t="s">
        <v>367</v>
      </c>
      <c r="I90" t="s">
        <v>218</v>
      </c>
      <c r="K90" t="s">
        <v>219</v>
      </c>
      <c r="L90" t="s">
        <v>220</v>
      </c>
    </row>
    <row r="91" spans="1:12" x14ac:dyDescent="0.2">
      <c r="A91" t="s">
        <v>11</v>
      </c>
      <c r="B91">
        <v>90</v>
      </c>
      <c r="E91" t="s">
        <v>368</v>
      </c>
      <c r="F91" t="s">
        <v>369</v>
      </c>
      <c r="G91" s="9" t="s">
        <v>370</v>
      </c>
      <c r="H91" s="9" t="s">
        <v>371</v>
      </c>
      <c r="I91" t="s">
        <v>218</v>
      </c>
      <c r="K91" t="s">
        <v>219</v>
      </c>
      <c r="L91" t="s">
        <v>220</v>
      </c>
    </row>
    <row r="92" spans="1:12" x14ac:dyDescent="0.2">
      <c r="A92" t="s">
        <v>11</v>
      </c>
      <c r="B92">
        <v>91</v>
      </c>
      <c r="E92" t="s">
        <v>372</v>
      </c>
      <c r="F92" t="s">
        <v>373</v>
      </c>
      <c r="G92" s="9" t="s">
        <v>374</v>
      </c>
      <c r="H92" s="9" t="s">
        <v>375</v>
      </c>
      <c r="I92" t="s">
        <v>218</v>
      </c>
      <c r="K92" t="s">
        <v>219</v>
      </c>
      <c r="L92" t="s">
        <v>220</v>
      </c>
    </row>
    <row r="93" spans="1:12" x14ac:dyDescent="0.2">
      <c r="A93" t="s">
        <v>11</v>
      </c>
      <c r="B93">
        <v>92</v>
      </c>
      <c r="E93" t="s">
        <v>376</v>
      </c>
      <c r="F93" t="s">
        <v>377</v>
      </c>
      <c r="G93" s="9" t="s">
        <v>378</v>
      </c>
      <c r="H93" s="9" t="s">
        <v>379</v>
      </c>
      <c r="I93" t="s">
        <v>218</v>
      </c>
      <c r="K93" t="s">
        <v>219</v>
      </c>
      <c r="L93" t="s">
        <v>220</v>
      </c>
    </row>
    <row r="94" spans="1:12" x14ac:dyDescent="0.2">
      <c r="A94" t="s">
        <v>11</v>
      </c>
      <c r="B94">
        <v>93</v>
      </c>
      <c r="E94" t="s">
        <v>380</v>
      </c>
      <c r="F94" t="s">
        <v>381</v>
      </c>
      <c r="G94" s="9" t="s">
        <v>382</v>
      </c>
      <c r="H94" s="9" t="s">
        <v>383</v>
      </c>
      <c r="I94" t="s">
        <v>218</v>
      </c>
      <c r="K94" t="s">
        <v>219</v>
      </c>
      <c r="L94" t="s">
        <v>220</v>
      </c>
    </row>
    <row r="95" spans="1:12" x14ac:dyDescent="0.2">
      <c r="A95" t="s">
        <v>11</v>
      </c>
      <c r="B95">
        <v>94</v>
      </c>
      <c r="E95" t="s">
        <v>384</v>
      </c>
      <c r="F95" t="s">
        <v>385</v>
      </c>
      <c r="G95" s="9" t="s">
        <v>386</v>
      </c>
      <c r="H95" s="9" t="s">
        <v>387</v>
      </c>
      <c r="I95" t="s">
        <v>218</v>
      </c>
      <c r="K95" t="s">
        <v>219</v>
      </c>
      <c r="L95" t="s">
        <v>220</v>
      </c>
    </row>
    <row r="96" spans="1:12" x14ac:dyDescent="0.2">
      <c r="A96" t="s">
        <v>11</v>
      </c>
      <c r="B96">
        <v>95</v>
      </c>
      <c r="E96" t="s">
        <v>388</v>
      </c>
      <c r="F96" t="s">
        <v>389</v>
      </c>
      <c r="G96" s="9" t="s">
        <v>390</v>
      </c>
      <c r="H96" s="9" t="s">
        <v>391</v>
      </c>
      <c r="I96" t="s">
        <v>218</v>
      </c>
      <c r="K96" t="s">
        <v>219</v>
      </c>
      <c r="L96" t="s">
        <v>220</v>
      </c>
    </row>
    <row r="97" spans="1:12" x14ac:dyDescent="0.2">
      <c r="A97" t="s">
        <v>11</v>
      </c>
      <c r="B97">
        <v>96</v>
      </c>
      <c r="E97" t="s">
        <v>392</v>
      </c>
      <c r="F97" t="s">
        <v>393</v>
      </c>
      <c r="G97" s="9" t="s">
        <v>394</v>
      </c>
      <c r="H97" s="9" t="s">
        <v>395</v>
      </c>
      <c r="I97" t="s">
        <v>218</v>
      </c>
      <c r="K97" t="s">
        <v>219</v>
      </c>
      <c r="L97" t="s">
        <v>220</v>
      </c>
    </row>
    <row r="98" spans="1:12" x14ac:dyDescent="0.2">
      <c r="A98" t="s">
        <v>11</v>
      </c>
      <c r="B98">
        <v>97</v>
      </c>
      <c r="E98" t="s">
        <v>396</v>
      </c>
      <c r="F98" t="s">
        <v>397</v>
      </c>
      <c r="G98" s="9" t="s">
        <v>398</v>
      </c>
      <c r="H98" s="9" t="s">
        <v>399</v>
      </c>
      <c r="I98" t="s">
        <v>218</v>
      </c>
      <c r="K98" t="s">
        <v>219</v>
      </c>
      <c r="L98" t="s">
        <v>220</v>
      </c>
    </row>
    <row r="99" spans="1:12" x14ac:dyDescent="0.2">
      <c r="A99" t="s">
        <v>11</v>
      </c>
      <c r="B99">
        <v>98</v>
      </c>
      <c r="E99" t="s">
        <v>400</v>
      </c>
      <c r="F99" t="s">
        <v>401</v>
      </c>
      <c r="G99" s="9" t="s">
        <v>402</v>
      </c>
      <c r="H99" s="9" t="s">
        <v>403</v>
      </c>
      <c r="I99" t="s">
        <v>218</v>
      </c>
      <c r="K99" t="s">
        <v>219</v>
      </c>
      <c r="L99" t="s">
        <v>220</v>
      </c>
    </row>
    <row r="100" spans="1:12" ht="16" x14ac:dyDescent="0.2">
      <c r="A100" t="s">
        <v>11</v>
      </c>
      <c r="B100">
        <v>99</v>
      </c>
      <c r="E100" t="s">
        <v>404</v>
      </c>
      <c r="F100" s="50" t="s">
        <v>405</v>
      </c>
      <c r="G100" s="9" t="s">
        <v>1562</v>
      </c>
      <c r="H100" s="9" t="s">
        <v>406</v>
      </c>
      <c r="I100" t="s">
        <v>407</v>
      </c>
      <c r="K100" t="s">
        <v>408</v>
      </c>
      <c r="L100" t="s">
        <v>409</v>
      </c>
    </row>
    <row r="101" spans="1:12" x14ac:dyDescent="0.2">
      <c r="A101" t="s">
        <v>11</v>
      </c>
      <c r="B101">
        <v>100</v>
      </c>
      <c r="E101" t="s">
        <v>410</v>
      </c>
      <c r="F101" t="s">
        <v>411</v>
      </c>
      <c r="G101" s="9" t="s">
        <v>1563</v>
      </c>
      <c r="H101" s="9" t="s">
        <v>412</v>
      </c>
      <c r="I101" t="s">
        <v>407</v>
      </c>
      <c r="K101" t="s">
        <v>408</v>
      </c>
      <c r="L101" t="s">
        <v>409</v>
      </c>
    </row>
    <row r="102" spans="1:12" x14ac:dyDescent="0.2">
      <c r="A102" t="s">
        <v>11</v>
      </c>
      <c r="B102">
        <v>101</v>
      </c>
      <c r="E102" t="s">
        <v>413</v>
      </c>
      <c r="F102" t="s">
        <v>414</v>
      </c>
      <c r="G102" s="9" t="s">
        <v>1564</v>
      </c>
      <c r="H102" s="9" t="s">
        <v>415</v>
      </c>
      <c r="I102" t="s">
        <v>407</v>
      </c>
      <c r="K102" t="s">
        <v>408</v>
      </c>
      <c r="L102" t="s">
        <v>409</v>
      </c>
    </row>
    <row r="103" spans="1:12" x14ac:dyDescent="0.2">
      <c r="A103" t="s">
        <v>11</v>
      </c>
      <c r="B103">
        <v>102</v>
      </c>
      <c r="E103" t="s">
        <v>416</v>
      </c>
      <c r="F103" t="s">
        <v>417</v>
      </c>
      <c r="G103" s="9" t="s">
        <v>1402</v>
      </c>
      <c r="H103" s="9" t="s">
        <v>1399</v>
      </c>
      <c r="I103" t="s">
        <v>418</v>
      </c>
      <c r="J103" t="s">
        <v>419</v>
      </c>
      <c r="K103" t="s">
        <v>420</v>
      </c>
      <c r="L103" t="s">
        <v>421</v>
      </c>
    </row>
    <row r="104" spans="1:12" x14ac:dyDescent="0.2">
      <c r="A104" t="s">
        <v>11</v>
      </c>
      <c r="B104">
        <v>103</v>
      </c>
      <c r="E104" t="s">
        <v>422</v>
      </c>
      <c r="F104" t="s">
        <v>423</v>
      </c>
      <c r="G104" s="9" t="s">
        <v>1409</v>
      </c>
      <c r="H104" s="9" t="str">
        <f t="shared" ref="H104:H110" si="0">IF(LEFT(G104,4)="tbl-","fig-" &amp; MID(G104,5,LEN(G104)-4),"")</f>
        <v>fig-premature-death-percent</v>
      </c>
      <c r="I104" t="s">
        <v>178</v>
      </c>
      <c r="K104" t="s">
        <v>420</v>
      </c>
      <c r="L104" t="s">
        <v>421</v>
      </c>
    </row>
    <row r="105" spans="1:12" x14ac:dyDescent="0.2">
      <c r="A105" t="s">
        <v>11</v>
      </c>
      <c r="B105">
        <v>104</v>
      </c>
      <c r="E105" t="s">
        <v>424</v>
      </c>
      <c r="F105" t="s">
        <v>425</v>
      </c>
      <c r="G105" s="9" t="s">
        <v>1400</v>
      </c>
      <c r="H105" s="9" t="str">
        <f t="shared" si="0"/>
        <v>fig-premature-death-percent-diff-BNHvsWNH</v>
      </c>
      <c r="I105" t="s">
        <v>178</v>
      </c>
      <c r="K105" t="s">
        <v>420</v>
      </c>
      <c r="L105" t="s">
        <v>421</v>
      </c>
    </row>
    <row r="106" spans="1:12" x14ac:dyDescent="0.2">
      <c r="A106" t="s">
        <v>11</v>
      </c>
      <c r="B106">
        <v>105</v>
      </c>
      <c r="E106" t="s">
        <v>426</v>
      </c>
      <c r="F106" t="s">
        <v>427</v>
      </c>
      <c r="G106" s="9" t="s">
        <v>1401</v>
      </c>
      <c r="H106" s="9" t="str">
        <f t="shared" si="0"/>
        <v>fig-premature-death-percent-diff-HvsWNH</v>
      </c>
      <c r="I106" t="s">
        <v>178</v>
      </c>
      <c r="K106" t="s">
        <v>428</v>
      </c>
      <c r="L106" t="s">
        <v>421</v>
      </c>
    </row>
    <row r="107" spans="1:12" x14ac:dyDescent="0.2">
      <c r="A107" t="s">
        <v>11</v>
      </c>
      <c r="B107">
        <v>106</v>
      </c>
      <c r="E107" t="s">
        <v>429</v>
      </c>
      <c r="F107" t="s">
        <v>430</v>
      </c>
      <c r="G107" s="9" t="s">
        <v>1403</v>
      </c>
      <c r="H107" s="9" t="str">
        <f t="shared" si="0"/>
        <v>fig-clrd-hospital-aar</v>
      </c>
    </row>
    <row r="108" spans="1:12" x14ac:dyDescent="0.2">
      <c r="A108" t="s">
        <v>11</v>
      </c>
      <c r="B108">
        <v>107</v>
      </c>
      <c r="E108" t="s">
        <v>431</v>
      </c>
      <c r="F108" t="s">
        <v>432</v>
      </c>
      <c r="G108" s="9" t="s">
        <v>1404</v>
      </c>
      <c r="H108" s="9" t="str">
        <f t="shared" si="0"/>
        <v>fig-clrd-mortal-aar</v>
      </c>
      <c r="I108" t="s">
        <v>172</v>
      </c>
      <c r="K108" t="s">
        <v>175</v>
      </c>
      <c r="L108" t="s">
        <v>220</v>
      </c>
    </row>
    <row r="109" spans="1:12" x14ac:dyDescent="0.2">
      <c r="A109" t="s">
        <v>11</v>
      </c>
      <c r="B109">
        <v>108</v>
      </c>
      <c r="E109" t="s">
        <v>433</v>
      </c>
      <c r="F109" t="s">
        <v>434</v>
      </c>
      <c r="G109" s="9" t="s">
        <v>1414</v>
      </c>
      <c r="H109" s="9" t="str">
        <f t="shared" si="0"/>
        <v>fig-clrd-hospital-rande-aar</v>
      </c>
    </row>
    <row r="110" spans="1:12" x14ac:dyDescent="0.2">
      <c r="A110" t="s">
        <v>11</v>
      </c>
      <c r="B110">
        <v>109</v>
      </c>
      <c r="E110" t="s">
        <v>435</v>
      </c>
      <c r="F110" t="s">
        <v>436</v>
      </c>
      <c r="G110" s="9" t="s">
        <v>1405</v>
      </c>
      <c r="H110" s="9" t="str">
        <f t="shared" si="0"/>
        <v>fig-clrd-mortal-rande-aar</v>
      </c>
      <c r="I110" t="s">
        <v>172</v>
      </c>
      <c r="K110" t="s">
        <v>420</v>
      </c>
      <c r="L110" t="s">
        <v>220</v>
      </c>
    </row>
    <row r="111" spans="1:12" x14ac:dyDescent="0.2">
      <c r="A111" t="s">
        <v>11</v>
      </c>
      <c r="B111">
        <v>110</v>
      </c>
      <c r="E111" t="s">
        <v>437</v>
      </c>
      <c r="F111" t="s">
        <v>438</v>
      </c>
      <c r="G111" s="9" t="s">
        <v>1406</v>
      </c>
      <c r="H111" s="9" t="str">
        <f>IF(LEFT(G111,4)="tbl-","fig-" &amp; MID(G111,5,LEN(G111)-4),"")</f>
        <v>fig-brfss-adult-asthma</v>
      </c>
      <c r="I111" t="s">
        <v>144</v>
      </c>
      <c r="L111" t="s">
        <v>220</v>
      </c>
    </row>
    <row r="112" spans="1:12" x14ac:dyDescent="0.2">
      <c r="A112" t="s">
        <v>11</v>
      </c>
      <c r="B112">
        <v>111</v>
      </c>
      <c r="E112" t="s">
        <v>439</v>
      </c>
      <c r="F112" t="s">
        <v>440</v>
      </c>
      <c r="G112" s="9" t="s">
        <v>1407</v>
      </c>
      <c r="H112" s="9" t="str">
        <f t="shared" ref="H112:H140" si="1">IF(LEFT(G112,4)="tbl-","fig-" &amp; MID(G112,5,LEN(G112)-4),"")</f>
        <v>fig-asthma-hopsital-aar</v>
      </c>
      <c r="I112" t="s">
        <v>172</v>
      </c>
      <c r="K112" t="s">
        <v>175</v>
      </c>
      <c r="L112" t="s">
        <v>220</v>
      </c>
    </row>
    <row r="113" spans="1:12" x14ac:dyDescent="0.2">
      <c r="A113" t="s">
        <v>11</v>
      </c>
      <c r="B113">
        <v>112</v>
      </c>
      <c r="E113" t="s">
        <v>441</v>
      </c>
      <c r="F113" t="s">
        <v>442</v>
      </c>
      <c r="G113" s="9" t="s">
        <v>1408</v>
      </c>
      <c r="H113" s="9" t="str">
        <f t="shared" si="1"/>
        <v>fig-asthma-hopsital-rande-aar</v>
      </c>
      <c r="I113" t="s">
        <v>102</v>
      </c>
      <c r="K113" t="s">
        <v>175</v>
      </c>
      <c r="L113" t="s">
        <v>220</v>
      </c>
    </row>
    <row r="114" spans="1:12" x14ac:dyDescent="0.2">
      <c r="A114" t="s">
        <v>11</v>
      </c>
      <c r="B114">
        <v>113</v>
      </c>
      <c r="E114" t="s">
        <v>443</v>
      </c>
      <c r="F114" t="s">
        <v>444</v>
      </c>
      <c r="G114" s="9" t="s">
        <v>1425</v>
      </c>
      <c r="H114" s="9" t="str">
        <f t="shared" si="1"/>
        <v>fig-0to17-asthma-ed-rate</v>
      </c>
      <c r="I114" t="s">
        <v>445</v>
      </c>
      <c r="K114" t="s">
        <v>175</v>
      </c>
      <c r="L114" t="s">
        <v>220</v>
      </c>
    </row>
    <row r="115" spans="1:12" x14ac:dyDescent="0.2">
      <c r="A115" t="s">
        <v>11</v>
      </c>
      <c r="B115">
        <v>114</v>
      </c>
      <c r="E115" t="s">
        <v>446</v>
      </c>
      <c r="F115" t="s">
        <v>447</v>
      </c>
      <c r="G115" s="9" t="s">
        <v>1410</v>
      </c>
      <c r="H115" s="9" t="str">
        <f t="shared" si="1"/>
        <v>fig-adult-cardiovasdz-percent</v>
      </c>
    </row>
    <row r="116" spans="1:12" x14ac:dyDescent="0.2">
      <c r="A116" t="s">
        <v>11</v>
      </c>
      <c r="B116">
        <v>115</v>
      </c>
      <c r="E116" t="s">
        <v>448</v>
      </c>
      <c r="F116" t="s">
        <v>1914</v>
      </c>
      <c r="G116" s="9" t="s">
        <v>1411</v>
      </c>
      <c r="H116" s="9" t="str">
        <f t="shared" si="1"/>
        <v>fig-cardiovasdz-hospi-aar</v>
      </c>
      <c r="I116" t="s">
        <v>172</v>
      </c>
      <c r="K116" t="s">
        <v>175</v>
      </c>
      <c r="L116" t="s">
        <v>449</v>
      </c>
    </row>
    <row r="117" spans="1:12" x14ac:dyDescent="0.2">
      <c r="A117" t="s">
        <v>11</v>
      </c>
      <c r="B117">
        <v>116</v>
      </c>
      <c r="E117" t="s">
        <v>450</v>
      </c>
      <c r="F117" t="s">
        <v>451</v>
      </c>
      <c r="G117" s="9" t="s">
        <v>1412</v>
      </c>
      <c r="H117" s="9" t="str">
        <f t="shared" si="1"/>
        <v>fig-cardiovasdz-mortal-aar</v>
      </c>
      <c r="I117" t="s">
        <v>172</v>
      </c>
      <c r="K117" t="s">
        <v>428</v>
      </c>
      <c r="L117" t="s">
        <v>449</v>
      </c>
    </row>
    <row r="118" spans="1:12" x14ac:dyDescent="0.2">
      <c r="A118" t="s">
        <v>11</v>
      </c>
      <c r="B118">
        <v>117</v>
      </c>
      <c r="E118" t="s">
        <v>452</v>
      </c>
      <c r="F118" t="s">
        <v>453</v>
      </c>
      <c r="G118" s="9" t="s">
        <v>1413</v>
      </c>
      <c r="H118" s="9" t="str">
        <f t="shared" si="1"/>
        <v>fig-adult-highbp-mddx-percent</v>
      </c>
      <c r="I118" t="s">
        <v>144</v>
      </c>
      <c r="L118" t="s">
        <v>449</v>
      </c>
    </row>
    <row r="119" spans="1:12" x14ac:dyDescent="0.2">
      <c r="A119" t="s">
        <v>11</v>
      </c>
      <c r="B119">
        <v>118</v>
      </c>
      <c r="E119" t="s">
        <v>454</v>
      </c>
      <c r="F119" t="s">
        <v>455</v>
      </c>
      <c r="G119" s="9" t="s">
        <v>2162</v>
      </c>
      <c r="H119" s="9" t="str">
        <f t="shared" si="1"/>
        <v>fig-cerebrovasdz-hospital-aar</v>
      </c>
      <c r="I119" t="s">
        <v>172</v>
      </c>
      <c r="K119" t="s">
        <v>456</v>
      </c>
      <c r="L119" t="s">
        <v>449</v>
      </c>
    </row>
    <row r="120" spans="1:12" x14ac:dyDescent="0.2">
      <c r="A120" t="s">
        <v>11</v>
      </c>
      <c r="B120">
        <v>119</v>
      </c>
      <c r="E120" t="s">
        <v>457</v>
      </c>
      <c r="F120" t="s">
        <v>458</v>
      </c>
      <c r="G120" s="65" t="s">
        <v>2163</v>
      </c>
      <c r="H120" s="9" t="str">
        <f t="shared" si="1"/>
        <v>fig-cerebrovasdz-hospital-rande-aar</v>
      </c>
      <c r="I120" t="s">
        <v>102</v>
      </c>
      <c r="K120" t="s">
        <v>456</v>
      </c>
      <c r="L120" t="s">
        <v>449</v>
      </c>
    </row>
    <row r="121" spans="1:12" x14ac:dyDescent="0.2">
      <c r="A121" t="s">
        <v>11</v>
      </c>
      <c r="B121">
        <v>120</v>
      </c>
      <c r="E121" t="s">
        <v>459</v>
      </c>
      <c r="F121" t="s">
        <v>460</v>
      </c>
      <c r="G121" s="65" t="s">
        <v>2164</v>
      </c>
      <c r="H121" s="9" t="str">
        <f t="shared" si="1"/>
        <v>fig-cerebrovasdz-mortal-aar</v>
      </c>
      <c r="I121" t="s">
        <v>172</v>
      </c>
      <c r="K121" t="s">
        <v>428</v>
      </c>
      <c r="L121" t="s">
        <v>449</v>
      </c>
    </row>
    <row r="122" spans="1:12" x14ac:dyDescent="0.2">
      <c r="A122" t="s">
        <v>11</v>
      </c>
      <c r="B122">
        <v>121</v>
      </c>
      <c r="E122" t="s">
        <v>461</v>
      </c>
      <c r="F122" t="s">
        <v>462</v>
      </c>
      <c r="G122" s="65" t="s">
        <v>2165</v>
      </c>
      <c r="H122" s="9" t="str">
        <f t="shared" si="1"/>
        <v>fig-cerebrovasdz-mortal-rande-aar</v>
      </c>
      <c r="I122" t="s">
        <v>102</v>
      </c>
      <c r="K122" t="s">
        <v>428</v>
      </c>
      <c r="L122" t="s">
        <v>449</v>
      </c>
    </row>
    <row r="123" spans="1:12" ht="16" x14ac:dyDescent="0.2">
      <c r="A123" t="s">
        <v>11</v>
      </c>
      <c r="B123">
        <v>122</v>
      </c>
      <c r="E123" t="s">
        <v>463</v>
      </c>
      <c r="F123" t="s">
        <v>1545</v>
      </c>
      <c r="G123" s="94" t="s">
        <v>1927</v>
      </c>
      <c r="H123" s="9" t="str">
        <f t="shared" si="1"/>
        <v>fig-coronary-heart-disease-hospital-aar</v>
      </c>
    </row>
    <row r="124" spans="1:12" ht="16" x14ac:dyDescent="0.2">
      <c r="A124" t="s">
        <v>11</v>
      </c>
      <c r="B124">
        <v>123</v>
      </c>
      <c r="E124" t="s">
        <v>464</v>
      </c>
      <c r="F124" t="s">
        <v>465</v>
      </c>
      <c r="G124" s="94" t="s">
        <v>1928</v>
      </c>
      <c r="H124" s="9" t="str">
        <f t="shared" si="1"/>
        <v>fig-coronary-heart-disease-hospital-rande-aar</v>
      </c>
    </row>
    <row r="125" spans="1:12" x14ac:dyDescent="0.2">
      <c r="A125" t="s">
        <v>11</v>
      </c>
      <c r="B125">
        <v>124</v>
      </c>
      <c r="E125" t="s">
        <v>466</v>
      </c>
      <c r="F125" t="s">
        <v>1546</v>
      </c>
      <c r="G125" s="65" t="s">
        <v>1415</v>
      </c>
      <c r="H125" s="9" t="str">
        <f t="shared" si="1"/>
        <v>fig-heartattack-hospital-aar</v>
      </c>
    </row>
    <row r="126" spans="1:12" x14ac:dyDescent="0.2">
      <c r="A126" t="s">
        <v>11</v>
      </c>
      <c r="B126">
        <v>125</v>
      </c>
      <c r="E126" t="s">
        <v>467</v>
      </c>
      <c r="F126" t="s">
        <v>468</v>
      </c>
      <c r="G126" s="65" t="s">
        <v>1416</v>
      </c>
      <c r="H126" s="9" t="str">
        <f t="shared" si="1"/>
        <v>fig-congheartfail-mortal-aar</v>
      </c>
      <c r="I126" t="s">
        <v>172</v>
      </c>
      <c r="K126" t="s">
        <v>469</v>
      </c>
      <c r="L126" t="s">
        <v>470</v>
      </c>
    </row>
    <row r="127" spans="1:12" x14ac:dyDescent="0.2">
      <c r="A127" t="s">
        <v>11</v>
      </c>
      <c r="B127">
        <v>126</v>
      </c>
      <c r="E127" t="s">
        <v>471</v>
      </c>
      <c r="F127" t="s">
        <v>472</v>
      </c>
      <c r="G127" s="9"/>
      <c r="H127" s="9"/>
    </row>
    <row r="128" spans="1:12" x14ac:dyDescent="0.2">
      <c r="F128" t="s">
        <v>1812</v>
      </c>
      <c r="G128" s="65" t="s">
        <v>1813</v>
      </c>
      <c r="H128" s="9" t="str">
        <f t="shared" si="1"/>
        <v>fig-congheartfail-mortal-rande</v>
      </c>
    </row>
    <row r="129" spans="1:12" x14ac:dyDescent="0.2">
      <c r="F129" t="s">
        <v>1822</v>
      </c>
      <c r="G129" s="84" t="s">
        <v>1823</v>
      </c>
      <c r="H129" s="9" t="str">
        <f t="shared" si="1"/>
        <v>fig-heartattack-mortal-aar</v>
      </c>
    </row>
    <row r="130" spans="1:12" x14ac:dyDescent="0.2">
      <c r="A130" t="s">
        <v>11</v>
      </c>
      <c r="B130">
        <v>127</v>
      </c>
      <c r="E130">
        <v>204</v>
      </c>
      <c r="F130" t="s">
        <v>473</v>
      </c>
      <c r="G130" s="65" t="s">
        <v>1417</v>
      </c>
      <c r="H130" s="9" t="str">
        <f t="shared" si="1"/>
        <v>fig-mddx-predm-dm-percent</v>
      </c>
      <c r="I130" t="s">
        <v>144</v>
      </c>
      <c r="L130" t="s">
        <v>470</v>
      </c>
    </row>
    <row r="131" spans="1:12" x14ac:dyDescent="0.2">
      <c r="A131" t="s">
        <v>11</v>
      </c>
      <c r="B131">
        <v>128</v>
      </c>
      <c r="E131" t="s">
        <v>474</v>
      </c>
      <c r="F131" t="s">
        <v>472</v>
      </c>
      <c r="G131" s="9"/>
      <c r="H131" s="9"/>
    </row>
    <row r="132" spans="1:12" x14ac:dyDescent="0.2">
      <c r="A132" t="s">
        <v>11</v>
      </c>
      <c r="B132">
        <v>129</v>
      </c>
      <c r="E132">
        <v>206</v>
      </c>
      <c r="F132" t="s">
        <v>475</v>
      </c>
      <c r="G132" s="65" t="s">
        <v>1418</v>
      </c>
      <c r="H132" s="9" t="str">
        <f t="shared" si="1"/>
        <v>fig-dm-hospital-aar</v>
      </c>
      <c r="I132" t="s">
        <v>172</v>
      </c>
      <c r="K132" t="s">
        <v>456</v>
      </c>
      <c r="L132" t="s">
        <v>470</v>
      </c>
    </row>
    <row r="133" spans="1:12" x14ac:dyDescent="0.2">
      <c r="A133" t="s">
        <v>11</v>
      </c>
      <c r="B133">
        <v>130</v>
      </c>
      <c r="E133">
        <v>207</v>
      </c>
      <c r="F133" t="s">
        <v>476</v>
      </c>
      <c r="G133" s="65" t="s">
        <v>1419</v>
      </c>
      <c r="H133" s="9" t="str">
        <f t="shared" si="1"/>
        <v>fig-dm-hospital-rande-aar</v>
      </c>
      <c r="I133" t="s">
        <v>102</v>
      </c>
      <c r="L133" t="s">
        <v>470</v>
      </c>
    </row>
    <row r="134" spans="1:12" x14ac:dyDescent="0.2">
      <c r="A134" t="s">
        <v>11</v>
      </c>
      <c r="B134">
        <v>131</v>
      </c>
      <c r="E134">
        <v>208</v>
      </c>
      <c r="F134" t="s">
        <v>477</v>
      </c>
      <c r="G134" s="65" t="s">
        <v>1420</v>
      </c>
      <c r="H134" s="9" t="str">
        <f t="shared" si="1"/>
        <v>fig-highbs-dm-percent</v>
      </c>
      <c r="I134" t="s">
        <v>144</v>
      </c>
      <c r="L134" t="s">
        <v>470</v>
      </c>
    </row>
    <row r="135" spans="1:12" x14ac:dyDescent="0.2">
      <c r="A135" t="s">
        <v>11</v>
      </c>
      <c r="B135">
        <v>132</v>
      </c>
      <c r="E135">
        <v>209</v>
      </c>
      <c r="F135" t="s">
        <v>478</v>
      </c>
      <c r="G135" s="9" t="s">
        <v>1421</v>
      </c>
      <c r="H135" s="9" t="str">
        <f t="shared" si="1"/>
        <v>fig-dm-mortal-aar</v>
      </c>
      <c r="I135" t="s">
        <v>172</v>
      </c>
      <c r="K135" t="s">
        <v>456</v>
      </c>
      <c r="L135" t="s">
        <v>470</v>
      </c>
    </row>
    <row r="136" spans="1:12" x14ac:dyDescent="0.2">
      <c r="A136" t="s">
        <v>11</v>
      </c>
      <c r="B136">
        <v>133</v>
      </c>
      <c r="E136" t="s">
        <v>479</v>
      </c>
      <c r="F136" t="s">
        <v>472</v>
      </c>
      <c r="G136" s="9"/>
      <c r="H136" s="9"/>
    </row>
    <row r="137" spans="1:12" x14ac:dyDescent="0.2">
      <c r="A137" t="s">
        <v>11</v>
      </c>
      <c r="B137">
        <v>134</v>
      </c>
      <c r="E137">
        <v>211</v>
      </c>
      <c r="F137" t="s">
        <v>480</v>
      </c>
      <c r="G137" s="65" t="s">
        <v>1422</v>
      </c>
      <c r="H137" s="9" t="str">
        <f t="shared" si="1"/>
        <v>fig-dm-mortal-rande-aar</v>
      </c>
      <c r="I137" t="s">
        <v>102</v>
      </c>
      <c r="K137" t="s">
        <v>428</v>
      </c>
      <c r="L137" t="s">
        <v>470</v>
      </c>
    </row>
    <row r="138" spans="1:12" x14ac:dyDescent="0.2">
      <c r="A138" t="s">
        <v>11</v>
      </c>
      <c r="B138">
        <v>135</v>
      </c>
      <c r="E138">
        <v>212</v>
      </c>
      <c r="F138" t="s">
        <v>481</v>
      </c>
      <c r="G138" s="9" t="s">
        <v>1423</v>
      </c>
      <c r="H138" s="9" t="str">
        <f t="shared" si="1"/>
        <v>fig-adult-oando-percent</v>
      </c>
      <c r="I138" t="s">
        <v>144</v>
      </c>
      <c r="K138" t="s">
        <v>482</v>
      </c>
      <c r="L138" t="s">
        <v>470</v>
      </c>
    </row>
    <row r="139" spans="1:12" x14ac:dyDescent="0.2">
      <c r="A139" t="s">
        <v>11</v>
      </c>
      <c r="B139">
        <v>136</v>
      </c>
      <c r="E139">
        <v>213</v>
      </c>
      <c r="F139" t="s">
        <v>483</v>
      </c>
      <c r="G139" s="65" t="s">
        <v>1424</v>
      </c>
      <c r="H139" s="9" t="str">
        <f t="shared" si="1"/>
        <v>fig-adult-obese-percent</v>
      </c>
      <c r="I139" t="s">
        <v>144</v>
      </c>
      <c r="L139" t="s">
        <v>470</v>
      </c>
    </row>
    <row r="140" spans="1:12" x14ac:dyDescent="0.2">
      <c r="A140" t="s">
        <v>11</v>
      </c>
      <c r="B140">
        <v>137</v>
      </c>
      <c r="E140">
        <v>214</v>
      </c>
      <c r="F140" t="s">
        <v>484</v>
      </c>
      <c r="G140" s="9" t="s">
        <v>1426</v>
      </c>
      <c r="H140" s="9" t="str">
        <f t="shared" si="1"/>
        <v>fig-child-oando-percent</v>
      </c>
      <c r="I140" t="s">
        <v>172</v>
      </c>
      <c r="L140" t="s">
        <v>470</v>
      </c>
    </row>
    <row r="141" spans="1:12" x14ac:dyDescent="0.2">
      <c r="A141" t="s">
        <v>11</v>
      </c>
      <c r="B141">
        <v>138</v>
      </c>
      <c r="E141" t="s">
        <v>485</v>
      </c>
      <c r="F141" t="s">
        <v>472</v>
      </c>
      <c r="G141" s="9"/>
      <c r="H141" s="9"/>
    </row>
    <row r="142" spans="1:12" x14ac:dyDescent="0.2">
      <c r="A142" t="s">
        <v>11</v>
      </c>
      <c r="B142">
        <v>139</v>
      </c>
      <c r="E142" t="s">
        <v>486</v>
      </c>
      <c r="F142" t="s">
        <v>472</v>
      </c>
      <c r="G142" s="9"/>
      <c r="H142" s="9"/>
    </row>
    <row r="143" spans="1:12" x14ac:dyDescent="0.2">
      <c r="A143" t="s">
        <v>11</v>
      </c>
      <c r="B143">
        <v>140</v>
      </c>
      <c r="E143" t="s">
        <v>487</v>
      </c>
      <c r="F143" t="s">
        <v>472</v>
      </c>
      <c r="G143" s="9"/>
      <c r="H143" s="9"/>
    </row>
    <row r="144" spans="1:12" x14ac:dyDescent="0.2">
      <c r="A144" t="s">
        <v>11</v>
      </c>
      <c r="B144">
        <v>141</v>
      </c>
      <c r="E144">
        <v>218</v>
      </c>
      <c r="F144" t="s">
        <v>488</v>
      </c>
      <c r="G144" s="65" t="s">
        <v>1427</v>
      </c>
      <c r="H144" s="9" t="str">
        <f t="shared" ref="H144:H145" si="2">IF(LEFT(G144,4)="tbl-","fig-" &amp; MID(G144,5,LEN(G144)-4),"")</f>
        <v>fig-cirrhosis-hospital-aar</v>
      </c>
      <c r="I144" t="s">
        <v>172</v>
      </c>
      <c r="K144" t="s">
        <v>175</v>
      </c>
      <c r="L144" t="s">
        <v>220</v>
      </c>
    </row>
    <row r="145" spans="1:12" x14ac:dyDescent="0.2">
      <c r="A145" t="s">
        <v>11</v>
      </c>
      <c r="B145">
        <v>142</v>
      </c>
      <c r="E145">
        <v>219</v>
      </c>
      <c r="F145" t="s">
        <v>489</v>
      </c>
      <c r="G145" s="9" t="s">
        <v>1827</v>
      </c>
      <c r="H145" s="9" t="str">
        <f t="shared" si="2"/>
        <v>fig-cirrhosis-mortal-aar</v>
      </c>
      <c r="I145" t="s">
        <v>172</v>
      </c>
      <c r="K145" t="s">
        <v>456</v>
      </c>
      <c r="L145" t="s">
        <v>220</v>
      </c>
    </row>
    <row r="146" spans="1:12" x14ac:dyDescent="0.2">
      <c r="A146" t="s">
        <v>11</v>
      </c>
      <c r="B146">
        <v>143</v>
      </c>
      <c r="E146" t="s">
        <v>490</v>
      </c>
      <c r="F146" t="s">
        <v>472</v>
      </c>
      <c r="G146" s="9"/>
      <c r="H146" s="9"/>
    </row>
    <row r="147" spans="1:12" x14ac:dyDescent="0.2">
      <c r="A147" t="s">
        <v>11</v>
      </c>
      <c r="B147">
        <v>144</v>
      </c>
      <c r="E147">
        <v>221</v>
      </c>
      <c r="F147" t="s">
        <v>491</v>
      </c>
      <c r="G147" s="9" t="s">
        <v>1828</v>
      </c>
      <c r="H147" s="9" t="str">
        <f t="shared" ref="H147" si="3">IF(LEFT(G147,4)="tbl-","fig-" &amp; MID(G147,5,LEN(G147)-4),"")</f>
        <v>fig-allca-incident-mortal-aar</v>
      </c>
      <c r="I147" t="s">
        <v>172</v>
      </c>
      <c r="K147" t="s">
        <v>492</v>
      </c>
      <c r="L147" t="s">
        <v>220</v>
      </c>
    </row>
    <row r="148" spans="1:12" x14ac:dyDescent="0.2">
      <c r="A148" t="s">
        <v>11</v>
      </c>
      <c r="B148">
        <v>145</v>
      </c>
      <c r="E148" t="s">
        <v>493</v>
      </c>
      <c r="F148" t="s">
        <v>472</v>
      </c>
      <c r="G148" s="9"/>
      <c r="H148" s="9"/>
    </row>
    <row r="149" spans="1:12" x14ac:dyDescent="0.2">
      <c r="A149" t="s">
        <v>11</v>
      </c>
      <c r="B149">
        <v>146</v>
      </c>
      <c r="E149" t="s">
        <v>494</v>
      </c>
      <c r="F149" t="s">
        <v>472</v>
      </c>
      <c r="G149" s="9"/>
      <c r="H149" s="9"/>
    </row>
    <row r="150" spans="1:12" x14ac:dyDescent="0.2">
      <c r="A150" t="s">
        <v>11</v>
      </c>
      <c r="B150">
        <v>147</v>
      </c>
      <c r="E150">
        <v>224</v>
      </c>
      <c r="F150" t="s">
        <v>495</v>
      </c>
      <c r="G150" s="65" t="s">
        <v>1514</v>
      </c>
      <c r="H150" s="9" t="str">
        <f t="shared" ref="H150:H151" si="4">IF(LEFT(G150,4)="tbl-","fig-" &amp; MID(G150,5,LEN(G150)-4),"")</f>
        <v>fig-allca-incident-mortal-sex-aar</v>
      </c>
      <c r="I150" t="s">
        <v>496</v>
      </c>
      <c r="K150" t="s">
        <v>492</v>
      </c>
      <c r="L150" t="s">
        <v>220</v>
      </c>
    </row>
    <row r="151" spans="1:12" x14ac:dyDescent="0.2">
      <c r="A151" t="s">
        <v>11</v>
      </c>
      <c r="B151">
        <v>148</v>
      </c>
      <c r="E151">
        <v>225</v>
      </c>
      <c r="F151" t="s">
        <v>497</v>
      </c>
      <c r="G151" s="9" t="s">
        <v>1516</v>
      </c>
      <c r="H151" s="9" t="str">
        <f t="shared" si="4"/>
        <v>fig-colonrectca-incident-mortal-aar</v>
      </c>
      <c r="I151" t="s">
        <v>172</v>
      </c>
      <c r="K151" t="s">
        <v>492</v>
      </c>
      <c r="L151" t="s">
        <v>220</v>
      </c>
    </row>
    <row r="152" spans="1:12" x14ac:dyDescent="0.2">
      <c r="A152" t="s">
        <v>11</v>
      </c>
      <c r="B152">
        <v>149</v>
      </c>
      <c r="E152">
        <v>226</v>
      </c>
      <c r="F152" t="s">
        <v>498</v>
      </c>
      <c r="G152" s="65" t="s">
        <v>1515</v>
      </c>
      <c r="H152" s="9" t="str">
        <f t="shared" ref="H152:H163" si="5">IF(LEFT(G152,4)="tbl-","fig-" &amp; MID(G152,5,LEN(G152)-4),"")</f>
        <v>fig-colonrectca-incident-mortal-sex-aar</v>
      </c>
      <c r="I152" t="s">
        <v>172</v>
      </c>
      <c r="K152" t="s">
        <v>492</v>
      </c>
      <c r="L152" t="s">
        <v>220</v>
      </c>
    </row>
    <row r="153" spans="1:12" x14ac:dyDescent="0.2">
      <c r="A153" t="s">
        <v>11</v>
      </c>
      <c r="B153">
        <v>150</v>
      </c>
      <c r="E153">
        <v>227</v>
      </c>
      <c r="F153" t="s">
        <v>499</v>
      </c>
      <c r="G153" s="65" t="s">
        <v>1517</v>
      </c>
      <c r="H153" s="9" t="str">
        <f t="shared" si="5"/>
        <v>fig-colorectalca-incidence-rande-aar</v>
      </c>
      <c r="I153" t="s">
        <v>102</v>
      </c>
      <c r="K153" t="s">
        <v>500</v>
      </c>
      <c r="L153" t="s">
        <v>220</v>
      </c>
    </row>
    <row r="154" spans="1:12" x14ac:dyDescent="0.2">
      <c r="A154" t="s">
        <v>11</v>
      </c>
      <c r="B154">
        <v>151</v>
      </c>
      <c r="E154">
        <v>228</v>
      </c>
      <c r="F154" t="s">
        <v>501</v>
      </c>
      <c r="G154" s="65" t="s">
        <v>1522</v>
      </c>
      <c r="H154" s="9" t="str">
        <f t="shared" si="5"/>
        <v>fig-adult-50to64-colorectalca-screening-percent</v>
      </c>
      <c r="I154" t="s">
        <v>502</v>
      </c>
      <c r="K154" t="s">
        <v>503</v>
      </c>
      <c r="L154" t="s">
        <v>220</v>
      </c>
    </row>
    <row r="155" spans="1:12" x14ac:dyDescent="0.2">
      <c r="A155" t="s">
        <v>11</v>
      </c>
      <c r="B155">
        <v>152</v>
      </c>
      <c r="E155" t="s">
        <v>504</v>
      </c>
      <c r="F155" t="s">
        <v>505</v>
      </c>
      <c r="G155" s="9"/>
      <c r="H155" s="9" t="str">
        <f t="shared" si="5"/>
        <v/>
      </c>
      <c r="I155" t="s">
        <v>172</v>
      </c>
      <c r="K155" t="s">
        <v>503</v>
      </c>
      <c r="L155" t="s">
        <v>220</v>
      </c>
    </row>
    <row r="156" spans="1:12" x14ac:dyDescent="0.2">
      <c r="A156" t="s">
        <v>11</v>
      </c>
      <c r="B156">
        <v>153</v>
      </c>
      <c r="E156">
        <v>229</v>
      </c>
      <c r="F156" t="s">
        <v>506</v>
      </c>
      <c r="G156" s="65" t="s">
        <v>1829</v>
      </c>
      <c r="H156" s="9" t="str">
        <f t="shared" si="5"/>
        <v>fig-lungbronchca-incident-mortal-aar</v>
      </c>
      <c r="I156" t="s">
        <v>507</v>
      </c>
      <c r="K156" t="s">
        <v>500</v>
      </c>
      <c r="L156" t="s">
        <v>470</v>
      </c>
    </row>
    <row r="157" spans="1:12" x14ac:dyDescent="0.2">
      <c r="A157" t="s">
        <v>11</v>
      </c>
      <c r="B157">
        <v>154</v>
      </c>
      <c r="E157">
        <v>230</v>
      </c>
      <c r="F157" t="s">
        <v>508</v>
      </c>
      <c r="G157" s="65" t="s">
        <v>2159</v>
      </c>
      <c r="H157" s="9" t="str">
        <f>IF(LEFT(G157,4)="tbl-","fig-" &amp; MID(G157,5,LEN(G157)-4),"")</f>
        <v>fig-lungbronchca-incident-mortal-sex-aar</v>
      </c>
      <c r="I157" t="s">
        <v>507</v>
      </c>
      <c r="K157" t="s">
        <v>500</v>
      </c>
      <c r="L157" t="s">
        <v>470</v>
      </c>
    </row>
    <row r="158" spans="1:12" x14ac:dyDescent="0.2">
      <c r="A158" t="s">
        <v>11</v>
      </c>
      <c r="B158">
        <v>155</v>
      </c>
      <c r="E158">
        <v>231</v>
      </c>
      <c r="F158" t="s">
        <v>509</v>
      </c>
      <c r="G158" s="65" t="s">
        <v>1518</v>
      </c>
      <c r="H158" s="9" t="str">
        <f t="shared" si="5"/>
        <v>fig-lungca-incidence-rande-aar</v>
      </c>
      <c r="I158" t="s">
        <v>102</v>
      </c>
      <c r="K158" t="s">
        <v>500</v>
      </c>
      <c r="L158" t="s">
        <v>470</v>
      </c>
    </row>
    <row r="159" spans="1:12" x14ac:dyDescent="0.2">
      <c r="A159" t="s">
        <v>11</v>
      </c>
      <c r="B159">
        <v>156</v>
      </c>
      <c r="E159">
        <v>232</v>
      </c>
      <c r="F159" t="s">
        <v>510</v>
      </c>
      <c r="G159" s="65" t="s">
        <v>1519</v>
      </c>
      <c r="H159" s="9" t="str">
        <f t="shared" si="5"/>
        <v>fig-male-prostateca-incidence-mortal-aar</v>
      </c>
      <c r="I159" t="s">
        <v>511</v>
      </c>
      <c r="K159" t="s">
        <v>500</v>
      </c>
      <c r="L159" t="s">
        <v>470</v>
      </c>
    </row>
    <row r="160" spans="1:12" x14ac:dyDescent="0.2">
      <c r="A160" t="s">
        <v>11</v>
      </c>
      <c r="B160">
        <v>157</v>
      </c>
      <c r="E160">
        <v>233</v>
      </c>
      <c r="F160" t="s">
        <v>512</v>
      </c>
      <c r="G160" s="65" t="s">
        <v>1520</v>
      </c>
      <c r="H160" s="9" t="str">
        <f t="shared" si="5"/>
        <v>fig-female-breastca-incidence-mortal-aar</v>
      </c>
      <c r="I160" t="s">
        <v>511</v>
      </c>
      <c r="K160" t="s">
        <v>500</v>
      </c>
      <c r="L160" t="s">
        <v>470</v>
      </c>
    </row>
    <row r="161" spans="1:12" x14ac:dyDescent="0.2">
      <c r="A161" t="s">
        <v>11</v>
      </c>
      <c r="B161">
        <v>158</v>
      </c>
      <c r="E161">
        <v>234</v>
      </c>
      <c r="F161" t="s">
        <v>513</v>
      </c>
      <c r="G161" s="65" t="s">
        <v>2158</v>
      </c>
      <c r="H161" s="9" t="str">
        <f t="shared" si="5"/>
        <v>fig-female-breastca-screening-percent</v>
      </c>
      <c r="I161" t="s">
        <v>144</v>
      </c>
      <c r="L161" t="s">
        <v>470</v>
      </c>
    </row>
    <row r="162" spans="1:12" x14ac:dyDescent="0.2">
      <c r="A162" t="s">
        <v>11</v>
      </c>
      <c r="B162">
        <v>159</v>
      </c>
      <c r="E162">
        <v>235</v>
      </c>
      <c r="F162" t="s">
        <v>514</v>
      </c>
      <c r="G162" s="65" t="s">
        <v>1521</v>
      </c>
      <c r="H162" s="9" t="str">
        <f t="shared" si="5"/>
        <v>fig-cervutca-incident-mortal-aar</v>
      </c>
      <c r="I162" t="s">
        <v>515</v>
      </c>
      <c r="K162" t="s">
        <v>500</v>
      </c>
      <c r="L162" t="s">
        <v>220</v>
      </c>
    </row>
    <row r="163" spans="1:12" x14ac:dyDescent="0.2">
      <c r="A163" t="s">
        <v>11</v>
      </c>
      <c r="B163">
        <v>160</v>
      </c>
      <c r="E163">
        <v>236</v>
      </c>
      <c r="F163" t="s">
        <v>516</v>
      </c>
      <c r="G163" s="65" t="s">
        <v>2157</v>
      </c>
      <c r="H163" s="9" t="str">
        <f t="shared" si="5"/>
        <v>fig-cervutca-screening-percent</v>
      </c>
      <c r="I163" t="s">
        <v>172</v>
      </c>
      <c r="K163" t="s">
        <v>503</v>
      </c>
      <c r="L163" t="s">
        <v>220</v>
      </c>
    </row>
    <row r="164" spans="1:12" x14ac:dyDescent="0.2">
      <c r="A164" t="s">
        <v>11</v>
      </c>
      <c r="B164">
        <v>161</v>
      </c>
      <c r="E164" t="s">
        <v>517</v>
      </c>
      <c r="F164" t="s">
        <v>472</v>
      </c>
      <c r="G164" s="9"/>
      <c r="H164" s="9"/>
    </row>
    <row r="165" spans="1:12" x14ac:dyDescent="0.2">
      <c r="A165" t="s">
        <v>11</v>
      </c>
      <c r="B165">
        <v>162</v>
      </c>
      <c r="E165">
        <v>238</v>
      </c>
      <c r="F165" t="s">
        <v>518</v>
      </c>
      <c r="G165" s="65" t="s">
        <v>1523</v>
      </c>
      <c r="H165" s="9" t="str">
        <f t="shared" ref="H165" si="6">IF(LEFT(G165,4)="tbl-","fig-" &amp; MID(G165,5,LEN(G165)-4),"")</f>
        <v>fig-24to35mo-child-vaccine-series-percent</v>
      </c>
      <c r="I165" t="s">
        <v>502</v>
      </c>
      <c r="K165" t="s">
        <v>519</v>
      </c>
      <c r="L165" t="s">
        <v>449</v>
      </c>
    </row>
    <row r="166" spans="1:12" x14ac:dyDescent="0.2">
      <c r="A166" t="s">
        <v>11</v>
      </c>
      <c r="B166">
        <v>163</v>
      </c>
      <c r="E166" t="s">
        <v>520</v>
      </c>
      <c r="F166" t="s">
        <v>472</v>
      </c>
      <c r="G166" s="9"/>
      <c r="H166" s="9"/>
    </row>
    <row r="167" spans="1:12" x14ac:dyDescent="0.2">
      <c r="A167" t="s">
        <v>11</v>
      </c>
      <c r="B167">
        <v>164</v>
      </c>
      <c r="E167" t="s">
        <v>521</v>
      </c>
      <c r="F167" t="s">
        <v>472</v>
      </c>
      <c r="G167" s="9"/>
      <c r="H167" s="9"/>
    </row>
    <row r="168" spans="1:12" x14ac:dyDescent="0.2">
      <c r="A168" t="s">
        <v>11</v>
      </c>
      <c r="B168">
        <v>165</v>
      </c>
      <c r="E168" t="s">
        <v>522</v>
      </c>
      <c r="F168" t="s">
        <v>472</v>
      </c>
      <c r="G168" s="9"/>
      <c r="H168" s="9"/>
    </row>
    <row r="169" spans="1:12" x14ac:dyDescent="0.2">
      <c r="A169" t="s">
        <v>11</v>
      </c>
      <c r="B169">
        <v>166</v>
      </c>
      <c r="E169" t="s">
        <v>523</v>
      </c>
      <c r="F169" t="s">
        <v>472</v>
      </c>
      <c r="G169" s="9"/>
      <c r="H169" s="9"/>
    </row>
    <row r="170" spans="1:12" x14ac:dyDescent="0.2">
      <c r="A170" t="s">
        <v>11</v>
      </c>
      <c r="B170">
        <v>167</v>
      </c>
      <c r="E170" t="s">
        <v>524</v>
      </c>
      <c r="F170" t="s">
        <v>472</v>
      </c>
      <c r="G170" s="9"/>
      <c r="H170" s="9"/>
    </row>
    <row r="171" spans="1:12" x14ac:dyDescent="0.2">
      <c r="A171" t="s">
        <v>11</v>
      </c>
      <c r="B171">
        <v>168</v>
      </c>
      <c r="E171" t="s">
        <v>525</v>
      </c>
      <c r="F171" t="s">
        <v>472</v>
      </c>
      <c r="G171" s="9"/>
      <c r="H171" s="9"/>
    </row>
    <row r="172" spans="1:12" x14ac:dyDescent="0.2">
      <c r="A172" t="s">
        <v>11</v>
      </c>
      <c r="B172">
        <v>169</v>
      </c>
      <c r="E172" t="s">
        <v>526</v>
      </c>
      <c r="F172" t="s">
        <v>472</v>
      </c>
      <c r="G172" s="9"/>
      <c r="H172" s="9"/>
    </row>
    <row r="173" spans="1:12" x14ac:dyDescent="0.2">
      <c r="A173" t="s">
        <v>11</v>
      </c>
      <c r="B173">
        <v>170</v>
      </c>
      <c r="E173" t="s">
        <v>527</v>
      </c>
      <c r="F173" t="s">
        <v>472</v>
      </c>
      <c r="G173" s="9"/>
      <c r="H173" s="9"/>
    </row>
    <row r="174" spans="1:12" x14ac:dyDescent="0.2">
      <c r="A174" t="s">
        <v>11</v>
      </c>
      <c r="B174">
        <v>171</v>
      </c>
      <c r="E174" t="s">
        <v>528</v>
      </c>
      <c r="F174" t="s">
        <v>472</v>
      </c>
      <c r="G174" s="9"/>
      <c r="H174" s="9"/>
    </row>
    <row r="175" spans="1:12" x14ac:dyDescent="0.2">
      <c r="A175" t="s">
        <v>11</v>
      </c>
      <c r="B175">
        <v>172</v>
      </c>
      <c r="E175" t="s">
        <v>529</v>
      </c>
      <c r="F175" t="s">
        <v>472</v>
      </c>
      <c r="G175" s="9"/>
      <c r="H175" s="9"/>
    </row>
    <row r="176" spans="1:12" x14ac:dyDescent="0.2">
      <c r="F176" t="s">
        <v>1830</v>
      </c>
      <c r="G176" s="9" t="s">
        <v>1831</v>
      </c>
      <c r="H176" s="9" t="str">
        <f t="shared" ref="H176" si="7">IF(LEFT(G176,4)="tbl-","fig-" &amp; MID(G176,5,LEN(G176)-4),"")</f>
        <v>fig-covid-mort-aar</v>
      </c>
    </row>
    <row r="177" spans="1:12" x14ac:dyDescent="0.2">
      <c r="A177" t="s">
        <v>11</v>
      </c>
      <c r="B177">
        <v>173</v>
      </c>
      <c r="E177">
        <v>249</v>
      </c>
      <c r="F177" t="s">
        <v>2156</v>
      </c>
      <c r="G177" s="65" t="s">
        <v>1525</v>
      </c>
      <c r="H177" s="9" t="str">
        <f t="shared" ref="H177:H180" si="8">IF(LEFT(G177,4)="tbl-","fig-" &amp; MID(G177,5,LEN(G177)-4),"")</f>
        <v>fig-13yo+-hpv-vaccine-complete-percent</v>
      </c>
      <c r="I177" t="s">
        <v>502</v>
      </c>
      <c r="K177" t="s">
        <v>519</v>
      </c>
      <c r="L177" t="s">
        <v>449</v>
      </c>
    </row>
    <row r="178" spans="1:12" x14ac:dyDescent="0.2">
      <c r="A178" t="s">
        <v>11</v>
      </c>
      <c r="B178">
        <v>174</v>
      </c>
      <c r="E178">
        <v>250</v>
      </c>
      <c r="F178" t="s">
        <v>531</v>
      </c>
      <c r="G178" s="65" t="s">
        <v>1524</v>
      </c>
      <c r="H178" s="9" t="str">
        <f t="shared" si="8"/>
        <v>fig-adult-flu-immi-lastyear-percent</v>
      </c>
      <c r="I178" t="s">
        <v>144</v>
      </c>
      <c r="L178" t="s">
        <v>449</v>
      </c>
    </row>
    <row r="179" spans="1:12" ht="16" x14ac:dyDescent="0.2">
      <c r="A179" t="s">
        <v>11</v>
      </c>
      <c r="B179">
        <v>175</v>
      </c>
      <c r="E179">
        <v>251</v>
      </c>
      <c r="F179" t="s">
        <v>532</v>
      </c>
      <c r="G179" s="94" t="s">
        <v>2166</v>
      </c>
      <c r="H179" s="9" t="str">
        <f t="shared" si="8"/>
        <v>fig-65+-flu-immi-percent</v>
      </c>
      <c r="I179" t="s">
        <v>144</v>
      </c>
      <c r="L179" t="s">
        <v>449</v>
      </c>
    </row>
    <row r="180" spans="1:12" x14ac:dyDescent="0.2">
      <c r="A180" t="s">
        <v>11</v>
      </c>
      <c r="B180">
        <v>176</v>
      </c>
      <c r="E180">
        <v>252</v>
      </c>
      <c r="F180" t="s">
        <v>533</v>
      </c>
      <c r="G180" s="9" t="s">
        <v>1526</v>
      </c>
      <c r="H180" s="9" t="str">
        <f t="shared" si="8"/>
        <v>fig-65+-pneumo-immi-percent</v>
      </c>
      <c r="I180" t="s">
        <v>144</v>
      </c>
      <c r="L180" t="s">
        <v>449</v>
      </c>
    </row>
    <row r="181" spans="1:12" x14ac:dyDescent="0.2">
      <c r="A181" t="s">
        <v>11</v>
      </c>
      <c r="B181">
        <v>177</v>
      </c>
      <c r="E181" t="s">
        <v>534</v>
      </c>
      <c r="F181" t="s">
        <v>472</v>
      </c>
      <c r="G181" s="9"/>
      <c r="H181" s="9"/>
    </row>
    <row r="182" spans="1:12" x14ac:dyDescent="0.2">
      <c r="A182" t="s">
        <v>11</v>
      </c>
      <c r="B182">
        <v>178</v>
      </c>
      <c r="E182">
        <v>254</v>
      </c>
      <c r="F182" t="s">
        <v>535</v>
      </c>
      <c r="G182" s="65" t="s">
        <v>1527</v>
      </c>
      <c r="H182" s="9" t="str">
        <f t="shared" ref="H182" si="9">IF(LEFT(G182,4)="tbl-","fig-" &amp; MID(G182,5,LEN(G182)-4),"")</f>
        <v>fig-hiv-incident-aar</v>
      </c>
      <c r="I182" t="s">
        <v>172</v>
      </c>
      <c r="K182" t="s">
        <v>536</v>
      </c>
      <c r="L182" t="s">
        <v>537</v>
      </c>
    </row>
    <row r="183" spans="1:12" x14ac:dyDescent="0.2">
      <c r="A183" t="s">
        <v>11</v>
      </c>
      <c r="B183">
        <v>179</v>
      </c>
      <c r="E183" t="s">
        <v>538</v>
      </c>
      <c r="F183" t="s">
        <v>472</v>
      </c>
      <c r="G183" s="9"/>
      <c r="H183" s="9"/>
    </row>
    <row r="184" spans="1:12" x14ac:dyDescent="0.2">
      <c r="A184" t="s">
        <v>11</v>
      </c>
      <c r="B184">
        <v>180</v>
      </c>
      <c r="E184" t="s">
        <v>539</v>
      </c>
      <c r="F184" t="s">
        <v>472</v>
      </c>
      <c r="G184" s="9"/>
      <c r="H184" s="9"/>
    </row>
    <row r="185" spans="1:12" x14ac:dyDescent="0.2">
      <c r="A185" t="s">
        <v>11</v>
      </c>
      <c r="B185">
        <v>181</v>
      </c>
      <c r="E185" t="s">
        <v>540</v>
      </c>
      <c r="F185" t="s">
        <v>472</v>
      </c>
      <c r="G185" s="9"/>
      <c r="H185" s="9"/>
    </row>
    <row r="186" spans="1:12" x14ac:dyDescent="0.2">
      <c r="A186" t="s">
        <v>11</v>
      </c>
      <c r="B186">
        <v>182</v>
      </c>
      <c r="E186" t="s">
        <v>541</v>
      </c>
      <c r="F186" t="s">
        <v>472</v>
      </c>
      <c r="G186" s="9"/>
      <c r="H186" s="9"/>
    </row>
    <row r="187" spans="1:12" x14ac:dyDescent="0.2">
      <c r="A187" t="s">
        <v>11</v>
      </c>
      <c r="B187">
        <v>183</v>
      </c>
      <c r="E187" t="s">
        <v>542</v>
      </c>
      <c r="F187" t="s">
        <v>472</v>
      </c>
      <c r="G187" s="9"/>
      <c r="H187" s="9"/>
    </row>
    <row r="188" spans="1:12" x14ac:dyDescent="0.2">
      <c r="A188" t="s">
        <v>11</v>
      </c>
      <c r="B188">
        <v>184</v>
      </c>
      <c r="E188" t="s">
        <v>504</v>
      </c>
      <c r="F188" t="s">
        <v>543</v>
      </c>
      <c r="G188" s="65" t="s">
        <v>1528</v>
      </c>
      <c r="H188" s="9" t="str">
        <f t="shared" ref="H188" si="10">IF(LEFT(G188,4)="tbl-","fig-" &amp; MID(G188,5,LEN(G188)-4),"")</f>
        <v>fig-gono-incident-aar</v>
      </c>
      <c r="I188" t="s">
        <v>544</v>
      </c>
      <c r="K188" t="s">
        <v>545</v>
      </c>
      <c r="L188" t="s">
        <v>537</v>
      </c>
    </row>
    <row r="189" spans="1:12" x14ac:dyDescent="0.2">
      <c r="A189" t="s">
        <v>11</v>
      </c>
      <c r="B189">
        <v>185</v>
      </c>
      <c r="E189">
        <v>260</v>
      </c>
      <c r="F189" t="s">
        <v>472</v>
      </c>
      <c r="G189" s="9"/>
      <c r="H189" s="9"/>
    </row>
    <row r="190" spans="1:12" x14ac:dyDescent="0.2">
      <c r="A190" t="s">
        <v>11</v>
      </c>
      <c r="B190">
        <v>186</v>
      </c>
      <c r="E190" t="s">
        <v>546</v>
      </c>
      <c r="F190" t="s">
        <v>472</v>
      </c>
      <c r="G190" s="9"/>
      <c r="H190" s="9"/>
    </row>
    <row r="191" spans="1:12" x14ac:dyDescent="0.2">
      <c r="A191" t="s">
        <v>11</v>
      </c>
      <c r="B191">
        <v>187</v>
      </c>
      <c r="E191" t="s">
        <v>547</v>
      </c>
      <c r="F191" t="s">
        <v>472</v>
      </c>
      <c r="G191" s="9"/>
      <c r="H191" s="9"/>
    </row>
    <row r="192" spans="1:12" x14ac:dyDescent="0.2">
      <c r="A192" t="s">
        <v>11</v>
      </c>
      <c r="B192">
        <v>188</v>
      </c>
      <c r="E192" t="s">
        <v>548</v>
      </c>
      <c r="F192" t="s">
        <v>472</v>
      </c>
      <c r="G192" s="9"/>
      <c r="H192" s="9"/>
    </row>
    <row r="193" spans="1:12" x14ac:dyDescent="0.2">
      <c r="A193" t="s">
        <v>11</v>
      </c>
      <c r="B193">
        <v>189</v>
      </c>
      <c r="E193" t="s">
        <v>549</v>
      </c>
      <c r="F193" t="s">
        <v>472</v>
      </c>
      <c r="G193" s="9"/>
      <c r="H193" s="9"/>
    </row>
    <row r="194" spans="1:12" x14ac:dyDescent="0.2">
      <c r="A194" t="s">
        <v>11</v>
      </c>
      <c r="B194">
        <v>190</v>
      </c>
      <c r="E194" t="s">
        <v>550</v>
      </c>
      <c r="F194" t="s">
        <v>472</v>
      </c>
      <c r="G194" s="9"/>
      <c r="H194" s="9"/>
    </row>
    <row r="195" spans="1:12" x14ac:dyDescent="0.2">
      <c r="A195" t="s">
        <v>11</v>
      </c>
      <c r="B195">
        <v>191</v>
      </c>
      <c r="E195" t="s">
        <v>551</v>
      </c>
      <c r="F195" t="s">
        <v>472</v>
      </c>
      <c r="G195" s="9"/>
      <c r="H195" s="9"/>
    </row>
    <row r="196" spans="1:12" x14ac:dyDescent="0.2">
      <c r="A196" t="s">
        <v>11</v>
      </c>
      <c r="B196">
        <v>192</v>
      </c>
      <c r="E196" t="s">
        <v>552</v>
      </c>
      <c r="F196" t="s">
        <v>472</v>
      </c>
      <c r="G196" s="9"/>
      <c r="H196" s="9"/>
    </row>
    <row r="197" spans="1:12" x14ac:dyDescent="0.2">
      <c r="A197" t="s">
        <v>11</v>
      </c>
      <c r="B197">
        <v>193</v>
      </c>
      <c r="E197" t="s">
        <v>553</v>
      </c>
      <c r="F197" t="s">
        <v>472</v>
      </c>
      <c r="G197" s="9"/>
      <c r="H197" s="9"/>
    </row>
    <row r="198" spans="1:12" x14ac:dyDescent="0.2">
      <c r="A198" t="s">
        <v>11</v>
      </c>
      <c r="B198">
        <v>194</v>
      </c>
      <c r="E198" t="s">
        <v>554</v>
      </c>
      <c r="F198" t="s">
        <v>472</v>
      </c>
      <c r="G198" s="9"/>
      <c r="H198" s="9"/>
    </row>
    <row r="199" spans="1:12" x14ac:dyDescent="0.2">
      <c r="A199" t="s">
        <v>11</v>
      </c>
      <c r="B199">
        <v>195</v>
      </c>
      <c r="E199">
        <v>270</v>
      </c>
      <c r="F199" t="s">
        <v>472</v>
      </c>
      <c r="G199" s="9"/>
      <c r="H199" s="9"/>
    </row>
    <row r="200" spans="1:12" x14ac:dyDescent="0.2">
      <c r="A200" t="s">
        <v>11</v>
      </c>
      <c r="B200">
        <v>196</v>
      </c>
      <c r="E200" t="s">
        <v>504</v>
      </c>
      <c r="F200" t="s">
        <v>555</v>
      </c>
      <c r="G200" s="9" t="s">
        <v>1615</v>
      </c>
      <c r="H200" s="9" t="str">
        <f t="shared" ref="H200" si="11">IF(LEFT(G200,4)="tbl-","fig-" &amp; MID(G200,5,LEN(G200)-4),"")</f>
        <v>fig-chlamy-incident-aar</v>
      </c>
      <c r="I200" t="s">
        <v>544</v>
      </c>
      <c r="K200" t="s">
        <v>545</v>
      </c>
      <c r="L200" t="s">
        <v>537</v>
      </c>
    </row>
    <row r="201" spans="1:12" x14ac:dyDescent="0.2">
      <c r="A201" t="s">
        <v>11</v>
      </c>
      <c r="B201">
        <v>197</v>
      </c>
      <c r="E201">
        <v>271</v>
      </c>
      <c r="G201" s="9"/>
      <c r="H201" s="9"/>
    </row>
    <row r="202" spans="1:12" x14ac:dyDescent="0.2">
      <c r="A202" t="s">
        <v>11</v>
      </c>
      <c r="B202">
        <v>198</v>
      </c>
      <c r="E202">
        <v>272</v>
      </c>
      <c r="G202" s="9"/>
      <c r="H202" s="9"/>
    </row>
    <row r="203" spans="1:12" x14ac:dyDescent="0.2">
      <c r="A203" t="s">
        <v>11</v>
      </c>
      <c r="B203">
        <v>199</v>
      </c>
      <c r="F203" t="s">
        <v>556</v>
      </c>
      <c r="G203" s="9" t="s">
        <v>1535</v>
      </c>
      <c r="H203" s="9" t="str">
        <f t="shared" ref="H203" si="12">IF(LEFT(G203,4)="tbl-","fig-" &amp; MID(G203,5,LEN(G203)-4),"")</f>
        <v>fig-syph-early-aar</v>
      </c>
      <c r="I203" t="s">
        <v>557</v>
      </c>
      <c r="K203" t="s">
        <v>558</v>
      </c>
      <c r="L203" t="s">
        <v>537</v>
      </c>
    </row>
    <row r="204" spans="1:12" x14ac:dyDescent="0.2">
      <c r="A204" t="s">
        <v>11</v>
      </c>
      <c r="B204">
        <v>200</v>
      </c>
      <c r="E204" t="s">
        <v>559</v>
      </c>
      <c r="F204" t="s">
        <v>472</v>
      </c>
      <c r="G204" s="9"/>
      <c r="H204" s="9"/>
    </row>
    <row r="205" spans="1:12" x14ac:dyDescent="0.2">
      <c r="A205" t="s">
        <v>11</v>
      </c>
      <c r="B205">
        <v>201</v>
      </c>
      <c r="E205" t="s">
        <v>560</v>
      </c>
      <c r="F205" t="s">
        <v>472</v>
      </c>
      <c r="G205" s="9"/>
      <c r="H205" s="9"/>
    </row>
    <row r="206" spans="1:12" x14ac:dyDescent="0.2">
      <c r="A206" t="s">
        <v>11</v>
      </c>
      <c r="B206">
        <v>202</v>
      </c>
      <c r="E206">
        <v>275</v>
      </c>
      <c r="F206" t="s">
        <v>561</v>
      </c>
      <c r="G206" s="9" t="s">
        <v>1534</v>
      </c>
      <c r="H206" s="9" t="str">
        <f t="shared" ref="H206" si="13">IF(LEFT(G206,4)="tbl-","fig-" &amp; MID(G206,5,LEN(G206)-4),"")</f>
        <v>fig-lyme-disease</v>
      </c>
      <c r="I206" t="s">
        <v>562</v>
      </c>
      <c r="J206" t="s">
        <v>563</v>
      </c>
      <c r="K206" t="s">
        <v>564</v>
      </c>
      <c r="L206" t="s">
        <v>449</v>
      </c>
    </row>
    <row r="207" spans="1:12" x14ac:dyDescent="0.2">
      <c r="A207" t="s">
        <v>11</v>
      </c>
      <c r="B207">
        <v>203</v>
      </c>
      <c r="E207" t="s">
        <v>565</v>
      </c>
      <c r="F207" t="s">
        <v>472</v>
      </c>
      <c r="G207" s="9"/>
      <c r="H207" s="9"/>
    </row>
    <row r="208" spans="1:12" x14ac:dyDescent="0.2">
      <c r="A208" t="s">
        <v>11</v>
      </c>
      <c r="B208">
        <v>204</v>
      </c>
      <c r="E208">
        <v>277</v>
      </c>
      <c r="F208" t="s">
        <v>566</v>
      </c>
      <c r="G208" s="9" t="s">
        <v>1533</v>
      </c>
      <c r="H208" s="9" t="str">
        <f t="shared" ref="H208" si="14">IF(LEFT(G208,4)="tbl-","fig-" &amp; MID(G208,5,LEN(G208)-4),"")</f>
        <v>fig-anaplasmosis</v>
      </c>
      <c r="I208" t="s">
        <v>562</v>
      </c>
      <c r="J208" t="s">
        <v>563</v>
      </c>
      <c r="K208" t="s">
        <v>564</v>
      </c>
      <c r="L208" t="s">
        <v>449</v>
      </c>
    </row>
    <row r="209" spans="1:12" x14ac:dyDescent="0.2">
      <c r="A209" t="s">
        <v>11</v>
      </c>
      <c r="B209">
        <v>205</v>
      </c>
      <c r="E209" t="s">
        <v>567</v>
      </c>
      <c r="F209" t="s">
        <v>472</v>
      </c>
      <c r="G209" s="9"/>
      <c r="H209" s="9"/>
    </row>
    <row r="210" spans="1:12" x14ac:dyDescent="0.2">
      <c r="A210" t="s">
        <v>11</v>
      </c>
      <c r="B210">
        <v>206</v>
      </c>
      <c r="E210">
        <v>279</v>
      </c>
      <c r="F210" t="s">
        <v>568</v>
      </c>
      <c r="G210" s="9" t="s">
        <v>1532</v>
      </c>
      <c r="H210" s="9" t="str">
        <f t="shared" ref="H210" si="15">IF(LEFT(G210,4)="tbl-","fig-" &amp; MID(G210,5,LEN(G210)-4),"")</f>
        <v>fig-babesiosis</v>
      </c>
      <c r="I210" t="s">
        <v>562</v>
      </c>
      <c r="J210" t="s">
        <v>563</v>
      </c>
      <c r="K210" t="s">
        <v>564</v>
      </c>
      <c r="L210" t="s">
        <v>449</v>
      </c>
    </row>
    <row r="211" spans="1:12" x14ac:dyDescent="0.2">
      <c r="A211" t="s">
        <v>11</v>
      </c>
      <c r="B211">
        <v>207</v>
      </c>
      <c r="E211" t="s">
        <v>569</v>
      </c>
      <c r="F211" t="s">
        <v>472</v>
      </c>
      <c r="G211" s="9"/>
      <c r="H211" s="9"/>
    </row>
    <row r="212" spans="1:12" x14ac:dyDescent="0.2">
      <c r="A212" t="s">
        <v>11</v>
      </c>
      <c r="B212">
        <v>208</v>
      </c>
      <c r="E212" t="s">
        <v>570</v>
      </c>
      <c r="F212" t="s">
        <v>472</v>
      </c>
      <c r="G212" s="9"/>
      <c r="H212" s="9"/>
    </row>
    <row r="213" spans="1:12" x14ac:dyDescent="0.2">
      <c r="A213" t="s">
        <v>11</v>
      </c>
      <c r="B213">
        <v>209</v>
      </c>
      <c r="E213" t="s">
        <v>571</v>
      </c>
      <c r="F213" t="s">
        <v>572</v>
      </c>
      <c r="G213" s="9" t="s">
        <v>1531</v>
      </c>
      <c r="H213" s="9" t="str">
        <f t="shared" ref="H213:H218" si="16">IF(LEFT(G213,4)="tbl-","fig-" &amp; MID(G213,5,LEN(G213)-4),"")</f>
        <v>fig-rabies-test-domestic</v>
      </c>
      <c r="I213" t="s">
        <v>573</v>
      </c>
      <c r="L213" t="s">
        <v>537</v>
      </c>
    </row>
    <row r="214" spans="1:12" x14ac:dyDescent="0.2">
      <c r="A214" t="s">
        <v>11</v>
      </c>
      <c r="B214">
        <v>210</v>
      </c>
      <c r="E214" t="s">
        <v>574</v>
      </c>
      <c r="F214" t="s">
        <v>575</v>
      </c>
      <c r="G214" s="9" t="s">
        <v>1530</v>
      </c>
      <c r="H214" s="9" t="str">
        <f t="shared" si="16"/>
        <v>fig-rabies-test-wild</v>
      </c>
      <c r="I214" t="s">
        <v>573</v>
      </c>
      <c r="L214" t="s">
        <v>537</v>
      </c>
    </row>
    <row r="215" spans="1:12" x14ac:dyDescent="0.2">
      <c r="A215" t="s">
        <v>11</v>
      </c>
      <c r="B215">
        <v>211</v>
      </c>
      <c r="E215">
        <v>282</v>
      </c>
      <c r="F215" t="s">
        <v>576</v>
      </c>
      <c r="G215" s="9" t="s">
        <v>1614</v>
      </c>
      <c r="H215" s="9" t="str">
        <f t="shared" si="16"/>
        <v>fig-rabies-pep-rate</v>
      </c>
      <c r="I215" t="s">
        <v>577</v>
      </c>
      <c r="L215" t="s">
        <v>537</v>
      </c>
    </row>
    <row r="216" spans="1:12" x14ac:dyDescent="0.2">
      <c r="A216" t="s">
        <v>11</v>
      </c>
      <c r="B216">
        <v>212</v>
      </c>
      <c r="E216" t="s">
        <v>578</v>
      </c>
      <c r="F216" t="s">
        <v>579</v>
      </c>
      <c r="G216" s="9" t="s">
        <v>1613</v>
      </c>
      <c r="H216" s="9" t="str">
        <f t="shared" si="16"/>
        <v>fig-early-late-no-pnc-percent</v>
      </c>
      <c r="L216" t="s">
        <v>409</v>
      </c>
    </row>
    <row r="217" spans="1:12" x14ac:dyDescent="0.2">
      <c r="A217" t="s">
        <v>11</v>
      </c>
      <c r="B217">
        <v>213</v>
      </c>
      <c r="E217">
        <v>284</v>
      </c>
      <c r="F217" t="s">
        <v>580</v>
      </c>
      <c r="G217" s="9" t="s">
        <v>1612</v>
      </c>
      <c r="H217" s="9" t="str">
        <f t="shared" si="16"/>
        <v>fig-early-pnc-percent</v>
      </c>
      <c r="I217" t="s">
        <v>172</v>
      </c>
      <c r="K217" t="s">
        <v>428</v>
      </c>
      <c r="L217" t="s">
        <v>409</v>
      </c>
    </row>
    <row r="218" spans="1:12" x14ac:dyDescent="0.2">
      <c r="A218" t="s">
        <v>11</v>
      </c>
      <c r="B218">
        <v>214</v>
      </c>
      <c r="E218">
        <v>285</v>
      </c>
      <c r="F218" t="s">
        <v>581</v>
      </c>
      <c r="G218" s="9" t="s">
        <v>1611</v>
      </c>
      <c r="H218" s="9" t="str">
        <f t="shared" si="16"/>
        <v>fig-late-no-pnc-percent</v>
      </c>
      <c r="I218" t="s">
        <v>172</v>
      </c>
      <c r="K218" t="s">
        <v>428</v>
      </c>
      <c r="L218" t="s">
        <v>409</v>
      </c>
    </row>
    <row r="219" spans="1:12" x14ac:dyDescent="0.2">
      <c r="A219" t="s">
        <v>11</v>
      </c>
      <c r="B219">
        <v>215</v>
      </c>
      <c r="E219">
        <v>286</v>
      </c>
      <c r="F219" t="s">
        <v>582</v>
      </c>
      <c r="G219" s="9" t="s">
        <v>1610</v>
      </c>
      <c r="H219" s="9" t="str">
        <f>IF(LEFT(G219,4)="tbl-","fig-" &amp; MID(G219,5,LEN(G219)-4),"")</f>
        <v>fig-epc-rande-percent</v>
      </c>
      <c r="I219" t="s">
        <v>102</v>
      </c>
      <c r="K219" t="s">
        <v>428</v>
      </c>
      <c r="L219" t="s">
        <v>409</v>
      </c>
    </row>
    <row r="220" spans="1:12" x14ac:dyDescent="0.2">
      <c r="A220" t="s">
        <v>11</v>
      </c>
      <c r="B220">
        <v>216</v>
      </c>
      <c r="E220" t="s">
        <v>583</v>
      </c>
      <c r="F220" t="s">
        <v>472</v>
      </c>
      <c r="G220" s="9"/>
      <c r="H220" s="9"/>
    </row>
    <row r="221" spans="1:12" x14ac:dyDescent="0.2">
      <c r="A221" t="s">
        <v>11</v>
      </c>
      <c r="B221">
        <v>217</v>
      </c>
      <c r="E221">
        <v>288</v>
      </c>
      <c r="F221" t="s">
        <v>584</v>
      </c>
      <c r="G221" s="9" t="s">
        <v>1609</v>
      </c>
      <c r="H221" s="9" t="str">
        <f t="shared" ref="H221:H222" si="17">IF(LEFT(G221,4)="tbl-","fig-" &amp; MID(G221,5,LEN(G221)-4),"")</f>
        <v>fig-15to44-preg-rate</v>
      </c>
      <c r="I221" t="s">
        <v>172</v>
      </c>
      <c r="K221" t="s">
        <v>428</v>
      </c>
      <c r="L221" t="s">
        <v>409</v>
      </c>
    </row>
    <row r="222" spans="1:12" x14ac:dyDescent="0.2">
      <c r="A222" t="s">
        <v>11</v>
      </c>
      <c r="B222">
        <v>218</v>
      </c>
      <c r="E222">
        <v>289</v>
      </c>
      <c r="F222" t="s">
        <v>585</v>
      </c>
      <c r="G222" s="9" t="s">
        <v>2154</v>
      </c>
      <c r="H222" s="9" t="str">
        <f t="shared" si="17"/>
        <v>fig-15to44-preg-rate-rande</v>
      </c>
      <c r="I222" t="s">
        <v>102</v>
      </c>
      <c r="K222" t="s">
        <v>428</v>
      </c>
      <c r="L222" t="s">
        <v>409</v>
      </c>
    </row>
    <row r="223" spans="1:12" x14ac:dyDescent="0.2">
      <c r="A223" t="s">
        <v>11</v>
      </c>
      <c r="B223">
        <v>219</v>
      </c>
      <c r="E223" t="s">
        <v>586</v>
      </c>
      <c r="F223" t="s">
        <v>472</v>
      </c>
      <c r="G223" s="9"/>
      <c r="H223" s="9"/>
    </row>
    <row r="224" spans="1:12" x14ac:dyDescent="0.2">
      <c r="A224" t="s">
        <v>11</v>
      </c>
      <c r="B224">
        <v>220</v>
      </c>
      <c r="E224" t="s">
        <v>587</v>
      </c>
      <c r="F224" t="s">
        <v>472</v>
      </c>
      <c r="G224" s="9"/>
      <c r="H224" s="9"/>
    </row>
    <row r="225" spans="1:12" x14ac:dyDescent="0.2">
      <c r="A225" t="s">
        <v>11</v>
      </c>
      <c r="B225">
        <v>221</v>
      </c>
      <c r="E225" t="s">
        <v>588</v>
      </c>
      <c r="F225" t="s">
        <v>472</v>
      </c>
      <c r="G225" s="9"/>
      <c r="H225" s="9"/>
    </row>
    <row r="226" spans="1:12" x14ac:dyDescent="0.2">
      <c r="A226" t="s">
        <v>11</v>
      </c>
      <c r="B226">
        <v>222</v>
      </c>
      <c r="E226">
        <v>293</v>
      </c>
      <c r="F226" t="s">
        <v>2094</v>
      </c>
      <c r="G226" s="9" t="s">
        <v>1608</v>
      </c>
      <c r="H226" s="9" t="str">
        <f t="shared" ref="H226:H227" si="18">IF(LEFT(G226,4)="tbl-","fig-" &amp; MID(G226,5,LEN(G226)-4),"")</f>
        <v>fig-15to19-teenpreg-rate</v>
      </c>
      <c r="I226" t="s">
        <v>172</v>
      </c>
      <c r="K226" t="s">
        <v>428</v>
      </c>
      <c r="L226" t="s">
        <v>409</v>
      </c>
    </row>
    <row r="227" spans="1:12" ht="16" x14ac:dyDescent="0.2">
      <c r="A227" t="s">
        <v>11</v>
      </c>
      <c r="B227">
        <v>223</v>
      </c>
      <c r="E227">
        <v>294</v>
      </c>
      <c r="F227" t="s">
        <v>589</v>
      </c>
      <c r="G227" s="94" t="s">
        <v>1616</v>
      </c>
      <c r="H227" s="9" t="str">
        <f t="shared" si="18"/>
        <v>fig-17+-teenpreg-rande-rate</v>
      </c>
      <c r="I227" t="s">
        <v>102</v>
      </c>
      <c r="K227" t="s">
        <v>428</v>
      </c>
      <c r="L227" t="s">
        <v>409</v>
      </c>
    </row>
    <row r="228" spans="1:12" x14ac:dyDescent="0.2">
      <c r="A228" t="s">
        <v>11</v>
      </c>
      <c r="B228">
        <v>224</v>
      </c>
      <c r="E228">
        <v>295</v>
      </c>
      <c r="F228" t="s">
        <v>590</v>
      </c>
      <c r="G228" s="9" t="s">
        <v>1607</v>
      </c>
      <c r="H228" s="9" t="str">
        <f>IF(LEFT(G228,4)="tbl-","fig-" &amp; MID(G228,5,LEN(G228)-4),"")</f>
        <v>fig-financial-coverage-liveb-percent</v>
      </c>
    </row>
    <row r="229" spans="1:12" x14ac:dyDescent="0.2">
      <c r="A229" t="s">
        <v>11</v>
      </c>
      <c r="B229">
        <v>225</v>
      </c>
      <c r="G229" s="9"/>
      <c r="H229" s="9"/>
      <c r="I229" t="s">
        <v>591</v>
      </c>
      <c r="K229" t="s">
        <v>428</v>
      </c>
      <c r="L229" t="s">
        <v>409</v>
      </c>
    </row>
    <row r="230" spans="1:12" x14ac:dyDescent="0.2">
      <c r="A230" t="s">
        <v>11</v>
      </c>
      <c r="B230">
        <v>226</v>
      </c>
      <c r="E230" t="s">
        <v>504</v>
      </c>
      <c r="F230" t="s">
        <v>592</v>
      </c>
      <c r="G230" s="9" t="s">
        <v>1606</v>
      </c>
      <c r="H230" s="9" t="str">
        <f t="shared" ref="H230" si="19">IF(LEFT(G230,4)="tbl-","fig-" &amp; MID(G230,5,LEN(G230)-4),"")</f>
        <v>fig-hospital-exclusive-bf-percent</v>
      </c>
      <c r="I230" t="s">
        <v>593</v>
      </c>
      <c r="K230" t="s">
        <v>428</v>
      </c>
      <c r="L230" t="s">
        <v>409</v>
      </c>
    </row>
    <row r="231" spans="1:12" x14ac:dyDescent="0.2">
      <c r="A231" t="s">
        <v>11</v>
      </c>
      <c r="B231">
        <v>227</v>
      </c>
      <c r="E231" t="s">
        <v>594</v>
      </c>
      <c r="F231" t="s">
        <v>472</v>
      </c>
      <c r="G231" s="9"/>
      <c r="H231" s="9"/>
    </row>
    <row r="232" spans="1:12" x14ac:dyDescent="0.2">
      <c r="A232" t="s">
        <v>11</v>
      </c>
      <c r="B232">
        <v>228</v>
      </c>
      <c r="E232">
        <v>297</v>
      </c>
      <c r="F232" t="s">
        <v>595</v>
      </c>
      <c r="G232" s="9" t="s">
        <v>2155</v>
      </c>
      <c r="H232" s="9" t="str">
        <f t="shared" ref="H232" si="20">IF(LEFT(G232,4)="tbl-","fig-" &amp; MID(G232,5,LEN(G232)-4),"")</f>
        <v>fig-preterm-births-percent</v>
      </c>
      <c r="I232" t="s">
        <v>172</v>
      </c>
      <c r="L232" t="s">
        <v>409</v>
      </c>
    </row>
    <row r="233" spans="1:12" x14ac:dyDescent="0.2">
      <c r="A233" t="s">
        <v>11</v>
      </c>
      <c r="B233">
        <v>229</v>
      </c>
      <c r="E233" t="s">
        <v>596</v>
      </c>
      <c r="F233" t="s">
        <v>472</v>
      </c>
      <c r="G233" s="9"/>
      <c r="H233" s="9"/>
    </row>
    <row r="234" spans="1:12" x14ac:dyDescent="0.2">
      <c r="A234" t="s">
        <v>11</v>
      </c>
      <c r="B234">
        <v>230</v>
      </c>
      <c r="E234">
        <v>299</v>
      </c>
      <c r="F234" t="s">
        <v>597</v>
      </c>
      <c r="G234" s="9" t="s">
        <v>1549</v>
      </c>
      <c r="H234" s="9" t="str">
        <f t="shared" ref="H234:H235" si="21">IF(LEFT(G234,4)="tbl-","fig-" &amp; MID(G234,5,LEN(G234)-4),"")</f>
        <v>fig-lbw-percent</v>
      </c>
      <c r="I234" t="s">
        <v>172</v>
      </c>
      <c r="K234" t="s">
        <v>428</v>
      </c>
      <c r="L234" t="s">
        <v>409</v>
      </c>
    </row>
    <row r="235" spans="1:12" x14ac:dyDescent="0.2">
      <c r="A235" t="s">
        <v>11</v>
      </c>
      <c r="B235">
        <v>231</v>
      </c>
      <c r="E235">
        <v>300</v>
      </c>
      <c r="F235" t="s">
        <v>598</v>
      </c>
      <c r="G235" s="9" t="s">
        <v>1550</v>
      </c>
      <c r="H235" s="9" t="str">
        <f t="shared" si="21"/>
        <v>fig-lbw-rande-percent</v>
      </c>
      <c r="I235" t="s">
        <v>102</v>
      </c>
      <c r="K235" t="s">
        <v>428</v>
      </c>
      <c r="L235" t="s">
        <v>409</v>
      </c>
    </row>
    <row r="236" spans="1:12" x14ac:dyDescent="0.2">
      <c r="A236" t="s">
        <v>11</v>
      </c>
      <c r="B236">
        <v>232</v>
      </c>
      <c r="E236" t="s">
        <v>599</v>
      </c>
      <c r="F236" t="s">
        <v>472</v>
      </c>
      <c r="G236" s="9"/>
      <c r="H236" s="9"/>
    </row>
    <row r="237" spans="1:12" x14ac:dyDescent="0.2">
      <c r="A237" t="s">
        <v>11</v>
      </c>
      <c r="B237">
        <v>233</v>
      </c>
      <c r="E237">
        <v>302</v>
      </c>
      <c r="F237" t="s">
        <v>600</v>
      </c>
      <c r="G237" s="9" t="s">
        <v>1617</v>
      </c>
      <c r="H237" s="9" t="str">
        <f t="shared" ref="H237:H238" si="22">IF(LEFT(G237,4)="tbl-","fig-" &amp; MID(G237,5,LEN(G237)-4),"")</f>
        <v>fig-infant-mortal-rate</v>
      </c>
      <c r="I237" t="s">
        <v>172</v>
      </c>
      <c r="K237" t="s">
        <v>428</v>
      </c>
      <c r="L237" t="s">
        <v>409</v>
      </c>
    </row>
    <row r="238" spans="1:12" x14ac:dyDescent="0.2">
      <c r="A238" t="s">
        <v>11</v>
      </c>
      <c r="B238">
        <v>234</v>
      </c>
      <c r="E238" t="s">
        <v>504</v>
      </c>
      <c r="F238" t="s">
        <v>601</v>
      </c>
      <c r="G238" s="9" t="s">
        <v>1584</v>
      </c>
      <c r="H238" s="9" t="str">
        <f t="shared" si="22"/>
        <v>fig-maternal-mortal-rate</v>
      </c>
      <c r="I238" t="s">
        <v>502</v>
      </c>
      <c r="K238" t="s">
        <v>428</v>
      </c>
      <c r="L238" t="s">
        <v>409</v>
      </c>
    </row>
    <row r="239" spans="1:12" x14ac:dyDescent="0.2">
      <c r="A239" t="s">
        <v>11</v>
      </c>
      <c r="B239">
        <v>235</v>
      </c>
      <c r="E239" t="s">
        <v>602</v>
      </c>
      <c r="F239" t="s">
        <v>472</v>
      </c>
      <c r="G239" s="9"/>
      <c r="H239" s="9"/>
    </row>
    <row r="240" spans="1:12" x14ac:dyDescent="0.2">
      <c r="A240" t="s">
        <v>11</v>
      </c>
      <c r="B240">
        <v>236</v>
      </c>
      <c r="E240" t="s">
        <v>603</v>
      </c>
      <c r="F240" t="s">
        <v>472</v>
      </c>
      <c r="G240" s="9"/>
      <c r="H240" s="9"/>
    </row>
    <row r="241" spans="1:12" x14ac:dyDescent="0.2">
      <c r="A241" t="s">
        <v>11</v>
      </c>
      <c r="B241">
        <v>237</v>
      </c>
      <c r="E241" t="s">
        <v>604</v>
      </c>
      <c r="F241" t="s">
        <v>472</v>
      </c>
      <c r="G241" s="9"/>
      <c r="H241" s="9"/>
    </row>
    <row r="242" spans="1:12" x14ac:dyDescent="0.2">
      <c r="A242" t="s">
        <v>11</v>
      </c>
      <c r="B242">
        <v>238</v>
      </c>
      <c r="E242">
        <v>306</v>
      </c>
      <c r="F242" t="s">
        <v>605</v>
      </c>
      <c r="G242" s="9"/>
      <c r="H242" s="9"/>
      <c r="I242" t="s">
        <v>172</v>
      </c>
      <c r="L242" t="s">
        <v>409</v>
      </c>
    </row>
    <row r="243" spans="1:12" x14ac:dyDescent="0.2">
      <c r="A243" t="s">
        <v>11</v>
      </c>
      <c r="B243">
        <v>239</v>
      </c>
      <c r="E243" t="s">
        <v>606</v>
      </c>
      <c r="F243" t="s">
        <v>472</v>
      </c>
      <c r="G243" s="9"/>
      <c r="H243" s="9"/>
    </row>
    <row r="244" spans="1:12" x14ac:dyDescent="0.2">
      <c r="A244" t="s">
        <v>11</v>
      </c>
      <c r="B244">
        <v>240</v>
      </c>
      <c r="E244">
        <v>308</v>
      </c>
      <c r="F244" t="s">
        <v>607</v>
      </c>
      <c r="G244" s="9" t="s">
        <v>1585</v>
      </c>
      <c r="H244" s="9" t="str">
        <f t="shared" ref="H244:H245" si="23">IF(LEFT(G244,4)="tbl-","fig-" &amp; MID(G244,5,LEN(G244)-4),"")</f>
        <v>fig-medicaid-1dental-visit-percent</v>
      </c>
      <c r="I244" t="s">
        <v>172</v>
      </c>
      <c r="K244" t="s">
        <v>608</v>
      </c>
      <c r="L244" t="s">
        <v>470</v>
      </c>
    </row>
    <row r="245" spans="1:12" x14ac:dyDescent="0.2">
      <c r="A245" t="s">
        <v>11</v>
      </c>
      <c r="B245">
        <v>241</v>
      </c>
      <c r="E245">
        <v>309</v>
      </c>
      <c r="F245" t="s">
        <v>609</v>
      </c>
      <c r="G245" s="9" t="s">
        <v>1586</v>
      </c>
      <c r="H245" s="9" t="str">
        <f t="shared" si="23"/>
        <v>fig-medicaid-dental-past12-percent</v>
      </c>
      <c r="I245" t="s">
        <v>172</v>
      </c>
      <c r="K245" t="s">
        <v>610</v>
      </c>
      <c r="L245" t="s">
        <v>470</v>
      </c>
    </row>
    <row r="246" spans="1:12" x14ac:dyDescent="0.2">
      <c r="A246" t="s">
        <v>11</v>
      </c>
      <c r="B246">
        <v>242</v>
      </c>
      <c r="E246" t="s">
        <v>611</v>
      </c>
      <c r="F246" t="s">
        <v>472</v>
      </c>
      <c r="G246" s="9"/>
      <c r="H246" s="9"/>
    </row>
    <row r="247" spans="1:12" x14ac:dyDescent="0.2">
      <c r="A247" t="s">
        <v>11</v>
      </c>
      <c r="B247">
        <v>243</v>
      </c>
      <c r="E247">
        <v>311</v>
      </c>
      <c r="F247" t="s">
        <v>612</v>
      </c>
      <c r="G247" s="9" t="s">
        <v>1587</v>
      </c>
      <c r="H247" s="9" t="str">
        <f t="shared" ref="H247:H248" si="24">IF(LEFT(G247,4)="tbl-","fig-" &amp; MID(G247,5,LEN(G247)-4),"")</f>
        <v>fig-adult-poormh-14ormore-percent</v>
      </c>
      <c r="I247" t="s">
        <v>144</v>
      </c>
      <c r="L247" t="s">
        <v>421</v>
      </c>
    </row>
    <row r="248" spans="1:12" x14ac:dyDescent="0.2">
      <c r="A248" t="s">
        <v>11</v>
      </c>
      <c r="B248">
        <v>244</v>
      </c>
      <c r="E248">
        <v>312</v>
      </c>
      <c r="F248" t="s">
        <v>613</v>
      </c>
      <c r="G248" s="9" t="s">
        <v>1589</v>
      </c>
      <c r="H248" s="9" t="str">
        <f t="shared" si="24"/>
        <v>fig-adult-depressive-do-percent</v>
      </c>
      <c r="I248" t="s">
        <v>144</v>
      </c>
      <c r="L248" t="s">
        <v>421</v>
      </c>
    </row>
    <row r="249" spans="1:12" x14ac:dyDescent="0.2">
      <c r="A249" t="s">
        <v>11</v>
      </c>
      <c r="B249">
        <v>245</v>
      </c>
      <c r="E249" t="s">
        <v>504</v>
      </c>
      <c r="F249" t="s">
        <v>614</v>
      </c>
      <c r="G249" s="9"/>
      <c r="H249" s="9"/>
      <c r="I249" t="s">
        <v>615</v>
      </c>
      <c r="K249" t="s">
        <v>469</v>
      </c>
      <c r="L249" t="s">
        <v>421</v>
      </c>
    </row>
    <row r="250" spans="1:12" x14ac:dyDescent="0.2">
      <c r="A250" t="s">
        <v>11</v>
      </c>
      <c r="B250">
        <v>246</v>
      </c>
      <c r="E250" t="s">
        <v>616</v>
      </c>
      <c r="F250" t="s">
        <v>617</v>
      </c>
      <c r="G250" s="9" t="s">
        <v>1529</v>
      </c>
      <c r="H250" s="9" t="str">
        <f t="shared" ref="H250:H251" si="25">IF(LEFT(G250,4)="tbl-","fig-" &amp; MID(G250,5,LEN(G250)-4),"")</f>
        <v>fig-smoke-risk</v>
      </c>
      <c r="I250" t="s">
        <v>618</v>
      </c>
      <c r="K250" t="s">
        <v>619</v>
      </c>
      <c r="L250" t="s">
        <v>421</v>
      </c>
    </row>
    <row r="251" spans="1:12" x14ac:dyDescent="0.2">
      <c r="A251" t="s">
        <v>11</v>
      </c>
      <c r="B251">
        <v>247</v>
      </c>
      <c r="E251">
        <v>313</v>
      </c>
      <c r="F251" t="s">
        <v>620</v>
      </c>
      <c r="G251" s="9"/>
      <c r="H251" s="9" t="str">
        <f t="shared" si="25"/>
        <v/>
      </c>
      <c r="I251" t="s">
        <v>621</v>
      </c>
      <c r="L251" t="s">
        <v>421</v>
      </c>
    </row>
    <row r="252" spans="1:12" x14ac:dyDescent="0.2">
      <c r="A252" t="s">
        <v>11</v>
      </c>
      <c r="B252">
        <v>248</v>
      </c>
      <c r="E252">
        <v>314</v>
      </c>
      <c r="F252" t="s">
        <v>622</v>
      </c>
      <c r="G252" t="s">
        <v>1554</v>
      </c>
      <c r="H252" s="9" t="str">
        <f>IF(LEFT(G252,4)="tbl-","fig-" &amp; MID(G252,5,LEN(G252)-4),"")</f>
        <v>fig-adult-currsmoke-percent</v>
      </c>
      <c r="I252" t="s">
        <v>144</v>
      </c>
      <c r="L252" t="s">
        <v>421</v>
      </c>
    </row>
    <row r="253" spans="1:12" x14ac:dyDescent="0.2">
      <c r="A253" t="s">
        <v>11</v>
      </c>
      <c r="B253">
        <v>249</v>
      </c>
      <c r="E253">
        <v>315</v>
      </c>
      <c r="F253" t="s">
        <v>623</v>
      </c>
      <c r="G253" t="s">
        <v>1555</v>
      </c>
      <c r="H253" s="9" t="str">
        <f>IF(LEFT(G253,4)="tbl-","fig-" &amp; MID(G253,5,LEN(G253)-4),"")</f>
        <v>fig-adult-cigsmoke-poormh-percent</v>
      </c>
      <c r="I253" t="s">
        <v>144</v>
      </c>
      <c r="K253" t="s">
        <v>469</v>
      </c>
      <c r="L253" t="s">
        <v>421</v>
      </c>
    </row>
    <row r="254" spans="1:12" x14ac:dyDescent="0.2">
      <c r="A254" t="s">
        <v>11</v>
      </c>
      <c r="B254">
        <v>250</v>
      </c>
      <c r="E254">
        <v>316</v>
      </c>
      <c r="F254" t="s">
        <v>624</v>
      </c>
      <c r="G254" t="s">
        <v>1556</v>
      </c>
      <c r="H254" s="9" t="str">
        <f>IF(LEFT(G254,4)="tbl-","fig-" &amp; MID(G254,5,LEN(G254)-4),"")</f>
        <v>fig-adult-bingedrink-percent</v>
      </c>
      <c r="I254" t="s">
        <v>144</v>
      </c>
      <c r="L254" t="s">
        <v>421</v>
      </c>
    </row>
    <row r="255" spans="1:12" x14ac:dyDescent="0.2">
      <c r="A255" t="s">
        <v>11</v>
      </c>
      <c r="B255">
        <v>251</v>
      </c>
      <c r="E255" t="s">
        <v>504</v>
      </c>
      <c r="F255" t="s">
        <v>625</v>
      </c>
      <c r="G255" t="s">
        <v>1511</v>
      </c>
      <c r="H255" s="9" t="str">
        <f>IF(LEFT(G255,4)="tbl-","fig-" &amp; MID(G255,5,LEN(G255)-4),"")</f>
        <v>fig-oddeath-anydrug-crude-rate</v>
      </c>
    </row>
    <row r="256" spans="1:12" x14ac:dyDescent="0.2">
      <c r="A256" t="s">
        <v>11</v>
      </c>
      <c r="B256">
        <v>252</v>
      </c>
      <c r="E256">
        <v>317</v>
      </c>
      <c r="F256" t="s">
        <v>605</v>
      </c>
      <c r="G256" t="s">
        <v>1512</v>
      </c>
      <c r="H256" s="9"/>
      <c r="I256" t="s">
        <v>626</v>
      </c>
      <c r="K256" t="s">
        <v>456</v>
      </c>
      <c r="L256" t="s">
        <v>421</v>
      </c>
    </row>
    <row r="257" spans="1:12" x14ac:dyDescent="0.2">
      <c r="A257" t="s">
        <v>11</v>
      </c>
      <c r="B257">
        <v>253</v>
      </c>
      <c r="E257" t="s">
        <v>627</v>
      </c>
      <c r="F257" t="s">
        <v>472</v>
      </c>
      <c r="G257" t="s">
        <v>1513</v>
      </c>
      <c r="H257" s="9"/>
    </row>
    <row r="258" spans="1:12" x14ac:dyDescent="0.2">
      <c r="A258" t="s">
        <v>11</v>
      </c>
      <c r="B258">
        <v>254</v>
      </c>
      <c r="E258">
        <v>319</v>
      </c>
      <c r="F258" t="s">
        <v>628</v>
      </c>
      <c r="G258" t="s">
        <v>1591</v>
      </c>
      <c r="H258" s="9" t="str">
        <f>IF(LEFT(G258,4)="tbl-","fig-" &amp; MID(G258,5,LEN(G258)-4),"")</f>
        <v>fig-ed-visit-opioid-aar</v>
      </c>
      <c r="I258" t="s">
        <v>626</v>
      </c>
      <c r="K258" t="s">
        <v>456</v>
      </c>
      <c r="L258" t="s">
        <v>421</v>
      </c>
    </row>
    <row r="259" spans="1:12" x14ac:dyDescent="0.2">
      <c r="A259" t="s">
        <v>11</v>
      </c>
      <c r="B259">
        <v>255</v>
      </c>
      <c r="E259" t="s">
        <v>504</v>
      </c>
      <c r="F259" t="s">
        <v>629</v>
      </c>
      <c r="G259" s="9" t="s">
        <v>1592</v>
      </c>
      <c r="H259" s="9" t="str">
        <f>IF(LEFT(G259,4)="tbl-","fig-" &amp; MID(G259,5,LEN(G259)-4),"")</f>
        <v>fig-hospital-dc-opioid-aar</v>
      </c>
    </row>
    <row r="260" spans="1:12" x14ac:dyDescent="0.2">
      <c r="A260" t="s">
        <v>11</v>
      </c>
      <c r="B260">
        <v>256</v>
      </c>
      <c r="E260" t="s">
        <v>504</v>
      </c>
      <c r="F260" t="s">
        <v>630</v>
      </c>
      <c r="G260" s="9" t="s">
        <v>1593</v>
      </c>
      <c r="H260" s="9" t="str">
        <f>IF(LEFT(G260,4)="tbl-","fig-" &amp; MID(G260,5,LEN(G260)-4),"")</f>
        <v>fig-treat-prog-opioid-crude</v>
      </c>
      <c r="I260" t="s">
        <v>631</v>
      </c>
      <c r="K260" t="s">
        <v>632</v>
      </c>
      <c r="L260" t="s">
        <v>421</v>
      </c>
    </row>
    <row r="261" spans="1:12" x14ac:dyDescent="0.2">
      <c r="A261" t="s">
        <v>11</v>
      </c>
      <c r="B261">
        <v>257</v>
      </c>
      <c r="E261" t="s">
        <v>504</v>
      </c>
      <c r="F261" t="s">
        <v>633</v>
      </c>
      <c r="G261" s="9" t="s">
        <v>1595</v>
      </c>
      <c r="H261" s="9" t="str">
        <f>IF(LEFT(G261,4)="tbl-","fig-" &amp; MID(G261,5,LEN(G261)-4),"")</f>
        <v>fig-treat-prog-alcohol-crude</v>
      </c>
    </row>
    <row r="262" spans="1:12" x14ac:dyDescent="0.2">
      <c r="A262" t="s">
        <v>11</v>
      </c>
      <c r="B262">
        <v>258</v>
      </c>
      <c r="E262" t="s">
        <v>634</v>
      </c>
      <c r="F262" t="s">
        <v>472</v>
      </c>
      <c r="G262" s="9"/>
      <c r="H262" s="9"/>
    </row>
    <row r="263" spans="1:12" x14ac:dyDescent="0.2">
      <c r="A263" t="s">
        <v>11</v>
      </c>
      <c r="B263">
        <v>259</v>
      </c>
      <c r="E263">
        <v>321</v>
      </c>
      <c r="F263" t="s">
        <v>635</v>
      </c>
      <c r="G263" s="9" t="s">
        <v>1598</v>
      </c>
      <c r="H263" s="9" t="str">
        <f t="shared" ref="H263:H269" si="26">IF(LEFT(G263,4)="tbl-","fig-" &amp; MID(G263,5,LEN(G263)-4),"")</f>
        <v>fig-OD-anyopioid-crude</v>
      </c>
      <c r="I263" t="s">
        <v>626</v>
      </c>
      <c r="K263" t="s">
        <v>428</v>
      </c>
      <c r="L263" t="s">
        <v>421</v>
      </c>
    </row>
    <row r="264" spans="1:12" x14ac:dyDescent="0.2">
      <c r="A264" t="s">
        <v>11</v>
      </c>
      <c r="B264">
        <v>260</v>
      </c>
      <c r="E264">
        <v>322</v>
      </c>
      <c r="F264" t="s">
        <v>636</v>
      </c>
      <c r="G264" s="9" t="s">
        <v>1600</v>
      </c>
      <c r="H264" s="9" t="str">
        <f t="shared" si="26"/>
        <v>fig-OD-multiple-opioid-aar</v>
      </c>
      <c r="I264" t="s">
        <v>626</v>
      </c>
      <c r="K264" t="s">
        <v>469</v>
      </c>
      <c r="L264" t="s">
        <v>421</v>
      </c>
    </row>
    <row r="265" spans="1:12" x14ac:dyDescent="0.2">
      <c r="A265" t="s">
        <v>11</v>
      </c>
      <c r="B265">
        <v>261</v>
      </c>
      <c r="E265">
        <v>323</v>
      </c>
      <c r="F265" t="s">
        <v>1832</v>
      </c>
      <c r="G265" s="9" t="s">
        <v>1601</v>
      </c>
      <c r="H265" s="9" t="str">
        <f t="shared" si="26"/>
        <v>fig-18to64-anyop-od-crude</v>
      </c>
      <c r="I265" t="s">
        <v>626</v>
      </c>
      <c r="K265" t="s">
        <v>428</v>
      </c>
      <c r="L265" t="s">
        <v>421</v>
      </c>
    </row>
    <row r="266" spans="1:12" x14ac:dyDescent="0.2">
      <c r="A266" t="s">
        <v>11</v>
      </c>
      <c r="B266">
        <v>262</v>
      </c>
      <c r="E266">
        <v>324</v>
      </c>
      <c r="F266" t="s">
        <v>1833</v>
      </c>
      <c r="G266" s="9" t="s">
        <v>1602</v>
      </c>
      <c r="H266" s="9" t="str">
        <f t="shared" si="26"/>
        <v>fig-18to64-heroin-od-crude</v>
      </c>
      <c r="I266" t="s">
        <v>626</v>
      </c>
      <c r="K266" t="s">
        <v>428</v>
      </c>
      <c r="L266" t="s">
        <v>421</v>
      </c>
    </row>
    <row r="267" spans="1:12" ht="16" x14ac:dyDescent="0.2">
      <c r="A267" t="s">
        <v>11</v>
      </c>
      <c r="B267">
        <v>263</v>
      </c>
      <c r="E267">
        <v>325</v>
      </c>
      <c r="F267" s="50" t="s">
        <v>1870</v>
      </c>
      <c r="G267" s="9" t="s">
        <v>1603</v>
      </c>
      <c r="H267" s="9" t="str">
        <f t="shared" si="26"/>
        <v>fig-18to64-opioid-pain-crude</v>
      </c>
      <c r="I267" t="s">
        <v>626</v>
      </c>
      <c r="K267" t="s">
        <v>428</v>
      </c>
      <c r="L267" t="s">
        <v>421</v>
      </c>
    </row>
    <row r="268" spans="1:12" x14ac:dyDescent="0.2">
      <c r="A268" t="s">
        <v>11</v>
      </c>
      <c r="B268">
        <v>264</v>
      </c>
      <c r="E268">
        <v>326</v>
      </c>
      <c r="F268" t="s">
        <v>637</v>
      </c>
      <c r="G268" s="9" t="s">
        <v>1582</v>
      </c>
      <c r="H268" s="9" t="str">
        <f t="shared" si="26"/>
        <v>fig-opioid-analgesic-rx-aar</v>
      </c>
      <c r="I268" t="s">
        <v>626</v>
      </c>
      <c r="K268" t="s">
        <v>638</v>
      </c>
      <c r="L268" t="s">
        <v>421</v>
      </c>
    </row>
    <row r="269" spans="1:12" x14ac:dyDescent="0.2">
      <c r="A269" t="s">
        <v>11</v>
      </c>
      <c r="B269">
        <v>265</v>
      </c>
      <c r="E269">
        <v>327</v>
      </c>
      <c r="F269" t="s">
        <v>639</v>
      </c>
      <c r="G269" s="9" t="s">
        <v>1580</v>
      </c>
      <c r="H269" s="9" t="str">
        <f t="shared" si="26"/>
        <v>fig-at-least-1-bup-aar</v>
      </c>
      <c r="I269" t="s">
        <v>626</v>
      </c>
      <c r="K269" t="s">
        <v>638</v>
      </c>
      <c r="L269" t="s">
        <v>421</v>
      </c>
    </row>
    <row r="270" spans="1:12" x14ac:dyDescent="0.2">
      <c r="A270" t="s">
        <v>11</v>
      </c>
      <c r="B270">
        <v>266</v>
      </c>
      <c r="E270">
        <v>328</v>
      </c>
      <c r="F270" t="s">
        <v>472</v>
      </c>
      <c r="G270" s="9"/>
      <c r="H270" s="9"/>
      <c r="I270" t="s">
        <v>626</v>
      </c>
      <c r="L270" t="s">
        <v>421</v>
      </c>
    </row>
    <row r="271" spans="1:12" x14ac:dyDescent="0.2">
      <c r="A271" t="s">
        <v>11</v>
      </c>
      <c r="B271">
        <v>267</v>
      </c>
      <c r="E271">
        <v>329</v>
      </c>
      <c r="F271" t="s">
        <v>1879</v>
      </c>
      <c r="G271" s="9" t="s">
        <v>1579</v>
      </c>
      <c r="H271" s="9" t="str">
        <f>IF(LEFT(G271,4)="tbl-","fig-" &amp; MID(G271,5,LEN(G271)-4),"")</f>
        <v>fig-15to19-suicide-mortal-crude</v>
      </c>
      <c r="I271" t="s">
        <v>172</v>
      </c>
      <c r="K271" t="s">
        <v>428</v>
      </c>
      <c r="L271" t="s">
        <v>421</v>
      </c>
    </row>
    <row r="272" spans="1:12" x14ac:dyDescent="0.2">
      <c r="A272" t="s">
        <v>11</v>
      </c>
      <c r="B272">
        <v>268</v>
      </c>
      <c r="E272">
        <v>330</v>
      </c>
      <c r="F272" t="s">
        <v>640</v>
      </c>
      <c r="G272" s="9" t="s">
        <v>1578</v>
      </c>
      <c r="H272" s="9" t="str">
        <f>IF(LEFT(G272,4)="tbl-","fig-" &amp; MID(G272,5,LEN(G272)-4),"")</f>
        <v>fig-suicide-mortal-aar</v>
      </c>
      <c r="I272" t="s">
        <v>172</v>
      </c>
      <c r="K272" t="s">
        <v>428</v>
      </c>
      <c r="L272" t="s">
        <v>421</v>
      </c>
    </row>
    <row r="273" spans="1:12" x14ac:dyDescent="0.2">
      <c r="A273" t="s">
        <v>11</v>
      </c>
      <c r="B273">
        <v>269</v>
      </c>
      <c r="E273">
        <v>331</v>
      </c>
      <c r="F273" t="s">
        <v>641</v>
      </c>
      <c r="G273" s="9" t="s">
        <v>1577</v>
      </c>
      <c r="H273" s="9" t="str">
        <f>IF(LEFT(G273,4)="tbl-","fig-" &amp; MID(G273,5,LEN(G273)-4),"")</f>
        <v>fig-0to4-hosp-asthma-gastor-om-pnu-rate</v>
      </c>
      <c r="I273" t="s">
        <v>172</v>
      </c>
      <c r="K273" t="s">
        <v>456</v>
      </c>
      <c r="L273" t="s">
        <v>449</v>
      </c>
    </row>
    <row r="274" spans="1:12" x14ac:dyDescent="0.2">
      <c r="A274" t="s">
        <v>11</v>
      </c>
      <c r="B274">
        <v>270</v>
      </c>
      <c r="E274">
        <v>332</v>
      </c>
      <c r="F274" t="s">
        <v>642</v>
      </c>
      <c r="G274" s="9"/>
      <c r="H274" s="9"/>
      <c r="I274" t="s">
        <v>172</v>
      </c>
      <c r="K274" t="s">
        <v>456</v>
      </c>
      <c r="L274" t="s">
        <v>449</v>
      </c>
    </row>
    <row r="275" spans="1:12" x14ac:dyDescent="0.2">
      <c r="A275" t="s">
        <v>11</v>
      </c>
      <c r="B275">
        <v>271</v>
      </c>
      <c r="E275">
        <v>333</v>
      </c>
      <c r="F275" t="s">
        <v>642</v>
      </c>
      <c r="G275" s="9"/>
      <c r="H275" s="9"/>
      <c r="I275" t="s">
        <v>643</v>
      </c>
      <c r="K275" t="s">
        <v>175</v>
      </c>
      <c r="L275" t="s">
        <v>449</v>
      </c>
    </row>
    <row r="276" spans="1:12" x14ac:dyDescent="0.2">
      <c r="A276" t="s">
        <v>11</v>
      </c>
      <c r="B276">
        <v>272</v>
      </c>
      <c r="E276">
        <v>334</v>
      </c>
      <c r="F276" t="s">
        <v>644</v>
      </c>
      <c r="G276" s="9" t="s">
        <v>1576</v>
      </c>
      <c r="H276" s="9" t="str">
        <f>IF(LEFT(G276,4)="tbl-","fig-" &amp; MID(G276,5,LEN(G276)-4),"")</f>
        <v>fig-unint-injury-mortal-aar</v>
      </c>
      <c r="I276" t="s">
        <v>643</v>
      </c>
      <c r="K276" t="s">
        <v>428</v>
      </c>
      <c r="L276" t="s">
        <v>537</v>
      </c>
    </row>
    <row r="277" spans="1:12" x14ac:dyDescent="0.2">
      <c r="A277" t="s">
        <v>11</v>
      </c>
      <c r="B277">
        <v>273</v>
      </c>
      <c r="E277" t="s">
        <v>504</v>
      </c>
      <c r="F277" t="s">
        <v>1894</v>
      </c>
      <c r="G277" s="9" t="s">
        <v>1571</v>
      </c>
      <c r="H277" s="9" t="str">
        <f>IF(LEFT(G277,4)="tbl-","fig-" &amp; MID(G277,5,LEN(G277)-4),"")</f>
        <v>fig-poison-control-calls</v>
      </c>
      <c r="I277" t="s">
        <v>646</v>
      </c>
      <c r="L277" t="s">
        <v>537</v>
      </c>
    </row>
    <row r="278" spans="1:12" x14ac:dyDescent="0.2">
      <c r="A278" t="s">
        <v>11</v>
      </c>
      <c r="B278">
        <v>274</v>
      </c>
      <c r="E278" t="s">
        <v>504</v>
      </c>
      <c r="F278" t="s">
        <v>647</v>
      </c>
      <c r="G278" s="9" t="s">
        <v>1570</v>
      </c>
      <c r="H278" s="9" t="str">
        <f>IF(LEFT(G278,4)="tbl-","fig-" &amp; MID(G278,5,LEN(G278)-4),"")</f>
        <v>fig-poison-control-cannabis</v>
      </c>
      <c r="I278" t="s">
        <v>646</v>
      </c>
      <c r="L278" t="s">
        <v>537</v>
      </c>
    </row>
    <row r="279" spans="1:12" x14ac:dyDescent="0.2">
      <c r="A279" t="s">
        <v>11</v>
      </c>
      <c r="B279">
        <v>275</v>
      </c>
      <c r="E279">
        <v>335</v>
      </c>
      <c r="F279" t="s">
        <v>1895</v>
      </c>
      <c r="G279" s="9" t="s">
        <v>1565</v>
      </c>
      <c r="H279" s="9" t="str">
        <f>IF(LEFT(G279,4)="tbl-","fig-" &amp; MID(G279,5,LEN(G279)-4),"")</f>
        <v>fig-child-under5-poison-control</v>
      </c>
      <c r="I279" t="s">
        <v>649</v>
      </c>
      <c r="L279" t="s">
        <v>537</v>
      </c>
    </row>
    <row r="280" spans="1:12" x14ac:dyDescent="0.2">
      <c r="A280" t="s">
        <v>11</v>
      </c>
      <c r="B280">
        <v>276</v>
      </c>
      <c r="E280">
        <v>336</v>
      </c>
      <c r="F280" t="s">
        <v>644</v>
      </c>
      <c r="G280" s="9"/>
      <c r="H280" s="9" t="str">
        <f t="shared" ref="H280:H282" si="27">IF(LEFT(G280,4)="tbl-","fig-" &amp; MID(G280,5,LEN(G280)-4),"")</f>
        <v/>
      </c>
      <c r="I280" t="s">
        <v>643</v>
      </c>
      <c r="K280" t="s">
        <v>428</v>
      </c>
      <c r="L280" t="s">
        <v>537</v>
      </c>
    </row>
    <row r="281" spans="1:12" x14ac:dyDescent="0.2">
      <c r="A281" t="s">
        <v>11</v>
      </c>
      <c r="B281">
        <v>277</v>
      </c>
      <c r="E281">
        <v>337</v>
      </c>
      <c r="F281" t="s">
        <v>650</v>
      </c>
      <c r="G281" s="9" t="s">
        <v>1569</v>
      </c>
      <c r="H281" s="9" t="str">
        <f t="shared" si="27"/>
        <v>fig-mva-alcohol-injury-death-crude</v>
      </c>
    </row>
    <row r="282" spans="1:12" x14ac:dyDescent="0.2">
      <c r="A282" t="s">
        <v>11</v>
      </c>
      <c r="B282">
        <v>278</v>
      </c>
      <c r="E282">
        <v>338</v>
      </c>
      <c r="F282" t="s">
        <v>651</v>
      </c>
      <c r="G282" s="9" t="s">
        <v>1568</v>
      </c>
      <c r="H282" s="9" t="str">
        <f t="shared" si="27"/>
        <v>fig-mva-mortal-rate</v>
      </c>
      <c r="I282" t="s">
        <v>643</v>
      </c>
      <c r="K282" t="s">
        <v>428</v>
      </c>
      <c r="L282" t="s">
        <v>537</v>
      </c>
    </row>
    <row r="283" spans="1:12" x14ac:dyDescent="0.2">
      <c r="A283" t="s">
        <v>11</v>
      </c>
      <c r="B283">
        <v>279</v>
      </c>
      <c r="E283" t="s">
        <v>504</v>
      </c>
      <c r="F283" t="s">
        <v>652</v>
      </c>
      <c r="G283" s="9" t="s">
        <v>1572</v>
      </c>
      <c r="H283" s="9" t="str">
        <f>IF(LEFT(G283,4)="tbl-","fig-" &amp; MID(G283,5,LEN(G283)-4),"")</f>
        <v>fig-mva-mortal-rande-aar</v>
      </c>
      <c r="L283" t="s">
        <v>537</v>
      </c>
    </row>
    <row r="284" spans="1:12" x14ac:dyDescent="0.2">
      <c r="A284" t="s">
        <v>11</v>
      </c>
      <c r="B284">
        <v>280</v>
      </c>
      <c r="E284">
        <v>339</v>
      </c>
      <c r="F284" t="s">
        <v>653</v>
      </c>
      <c r="G284" s="9" t="s">
        <v>1897</v>
      </c>
      <c r="H284" s="9" t="str">
        <f>IF(LEFT(G284,4)="tbl-","fig-" &amp; MID(G284,5,LEN(G284)-4),"")</f>
        <v>fig-falls-hospital-aar</v>
      </c>
    </row>
    <row r="285" spans="1:12" x14ac:dyDescent="0.2">
      <c r="A285" t="s">
        <v>11</v>
      </c>
      <c r="B285">
        <v>281</v>
      </c>
      <c r="F285" t="s">
        <v>472</v>
      </c>
      <c r="G285" s="9"/>
      <c r="H285" s="9"/>
      <c r="I285" t="s">
        <v>643</v>
      </c>
      <c r="K285" t="s">
        <v>456</v>
      </c>
      <c r="L285" t="s">
        <v>537</v>
      </c>
    </row>
    <row r="286" spans="1:12" x14ac:dyDescent="0.2">
      <c r="A286" t="s">
        <v>11</v>
      </c>
      <c r="B286">
        <v>282</v>
      </c>
      <c r="E286">
        <v>340</v>
      </c>
      <c r="F286" t="s">
        <v>654</v>
      </c>
      <c r="G286" s="9" t="s">
        <v>1573</v>
      </c>
      <c r="H286" s="9" t="str">
        <f t="shared" ref="H286:H287" si="28">IF(LEFT(G286,4)="tbl-","fig-" &amp; MID(G286,5,LEN(G286)-4),"")</f>
        <v>fig-85+-falls-hospital</v>
      </c>
      <c r="I286" t="s">
        <v>643</v>
      </c>
      <c r="K286" t="s">
        <v>655</v>
      </c>
      <c r="L286" t="s">
        <v>537</v>
      </c>
    </row>
    <row r="287" spans="1:12" ht="16" x14ac:dyDescent="0.2">
      <c r="A287" t="s">
        <v>11</v>
      </c>
      <c r="B287">
        <v>283</v>
      </c>
      <c r="E287">
        <v>341</v>
      </c>
      <c r="F287" t="s">
        <v>656</v>
      </c>
      <c r="G287" s="92" t="s">
        <v>1898</v>
      </c>
      <c r="H287" s="9" t="str">
        <f t="shared" si="28"/>
        <v>fig-65+-falls-hospital-rande-rate</v>
      </c>
      <c r="I287" t="s">
        <v>102</v>
      </c>
      <c r="K287" t="s">
        <v>456</v>
      </c>
      <c r="L287" t="s">
        <v>537</v>
      </c>
    </row>
    <row r="288" spans="1:12" x14ac:dyDescent="0.2">
      <c r="A288" t="s">
        <v>11</v>
      </c>
      <c r="B288">
        <v>284</v>
      </c>
      <c r="E288" t="s">
        <v>657</v>
      </c>
      <c r="F288" t="s">
        <v>472</v>
      </c>
      <c r="G288" s="9"/>
      <c r="H288" s="9"/>
    </row>
    <row r="289" spans="1:12" x14ac:dyDescent="0.2">
      <c r="A289" t="s">
        <v>11</v>
      </c>
      <c r="B289">
        <v>285</v>
      </c>
      <c r="E289" t="s">
        <v>658</v>
      </c>
      <c r="F289" t="s">
        <v>472</v>
      </c>
      <c r="G289" s="9"/>
      <c r="H289" s="9"/>
    </row>
    <row r="290" spans="1:12" x14ac:dyDescent="0.2">
      <c r="A290" t="s">
        <v>11</v>
      </c>
      <c r="B290">
        <v>286</v>
      </c>
      <c r="E290" t="s">
        <v>659</v>
      </c>
      <c r="F290" t="s">
        <v>472</v>
      </c>
      <c r="G290" s="9"/>
      <c r="H290" s="9"/>
    </row>
    <row r="291" spans="1:12" x14ac:dyDescent="0.2">
      <c r="A291" t="s">
        <v>11</v>
      </c>
      <c r="B291">
        <v>287</v>
      </c>
      <c r="E291">
        <v>345</v>
      </c>
      <c r="F291" t="s">
        <v>660</v>
      </c>
      <c r="G291" t="s">
        <v>1574</v>
      </c>
      <c r="H291" s="9" t="str">
        <f t="shared" ref="H291:H294" si="29">IF(LEFT(G291,4)="tbl-","fig-" &amp; MID(G291,5,LEN(G291)-4),"")</f>
        <v>fig-mortal-homicide-aar</v>
      </c>
    </row>
    <row r="292" spans="1:12" x14ac:dyDescent="0.2">
      <c r="A292" t="s">
        <v>11</v>
      </c>
      <c r="B292">
        <v>288</v>
      </c>
      <c r="E292">
        <v>346</v>
      </c>
      <c r="F292" t="s">
        <v>661</v>
      </c>
      <c r="G292" t="s">
        <v>1510</v>
      </c>
      <c r="H292" s="9" t="str">
        <f t="shared" si="29"/>
        <v>fig-assault-hospital-aar</v>
      </c>
      <c r="I292" t="s">
        <v>172</v>
      </c>
      <c r="K292" t="s">
        <v>456</v>
      </c>
      <c r="L292" t="s">
        <v>537</v>
      </c>
    </row>
    <row r="293" spans="1:12" x14ac:dyDescent="0.2">
      <c r="A293" t="s">
        <v>11</v>
      </c>
      <c r="B293">
        <v>289</v>
      </c>
      <c r="E293">
        <v>347</v>
      </c>
      <c r="F293" t="s">
        <v>662</v>
      </c>
      <c r="G293" t="s">
        <v>1575</v>
      </c>
      <c r="H293" s="9" t="str">
        <f t="shared" si="29"/>
        <v>fig-dv-victim-rate</v>
      </c>
      <c r="I293" t="s">
        <v>190</v>
      </c>
      <c r="K293" t="s">
        <v>663</v>
      </c>
      <c r="L293" t="s">
        <v>537</v>
      </c>
    </row>
    <row r="294" spans="1:12" x14ac:dyDescent="0.2">
      <c r="F294" t="s">
        <v>1635</v>
      </c>
      <c r="G294" s="9" t="s">
        <v>1636</v>
      </c>
      <c r="H294" s="9" t="str">
        <f t="shared" si="29"/>
        <v>fig-dc-pav</v>
      </c>
    </row>
    <row r="295" spans="1:12" x14ac:dyDescent="0.2">
      <c r="F295" t="s">
        <v>1641</v>
      </c>
      <c r="G295" s="9" t="s">
        <v>1642</v>
      </c>
      <c r="H295" s="9" t="str">
        <f t="shared" ref="H295:H306" si="30">IF(LEFT(G295,4)="tbl-","fig-" &amp; MID(G295,5,LEN(G295)-4),"")</f>
        <v>fig-rccha-demo</v>
      </c>
    </row>
    <row r="296" spans="1:12" x14ac:dyDescent="0.2">
      <c r="F296" t="s">
        <v>1695</v>
      </c>
      <c r="G296" s="9" t="s">
        <v>1696</v>
      </c>
      <c r="H296" s="9" t="str">
        <f t="shared" si="30"/>
        <v>fig-resp-zip</v>
      </c>
    </row>
    <row r="297" spans="1:12" x14ac:dyDescent="0.2">
      <c r="F297" t="s">
        <v>1698</v>
      </c>
      <c r="G297" s="9" t="s">
        <v>1699</v>
      </c>
      <c r="H297" s="9" t="str">
        <f t="shared" si="30"/>
        <v>fig-resp-qol-rc</v>
      </c>
    </row>
    <row r="298" spans="1:12" x14ac:dyDescent="0.2">
      <c r="F298" t="s">
        <v>1701</v>
      </c>
      <c r="G298" s="9" t="s">
        <v>1700</v>
      </c>
      <c r="H298" s="9" t="str">
        <f t="shared" si="30"/>
        <v>fig-t3-pos-rc</v>
      </c>
    </row>
    <row r="299" spans="1:12" x14ac:dyDescent="0.2">
      <c r="F299" t="s">
        <v>1719</v>
      </c>
      <c r="G299" s="9" t="s">
        <v>1720</v>
      </c>
      <c r="H299" s="9" t="str">
        <f t="shared" si="30"/>
        <v>fig-top-need-improve</v>
      </c>
    </row>
    <row r="300" spans="1:12" x14ac:dyDescent="0.2">
      <c r="F300" t="s">
        <v>1739</v>
      </c>
      <c r="G300" s="9" t="s">
        <v>1740</v>
      </c>
      <c r="H300" s="9" t="str">
        <f t="shared" si="30"/>
        <v>fig-econ-need-improve</v>
      </c>
    </row>
    <row r="301" spans="1:12" x14ac:dyDescent="0.2">
      <c r="F301" t="s">
        <v>1741</v>
      </c>
      <c r="G301" s="9" t="s">
        <v>1742</v>
      </c>
      <c r="H301" s="9" t="str">
        <f t="shared" si="30"/>
        <v>fig-safe-health-need-improve</v>
      </c>
    </row>
    <row r="302" spans="1:12" x14ac:dyDescent="0.2">
      <c r="F302" t="s">
        <v>1763</v>
      </c>
      <c r="G302" s="9" t="s">
        <v>1764</v>
      </c>
      <c r="H302" s="9" t="str">
        <f t="shared" si="30"/>
        <v>fig-educat-need-improv</v>
      </c>
    </row>
    <row r="303" spans="1:12" x14ac:dyDescent="0.2">
      <c r="F303" t="s">
        <v>72</v>
      </c>
      <c r="G303" s="9" t="s">
        <v>1798</v>
      </c>
      <c r="H303" s="9" t="str">
        <f t="shared" si="30"/>
        <v>fig-childhood-food-insecurity</v>
      </c>
    </row>
    <row r="304" spans="1:12" ht="16" x14ac:dyDescent="0.2">
      <c r="F304" t="s">
        <v>1834</v>
      </c>
      <c r="G304" s="86" t="s">
        <v>1587</v>
      </c>
      <c r="H304" s="9" t="str">
        <f t="shared" si="30"/>
        <v>fig-adult-poormh-14ormore-percent</v>
      </c>
    </row>
    <row r="305" spans="6:8" x14ac:dyDescent="0.2">
      <c r="F305" t="s">
        <v>1890</v>
      </c>
      <c r="G305" s="9" t="s">
        <v>1891</v>
      </c>
      <c r="H305" s="9" t="str">
        <f t="shared" si="30"/>
        <v>fig-agop-hosp-0-4</v>
      </c>
    </row>
    <row r="306" spans="6:8" x14ac:dyDescent="0.2">
      <c r="F306" s="87" t="s">
        <v>1895</v>
      </c>
      <c r="G306" s="9" t="s">
        <v>1896</v>
      </c>
      <c r="H306" s="9" t="str">
        <f t="shared" si="30"/>
        <v>fig-poison-cc-5yo</v>
      </c>
    </row>
    <row r="307" spans="6:8" x14ac:dyDescent="0.2">
      <c r="F307" s="87"/>
      <c r="G307" s="9"/>
      <c r="H307" s="9"/>
    </row>
    <row r="308" spans="6:8" ht="16" x14ac:dyDescent="0.2">
      <c r="F308" s="93" t="s">
        <v>1916</v>
      </c>
      <c r="G308" s="9" t="s">
        <v>1413</v>
      </c>
      <c r="H308" s="94" t="s">
        <v>1917</v>
      </c>
    </row>
  </sheetData>
  <conditionalFormatting sqref="F2:F127 F130:F175 F177:F264 F267 F269:F270 F273:F278 F280:F303">
    <cfRule type="duplicateValues" dxfId="1" priority="1"/>
  </conditionalFormatting>
  <dataValidations count="2">
    <dataValidation type="list" allowBlank="1" showInputMessage="1" showErrorMessage="1" sqref="A2:A308" xr:uid="{00000000-0002-0000-0000-000000000000}">
      <formula1>"Activate,Deactivate"</formula1>
    </dataValidation>
    <dataValidation type="list" allowBlank="1" showInputMessage="1" showErrorMessage="1" sqref="D2:D308" xr:uid="{00000000-0002-0000-0000-000001000000}">
      <formula1>"Table,Figure"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H60"/>
  <sheetViews>
    <sheetView workbookViewId="0">
      <selection activeCell="D11" sqref="D11"/>
    </sheetView>
  </sheetViews>
  <sheetFormatPr baseColWidth="10" defaultColWidth="8.6640625" defaultRowHeight="15" x14ac:dyDescent="0.2"/>
  <cols>
    <col min="2" max="2" width="16.1640625" customWidth="1"/>
    <col min="3" max="3" width="6.33203125" customWidth="1"/>
    <col min="4" max="5" width="16.1640625" customWidth="1"/>
    <col min="6" max="6" width="134.6640625" bestFit="1" customWidth="1"/>
    <col min="7" max="7" width="16.1640625" customWidth="1"/>
    <col min="8" max="8" width="255.6640625" bestFit="1" customWidth="1"/>
  </cols>
  <sheetData>
    <row r="1" spans="1:8" x14ac:dyDescent="0.2">
      <c r="A1" t="s">
        <v>664</v>
      </c>
      <c r="B1" s="55" t="s">
        <v>665</v>
      </c>
      <c r="C1" s="2"/>
      <c r="D1" s="2" t="s">
        <v>666</v>
      </c>
      <c r="E1" s="2" t="s">
        <v>667</v>
      </c>
      <c r="F1" s="2" t="s">
        <v>668</v>
      </c>
      <c r="G1" s="2" t="s">
        <v>669</v>
      </c>
      <c r="H1" s="2" t="s">
        <v>670</v>
      </c>
    </row>
    <row r="2" spans="1:8" x14ac:dyDescent="0.2">
      <c r="A2" t="s">
        <v>671</v>
      </c>
      <c r="B2" t="s">
        <v>672</v>
      </c>
      <c r="C2" t="s">
        <v>673</v>
      </c>
      <c r="D2" t="s">
        <v>674</v>
      </c>
      <c r="E2" s="3" t="s">
        <v>675</v>
      </c>
      <c r="F2" s="4" t="s">
        <v>676</v>
      </c>
      <c r="G2" s="5" t="s">
        <v>677</v>
      </c>
      <c r="H2" s="6" t="s">
        <v>678</v>
      </c>
    </row>
    <row r="3" spans="1:8" x14ac:dyDescent="0.2">
      <c r="A3" t="s">
        <v>679</v>
      </c>
      <c r="B3" t="s">
        <v>680</v>
      </c>
      <c r="C3" t="s">
        <v>673</v>
      </c>
      <c r="D3" t="s">
        <v>681</v>
      </c>
      <c r="E3" s="7" t="s">
        <v>682</v>
      </c>
      <c r="F3" s="4" t="s">
        <v>683</v>
      </c>
      <c r="G3" s="5" t="s">
        <v>684</v>
      </c>
      <c r="H3" s="6" t="s">
        <v>685</v>
      </c>
    </row>
    <row r="4" spans="1:8" x14ac:dyDescent="0.2">
      <c r="A4" t="s">
        <v>686</v>
      </c>
      <c r="B4" t="s">
        <v>687</v>
      </c>
      <c r="C4" t="s">
        <v>673</v>
      </c>
      <c r="D4" t="s">
        <v>688</v>
      </c>
      <c r="E4" s="7" t="s">
        <v>689</v>
      </c>
      <c r="F4" s="4" t="s">
        <v>690</v>
      </c>
      <c r="G4" s="5" t="s">
        <v>691</v>
      </c>
      <c r="H4" s="6" t="s">
        <v>692</v>
      </c>
    </row>
    <row r="5" spans="1:8" x14ac:dyDescent="0.2">
      <c r="A5" t="s">
        <v>693</v>
      </c>
      <c r="B5" t="s">
        <v>694</v>
      </c>
      <c r="C5" t="s">
        <v>673</v>
      </c>
      <c r="D5" t="s">
        <v>695</v>
      </c>
      <c r="E5" s="7" t="s">
        <v>696</v>
      </c>
      <c r="F5" s="4" t="s">
        <v>697</v>
      </c>
      <c r="G5" s="5" t="s">
        <v>698</v>
      </c>
      <c r="H5" s="6" t="s">
        <v>699</v>
      </c>
    </row>
    <row r="6" spans="1:8" x14ac:dyDescent="0.2">
      <c r="A6" t="s">
        <v>700</v>
      </c>
      <c r="B6" t="s">
        <v>701</v>
      </c>
      <c r="C6" t="s">
        <v>673</v>
      </c>
      <c r="D6" t="s">
        <v>702</v>
      </c>
      <c r="E6" s="7" t="s">
        <v>703</v>
      </c>
      <c r="F6" s="4" t="s">
        <v>704</v>
      </c>
      <c r="G6" s="5" t="s">
        <v>705</v>
      </c>
      <c r="H6" s="6" t="s">
        <v>706</v>
      </c>
    </row>
    <row r="7" spans="1:8" x14ac:dyDescent="0.2">
      <c r="A7" t="s">
        <v>707</v>
      </c>
      <c r="B7" t="s">
        <v>708</v>
      </c>
      <c r="C7" t="s">
        <v>673</v>
      </c>
      <c r="D7" t="s">
        <v>709</v>
      </c>
      <c r="E7" s="7" t="s">
        <v>710</v>
      </c>
      <c r="F7" s="4" t="s">
        <v>711</v>
      </c>
      <c r="G7" s="5" t="s">
        <v>712</v>
      </c>
      <c r="H7" s="6" t="s">
        <v>713</v>
      </c>
    </row>
    <row r="8" spans="1:8" x14ac:dyDescent="0.2">
      <c r="A8" t="s">
        <v>714</v>
      </c>
      <c r="B8" t="s">
        <v>715</v>
      </c>
      <c r="C8" t="s">
        <v>673</v>
      </c>
      <c r="D8" t="s">
        <v>716</v>
      </c>
      <c r="E8" s="7" t="s">
        <v>717</v>
      </c>
      <c r="F8" s="4" t="s">
        <v>718</v>
      </c>
      <c r="G8" s="5" t="s">
        <v>719</v>
      </c>
      <c r="H8" s="6" t="s">
        <v>720</v>
      </c>
    </row>
    <row r="9" spans="1:8" x14ac:dyDescent="0.2">
      <c r="B9" t="s">
        <v>721</v>
      </c>
      <c r="C9" t="s">
        <v>722</v>
      </c>
      <c r="D9" t="s">
        <v>723</v>
      </c>
      <c r="E9" s="7" t="s">
        <v>724</v>
      </c>
      <c r="F9" s="4" t="s">
        <v>725</v>
      </c>
      <c r="G9" s="5" t="s">
        <v>726</v>
      </c>
      <c r="H9" s="6" t="s">
        <v>727</v>
      </c>
    </row>
    <row r="10" spans="1:8" x14ac:dyDescent="0.2">
      <c r="C10" s="8" t="s">
        <v>728</v>
      </c>
      <c r="D10" s="6" t="s">
        <v>729</v>
      </c>
      <c r="E10" s="7" t="s">
        <v>730</v>
      </c>
      <c r="F10" s="4" t="s">
        <v>731</v>
      </c>
      <c r="G10" s="5" t="s">
        <v>732</v>
      </c>
      <c r="H10" s="6" t="s">
        <v>733</v>
      </c>
    </row>
    <row r="11" spans="1:8" x14ac:dyDescent="0.2">
      <c r="C11" s="8" t="s">
        <v>728</v>
      </c>
      <c r="D11" s="6" t="s">
        <v>734</v>
      </c>
      <c r="E11" s="7" t="s">
        <v>735</v>
      </c>
      <c r="F11" s="4" t="s">
        <v>736</v>
      </c>
      <c r="G11" s="5" t="s">
        <v>737</v>
      </c>
      <c r="H11" s="6" t="s">
        <v>738</v>
      </c>
    </row>
    <row r="12" spans="1:8" x14ac:dyDescent="0.2">
      <c r="C12" s="8" t="s">
        <v>728</v>
      </c>
      <c r="D12" s="6" t="s">
        <v>739</v>
      </c>
      <c r="E12" s="7" t="s">
        <v>740</v>
      </c>
      <c r="F12" s="4" t="s">
        <v>741</v>
      </c>
      <c r="G12" s="5" t="s">
        <v>742</v>
      </c>
      <c r="H12" s="6" t="s">
        <v>743</v>
      </c>
    </row>
    <row r="13" spans="1:8" x14ac:dyDescent="0.2">
      <c r="C13" s="8" t="s">
        <v>728</v>
      </c>
      <c r="D13" s="6" t="s">
        <v>744</v>
      </c>
      <c r="E13" s="7" t="s">
        <v>745</v>
      </c>
      <c r="F13" s="4" t="s">
        <v>746</v>
      </c>
      <c r="G13" s="5" t="s">
        <v>747</v>
      </c>
      <c r="H13" s="6" t="s">
        <v>748</v>
      </c>
    </row>
    <row r="14" spans="1:8" x14ac:dyDescent="0.2">
      <c r="C14" s="8" t="s">
        <v>728</v>
      </c>
      <c r="D14" s="6" t="s">
        <v>749</v>
      </c>
      <c r="E14" s="3" t="s">
        <v>750</v>
      </c>
      <c r="F14" s="4" t="s">
        <v>751</v>
      </c>
      <c r="G14" s="5" t="s">
        <v>752</v>
      </c>
      <c r="H14" s="6" t="s">
        <v>753</v>
      </c>
    </row>
    <row r="15" spans="1:8" x14ac:dyDescent="0.2">
      <c r="C15" t="s">
        <v>754</v>
      </c>
      <c r="D15" t="s">
        <v>755</v>
      </c>
      <c r="E15" s="3" t="s">
        <v>756</v>
      </c>
      <c r="F15" s="4" t="s">
        <v>757</v>
      </c>
      <c r="G15" s="5" t="s">
        <v>758</v>
      </c>
      <c r="H15" s="6" t="s">
        <v>759</v>
      </c>
    </row>
    <row r="16" spans="1:8" x14ac:dyDescent="0.2">
      <c r="C16" t="s">
        <v>754</v>
      </c>
      <c r="D16" t="s">
        <v>760</v>
      </c>
      <c r="E16" s="3" t="s">
        <v>761</v>
      </c>
      <c r="F16" s="4" t="s">
        <v>762</v>
      </c>
      <c r="G16" s="5" t="s">
        <v>763</v>
      </c>
      <c r="H16" s="6" t="s">
        <v>764</v>
      </c>
    </row>
    <row r="17" spans="3:8" x14ac:dyDescent="0.2">
      <c r="C17" t="s">
        <v>754</v>
      </c>
      <c r="D17" s="9" t="s">
        <v>765</v>
      </c>
      <c r="E17" s="3" t="s">
        <v>766</v>
      </c>
      <c r="F17" s="4" t="s">
        <v>767</v>
      </c>
      <c r="G17" s="5" t="s">
        <v>768</v>
      </c>
      <c r="H17" s="6" t="s">
        <v>769</v>
      </c>
    </row>
    <row r="18" spans="3:8" x14ac:dyDescent="0.2">
      <c r="C18" t="s">
        <v>754</v>
      </c>
      <c r="D18" t="s">
        <v>770</v>
      </c>
      <c r="E18" s="7" t="s">
        <v>771</v>
      </c>
      <c r="F18" s="4" t="s">
        <v>772</v>
      </c>
      <c r="G18" s="5" t="s">
        <v>773</v>
      </c>
      <c r="H18" s="6" t="s">
        <v>774</v>
      </c>
    </row>
    <row r="19" spans="3:8" x14ac:dyDescent="0.2">
      <c r="C19" t="s">
        <v>754</v>
      </c>
      <c r="D19" t="s">
        <v>775</v>
      </c>
      <c r="E19" s="3" t="s">
        <v>776</v>
      </c>
      <c r="F19" s="4" t="s">
        <v>777</v>
      </c>
      <c r="G19" s="5" t="s">
        <v>778</v>
      </c>
      <c r="H19" s="6" t="s">
        <v>779</v>
      </c>
    </row>
    <row r="20" spans="3:8" x14ac:dyDescent="0.2">
      <c r="C20" s="2"/>
      <c r="D20" s="2"/>
      <c r="E20" s="7" t="s">
        <v>780</v>
      </c>
      <c r="F20" s="4" t="s">
        <v>781</v>
      </c>
      <c r="G20" s="5" t="s">
        <v>782</v>
      </c>
      <c r="H20" s="6" t="s">
        <v>783</v>
      </c>
    </row>
    <row r="21" spans="3:8" x14ac:dyDescent="0.2">
      <c r="C21" s="2"/>
      <c r="D21" s="2"/>
      <c r="E21" s="7" t="s">
        <v>784</v>
      </c>
      <c r="F21" s="4" t="s">
        <v>785</v>
      </c>
      <c r="G21" s="5" t="s">
        <v>786</v>
      </c>
      <c r="H21" s="6" t="s">
        <v>787</v>
      </c>
    </row>
    <row r="22" spans="3:8" x14ac:dyDescent="0.2">
      <c r="C22" s="2"/>
      <c r="D22" s="2"/>
      <c r="E22" s="7" t="s">
        <v>788</v>
      </c>
      <c r="F22" s="4" t="s">
        <v>789</v>
      </c>
      <c r="G22" s="5" t="s">
        <v>790</v>
      </c>
      <c r="H22" s="6" t="s">
        <v>791</v>
      </c>
    </row>
    <row r="23" spans="3:8" x14ac:dyDescent="0.2">
      <c r="C23" s="2"/>
      <c r="D23" s="2"/>
      <c r="E23" s="7" t="s">
        <v>792</v>
      </c>
      <c r="F23" s="4" t="s">
        <v>793</v>
      </c>
      <c r="G23" s="5" t="s">
        <v>794</v>
      </c>
      <c r="H23" s="6" t="s">
        <v>795</v>
      </c>
    </row>
    <row r="24" spans="3:8" x14ac:dyDescent="0.2">
      <c r="C24" s="2"/>
      <c r="D24" s="2"/>
      <c r="E24" s="7" t="s">
        <v>796</v>
      </c>
      <c r="F24" s="4" t="s">
        <v>797</v>
      </c>
      <c r="G24" s="5" t="s">
        <v>798</v>
      </c>
      <c r="H24" s="6" t="s">
        <v>799</v>
      </c>
    </row>
    <row r="25" spans="3:8" x14ac:dyDescent="0.2">
      <c r="C25" s="2"/>
      <c r="D25" s="2"/>
      <c r="E25" s="7" t="s">
        <v>800</v>
      </c>
      <c r="F25" s="4" t="s">
        <v>801</v>
      </c>
      <c r="G25" s="5" t="s">
        <v>802</v>
      </c>
      <c r="H25" s="6" t="s">
        <v>803</v>
      </c>
    </row>
    <row r="26" spans="3:8" x14ac:dyDescent="0.2">
      <c r="C26" s="2"/>
      <c r="D26" s="2"/>
      <c r="E26" s="7" t="s">
        <v>804</v>
      </c>
      <c r="F26" s="4" t="s">
        <v>805</v>
      </c>
      <c r="G26" s="5" t="s">
        <v>806</v>
      </c>
      <c r="H26" s="10" t="s">
        <v>807</v>
      </c>
    </row>
    <row r="27" spans="3:8" x14ac:dyDescent="0.2">
      <c r="C27" s="2"/>
      <c r="D27" s="2"/>
      <c r="E27" s="7" t="s">
        <v>808</v>
      </c>
      <c r="F27" s="4" t="s">
        <v>809</v>
      </c>
      <c r="G27" s="5" t="s">
        <v>810</v>
      </c>
      <c r="H27" s="6" t="s">
        <v>811</v>
      </c>
    </row>
    <row r="28" spans="3:8" x14ac:dyDescent="0.2">
      <c r="C28" s="2"/>
      <c r="D28" s="2"/>
      <c r="E28" s="7" t="s">
        <v>812</v>
      </c>
      <c r="F28" s="4" t="s">
        <v>813</v>
      </c>
      <c r="G28" s="5" t="s">
        <v>814</v>
      </c>
      <c r="H28" s="6" t="s">
        <v>815</v>
      </c>
    </row>
    <row r="29" spans="3:8" x14ac:dyDescent="0.2">
      <c r="C29" s="2"/>
      <c r="D29" s="2"/>
      <c r="E29" s="2"/>
      <c r="F29" s="4" t="s">
        <v>816</v>
      </c>
      <c r="G29" s="5" t="s">
        <v>817</v>
      </c>
      <c r="H29" s="6" t="s">
        <v>818</v>
      </c>
    </row>
    <row r="30" spans="3:8" x14ac:dyDescent="0.2">
      <c r="C30" s="2"/>
      <c r="D30" s="2"/>
      <c r="E30" s="2"/>
      <c r="F30" s="4" t="s">
        <v>819</v>
      </c>
      <c r="G30" s="5" t="s">
        <v>820</v>
      </c>
      <c r="H30" s="6" t="s">
        <v>821</v>
      </c>
    </row>
    <row r="31" spans="3:8" x14ac:dyDescent="0.2">
      <c r="C31" s="2"/>
      <c r="D31" s="2"/>
      <c r="E31" s="2"/>
      <c r="F31" s="4" t="s">
        <v>822</v>
      </c>
      <c r="G31" s="5" t="s">
        <v>823</v>
      </c>
      <c r="H31" s="10" t="s">
        <v>824</v>
      </c>
    </row>
    <row r="32" spans="3:8" x14ac:dyDescent="0.2">
      <c r="C32" s="2"/>
      <c r="D32" s="2"/>
      <c r="E32" s="2"/>
      <c r="F32" s="4" t="s">
        <v>825</v>
      </c>
      <c r="G32" s="5" t="s">
        <v>826</v>
      </c>
      <c r="H32" s="10" t="s">
        <v>827</v>
      </c>
    </row>
    <row r="33" spans="3:8" x14ac:dyDescent="0.2">
      <c r="C33" s="2"/>
      <c r="D33" s="2"/>
      <c r="E33" s="2"/>
      <c r="F33" s="4" t="s">
        <v>828</v>
      </c>
      <c r="G33" s="5" t="s">
        <v>829</v>
      </c>
      <c r="H33" s="6" t="s">
        <v>830</v>
      </c>
    </row>
    <row r="34" spans="3:8" x14ac:dyDescent="0.2">
      <c r="C34" s="2"/>
      <c r="D34" s="2"/>
      <c r="E34" s="2"/>
      <c r="F34" s="4" t="s">
        <v>831</v>
      </c>
      <c r="G34" s="5" t="s">
        <v>832</v>
      </c>
      <c r="H34" s="6" t="s">
        <v>833</v>
      </c>
    </row>
    <row r="35" spans="3:8" x14ac:dyDescent="0.2">
      <c r="C35" s="2"/>
      <c r="D35" s="2"/>
      <c r="E35" s="2"/>
      <c r="F35" s="4" t="s">
        <v>834</v>
      </c>
      <c r="G35" s="5" t="s">
        <v>835</v>
      </c>
      <c r="H35" s="6" t="s">
        <v>836</v>
      </c>
    </row>
    <row r="36" spans="3:8" x14ac:dyDescent="0.2">
      <c r="C36" s="2"/>
      <c r="D36" s="2"/>
      <c r="E36" s="2"/>
      <c r="F36" s="4" t="s">
        <v>837</v>
      </c>
      <c r="G36" s="5" t="s">
        <v>838</v>
      </c>
      <c r="H36" s="6" t="s">
        <v>839</v>
      </c>
    </row>
    <row r="37" spans="3:8" x14ac:dyDescent="0.2">
      <c r="C37" s="2"/>
      <c r="D37" s="2"/>
      <c r="E37" s="2"/>
      <c r="F37" s="4" t="s">
        <v>840</v>
      </c>
      <c r="G37" s="5" t="s">
        <v>841</v>
      </c>
      <c r="H37" s="6" t="s">
        <v>842</v>
      </c>
    </row>
    <row r="38" spans="3:8" x14ac:dyDescent="0.2">
      <c r="C38" s="2"/>
      <c r="D38" s="2"/>
      <c r="E38" s="2"/>
      <c r="F38" s="4" t="s">
        <v>843</v>
      </c>
      <c r="G38" s="5" t="s">
        <v>844</v>
      </c>
      <c r="H38" s="6" t="s">
        <v>845</v>
      </c>
    </row>
    <row r="39" spans="3:8" x14ac:dyDescent="0.2">
      <c r="C39" s="2"/>
      <c r="D39" s="2"/>
      <c r="E39" s="2"/>
      <c r="F39" s="4" t="s">
        <v>757</v>
      </c>
      <c r="G39" s="5" t="s">
        <v>846</v>
      </c>
      <c r="H39" s="6" t="s">
        <v>847</v>
      </c>
    </row>
    <row r="40" spans="3:8" x14ac:dyDescent="0.2">
      <c r="C40" s="2"/>
      <c r="D40" s="2"/>
      <c r="E40" s="2"/>
      <c r="F40" s="4" t="s">
        <v>848</v>
      </c>
      <c r="G40" s="5" t="s">
        <v>849</v>
      </c>
      <c r="H40" s="6" t="s">
        <v>850</v>
      </c>
    </row>
    <row r="41" spans="3:8" x14ac:dyDescent="0.2">
      <c r="C41" s="2"/>
      <c r="D41" s="2"/>
      <c r="E41" s="2"/>
      <c r="F41" s="4" t="s">
        <v>851</v>
      </c>
      <c r="G41" s="5" t="s">
        <v>852</v>
      </c>
      <c r="H41" s="6" t="s">
        <v>853</v>
      </c>
    </row>
    <row r="42" spans="3:8" x14ac:dyDescent="0.2">
      <c r="C42" s="2"/>
      <c r="D42" s="2"/>
      <c r="E42" s="2"/>
      <c r="F42" s="2"/>
      <c r="G42" s="5" t="s">
        <v>854</v>
      </c>
      <c r="H42" s="6" t="s">
        <v>855</v>
      </c>
    </row>
    <row r="43" spans="3:8" x14ac:dyDescent="0.2">
      <c r="C43" s="2"/>
      <c r="D43" s="2"/>
      <c r="E43" s="2"/>
      <c r="F43" s="2"/>
      <c r="G43" s="5" t="s">
        <v>856</v>
      </c>
      <c r="H43" s="6" t="s">
        <v>857</v>
      </c>
    </row>
    <row r="44" spans="3:8" x14ac:dyDescent="0.2">
      <c r="C44" s="2"/>
      <c r="D44" s="2"/>
      <c r="E44" s="2"/>
      <c r="F44" s="2"/>
      <c r="G44" s="5" t="s">
        <v>858</v>
      </c>
      <c r="H44" s="11" t="s">
        <v>859</v>
      </c>
    </row>
    <row r="45" spans="3:8" x14ac:dyDescent="0.2">
      <c r="C45" s="2"/>
      <c r="D45" s="2"/>
      <c r="E45" s="2"/>
      <c r="F45" s="2"/>
      <c r="G45" s="5" t="s">
        <v>860</v>
      </c>
      <c r="H45" s="6" t="s">
        <v>861</v>
      </c>
    </row>
    <row r="46" spans="3:8" x14ac:dyDescent="0.2">
      <c r="C46" s="2"/>
      <c r="D46" s="2"/>
      <c r="E46" s="2"/>
      <c r="F46" s="2"/>
      <c r="G46" s="5" t="s">
        <v>862</v>
      </c>
      <c r="H46" s="6" t="s">
        <v>863</v>
      </c>
    </row>
    <row r="47" spans="3:8" x14ac:dyDescent="0.2">
      <c r="C47" s="2"/>
      <c r="D47" s="2"/>
      <c r="E47" s="2"/>
      <c r="F47" s="2"/>
      <c r="G47" s="5" t="s">
        <v>864</v>
      </c>
      <c r="H47" s="12" t="s">
        <v>865</v>
      </c>
    </row>
    <row r="48" spans="3:8" x14ac:dyDescent="0.2">
      <c r="C48" s="2"/>
      <c r="D48" s="2"/>
      <c r="E48" s="2"/>
      <c r="F48" s="2"/>
      <c r="G48" s="5" t="s">
        <v>866</v>
      </c>
      <c r="H48" s="6" t="s">
        <v>867</v>
      </c>
    </row>
    <row r="49" spans="3:8" x14ac:dyDescent="0.2">
      <c r="C49" s="2"/>
      <c r="D49" s="2"/>
      <c r="E49" s="2"/>
      <c r="F49" s="2"/>
      <c r="G49" s="5" t="s">
        <v>868</v>
      </c>
      <c r="H49" s="6" t="s">
        <v>869</v>
      </c>
    </row>
    <row r="50" spans="3:8" x14ac:dyDescent="0.2">
      <c r="C50" s="2"/>
      <c r="D50" s="2"/>
      <c r="E50" s="2"/>
      <c r="F50" s="2"/>
      <c r="G50" s="5" t="s">
        <v>870</v>
      </c>
      <c r="H50" s="6" t="s">
        <v>871</v>
      </c>
    </row>
    <row r="51" spans="3:8" x14ac:dyDescent="0.2">
      <c r="C51" s="2"/>
      <c r="D51" s="2"/>
      <c r="E51" s="2"/>
      <c r="F51" s="2"/>
      <c r="G51" s="2"/>
      <c r="H51" s="6" t="s">
        <v>872</v>
      </c>
    </row>
    <row r="52" spans="3:8" x14ac:dyDescent="0.2">
      <c r="C52" s="2"/>
      <c r="D52" s="2"/>
      <c r="E52" s="2"/>
      <c r="F52" s="2"/>
      <c r="G52" s="2"/>
      <c r="H52" s="6" t="s">
        <v>873</v>
      </c>
    </row>
    <row r="53" spans="3:8" x14ac:dyDescent="0.2">
      <c r="C53" s="2"/>
      <c r="D53" s="2"/>
      <c r="E53" s="2"/>
      <c r="F53" s="2"/>
      <c r="G53" s="2"/>
      <c r="H53" s="6" t="s">
        <v>874</v>
      </c>
    </row>
    <row r="54" spans="3:8" x14ac:dyDescent="0.2">
      <c r="C54" s="2"/>
      <c r="D54" s="2"/>
      <c r="E54" s="2"/>
      <c r="F54" s="2"/>
      <c r="G54" s="2"/>
      <c r="H54" s="6" t="s">
        <v>875</v>
      </c>
    </row>
    <row r="55" spans="3:8" x14ac:dyDescent="0.2">
      <c r="C55" s="2"/>
      <c r="D55" s="2"/>
      <c r="E55" s="2"/>
      <c r="F55" s="2"/>
      <c r="G55" s="2"/>
      <c r="H55" s="6" t="s">
        <v>876</v>
      </c>
    </row>
    <row r="56" spans="3:8" x14ac:dyDescent="0.2">
      <c r="C56" s="2"/>
      <c r="D56" s="2"/>
      <c r="E56" s="2"/>
      <c r="F56" s="2"/>
      <c r="G56" s="2"/>
      <c r="H56" s="6" t="s">
        <v>877</v>
      </c>
    </row>
    <row r="57" spans="3:8" x14ac:dyDescent="0.2">
      <c r="C57" s="2"/>
      <c r="D57" s="2"/>
      <c r="E57" s="2"/>
      <c r="F57" s="2"/>
      <c r="G57" s="2"/>
      <c r="H57" s="6" t="s">
        <v>878</v>
      </c>
    </row>
    <row r="58" spans="3:8" x14ac:dyDescent="0.2">
      <c r="C58" s="2"/>
      <c r="D58" s="2"/>
      <c r="E58" s="2"/>
      <c r="F58" s="2"/>
      <c r="G58" s="2"/>
      <c r="H58" s="6" t="s">
        <v>879</v>
      </c>
    </row>
    <row r="59" spans="3:8" x14ac:dyDescent="0.2">
      <c r="C59" s="2"/>
      <c r="D59" s="2"/>
      <c r="E59" s="2"/>
      <c r="F59" s="2"/>
      <c r="G59" s="2"/>
      <c r="H59" s="6" t="s">
        <v>880</v>
      </c>
    </row>
    <row r="60" spans="3:8" x14ac:dyDescent="0.2">
      <c r="C60" s="2"/>
      <c r="D60" s="2"/>
      <c r="E60" s="2"/>
      <c r="F60" s="2"/>
      <c r="G60" s="2"/>
      <c r="H60" s="6" t="s">
        <v>881</v>
      </c>
    </row>
  </sheetData>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 ref="F32" r:id="rId31" xr:uid="{00000000-0004-0000-0100-00001E000000}"/>
    <hyperlink ref="F33" r:id="rId32" xr:uid="{00000000-0004-0000-0100-00001F000000}"/>
    <hyperlink ref="F34" r:id="rId33" xr:uid="{00000000-0004-0000-0100-000020000000}"/>
    <hyperlink ref="F35" r:id="rId34" xr:uid="{00000000-0004-0000-0100-000021000000}"/>
    <hyperlink ref="F36" r:id="rId35" xr:uid="{00000000-0004-0000-0100-000022000000}"/>
    <hyperlink ref="F37" r:id="rId36" xr:uid="{00000000-0004-0000-0100-000023000000}"/>
    <hyperlink ref="F38" r:id="rId37" xr:uid="{00000000-0004-0000-0100-000024000000}"/>
    <hyperlink ref="F39" r:id="rId38" xr:uid="{00000000-0004-0000-0100-000025000000}"/>
    <hyperlink ref="F40" r:id="rId39" xr:uid="{00000000-0004-0000-0100-000026000000}"/>
    <hyperlink ref="F41" r:id="rId40" xr:uid="{00000000-0004-0000-0100-000027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C157-F11C-E344-A122-8B836B859B86}">
  <sheetPr>
    <tabColor rgb="FF0070C0"/>
  </sheetPr>
  <dimension ref="A1"/>
  <sheetViews>
    <sheetView workbookViewId="0"/>
  </sheetViews>
  <sheetFormatPr baseColWidth="10" defaultColWidth="11.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6C14-2EBE-7442-9071-D36423E2BE0C}">
  <dimension ref="A1:O57"/>
  <sheetViews>
    <sheetView topLeftCell="A3" workbookViewId="0">
      <selection activeCell="N16" sqref="N16"/>
    </sheetView>
  </sheetViews>
  <sheetFormatPr baseColWidth="10" defaultColWidth="8.6640625" defaultRowHeight="15" x14ac:dyDescent="0.2"/>
  <cols>
    <col min="1" max="1" width="20" bestFit="1" customWidth="1"/>
    <col min="2" max="2" width="16.6640625" customWidth="1"/>
    <col min="5" max="5" width="6.6640625" customWidth="1"/>
    <col min="6" max="6" width="12.1640625" bestFit="1" customWidth="1"/>
    <col min="7" max="7" width="13.6640625" bestFit="1" customWidth="1"/>
    <col min="8" max="8" width="24.33203125" bestFit="1"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102" t="s">
        <v>14</v>
      </c>
      <c r="C1" s="99"/>
      <c r="D1" s="99"/>
      <c r="E1" s="99"/>
      <c r="F1" s="99"/>
      <c r="G1" s="99"/>
      <c r="H1" s="99"/>
      <c r="I1" s="99"/>
      <c r="J1" s="99"/>
      <c r="K1" s="99"/>
      <c r="L1" s="99"/>
      <c r="M1" s="99"/>
      <c r="N1" s="99"/>
      <c r="O1" s="99"/>
    </row>
    <row r="2" spans="1:15" x14ac:dyDescent="0.2">
      <c r="A2" s="58" t="s">
        <v>883</v>
      </c>
      <c r="B2" t="s">
        <v>12</v>
      </c>
    </row>
    <row r="3" spans="1:15" ht="16" x14ac:dyDescent="0.2">
      <c r="A3" s="58" t="s">
        <v>884</v>
      </c>
      <c r="B3" s="27" t="s">
        <v>15</v>
      </c>
    </row>
    <row r="4" spans="1:15" x14ac:dyDescent="0.2">
      <c r="E4" s="13"/>
      <c r="F4" s="13"/>
      <c r="G4" s="16" t="s">
        <v>664</v>
      </c>
      <c r="H4" s="16" t="s">
        <v>679</v>
      </c>
      <c r="I4" s="16" t="s">
        <v>679</v>
      </c>
      <c r="J4" s="16"/>
      <c r="K4" s="16"/>
      <c r="L4" s="16"/>
      <c r="M4" s="16"/>
      <c r="N4" s="16"/>
      <c r="O4" s="16"/>
    </row>
    <row r="5" spans="1:15" x14ac:dyDescent="0.2">
      <c r="A5" s="98" t="s">
        <v>885</v>
      </c>
      <c r="B5" s="99"/>
      <c r="E5" s="100" t="s">
        <v>886</v>
      </c>
      <c r="F5" t="s">
        <v>887</v>
      </c>
      <c r="G5" t="s">
        <v>888</v>
      </c>
      <c r="H5" t="s">
        <v>889</v>
      </c>
      <c r="I5" t="s">
        <v>890</v>
      </c>
    </row>
    <row r="6" spans="1:15" ht="15" customHeight="1" x14ac:dyDescent="0.2">
      <c r="A6" t="s">
        <v>891</v>
      </c>
      <c r="E6" s="99"/>
      <c r="F6" s="1" t="s">
        <v>220</v>
      </c>
      <c r="G6">
        <v>297144</v>
      </c>
      <c r="H6" s="55">
        <v>12.4</v>
      </c>
      <c r="I6" s="55">
        <v>1.5</v>
      </c>
    </row>
    <row r="7" spans="1:15" ht="15.75" customHeight="1" x14ac:dyDescent="0.2">
      <c r="A7" t="s">
        <v>892</v>
      </c>
      <c r="E7" s="99"/>
      <c r="F7" s="1" t="s">
        <v>18</v>
      </c>
      <c r="G7">
        <v>403840</v>
      </c>
      <c r="H7" s="55">
        <v>16.899999999999999</v>
      </c>
      <c r="I7" s="55">
        <v>2</v>
      </c>
    </row>
    <row r="8" spans="1:15" x14ac:dyDescent="0.2">
      <c r="E8" s="99"/>
      <c r="F8" s="1" t="s">
        <v>537</v>
      </c>
      <c r="G8">
        <v>97988</v>
      </c>
      <c r="H8" s="55">
        <v>4.0999999999999996</v>
      </c>
      <c r="I8" s="55">
        <v>0.5</v>
      </c>
    </row>
    <row r="9" spans="1:15" x14ac:dyDescent="0.2">
      <c r="A9" s="98" t="s">
        <v>893</v>
      </c>
      <c r="B9" s="99"/>
      <c r="E9" s="99"/>
      <c r="F9" s="1" t="s">
        <v>449</v>
      </c>
      <c r="G9">
        <v>338936</v>
      </c>
      <c r="H9" s="55">
        <v>14.1</v>
      </c>
      <c r="I9" s="55">
        <v>1.7</v>
      </c>
    </row>
    <row r="10" spans="1:15" x14ac:dyDescent="0.2">
      <c r="A10" t="s">
        <v>894</v>
      </c>
      <c r="E10" s="99"/>
      <c r="F10" s="1" t="s">
        <v>409</v>
      </c>
      <c r="G10">
        <v>79147</v>
      </c>
      <c r="H10" s="55">
        <v>3.3</v>
      </c>
      <c r="I10" s="55">
        <v>0.4</v>
      </c>
    </row>
    <row r="11" spans="1:15" x14ac:dyDescent="0.2">
      <c r="A11" t="s">
        <v>895</v>
      </c>
      <c r="E11" s="99"/>
      <c r="F11" s="1" t="s">
        <v>421</v>
      </c>
      <c r="G11">
        <v>182109</v>
      </c>
      <c r="H11" s="55">
        <v>7.6</v>
      </c>
      <c r="I11" s="55">
        <v>0.9</v>
      </c>
    </row>
    <row r="12" spans="1:15" x14ac:dyDescent="0.2">
      <c r="A12" t="s">
        <v>896</v>
      </c>
      <c r="E12" s="99"/>
      <c r="F12" s="1" t="s">
        <v>470</v>
      </c>
      <c r="G12">
        <v>996888</v>
      </c>
      <c r="H12" s="55">
        <v>41.6</v>
      </c>
      <c r="I12" s="55">
        <v>5</v>
      </c>
    </row>
    <row r="13" spans="1:15" x14ac:dyDescent="0.2">
      <c r="A13" t="s">
        <v>897</v>
      </c>
      <c r="E13" s="99"/>
      <c r="F13" s="1" t="s">
        <v>898</v>
      </c>
      <c r="G13">
        <v>2396052</v>
      </c>
      <c r="H13" s="55">
        <v>100</v>
      </c>
      <c r="I13" s="55">
        <v>12.1</v>
      </c>
    </row>
    <row r="14" spans="1:15" x14ac:dyDescent="0.2">
      <c r="A14" t="s">
        <v>899</v>
      </c>
      <c r="E14" s="99"/>
      <c r="F14" s="1" t="s">
        <v>914</v>
      </c>
      <c r="G14">
        <v>11356117</v>
      </c>
      <c r="H14" s="55" t="s">
        <v>900</v>
      </c>
      <c r="I14" s="55">
        <v>57.1</v>
      </c>
    </row>
    <row r="15" spans="1:15" x14ac:dyDescent="0.2">
      <c r="A15" t="s">
        <v>901</v>
      </c>
      <c r="E15" s="99"/>
      <c r="F15" s="15" t="s">
        <v>1922</v>
      </c>
      <c r="G15">
        <v>19872318</v>
      </c>
      <c r="H15" s="55" t="s">
        <v>900</v>
      </c>
      <c r="I15" s="55">
        <v>100</v>
      </c>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10" xr:uid="{AFD0FCE5-EB2F-4444-84AB-38B217DAB8E6}">
      <formula1>"Line,Clustered Bar,Stacked Bar"</formula1>
    </dataValidation>
    <dataValidation type="list" allowBlank="1" showInputMessage="1" showErrorMessage="1" sqref="B2" xr:uid="{9117A3F5-8230-8C4A-A731-8D5DD1948CD8}">
      <formula1>"Table,Figure,Both"</formula1>
    </dataValidation>
    <dataValidation type="list" allowBlank="1" showInputMessage="1" showErrorMessage="1" sqref="B6 B15" xr:uid="{11C60EEC-24BF-2940-89B7-1503D45818B2}">
      <formula1>"True,False"</formula1>
    </dataValidation>
    <dataValidation type="list" allowBlank="1" showInputMessage="1" showErrorMessage="1" sqref="H4:O4" xr:uid="{138D0CF8-6BAB-9249-A7B8-D332DDFAFA7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5838C34-2C85-C14A-9CA2-E76C07A55342}">
          <x14:formula1>
            <xm:f>Master!$F$2:$F$293</xm:f>
          </x14:formula1>
          <xm:sqref>B1:O1</xm:sqref>
        </x14:dataValidation>
        <x14:dataValidation type="list" allowBlank="1" showInputMessage="1" showErrorMessage="1" xr:uid="{AF97A0F3-88A5-BB44-A97B-4C2DB3CDB354}">
          <x14:formula1>
            <xm:f>Dropdowns!$A$1:$A$8</xm:f>
          </x14:formula1>
          <xm:sqref>G4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BCAD-3975-804B-B31B-61BE543AAC18}">
  <dimension ref="A1:O57"/>
  <sheetViews>
    <sheetView workbookViewId="0">
      <selection activeCell="I24" sqref="I24"/>
    </sheetView>
  </sheetViews>
  <sheetFormatPr baseColWidth="10" defaultColWidth="8.6640625" defaultRowHeight="15" x14ac:dyDescent="0.2"/>
  <cols>
    <col min="1" max="1" width="20" bestFit="1" customWidth="1"/>
    <col min="2" max="2" width="16.6640625" customWidth="1"/>
    <col min="5" max="5" width="6.6640625" customWidth="1"/>
    <col min="7" max="7" width="12" bestFit="1"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28" t="s">
        <v>882</v>
      </c>
      <c r="B1" s="103" t="s">
        <v>20</v>
      </c>
      <c r="C1" s="104"/>
      <c r="D1" s="104"/>
      <c r="E1" s="104"/>
      <c r="F1" s="104"/>
      <c r="G1" s="104"/>
      <c r="H1" s="104"/>
      <c r="I1" s="104"/>
      <c r="J1" s="104"/>
      <c r="K1" s="104"/>
      <c r="L1" s="104"/>
      <c r="M1" s="104"/>
      <c r="N1" s="104"/>
      <c r="O1" s="104"/>
    </row>
    <row r="2" spans="1:15" x14ac:dyDescent="0.2">
      <c r="A2" s="28" t="s">
        <v>883</v>
      </c>
      <c r="B2" s="56" t="s">
        <v>12</v>
      </c>
      <c r="C2" s="56"/>
      <c r="D2" s="56"/>
      <c r="E2" s="56"/>
      <c r="F2" s="56"/>
      <c r="G2" s="56"/>
      <c r="H2" s="56"/>
      <c r="I2" s="56"/>
      <c r="J2" s="56"/>
      <c r="K2" s="56"/>
      <c r="L2" s="56"/>
      <c r="M2" s="56"/>
      <c r="N2" s="56"/>
      <c r="O2" s="56"/>
    </row>
    <row r="3" spans="1:15" x14ac:dyDescent="0.2">
      <c r="A3" s="28" t="s">
        <v>884</v>
      </c>
      <c r="B3" t="str">
        <f>IF($B$1="","",_xlfn.XLOOKUP($B$1,Master!$F$2:$F$308,Master!$G$2:$G$308,""))</f>
        <v>tbl-sex</v>
      </c>
      <c r="C3" s="56"/>
      <c r="D3" s="56"/>
      <c r="E3" s="56"/>
      <c r="F3" s="56"/>
      <c r="G3" s="56"/>
      <c r="H3" s="56"/>
      <c r="I3" s="56"/>
      <c r="J3" s="56"/>
      <c r="K3" s="56"/>
      <c r="L3" s="56"/>
      <c r="M3" s="56"/>
      <c r="N3" s="56"/>
      <c r="O3" s="56"/>
    </row>
    <row r="4" spans="1:15" x14ac:dyDescent="0.2">
      <c r="A4" s="56"/>
      <c r="B4" s="56"/>
      <c r="C4" s="56"/>
      <c r="D4" s="56"/>
      <c r="E4" s="29"/>
      <c r="F4" s="29"/>
      <c r="G4" s="30" t="s">
        <v>664</v>
      </c>
      <c r="H4" s="30" t="s">
        <v>679</v>
      </c>
      <c r="I4" s="30" t="s">
        <v>664</v>
      </c>
      <c r="J4" s="30" t="s">
        <v>679</v>
      </c>
      <c r="K4" s="30"/>
      <c r="L4" s="30"/>
      <c r="M4" s="30"/>
      <c r="N4" s="30"/>
      <c r="O4" s="30"/>
    </row>
    <row r="5" spans="1:15" x14ac:dyDescent="0.2">
      <c r="A5" s="105" t="s">
        <v>885</v>
      </c>
      <c r="B5" s="104"/>
      <c r="C5" s="56"/>
      <c r="D5" s="56"/>
      <c r="E5" s="106" t="s">
        <v>886</v>
      </c>
      <c r="F5" s="109" t="s">
        <v>1926</v>
      </c>
      <c r="G5" s="108" t="s">
        <v>911</v>
      </c>
      <c r="H5" s="108"/>
      <c r="I5" s="108" t="s">
        <v>912</v>
      </c>
      <c r="J5" s="108"/>
      <c r="K5" s="56"/>
      <c r="L5" s="56"/>
      <c r="M5" s="56"/>
      <c r="N5" s="56"/>
      <c r="O5" s="56"/>
    </row>
    <row r="6" spans="1:15" ht="15" customHeight="1" x14ac:dyDescent="0.2">
      <c r="A6" s="56" t="s">
        <v>891</v>
      </c>
      <c r="B6" s="56" t="b">
        <v>1</v>
      </c>
      <c r="C6" s="56"/>
      <c r="D6" s="56"/>
      <c r="E6" s="104"/>
      <c r="F6" s="109"/>
      <c r="G6" s="18" t="s">
        <v>888</v>
      </c>
      <c r="H6" s="18" t="s">
        <v>913</v>
      </c>
      <c r="I6" s="18" t="s">
        <v>888</v>
      </c>
      <c r="J6" s="18" t="s">
        <v>913</v>
      </c>
      <c r="K6" s="56"/>
      <c r="L6" s="56"/>
      <c r="M6" s="56"/>
      <c r="N6" s="56"/>
      <c r="O6" s="56"/>
    </row>
    <row r="7" spans="1:15" ht="15.75" customHeight="1" x14ac:dyDescent="0.2">
      <c r="A7" s="56"/>
      <c r="B7" s="56"/>
      <c r="C7" s="56"/>
      <c r="D7" s="56"/>
      <c r="E7" s="104"/>
      <c r="F7" s="17" t="s">
        <v>220</v>
      </c>
      <c r="G7" s="19">
        <v>147902</v>
      </c>
      <c r="H7" s="20">
        <v>49.8</v>
      </c>
      <c r="I7" s="19">
        <v>149242</v>
      </c>
      <c r="J7" s="20">
        <v>50.2</v>
      </c>
      <c r="K7" s="56"/>
      <c r="L7" s="56"/>
      <c r="M7" s="56"/>
      <c r="N7" s="56"/>
      <c r="O7" s="56"/>
    </row>
    <row r="8" spans="1:15" x14ac:dyDescent="0.2">
      <c r="A8" s="56"/>
      <c r="B8" s="56"/>
      <c r="C8" s="56"/>
      <c r="D8" s="56"/>
      <c r="E8" s="104"/>
      <c r="F8" s="17" t="s">
        <v>18</v>
      </c>
      <c r="G8" s="19">
        <v>201512</v>
      </c>
      <c r="H8" s="20">
        <v>49.9</v>
      </c>
      <c r="I8" s="19">
        <v>202328</v>
      </c>
      <c r="J8" s="20">
        <v>50.1</v>
      </c>
      <c r="K8" s="56"/>
      <c r="L8" s="56"/>
      <c r="M8" s="56"/>
      <c r="N8" s="56"/>
      <c r="O8" s="56"/>
    </row>
    <row r="9" spans="1:15" x14ac:dyDescent="0.2">
      <c r="A9" s="105" t="s">
        <v>893</v>
      </c>
      <c r="B9" s="104"/>
      <c r="C9" s="56"/>
      <c r="D9" s="56"/>
      <c r="E9" s="104"/>
      <c r="F9" s="17" t="s">
        <v>537</v>
      </c>
      <c r="G9" s="19">
        <v>49503</v>
      </c>
      <c r="H9" s="20">
        <v>50.5</v>
      </c>
      <c r="I9" s="19">
        <v>48485</v>
      </c>
      <c r="J9" s="20">
        <v>49.5</v>
      </c>
      <c r="K9" s="56"/>
      <c r="L9" s="56"/>
      <c r="M9" s="56"/>
      <c r="N9" s="56"/>
      <c r="O9" s="56"/>
    </row>
    <row r="10" spans="1:15" x14ac:dyDescent="0.2">
      <c r="A10" s="56" t="s">
        <v>894</v>
      </c>
      <c r="B10" s="56"/>
      <c r="C10" s="56"/>
      <c r="D10" s="56"/>
      <c r="E10" s="104"/>
      <c r="F10" s="17" t="s">
        <v>449</v>
      </c>
      <c r="G10" s="19">
        <v>167624</v>
      </c>
      <c r="H10" s="20">
        <v>49.5</v>
      </c>
      <c r="I10" s="19">
        <v>171312</v>
      </c>
      <c r="J10" s="20">
        <v>50.5</v>
      </c>
      <c r="K10" s="56"/>
      <c r="L10" s="56"/>
      <c r="M10" s="56"/>
      <c r="N10" s="56"/>
      <c r="O10" s="56"/>
    </row>
    <row r="11" spans="1:15" x14ac:dyDescent="0.2">
      <c r="A11" s="56" t="s">
        <v>895</v>
      </c>
      <c r="B11" s="56"/>
      <c r="C11" s="56"/>
      <c r="D11" s="56"/>
      <c r="E11" s="104"/>
      <c r="F11" s="17" t="s">
        <v>409</v>
      </c>
      <c r="G11" s="19">
        <v>40993</v>
      </c>
      <c r="H11" s="20">
        <v>51.8</v>
      </c>
      <c r="I11" s="19">
        <v>38154</v>
      </c>
      <c r="J11" s="20">
        <v>48.2</v>
      </c>
      <c r="K11" s="56"/>
      <c r="L11" s="56"/>
      <c r="M11" s="56"/>
      <c r="N11" s="56"/>
      <c r="O11" s="56"/>
    </row>
    <row r="12" spans="1:15" x14ac:dyDescent="0.2">
      <c r="A12" s="56" t="s">
        <v>896</v>
      </c>
      <c r="B12" s="56"/>
      <c r="C12" s="56"/>
      <c r="D12" s="56"/>
      <c r="E12" s="104"/>
      <c r="F12" s="17" t="s">
        <v>421</v>
      </c>
      <c r="G12" s="19">
        <v>90719</v>
      </c>
      <c r="H12" s="20">
        <v>49.8</v>
      </c>
      <c r="I12" s="19">
        <v>91390</v>
      </c>
      <c r="J12" s="20">
        <v>50.2</v>
      </c>
      <c r="K12" s="56"/>
      <c r="L12" s="56"/>
      <c r="M12" s="56"/>
      <c r="N12" s="56"/>
      <c r="O12" s="56"/>
    </row>
    <row r="13" spans="1:15" x14ac:dyDescent="0.2">
      <c r="A13" s="56" t="s">
        <v>897</v>
      </c>
      <c r="B13" s="56"/>
      <c r="C13" s="56"/>
      <c r="D13" s="56"/>
      <c r="E13" s="104"/>
      <c r="F13" s="17" t="s">
        <v>470</v>
      </c>
      <c r="G13" s="19">
        <v>485985</v>
      </c>
      <c r="H13" s="20">
        <v>48.8</v>
      </c>
      <c r="I13" s="19">
        <v>510903</v>
      </c>
      <c r="J13" s="20">
        <v>51.2</v>
      </c>
      <c r="K13" s="56"/>
      <c r="L13" s="56"/>
      <c r="M13" s="56"/>
      <c r="N13" s="56"/>
      <c r="O13" s="56"/>
    </row>
    <row r="14" spans="1:15" x14ac:dyDescent="0.2">
      <c r="A14" s="56" t="s">
        <v>899</v>
      </c>
      <c r="B14" s="56"/>
      <c r="C14" s="56"/>
      <c r="D14" s="56"/>
      <c r="E14" s="104"/>
      <c r="F14" s="17" t="s">
        <v>898</v>
      </c>
      <c r="G14" s="19">
        <v>1184238</v>
      </c>
      <c r="H14" s="20">
        <v>49.4</v>
      </c>
      <c r="I14" s="19">
        <v>1211814</v>
      </c>
      <c r="J14" s="20">
        <v>50.6</v>
      </c>
      <c r="K14" s="56"/>
      <c r="L14" s="56"/>
      <c r="M14" s="56"/>
      <c r="N14" s="56"/>
      <c r="O14" s="56"/>
    </row>
    <row r="15" spans="1:15" x14ac:dyDescent="0.2">
      <c r="A15" s="56" t="s">
        <v>901</v>
      </c>
      <c r="B15" s="56"/>
      <c r="C15" s="56"/>
      <c r="D15" s="56"/>
      <c r="E15" s="104"/>
      <c r="F15" s="17" t="s">
        <v>914</v>
      </c>
      <c r="G15" s="19">
        <v>5614391</v>
      </c>
      <c r="H15" s="20">
        <v>49.4</v>
      </c>
      <c r="I15" s="19">
        <v>5741726</v>
      </c>
      <c r="J15" s="20">
        <v>50.6</v>
      </c>
      <c r="K15" s="56"/>
      <c r="L15" s="56"/>
      <c r="M15" s="56"/>
      <c r="N15" s="56"/>
      <c r="O15" s="56"/>
    </row>
    <row r="16" spans="1:15" x14ac:dyDescent="0.2">
      <c r="A16" s="56"/>
      <c r="B16" s="56"/>
      <c r="C16" s="56"/>
      <c r="D16" s="56"/>
      <c r="E16" s="104"/>
      <c r="F16" s="17" t="s">
        <v>915</v>
      </c>
      <c r="G16" s="19">
        <v>9702417</v>
      </c>
      <c r="H16" s="20">
        <v>48.8</v>
      </c>
      <c r="I16" s="19">
        <v>10169902</v>
      </c>
      <c r="J16" s="20">
        <v>51.2</v>
      </c>
      <c r="K16" s="56"/>
      <c r="L16" s="56"/>
      <c r="M16" s="56"/>
      <c r="N16" s="56"/>
      <c r="O16" s="56"/>
    </row>
    <row r="17" spans="1:15" x14ac:dyDescent="0.2">
      <c r="A17" s="56"/>
      <c r="B17" s="56"/>
      <c r="C17" s="56"/>
      <c r="D17" s="56"/>
      <c r="E17" s="104"/>
      <c r="F17" s="56"/>
      <c r="G17" s="56"/>
      <c r="H17" s="56"/>
      <c r="I17" s="56"/>
      <c r="J17" s="56"/>
      <c r="K17" s="56"/>
      <c r="L17" s="56"/>
      <c r="M17" s="56"/>
      <c r="N17" s="56"/>
      <c r="O17" s="56"/>
    </row>
    <row r="18" spans="1:15" x14ac:dyDescent="0.2">
      <c r="A18" s="105" t="s">
        <v>902</v>
      </c>
      <c r="B18" s="104"/>
      <c r="C18" s="56"/>
      <c r="D18" s="56"/>
      <c r="E18" s="104"/>
      <c r="F18" s="56"/>
      <c r="G18" s="56"/>
      <c r="H18" s="56"/>
      <c r="I18" s="56"/>
      <c r="J18" s="56"/>
      <c r="K18" s="56"/>
      <c r="L18" s="56"/>
      <c r="M18" s="56"/>
      <c r="N18" s="56"/>
      <c r="O18" s="56"/>
    </row>
    <row r="19" spans="1:15" x14ac:dyDescent="0.2">
      <c r="A19" s="56" t="s">
        <v>903</v>
      </c>
      <c r="B19" s="56"/>
      <c r="C19" s="56"/>
      <c r="D19" s="56"/>
      <c r="E19" s="104"/>
      <c r="F19" s="56"/>
      <c r="G19" s="56"/>
      <c r="H19" s="56"/>
      <c r="I19" s="56"/>
      <c r="J19" s="56"/>
      <c r="K19" s="56"/>
      <c r="L19" s="56"/>
      <c r="M19" s="56"/>
      <c r="N19" s="56"/>
      <c r="O19" s="56"/>
    </row>
    <row r="20" spans="1:15" x14ac:dyDescent="0.2">
      <c r="A20" s="56" t="s">
        <v>904</v>
      </c>
      <c r="B20" s="56"/>
      <c r="C20" s="56"/>
      <c r="D20" s="56"/>
      <c r="E20" s="104"/>
      <c r="F20" s="56"/>
      <c r="G20" s="56"/>
      <c r="H20" s="56"/>
      <c r="I20" s="56"/>
      <c r="J20" s="56"/>
      <c r="K20" s="56"/>
      <c r="L20" s="56"/>
      <c r="M20" s="56"/>
      <c r="N20" s="56"/>
      <c r="O20" s="56"/>
    </row>
    <row r="21" spans="1:15" x14ac:dyDescent="0.2">
      <c r="A21" s="56" t="s">
        <v>905</v>
      </c>
      <c r="B21" s="56"/>
      <c r="C21" s="56"/>
      <c r="D21" s="56"/>
      <c r="E21" s="104"/>
      <c r="F21" s="56"/>
      <c r="G21" s="56"/>
      <c r="H21" s="56"/>
      <c r="I21" s="56"/>
      <c r="J21" s="56"/>
      <c r="K21" s="56"/>
      <c r="L21" s="56"/>
      <c r="M21" s="56"/>
      <c r="N21" s="56"/>
      <c r="O21" s="56"/>
    </row>
    <row r="22" spans="1:15" x14ac:dyDescent="0.2">
      <c r="A22" s="56" t="s">
        <v>906</v>
      </c>
      <c r="B22" s="56"/>
      <c r="C22" s="56"/>
      <c r="D22" s="56"/>
      <c r="E22" s="104"/>
      <c r="F22" s="56"/>
      <c r="G22" s="56"/>
      <c r="H22" s="56"/>
      <c r="I22" s="56"/>
      <c r="J22" s="56"/>
      <c r="K22" s="56"/>
      <c r="L22" s="56"/>
      <c r="M22" s="56"/>
      <c r="N22" s="56"/>
      <c r="O22" s="56"/>
    </row>
    <row r="23" spans="1:15" x14ac:dyDescent="0.2">
      <c r="A23" s="56" t="s">
        <v>907</v>
      </c>
      <c r="B23" s="56"/>
      <c r="C23" s="56"/>
      <c r="D23" s="56"/>
      <c r="E23" s="104"/>
      <c r="F23" s="56"/>
      <c r="G23" s="56"/>
      <c r="H23" s="56"/>
      <c r="I23" s="56"/>
      <c r="J23" s="56"/>
      <c r="K23" s="56"/>
      <c r="L23" s="56"/>
      <c r="M23" s="56"/>
      <c r="N23" s="56"/>
      <c r="O23" s="56"/>
    </row>
    <row r="24" spans="1:15" x14ac:dyDescent="0.2">
      <c r="A24" s="56" t="s">
        <v>908</v>
      </c>
      <c r="B24" s="56"/>
      <c r="C24" s="56"/>
      <c r="D24" s="56"/>
      <c r="E24" s="104"/>
      <c r="F24" s="56"/>
      <c r="G24" s="56"/>
      <c r="H24" s="56"/>
      <c r="I24" s="56"/>
      <c r="J24" s="56"/>
      <c r="K24" s="56"/>
      <c r="L24" s="56"/>
      <c r="M24" s="56"/>
      <c r="N24" s="56"/>
      <c r="O24" s="56"/>
    </row>
    <row r="25" spans="1:15" x14ac:dyDescent="0.2">
      <c r="A25" s="56" t="s">
        <v>909</v>
      </c>
      <c r="B25" s="56"/>
      <c r="C25" s="56"/>
      <c r="D25" s="56"/>
      <c r="E25" s="104"/>
      <c r="F25" s="56"/>
      <c r="G25" s="56"/>
      <c r="H25" s="56"/>
      <c r="I25" s="56"/>
      <c r="J25" s="56"/>
      <c r="K25" s="56"/>
      <c r="L25" s="56"/>
      <c r="M25" s="56"/>
      <c r="N25" s="56"/>
      <c r="O25" s="56"/>
    </row>
    <row r="26" spans="1:15" x14ac:dyDescent="0.2">
      <c r="A26" s="56"/>
      <c r="B26" s="56"/>
      <c r="C26" s="56"/>
      <c r="D26" s="56"/>
      <c r="E26" s="104"/>
      <c r="F26" s="56"/>
      <c r="G26" s="56"/>
      <c r="H26" s="56"/>
      <c r="I26" s="56"/>
      <c r="J26" s="56"/>
      <c r="K26" s="56"/>
      <c r="L26" s="56"/>
      <c r="M26" s="56"/>
      <c r="N26" s="56"/>
      <c r="O26" s="56"/>
    </row>
    <row r="27" spans="1:15" x14ac:dyDescent="0.2">
      <c r="A27" s="107" t="s">
        <v>910</v>
      </c>
      <c r="B27" s="104"/>
      <c r="C27" s="56"/>
      <c r="D27" s="56"/>
      <c r="E27" s="104"/>
      <c r="F27" s="56"/>
      <c r="G27" s="56"/>
      <c r="H27" s="56"/>
      <c r="I27" s="56"/>
      <c r="J27" s="56"/>
      <c r="K27" s="56"/>
      <c r="L27" s="56"/>
      <c r="M27" s="56"/>
      <c r="N27" s="56"/>
      <c r="O27" s="56"/>
    </row>
    <row r="28" spans="1:15" x14ac:dyDescent="0.2">
      <c r="A28" s="56"/>
      <c r="B28" s="56"/>
      <c r="C28" s="56"/>
      <c r="D28" s="56"/>
      <c r="E28" s="104"/>
      <c r="F28" s="56"/>
      <c r="G28" s="56"/>
      <c r="H28" s="56"/>
      <c r="I28" s="56"/>
      <c r="J28" s="56"/>
      <c r="K28" s="56"/>
      <c r="L28" s="56"/>
      <c r="M28" s="56"/>
      <c r="N28" s="56"/>
      <c r="O28" s="56"/>
    </row>
    <row r="29" spans="1:15" x14ac:dyDescent="0.2">
      <c r="A29" s="56"/>
      <c r="B29" s="56"/>
      <c r="C29" s="56"/>
      <c r="D29" s="56"/>
      <c r="E29" s="104"/>
      <c r="F29" s="56"/>
      <c r="G29" s="56"/>
      <c r="H29" s="56"/>
      <c r="I29" s="56"/>
      <c r="J29" s="56"/>
      <c r="K29" s="56"/>
      <c r="L29" s="56"/>
      <c r="M29" s="56"/>
      <c r="N29" s="56"/>
      <c r="O29" s="56"/>
    </row>
    <row r="30" spans="1:15" x14ac:dyDescent="0.2">
      <c r="A30" s="56"/>
      <c r="B30" s="56"/>
      <c r="C30" s="56"/>
      <c r="D30" s="56"/>
      <c r="E30" s="104"/>
      <c r="F30" s="56"/>
      <c r="G30" s="56"/>
      <c r="H30" s="56"/>
      <c r="I30" s="56"/>
      <c r="J30" s="56"/>
      <c r="K30" s="56"/>
      <c r="L30" s="56"/>
      <c r="M30" s="56"/>
      <c r="N30" s="56"/>
      <c r="O30" s="56"/>
    </row>
    <row r="31" spans="1:15" x14ac:dyDescent="0.2">
      <c r="A31" s="56"/>
      <c r="B31" s="56"/>
      <c r="C31" s="56"/>
      <c r="D31" s="56"/>
      <c r="E31" s="104"/>
      <c r="F31" s="56"/>
      <c r="G31" s="56"/>
      <c r="H31" s="56"/>
      <c r="I31" s="56"/>
      <c r="J31" s="56"/>
      <c r="K31" s="56"/>
      <c r="L31" s="56"/>
      <c r="M31" s="56"/>
      <c r="N31" s="56"/>
      <c r="O31" s="56"/>
    </row>
    <row r="32" spans="1:15" x14ac:dyDescent="0.2">
      <c r="A32" s="56"/>
      <c r="B32" s="56"/>
      <c r="C32" s="56"/>
      <c r="D32" s="56"/>
      <c r="E32" s="104"/>
      <c r="F32" s="56"/>
      <c r="G32" s="56"/>
      <c r="H32" s="56"/>
      <c r="I32" s="56"/>
      <c r="J32" s="56"/>
      <c r="K32" s="56"/>
      <c r="L32" s="56"/>
      <c r="M32" s="56"/>
      <c r="N32" s="56"/>
      <c r="O32" s="56"/>
    </row>
    <row r="33" spans="1:15" x14ac:dyDescent="0.2">
      <c r="A33" s="56"/>
      <c r="B33" s="56"/>
      <c r="C33" s="56"/>
      <c r="D33" s="56"/>
      <c r="E33" s="104"/>
      <c r="F33" s="56"/>
      <c r="G33" s="56"/>
      <c r="H33" s="56"/>
      <c r="I33" s="56"/>
      <c r="J33" s="56"/>
      <c r="K33" s="56"/>
      <c r="L33" s="56"/>
      <c r="M33" s="56"/>
      <c r="N33" s="56"/>
      <c r="O33" s="56"/>
    </row>
    <row r="34" spans="1:15" x14ac:dyDescent="0.2">
      <c r="A34" s="56"/>
      <c r="B34" s="56"/>
      <c r="C34" s="56"/>
      <c r="D34" s="56"/>
      <c r="E34" s="104"/>
      <c r="F34" s="56"/>
      <c r="G34" s="56"/>
      <c r="H34" s="56"/>
      <c r="I34" s="56"/>
      <c r="J34" s="56"/>
      <c r="K34" s="56"/>
      <c r="L34" s="56"/>
      <c r="M34" s="56"/>
      <c r="N34" s="56"/>
      <c r="O34" s="56"/>
    </row>
    <row r="35" spans="1:15" x14ac:dyDescent="0.2">
      <c r="A35" s="56"/>
      <c r="B35" s="56"/>
      <c r="C35" s="56"/>
      <c r="D35" s="56"/>
      <c r="E35" s="104"/>
      <c r="F35" s="56"/>
      <c r="G35" s="56"/>
      <c r="H35" s="56"/>
      <c r="I35" s="56"/>
      <c r="J35" s="56"/>
      <c r="K35" s="56"/>
      <c r="L35" s="56"/>
      <c r="M35" s="56"/>
      <c r="N35" s="56"/>
      <c r="O35" s="56"/>
    </row>
    <row r="36" spans="1:15" x14ac:dyDescent="0.2">
      <c r="A36" s="56"/>
      <c r="B36" s="56"/>
      <c r="C36" s="56"/>
      <c r="D36" s="56"/>
      <c r="E36" s="104"/>
      <c r="F36" s="56"/>
      <c r="G36" s="56"/>
      <c r="H36" s="56"/>
      <c r="I36" s="56"/>
      <c r="J36" s="56"/>
      <c r="K36" s="56"/>
      <c r="L36" s="56"/>
      <c r="M36" s="56"/>
      <c r="N36" s="56"/>
      <c r="O36" s="56"/>
    </row>
    <row r="37" spans="1:15" x14ac:dyDescent="0.2">
      <c r="A37" s="56"/>
      <c r="B37" s="56"/>
      <c r="C37" s="56"/>
      <c r="D37" s="56"/>
      <c r="E37" s="104"/>
      <c r="F37" s="56"/>
      <c r="G37" s="56"/>
      <c r="H37" s="56"/>
      <c r="I37" s="56"/>
      <c r="J37" s="56"/>
      <c r="K37" s="56"/>
      <c r="L37" s="56"/>
      <c r="M37" s="56"/>
      <c r="N37" s="56"/>
      <c r="O37" s="56"/>
    </row>
    <row r="38" spans="1:15" x14ac:dyDescent="0.2">
      <c r="A38" s="56"/>
      <c r="B38" s="56"/>
      <c r="C38" s="56"/>
      <c r="D38" s="56"/>
      <c r="E38" s="104"/>
      <c r="F38" s="56"/>
      <c r="G38" s="56"/>
      <c r="H38" s="56"/>
      <c r="I38" s="56"/>
      <c r="J38" s="56"/>
      <c r="K38" s="56"/>
      <c r="L38" s="56"/>
      <c r="M38" s="56"/>
      <c r="N38" s="56"/>
      <c r="O38" s="56"/>
    </row>
    <row r="39" spans="1:15" x14ac:dyDescent="0.2">
      <c r="A39" s="56"/>
      <c r="B39" s="56"/>
      <c r="C39" s="56"/>
      <c r="D39" s="56"/>
      <c r="E39" s="104"/>
      <c r="F39" s="56"/>
      <c r="G39" s="56"/>
      <c r="H39" s="56"/>
      <c r="I39" s="56"/>
      <c r="J39" s="56"/>
      <c r="K39" s="56"/>
      <c r="L39" s="56"/>
      <c r="M39" s="56"/>
      <c r="N39" s="56"/>
      <c r="O39" s="56"/>
    </row>
    <row r="40" spans="1:15" x14ac:dyDescent="0.2">
      <c r="A40" s="56"/>
      <c r="B40" s="56"/>
      <c r="C40" s="56"/>
      <c r="D40" s="56"/>
      <c r="E40" s="104"/>
      <c r="F40" s="56"/>
      <c r="G40" s="56"/>
      <c r="H40" s="56"/>
      <c r="I40" s="56"/>
      <c r="J40" s="56"/>
      <c r="K40" s="56"/>
      <c r="L40" s="56"/>
      <c r="M40" s="56"/>
      <c r="N40" s="56"/>
      <c r="O40" s="56"/>
    </row>
    <row r="41" spans="1:15" x14ac:dyDescent="0.2">
      <c r="A41" s="56"/>
      <c r="B41" s="56"/>
      <c r="C41" s="56"/>
      <c r="D41" s="56"/>
      <c r="E41" s="104"/>
      <c r="F41" s="56"/>
      <c r="G41" s="56"/>
      <c r="H41" s="56"/>
      <c r="I41" s="56"/>
      <c r="J41" s="56"/>
      <c r="K41" s="56"/>
      <c r="L41" s="56"/>
      <c r="M41" s="56"/>
      <c r="N41" s="56"/>
      <c r="O41" s="56"/>
    </row>
    <row r="42" spans="1:15" x14ac:dyDescent="0.2">
      <c r="A42" s="56"/>
      <c r="B42" s="56"/>
      <c r="C42" s="56"/>
      <c r="D42" s="56"/>
      <c r="E42" s="104"/>
      <c r="F42" s="56"/>
      <c r="G42" s="56"/>
      <c r="H42" s="56"/>
      <c r="I42" s="56"/>
      <c r="J42" s="56"/>
      <c r="K42" s="56"/>
      <c r="L42" s="56"/>
      <c r="M42" s="56"/>
      <c r="N42" s="56"/>
      <c r="O42" s="56"/>
    </row>
    <row r="43" spans="1:15" x14ac:dyDescent="0.2">
      <c r="A43" s="56"/>
      <c r="B43" s="56"/>
      <c r="C43" s="56"/>
      <c r="D43" s="56"/>
      <c r="E43" s="104"/>
      <c r="F43" s="56"/>
      <c r="G43" s="56"/>
      <c r="H43" s="56"/>
      <c r="I43" s="56"/>
      <c r="J43" s="56"/>
      <c r="K43" s="56"/>
      <c r="L43" s="56"/>
      <c r="M43" s="56"/>
      <c r="N43" s="56"/>
      <c r="O43" s="56"/>
    </row>
    <row r="44" spans="1:15" x14ac:dyDescent="0.2">
      <c r="A44" s="56"/>
      <c r="B44" s="56"/>
      <c r="C44" s="56"/>
      <c r="D44" s="56"/>
      <c r="E44" s="104"/>
      <c r="F44" s="56"/>
      <c r="G44" s="56"/>
      <c r="H44" s="56"/>
      <c r="I44" s="56"/>
      <c r="J44" s="56"/>
      <c r="K44" s="56"/>
      <c r="L44" s="56"/>
      <c r="M44" s="56"/>
      <c r="N44" s="56"/>
      <c r="O44" s="56"/>
    </row>
    <row r="45" spans="1:15" x14ac:dyDescent="0.2">
      <c r="A45" s="56"/>
      <c r="B45" s="56"/>
      <c r="C45" s="56"/>
      <c r="D45" s="56"/>
      <c r="E45" s="104"/>
      <c r="F45" s="56"/>
      <c r="G45" s="56"/>
      <c r="H45" s="56"/>
      <c r="I45" s="56"/>
      <c r="J45" s="56"/>
      <c r="K45" s="56"/>
      <c r="L45" s="56"/>
      <c r="M45" s="56"/>
      <c r="N45" s="56"/>
      <c r="O45" s="56"/>
    </row>
    <row r="46" spans="1:15" x14ac:dyDescent="0.2">
      <c r="A46" s="56"/>
      <c r="B46" s="56"/>
      <c r="C46" s="56"/>
      <c r="D46" s="56"/>
      <c r="E46" s="104"/>
      <c r="F46" s="56"/>
      <c r="G46" s="56"/>
      <c r="H46" s="56"/>
      <c r="I46" s="56"/>
      <c r="J46" s="56"/>
      <c r="K46" s="56"/>
      <c r="L46" s="56"/>
      <c r="M46" s="56"/>
      <c r="N46" s="56"/>
      <c r="O46" s="56"/>
    </row>
    <row r="47" spans="1:15" x14ac:dyDescent="0.2">
      <c r="A47" s="56"/>
      <c r="B47" s="56"/>
      <c r="C47" s="56"/>
      <c r="D47" s="56"/>
      <c r="E47" s="104"/>
      <c r="F47" s="56"/>
      <c r="G47" s="56"/>
      <c r="H47" s="56"/>
      <c r="I47" s="56"/>
      <c r="J47" s="56"/>
      <c r="K47" s="56"/>
      <c r="L47" s="56"/>
      <c r="M47" s="56"/>
      <c r="N47" s="56"/>
      <c r="O47" s="56"/>
    </row>
    <row r="48" spans="1:15" x14ac:dyDescent="0.2">
      <c r="A48" s="56"/>
      <c r="B48" s="56"/>
      <c r="C48" s="56"/>
      <c r="D48" s="56"/>
      <c r="E48" s="104"/>
      <c r="F48" s="56"/>
      <c r="G48" s="56"/>
      <c r="H48" s="56"/>
      <c r="I48" s="56"/>
      <c r="J48" s="56"/>
      <c r="K48" s="56"/>
      <c r="L48" s="56"/>
      <c r="M48" s="56"/>
      <c r="N48" s="56"/>
      <c r="O48" s="56"/>
    </row>
    <row r="49" spans="1:15" x14ac:dyDescent="0.2">
      <c r="A49" s="56"/>
      <c r="B49" s="56"/>
      <c r="C49" s="56"/>
      <c r="D49" s="56"/>
      <c r="E49" s="104"/>
      <c r="F49" s="56"/>
      <c r="G49" s="56"/>
      <c r="H49" s="56"/>
      <c r="I49" s="56"/>
      <c r="J49" s="56"/>
      <c r="K49" s="56"/>
      <c r="L49" s="56"/>
      <c r="M49" s="56"/>
      <c r="N49" s="56"/>
      <c r="O49" s="56"/>
    </row>
    <row r="50" spans="1:15" x14ac:dyDescent="0.2">
      <c r="A50" s="56"/>
      <c r="B50" s="56"/>
      <c r="C50" s="56"/>
      <c r="D50" s="56"/>
      <c r="E50" s="104"/>
      <c r="F50" s="56"/>
      <c r="G50" s="56"/>
      <c r="H50" s="56"/>
      <c r="I50" s="56"/>
      <c r="J50" s="56"/>
      <c r="K50" s="56"/>
      <c r="L50" s="56"/>
      <c r="M50" s="56"/>
      <c r="N50" s="56"/>
      <c r="O50" s="56"/>
    </row>
    <row r="51" spans="1:15" x14ac:dyDescent="0.2">
      <c r="A51" s="56"/>
      <c r="B51" s="56"/>
      <c r="C51" s="56"/>
      <c r="D51" s="56"/>
      <c r="E51" s="104"/>
      <c r="F51" s="56"/>
      <c r="G51" s="56"/>
      <c r="H51" s="56"/>
      <c r="I51" s="56"/>
      <c r="J51" s="56"/>
      <c r="K51" s="56"/>
      <c r="L51" s="56"/>
      <c r="M51" s="56"/>
      <c r="N51" s="56"/>
      <c r="O51" s="56"/>
    </row>
    <row r="52" spans="1:15" x14ac:dyDescent="0.2">
      <c r="A52" s="56"/>
      <c r="B52" s="56"/>
      <c r="C52" s="56"/>
      <c r="D52" s="56"/>
      <c r="E52" s="104"/>
      <c r="F52" s="56"/>
      <c r="G52" s="56"/>
      <c r="H52" s="56"/>
      <c r="I52" s="56"/>
      <c r="J52" s="56"/>
      <c r="K52" s="56"/>
      <c r="L52" s="56"/>
      <c r="M52" s="56"/>
      <c r="N52" s="56"/>
      <c r="O52" s="56"/>
    </row>
    <row r="53" spans="1:15" x14ac:dyDescent="0.2">
      <c r="A53" s="56"/>
      <c r="B53" s="56"/>
      <c r="C53" s="56"/>
      <c r="D53" s="56"/>
      <c r="E53" s="104"/>
      <c r="F53" s="56"/>
      <c r="G53" s="56"/>
      <c r="H53" s="56"/>
      <c r="I53" s="56"/>
      <c r="J53" s="56"/>
      <c r="K53" s="56"/>
      <c r="L53" s="56"/>
      <c r="M53" s="56"/>
      <c r="N53" s="56"/>
      <c r="O53" s="56"/>
    </row>
    <row r="54" spans="1:15" x14ac:dyDescent="0.2">
      <c r="A54" s="56"/>
      <c r="B54" s="56"/>
      <c r="C54" s="56"/>
      <c r="D54" s="56"/>
      <c r="E54" s="104"/>
      <c r="F54" s="56"/>
      <c r="G54" s="56"/>
      <c r="H54" s="56"/>
      <c r="I54" s="56"/>
      <c r="J54" s="56"/>
      <c r="K54" s="56"/>
      <c r="L54" s="56"/>
      <c r="M54" s="56"/>
      <c r="N54" s="56"/>
      <c r="O54" s="56"/>
    </row>
    <row r="55" spans="1:15" x14ac:dyDescent="0.2">
      <c r="A55" s="56"/>
      <c r="B55" s="56"/>
      <c r="C55" s="56"/>
      <c r="D55" s="56"/>
      <c r="E55" s="104"/>
      <c r="F55" s="56"/>
      <c r="G55" s="56"/>
      <c r="H55" s="56"/>
      <c r="I55" s="56"/>
      <c r="J55" s="56"/>
      <c r="K55" s="56"/>
      <c r="L55" s="56"/>
      <c r="M55" s="56"/>
      <c r="N55" s="56"/>
      <c r="O55" s="56"/>
    </row>
    <row r="56" spans="1:15" x14ac:dyDescent="0.2">
      <c r="A56" s="56"/>
      <c r="B56" s="56"/>
      <c r="C56" s="56"/>
      <c r="D56" s="56"/>
      <c r="E56" s="104"/>
      <c r="F56" s="56"/>
      <c r="G56" s="56"/>
      <c r="H56" s="56"/>
      <c r="I56" s="56"/>
      <c r="J56" s="56"/>
      <c r="K56" s="56"/>
      <c r="L56" s="56"/>
      <c r="M56" s="56"/>
      <c r="N56" s="56"/>
      <c r="O56" s="56"/>
    </row>
    <row r="57" spans="1:15" x14ac:dyDescent="0.2">
      <c r="A57" s="56"/>
      <c r="B57" s="56"/>
      <c r="C57" s="56"/>
      <c r="D57" s="56"/>
      <c r="E57" s="104"/>
      <c r="F57" s="56"/>
      <c r="G57" s="56"/>
      <c r="H57" s="56"/>
      <c r="I57" s="56"/>
      <c r="J57" s="56"/>
      <c r="K57" s="56"/>
      <c r="L57" s="56"/>
      <c r="M57" s="56"/>
      <c r="N57" s="56"/>
      <c r="O57" s="56"/>
    </row>
  </sheetData>
  <mergeCells count="9">
    <mergeCell ref="B1:O1"/>
    <mergeCell ref="A5:B5"/>
    <mergeCell ref="E5:E57"/>
    <mergeCell ref="A9:B9"/>
    <mergeCell ref="A18:B18"/>
    <mergeCell ref="A27:B27"/>
    <mergeCell ref="G5:H5"/>
    <mergeCell ref="I5:J5"/>
    <mergeCell ref="F5:F6"/>
  </mergeCells>
  <dataValidations count="4">
    <dataValidation type="list" allowBlank="1" showInputMessage="1" showErrorMessage="1" sqref="B10" xr:uid="{CB3F81C8-9672-DE4C-819A-755B722F5EC0}">
      <formula1>"Line,Clustered Bar,Stacked Bar"</formula1>
    </dataValidation>
    <dataValidation type="list" allowBlank="1" showInputMessage="1" showErrorMessage="1" sqref="B2" xr:uid="{C70C7630-E206-334F-9DF8-84C1A22380BD}">
      <formula1>"Table,Figure,Both"</formula1>
    </dataValidation>
    <dataValidation type="list" allowBlank="1" showInputMessage="1" showErrorMessage="1" sqref="B6 B15" xr:uid="{9EA017E0-FA62-A046-AA16-A3BE93E4661E}">
      <formula1>"True,False"</formula1>
    </dataValidation>
    <dataValidation type="list" allowBlank="1" showInputMessage="1" showErrorMessage="1" sqref="G4:O4" xr:uid="{564DFC10-503D-A045-90A5-DA6F3E283F71}">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33AA007-4897-E449-917F-D769081C5693}">
          <x14:formula1>
            <xm:f>Master!$F$2:$F$293</xm:f>
          </x14:formula1>
          <xm:sqref>B1:O1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F2B2-0927-3B41-94F2-453F4F532DBF}">
  <dimension ref="A1:AB57"/>
  <sheetViews>
    <sheetView workbookViewId="0">
      <selection activeCell="B1" sqref="B1:O1"/>
    </sheetView>
  </sheetViews>
  <sheetFormatPr baseColWidth="10" defaultColWidth="8.6640625" defaultRowHeight="15" x14ac:dyDescent="0.2"/>
  <cols>
    <col min="1" max="1" width="20" bestFit="1" customWidth="1"/>
    <col min="2" max="2" width="16.6640625" customWidth="1"/>
    <col min="5" max="5" width="12.6640625" bestFit="1" customWidth="1"/>
    <col min="6" max="6" width="10.1640625" bestFit="1" customWidth="1"/>
    <col min="7" max="7" width="11.6640625" bestFit="1" customWidth="1"/>
    <col min="8" max="8" width="8.33203125" bestFit="1" customWidth="1"/>
    <col min="9" max="9" width="11.6640625" bestFit="1" customWidth="1"/>
    <col min="10" max="10" width="8.33203125" bestFit="1" customWidth="1"/>
    <col min="11" max="11" width="11.6640625" bestFit="1" customWidth="1"/>
    <col min="12" max="12" width="8.33203125" bestFit="1" customWidth="1"/>
    <col min="13" max="13" width="11.6640625" bestFit="1" customWidth="1"/>
    <col min="14" max="14" width="8.33203125" bestFit="1" customWidth="1"/>
    <col min="15" max="15" width="11.6640625" bestFit="1" customWidth="1"/>
    <col min="16" max="16" width="8.33203125" bestFit="1" customWidth="1"/>
    <col min="17" max="17" width="11.6640625" bestFit="1" customWidth="1"/>
    <col min="18" max="18" width="8.33203125" bestFit="1" customWidth="1"/>
    <col min="19" max="19" width="11.6640625" bestFit="1" customWidth="1"/>
    <col min="20" max="20" width="8.33203125" bestFit="1" customWidth="1"/>
    <col min="21" max="21" width="11.6640625" bestFit="1" customWidth="1"/>
    <col min="22" max="22" width="8.33203125" bestFit="1" customWidth="1"/>
    <col min="23" max="23" width="11.6640625" bestFit="1" customWidth="1"/>
    <col min="24" max="24" width="8.33203125" bestFit="1" customWidth="1"/>
    <col min="25" max="25" width="11.6640625" bestFit="1" customWidth="1"/>
    <col min="26" max="26" width="8.33203125" bestFit="1" customWidth="1"/>
    <col min="27" max="27" width="11.6640625" bestFit="1" customWidth="1"/>
    <col min="28" max="28" width="8.33203125" bestFit="1" customWidth="1"/>
  </cols>
  <sheetData>
    <row r="1" spans="1:28" x14ac:dyDescent="0.2">
      <c r="A1" s="58" t="s">
        <v>882</v>
      </c>
      <c r="B1" s="102" t="s">
        <v>23</v>
      </c>
      <c r="C1" s="99"/>
      <c r="D1" s="99"/>
      <c r="E1" s="99"/>
      <c r="F1" s="99"/>
      <c r="G1" s="99"/>
      <c r="H1" s="99"/>
      <c r="I1" s="99"/>
      <c r="J1" s="99"/>
      <c r="K1" s="99"/>
      <c r="L1" s="99"/>
      <c r="M1" s="99"/>
      <c r="N1" s="99"/>
      <c r="O1" s="99"/>
    </row>
    <row r="2" spans="1:28" x14ac:dyDescent="0.2">
      <c r="A2" s="58" t="s">
        <v>883</v>
      </c>
      <c r="B2" t="s">
        <v>12</v>
      </c>
    </row>
    <row r="3" spans="1:28" x14ac:dyDescent="0.2">
      <c r="A3" s="58" t="s">
        <v>884</v>
      </c>
      <c r="B3" t="str">
        <f>IF($B$1="","",_xlfn.XLOOKUP($B$1,Master!$F$2:$F$308,Master!$G$2:$G$308,""))</f>
        <v>tbl-age</v>
      </c>
    </row>
    <row r="4" spans="1:28" x14ac:dyDescent="0.2">
      <c r="E4" s="13"/>
      <c r="F4" s="13"/>
      <c r="G4" s="16" t="s">
        <v>664</v>
      </c>
      <c r="H4" s="16" t="s">
        <v>679</v>
      </c>
      <c r="I4" s="16" t="s">
        <v>664</v>
      </c>
      <c r="J4" s="16" t="s">
        <v>679</v>
      </c>
      <c r="K4" s="16" t="s">
        <v>664</v>
      </c>
      <c r="L4" s="16" t="s">
        <v>679</v>
      </c>
      <c r="M4" s="16" t="s">
        <v>664</v>
      </c>
      <c r="N4" s="16" t="s">
        <v>679</v>
      </c>
      <c r="O4" s="16" t="s">
        <v>664</v>
      </c>
      <c r="P4" s="16" t="s">
        <v>679</v>
      </c>
      <c r="Q4" s="16" t="s">
        <v>664</v>
      </c>
      <c r="R4" s="16" t="s">
        <v>679</v>
      </c>
      <c r="S4" s="16" t="s">
        <v>664</v>
      </c>
      <c r="T4" s="16" t="s">
        <v>679</v>
      </c>
      <c r="U4" s="16" t="s">
        <v>664</v>
      </c>
      <c r="V4" s="16" t="s">
        <v>679</v>
      </c>
      <c r="W4" s="16" t="s">
        <v>664</v>
      </c>
      <c r="X4" s="16" t="s">
        <v>679</v>
      </c>
      <c r="Y4" s="16" t="s">
        <v>664</v>
      </c>
      <c r="Z4" s="16" t="s">
        <v>679</v>
      </c>
      <c r="AA4" s="16" t="s">
        <v>664</v>
      </c>
      <c r="AB4" s="16" t="s">
        <v>679</v>
      </c>
    </row>
    <row r="5" spans="1:28" x14ac:dyDescent="0.2">
      <c r="A5" s="98" t="s">
        <v>885</v>
      </c>
      <c r="B5" s="99"/>
      <c r="E5" s="100" t="s">
        <v>886</v>
      </c>
      <c r="G5" s="110" t="s">
        <v>916</v>
      </c>
      <c r="H5" s="110"/>
      <c r="I5" s="110" t="s">
        <v>917</v>
      </c>
      <c r="J5" s="110"/>
      <c r="K5" s="110" t="s">
        <v>918</v>
      </c>
      <c r="L5" s="110"/>
      <c r="M5" s="110" t="s">
        <v>919</v>
      </c>
      <c r="N5" s="110"/>
      <c r="O5" s="110" t="s">
        <v>920</v>
      </c>
      <c r="P5" s="110"/>
      <c r="Q5" s="110" t="s">
        <v>921</v>
      </c>
      <c r="R5" s="110"/>
      <c r="S5" s="110" t="s">
        <v>922</v>
      </c>
      <c r="T5" s="110"/>
      <c r="U5" s="110" t="s">
        <v>923</v>
      </c>
      <c r="V5" s="110"/>
      <c r="W5" s="110" t="s">
        <v>924</v>
      </c>
      <c r="X5" s="110"/>
      <c r="Y5" s="110" t="s">
        <v>925</v>
      </c>
      <c r="Z5" s="110"/>
      <c r="AA5" s="110" t="s">
        <v>926</v>
      </c>
      <c r="AB5" s="110"/>
    </row>
    <row r="6" spans="1:28" x14ac:dyDescent="0.2">
      <c r="A6" t="s">
        <v>891</v>
      </c>
      <c r="B6" t="b">
        <v>1</v>
      </c>
      <c r="E6" s="99"/>
      <c r="F6" s="22"/>
      <c r="G6" s="24" t="s">
        <v>888</v>
      </c>
      <c r="H6" s="24" t="s">
        <v>913</v>
      </c>
      <c r="I6" s="24" t="s">
        <v>888</v>
      </c>
      <c r="J6" s="24" t="s">
        <v>913</v>
      </c>
      <c r="K6" s="24" t="s">
        <v>888</v>
      </c>
      <c r="L6" s="24" t="s">
        <v>913</v>
      </c>
      <c r="M6" s="24" t="s">
        <v>888</v>
      </c>
      <c r="N6" s="24" t="s">
        <v>913</v>
      </c>
      <c r="O6" s="24" t="s">
        <v>888</v>
      </c>
      <c r="P6" s="24" t="s">
        <v>913</v>
      </c>
      <c r="Q6" s="24" t="s">
        <v>888</v>
      </c>
      <c r="R6" s="24" t="s">
        <v>913</v>
      </c>
      <c r="S6" s="24" t="s">
        <v>888</v>
      </c>
      <c r="T6" s="24" t="s">
        <v>913</v>
      </c>
      <c r="U6" s="24" t="s">
        <v>888</v>
      </c>
      <c r="V6" s="24" t="s">
        <v>913</v>
      </c>
      <c r="W6" s="24" t="s">
        <v>888</v>
      </c>
      <c r="X6" s="24" t="s">
        <v>913</v>
      </c>
      <c r="Y6" s="24" t="s">
        <v>888</v>
      </c>
      <c r="Z6" s="24" t="s">
        <v>913</v>
      </c>
      <c r="AA6" s="24" t="s">
        <v>888</v>
      </c>
      <c r="AB6" s="24" t="s">
        <v>913</v>
      </c>
    </row>
    <row r="7" spans="1:28" x14ac:dyDescent="0.2">
      <c r="A7" t="s">
        <v>892</v>
      </c>
      <c r="B7" t="s">
        <v>694</v>
      </c>
      <c r="E7" s="99"/>
      <c r="F7" s="21" t="s">
        <v>220</v>
      </c>
      <c r="G7" s="25">
        <v>13613</v>
      </c>
      <c r="H7" s="26">
        <v>4.5999999999999996</v>
      </c>
      <c r="I7" s="25">
        <v>14448</v>
      </c>
      <c r="J7" s="26">
        <v>4.9000000000000004</v>
      </c>
      <c r="K7" s="25">
        <v>37031</v>
      </c>
      <c r="L7" s="26">
        <v>12.5</v>
      </c>
      <c r="M7" s="25">
        <v>38178</v>
      </c>
      <c r="N7" s="26">
        <v>12.8</v>
      </c>
      <c r="O7" s="25">
        <v>35520</v>
      </c>
      <c r="P7" s="26">
        <v>12</v>
      </c>
      <c r="Q7" s="25">
        <v>36796</v>
      </c>
      <c r="R7" s="26">
        <v>12.4</v>
      </c>
      <c r="S7" s="25">
        <v>43025</v>
      </c>
      <c r="T7" s="26">
        <v>14.5</v>
      </c>
      <c r="U7" s="25">
        <v>41707</v>
      </c>
      <c r="V7" s="26">
        <v>14</v>
      </c>
      <c r="W7" s="25">
        <v>23935</v>
      </c>
      <c r="X7" s="26">
        <v>8.1</v>
      </c>
      <c r="Y7" s="25">
        <v>12891</v>
      </c>
      <c r="Z7" s="26">
        <v>4.3</v>
      </c>
      <c r="AA7" s="25">
        <v>55342</v>
      </c>
      <c r="AB7" s="26">
        <v>18.600000000000001</v>
      </c>
    </row>
    <row r="8" spans="1:28" x14ac:dyDescent="0.2">
      <c r="E8" s="99"/>
      <c r="F8" s="21" t="s">
        <v>18</v>
      </c>
      <c r="G8" s="25">
        <v>27143</v>
      </c>
      <c r="H8" s="26">
        <v>6.7</v>
      </c>
      <c r="I8" s="25">
        <v>27679</v>
      </c>
      <c r="J8" s="26">
        <v>6.9</v>
      </c>
      <c r="K8" s="25">
        <v>61718</v>
      </c>
      <c r="L8" s="26">
        <v>15.3</v>
      </c>
      <c r="M8" s="25">
        <v>52658</v>
      </c>
      <c r="N8" s="26">
        <v>13</v>
      </c>
      <c r="O8" s="25">
        <v>48459</v>
      </c>
      <c r="P8" s="26">
        <v>12</v>
      </c>
      <c r="Q8" s="25">
        <v>49782</v>
      </c>
      <c r="R8" s="26">
        <v>12.3</v>
      </c>
      <c r="S8" s="25">
        <v>52995</v>
      </c>
      <c r="T8" s="26">
        <v>13.1</v>
      </c>
      <c r="U8" s="25">
        <v>45285</v>
      </c>
      <c r="V8" s="26">
        <v>11.2</v>
      </c>
      <c r="W8" s="25">
        <v>25081</v>
      </c>
      <c r="X8" s="26">
        <v>6.2</v>
      </c>
      <c r="Y8" s="25">
        <v>13040</v>
      </c>
      <c r="Z8" s="26">
        <v>3.2</v>
      </c>
      <c r="AA8" s="25">
        <v>103740</v>
      </c>
      <c r="AB8" s="26">
        <v>25.7</v>
      </c>
    </row>
    <row r="9" spans="1:28" x14ac:dyDescent="0.2">
      <c r="A9" s="98" t="s">
        <v>893</v>
      </c>
      <c r="B9" s="99"/>
      <c r="E9" s="99"/>
      <c r="F9" s="21" t="s">
        <v>537</v>
      </c>
      <c r="G9" s="25">
        <v>4521</v>
      </c>
      <c r="H9" s="26">
        <v>4.5999999999999996</v>
      </c>
      <c r="I9" s="25">
        <v>4320</v>
      </c>
      <c r="J9" s="26">
        <v>4.4000000000000004</v>
      </c>
      <c r="K9" s="25">
        <v>12426</v>
      </c>
      <c r="L9" s="26">
        <v>12.7</v>
      </c>
      <c r="M9" s="25">
        <v>10922</v>
      </c>
      <c r="N9" s="26">
        <v>11.1</v>
      </c>
      <c r="O9" s="25">
        <v>11264</v>
      </c>
      <c r="P9" s="26">
        <v>11.5</v>
      </c>
      <c r="Q9" s="25">
        <v>13032</v>
      </c>
      <c r="R9" s="26">
        <v>13.3</v>
      </c>
      <c r="S9" s="25">
        <v>15538</v>
      </c>
      <c r="T9" s="26">
        <v>15.9</v>
      </c>
      <c r="U9" s="25">
        <v>13386</v>
      </c>
      <c r="V9" s="26">
        <v>13.7</v>
      </c>
      <c r="W9" s="25">
        <v>8739</v>
      </c>
      <c r="X9" s="26">
        <v>8.9</v>
      </c>
      <c r="Y9" s="25">
        <v>3840</v>
      </c>
      <c r="Z9" s="26">
        <v>3.9</v>
      </c>
      <c r="AA9" s="25">
        <v>19180</v>
      </c>
      <c r="AB9" s="26">
        <v>19.600000000000001</v>
      </c>
    </row>
    <row r="10" spans="1:28" x14ac:dyDescent="0.2">
      <c r="A10" t="s">
        <v>894</v>
      </c>
      <c r="E10" s="99"/>
      <c r="F10" s="21" t="s">
        <v>449</v>
      </c>
      <c r="G10" s="25">
        <v>28957</v>
      </c>
      <c r="H10" s="26">
        <v>8.5</v>
      </c>
      <c r="I10" s="25">
        <v>27051</v>
      </c>
      <c r="J10" s="26">
        <v>8</v>
      </c>
      <c r="K10" s="25">
        <v>52692</v>
      </c>
      <c r="L10" s="26">
        <v>15.5</v>
      </c>
      <c r="M10" s="25">
        <v>41742</v>
      </c>
      <c r="N10" s="26">
        <v>12.3</v>
      </c>
      <c r="O10" s="25">
        <v>38885</v>
      </c>
      <c r="P10" s="26">
        <v>11.5</v>
      </c>
      <c r="Q10" s="25">
        <v>36560</v>
      </c>
      <c r="R10" s="26">
        <v>10.8</v>
      </c>
      <c r="S10" s="25">
        <v>40115</v>
      </c>
      <c r="T10" s="26">
        <v>11.8</v>
      </c>
      <c r="U10" s="25">
        <v>35529</v>
      </c>
      <c r="V10" s="26">
        <v>10.5</v>
      </c>
      <c r="W10" s="25">
        <v>23713</v>
      </c>
      <c r="X10" s="26">
        <v>7</v>
      </c>
      <c r="Y10" s="25">
        <v>13692</v>
      </c>
      <c r="Z10" s="26">
        <v>4</v>
      </c>
      <c r="AA10" s="25">
        <v>99733</v>
      </c>
      <c r="AB10" s="26">
        <v>29.4</v>
      </c>
    </row>
    <row r="11" spans="1:28" x14ac:dyDescent="0.2">
      <c r="A11" t="s">
        <v>895</v>
      </c>
      <c r="E11" s="99"/>
      <c r="F11" s="21" t="s">
        <v>409</v>
      </c>
      <c r="G11" s="25">
        <v>4656</v>
      </c>
      <c r="H11" s="26">
        <v>5.9</v>
      </c>
      <c r="I11" s="25">
        <v>4969</v>
      </c>
      <c r="J11" s="26">
        <v>6.3</v>
      </c>
      <c r="K11" s="25">
        <v>9343</v>
      </c>
      <c r="L11" s="26">
        <v>11.8</v>
      </c>
      <c r="M11" s="25">
        <v>9032</v>
      </c>
      <c r="N11" s="26">
        <v>11.4</v>
      </c>
      <c r="O11" s="25">
        <v>9668</v>
      </c>
      <c r="P11" s="26">
        <v>12.2</v>
      </c>
      <c r="Q11" s="25">
        <v>9486</v>
      </c>
      <c r="R11" s="26">
        <v>12</v>
      </c>
      <c r="S11" s="25">
        <v>11009</v>
      </c>
      <c r="T11" s="26">
        <v>13.9</v>
      </c>
      <c r="U11" s="25">
        <v>10980</v>
      </c>
      <c r="V11" s="26">
        <v>13.9</v>
      </c>
      <c r="W11" s="25">
        <v>7087</v>
      </c>
      <c r="X11" s="26">
        <v>9</v>
      </c>
      <c r="Y11" s="25">
        <v>2917</v>
      </c>
      <c r="Z11" s="26">
        <v>3.7</v>
      </c>
      <c r="AA11" s="25">
        <v>16947</v>
      </c>
      <c r="AB11" s="26">
        <v>21.4</v>
      </c>
    </row>
    <row r="12" spans="1:28" x14ac:dyDescent="0.2">
      <c r="A12" t="s">
        <v>896</v>
      </c>
      <c r="E12" s="99"/>
      <c r="F12" s="21" t="s">
        <v>421</v>
      </c>
      <c r="G12" s="25">
        <v>7926</v>
      </c>
      <c r="H12" s="26">
        <v>4.4000000000000004</v>
      </c>
      <c r="I12" s="25">
        <v>8802</v>
      </c>
      <c r="J12" s="26">
        <v>4.8</v>
      </c>
      <c r="K12" s="25">
        <v>19831</v>
      </c>
      <c r="L12" s="26">
        <v>10.9</v>
      </c>
      <c r="M12" s="25">
        <v>22175</v>
      </c>
      <c r="N12" s="26">
        <v>12.2</v>
      </c>
      <c r="O12" s="25">
        <v>23060</v>
      </c>
      <c r="P12" s="26">
        <v>12.7</v>
      </c>
      <c r="Q12" s="25">
        <v>22177</v>
      </c>
      <c r="R12" s="26">
        <v>12.2</v>
      </c>
      <c r="S12" s="25">
        <v>26342</v>
      </c>
      <c r="T12" s="26">
        <v>14.5</v>
      </c>
      <c r="U12" s="25">
        <v>26250</v>
      </c>
      <c r="V12" s="26">
        <v>14.4</v>
      </c>
      <c r="W12" s="25">
        <v>16546</v>
      </c>
      <c r="X12" s="26">
        <v>9.1</v>
      </c>
      <c r="Y12" s="25">
        <v>9000</v>
      </c>
      <c r="Z12" s="26">
        <v>4.9000000000000004</v>
      </c>
      <c r="AA12" s="25">
        <v>31636</v>
      </c>
      <c r="AB12" s="26">
        <v>17.399999999999999</v>
      </c>
    </row>
    <row r="13" spans="1:28" x14ac:dyDescent="0.2">
      <c r="A13" t="s">
        <v>897</v>
      </c>
      <c r="E13" s="99"/>
      <c r="F13" s="21" t="s">
        <v>470</v>
      </c>
      <c r="G13" s="25">
        <v>53282</v>
      </c>
      <c r="H13" s="26">
        <v>5.3</v>
      </c>
      <c r="I13" s="25">
        <v>57324</v>
      </c>
      <c r="J13" s="26">
        <v>5.8</v>
      </c>
      <c r="K13" s="25">
        <v>129780</v>
      </c>
      <c r="L13" s="26">
        <v>13</v>
      </c>
      <c r="M13" s="25">
        <v>115269</v>
      </c>
      <c r="N13" s="26">
        <v>11.6</v>
      </c>
      <c r="O13" s="25">
        <v>121312</v>
      </c>
      <c r="P13" s="26">
        <v>12.2</v>
      </c>
      <c r="Q13" s="25">
        <v>133617</v>
      </c>
      <c r="R13" s="26">
        <v>13.4</v>
      </c>
      <c r="S13" s="25">
        <v>141210</v>
      </c>
      <c r="T13" s="26">
        <v>14.2</v>
      </c>
      <c r="U13" s="25">
        <v>121875</v>
      </c>
      <c r="V13" s="26">
        <v>12.2</v>
      </c>
      <c r="W13" s="25">
        <v>74727</v>
      </c>
      <c r="X13" s="26">
        <v>7.5</v>
      </c>
      <c r="Y13" s="25">
        <v>48492</v>
      </c>
      <c r="Z13" s="26">
        <v>4.9000000000000004</v>
      </c>
      <c r="AA13" s="25">
        <v>214739</v>
      </c>
      <c r="AB13" s="26">
        <v>21.5</v>
      </c>
    </row>
    <row r="14" spans="1:28" x14ac:dyDescent="0.2">
      <c r="A14" t="s">
        <v>899</v>
      </c>
      <c r="E14" s="99"/>
      <c r="F14" s="21" t="s">
        <v>898</v>
      </c>
      <c r="G14" s="25">
        <v>140098</v>
      </c>
      <c r="H14" s="26">
        <v>5.8</v>
      </c>
      <c r="I14" s="25">
        <v>144593</v>
      </c>
      <c r="J14" s="26">
        <v>6</v>
      </c>
      <c r="K14" s="25">
        <v>322821</v>
      </c>
      <c r="L14" s="26">
        <v>13.5</v>
      </c>
      <c r="M14" s="25">
        <v>289976</v>
      </c>
      <c r="N14" s="26">
        <v>12.1</v>
      </c>
      <c r="O14" s="25">
        <v>288168</v>
      </c>
      <c r="P14" s="26">
        <v>12</v>
      </c>
      <c r="Q14" s="25">
        <v>301450</v>
      </c>
      <c r="R14" s="26">
        <v>12.6</v>
      </c>
      <c r="S14" s="25">
        <v>330234</v>
      </c>
      <c r="T14" s="26">
        <v>13.8</v>
      </c>
      <c r="U14" s="25">
        <v>295012</v>
      </c>
      <c r="V14" s="26">
        <v>12.3</v>
      </c>
      <c r="W14" s="25">
        <v>179828</v>
      </c>
      <c r="X14" s="26">
        <v>7.5</v>
      </c>
      <c r="Y14" s="25">
        <v>103872</v>
      </c>
      <c r="Z14" s="26">
        <v>4.3</v>
      </c>
      <c r="AA14" s="25">
        <v>541317</v>
      </c>
      <c r="AB14" s="26">
        <v>22.6</v>
      </c>
    </row>
    <row r="15" spans="1:28" x14ac:dyDescent="0.2">
      <c r="A15" t="s">
        <v>901</v>
      </c>
      <c r="E15" s="99"/>
      <c r="F15" s="21" t="s">
        <v>914</v>
      </c>
      <c r="G15" s="25">
        <v>604728</v>
      </c>
      <c r="H15" s="26">
        <v>5.3</v>
      </c>
      <c r="I15" s="25">
        <v>640751</v>
      </c>
      <c r="J15" s="26">
        <v>5.6</v>
      </c>
      <c r="K15" s="25">
        <v>1454784</v>
      </c>
      <c r="L15" s="26">
        <v>12.8</v>
      </c>
      <c r="M15" s="25">
        <v>1442397</v>
      </c>
      <c r="N15" s="26">
        <v>12.7</v>
      </c>
      <c r="O15" s="25">
        <v>1393651</v>
      </c>
      <c r="P15" s="26">
        <v>12.3</v>
      </c>
      <c r="Q15" s="25">
        <v>1343897</v>
      </c>
      <c r="R15" s="26">
        <v>11.8</v>
      </c>
      <c r="S15" s="25">
        <v>1566110</v>
      </c>
      <c r="T15" s="26">
        <v>13.8</v>
      </c>
      <c r="U15" s="25">
        <v>1485429</v>
      </c>
      <c r="V15" s="26">
        <v>13.1</v>
      </c>
      <c r="W15" s="25">
        <v>919800</v>
      </c>
      <c r="X15" s="26">
        <v>8.1</v>
      </c>
      <c r="Y15" s="25">
        <v>504570</v>
      </c>
      <c r="Z15" s="26">
        <v>4.4000000000000004</v>
      </c>
      <c r="AA15" s="25">
        <v>2369080</v>
      </c>
      <c r="AB15" s="26">
        <v>20.9</v>
      </c>
    </row>
    <row r="16" spans="1:28" x14ac:dyDescent="0.2">
      <c r="E16" s="99"/>
      <c r="F16" s="21" t="s">
        <v>915</v>
      </c>
      <c r="G16" s="25">
        <v>1102961</v>
      </c>
      <c r="H16" s="26">
        <v>5.6</v>
      </c>
      <c r="I16" s="25">
        <v>1102946</v>
      </c>
      <c r="J16" s="26">
        <v>5.6</v>
      </c>
      <c r="K16" s="25">
        <v>2413200</v>
      </c>
      <c r="L16" s="26">
        <v>12.1</v>
      </c>
      <c r="M16" s="25">
        <v>2658703</v>
      </c>
      <c r="N16" s="26">
        <v>13.4</v>
      </c>
      <c r="O16" s="25">
        <v>2751639</v>
      </c>
      <c r="P16" s="26">
        <v>13.8</v>
      </c>
      <c r="Q16" s="25">
        <v>2422399</v>
      </c>
      <c r="R16" s="26">
        <v>12.2</v>
      </c>
      <c r="S16" s="25">
        <v>2638363</v>
      </c>
      <c r="T16" s="26">
        <v>13.3</v>
      </c>
      <c r="U16" s="25">
        <v>2425309</v>
      </c>
      <c r="V16" s="26">
        <v>12.2</v>
      </c>
      <c r="W16" s="25">
        <v>1511287</v>
      </c>
      <c r="X16" s="26">
        <v>7.6</v>
      </c>
      <c r="Y16" s="25">
        <v>845512</v>
      </c>
      <c r="Z16" s="26">
        <v>4.3</v>
      </c>
      <c r="AA16" s="25">
        <v>4109277</v>
      </c>
      <c r="AB16" s="26">
        <v>20.7</v>
      </c>
    </row>
    <row r="17" spans="1:6" x14ac:dyDescent="0.2">
      <c r="E17" s="99"/>
    </row>
    <row r="18" spans="1:6" ht="19" x14ac:dyDescent="0.2">
      <c r="A18" s="98" t="s">
        <v>902</v>
      </c>
      <c r="B18" s="99"/>
      <c r="E18" s="99"/>
      <c r="F18" s="23"/>
    </row>
    <row r="19" spans="1:6" x14ac:dyDescent="0.2">
      <c r="A19" t="s">
        <v>903</v>
      </c>
      <c r="E19" s="99"/>
    </row>
    <row r="20" spans="1:6" x14ac:dyDescent="0.2">
      <c r="A20" t="s">
        <v>904</v>
      </c>
      <c r="E20" s="99"/>
    </row>
    <row r="21" spans="1:6" x14ac:dyDescent="0.2">
      <c r="A21" t="s">
        <v>905</v>
      </c>
      <c r="E21" s="99"/>
    </row>
    <row r="22" spans="1:6" x14ac:dyDescent="0.2">
      <c r="A22" t="s">
        <v>906</v>
      </c>
      <c r="E22" s="99"/>
    </row>
    <row r="23" spans="1:6" x14ac:dyDescent="0.2">
      <c r="A23" t="s">
        <v>907</v>
      </c>
      <c r="E23" s="99"/>
    </row>
    <row r="24" spans="1:6" x14ac:dyDescent="0.2">
      <c r="A24" t="s">
        <v>908</v>
      </c>
      <c r="E24" s="99"/>
    </row>
    <row r="25" spans="1:6" x14ac:dyDescent="0.2">
      <c r="A25" t="s">
        <v>909</v>
      </c>
      <c r="E25" s="99"/>
    </row>
    <row r="26" spans="1:6" x14ac:dyDescent="0.2">
      <c r="E26" s="99"/>
    </row>
    <row r="27" spans="1:6" x14ac:dyDescent="0.2">
      <c r="A27" s="101" t="s">
        <v>910</v>
      </c>
      <c r="B27" s="99"/>
      <c r="E27" s="99"/>
    </row>
    <row r="28" spans="1:6" x14ac:dyDescent="0.2">
      <c r="E28" s="99"/>
    </row>
    <row r="29" spans="1:6" x14ac:dyDescent="0.2">
      <c r="E29" s="99"/>
    </row>
    <row r="30" spans="1:6" x14ac:dyDescent="0.2">
      <c r="E30" s="99"/>
    </row>
    <row r="31" spans="1:6" x14ac:dyDescent="0.2">
      <c r="E31" s="99"/>
    </row>
    <row r="32" spans="1:6"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7">
    <mergeCell ref="B1:O1"/>
    <mergeCell ref="A5:B5"/>
    <mergeCell ref="E5:E57"/>
    <mergeCell ref="A9:B9"/>
    <mergeCell ref="A18:B18"/>
    <mergeCell ref="A27:B27"/>
    <mergeCell ref="G5:H5"/>
    <mergeCell ref="I5:J5"/>
    <mergeCell ref="K5:L5"/>
    <mergeCell ref="M5:N5"/>
    <mergeCell ref="AA5:AB5"/>
    <mergeCell ref="O5:P5"/>
    <mergeCell ref="Q5:R5"/>
    <mergeCell ref="S5:T5"/>
    <mergeCell ref="U5:V5"/>
    <mergeCell ref="W5:X5"/>
    <mergeCell ref="Y5:Z5"/>
  </mergeCells>
  <dataValidations count="4">
    <dataValidation type="list" allowBlank="1" showInputMessage="1" showErrorMessage="1" sqref="G4:AB4" xr:uid="{EBD0AE74-230F-9449-B218-E5B8496E6DF9}">
      <formula1>"integer, number, percent1"</formula1>
    </dataValidation>
    <dataValidation type="list" allowBlank="1" showInputMessage="1" showErrorMessage="1" sqref="B10" xr:uid="{5911470F-5A07-4440-8727-163E5D807F5F}">
      <formula1>"Line,Clustered Bar,Stacked Bar"</formula1>
    </dataValidation>
    <dataValidation type="list" allowBlank="1" showInputMessage="1" showErrorMessage="1" sqref="B2" xr:uid="{845F8F91-A81D-CC4E-BC69-9A9040409300}">
      <formula1>"Table,Figure,Both"</formula1>
    </dataValidation>
    <dataValidation type="list" allowBlank="1" showInputMessage="1" showErrorMessage="1" sqref="B6 B15" xr:uid="{AD709835-4095-9F44-897F-105D8F155AE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2AB8276-2492-D944-83F8-B85F488325A7}">
          <x14:formula1>
            <xm:f>Master!$F$2:$F$293</xm:f>
          </x14:formula1>
          <xm:sqref>B1:O1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99D5-4900-A44F-A0E9-AB6F8E25BB1E}">
  <dimension ref="A1:O57"/>
  <sheetViews>
    <sheetView workbookViewId="0">
      <selection activeCell="H21" sqref="H21"/>
    </sheetView>
  </sheetViews>
  <sheetFormatPr baseColWidth="10" defaultColWidth="8.6640625" defaultRowHeight="15" x14ac:dyDescent="0.2"/>
  <cols>
    <col min="1" max="1" width="20" bestFit="1" customWidth="1"/>
    <col min="2" max="2" width="16.6640625" customWidth="1"/>
    <col min="5" max="5" width="6.6640625" customWidth="1"/>
    <col min="6" max="6" width="11.16406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102" t="s">
        <v>25</v>
      </c>
      <c r="C1" s="99"/>
      <c r="D1" s="99"/>
      <c r="E1" s="99"/>
      <c r="F1" s="99"/>
      <c r="G1" s="99"/>
      <c r="H1" s="99"/>
      <c r="I1" s="99"/>
      <c r="J1" s="99"/>
      <c r="K1" s="99"/>
      <c r="L1" s="99"/>
      <c r="M1" s="99"/>
      <c r="N1" s="99"/>
      <c r="O1" s="99"/>
    </row>
    <row r="2" spans="1:15" x14ac:dyDescent="0.2">
      <c r="A2" s="58" t="s">
        <v>883</v>
      </c>
      <c r="B2" t="s">
        <v>12</v>
      </c>
    </row>
    <row r="3" spans="1:15" x14ac:dyDescent="0.2">
      <c r="A3" s="58" t="s">
        <v>884</v>
      </c>
      <c r="B3" t="str">
        <f>IF($B$1="","",_xlfn.XLOOKUP($B$1,Master!$F$2:$F$308,Master!$G$2:$G$308,""))</f>
        <v>tbl-ethnicity</v>
      </c>
    </row>
    <row r="4" spans="1:15" x14ac:dyDescent="0.2">
      <c r="E4" s="13"/>
      <c r="F4" s="13"/>
      <c r="G4" s="16" t="s">
        <v>664</v>
      </c>
      <c r="H4" s="16" t="s">
        <v>679</v>
      </c>
      <c r="I4" s="16" t="s">
        <v>664</v>
      </c>
      <c r="J4" s="16" t="s">
        <v>679</v>
      </c>
      <c r="K4" s="16"/>
      <c r="L4" s="16"/>
      <c r="M4" s="16"/>
      <c r="N4" s="16"/>
      <c r="O4" s="16"/>
    </row>
    <row r="5" spans="1:15" x14ac:dyDescent="0.2">
      <c r="A5" s="98" t="s">
        <v>885</v>
      </c>
      <c r="B5" s="99"/>
      <c r="E5" s="100" t="s">
        <v>886</v>
      </c>
      <c r="F5" s="101" t="s">
        <v>1926</v>
      </c>
      <c r="G5" s="108" t="s">
        <v>927</v>
      </c>
      <c r="H5" s="108"/>
      <c r="I5" s="108" t="s">
        <v>928</v>
      </c>
      <c r="J5" s="108"/>
    </row>
    <row r="6" spans="1:15" ht="15" customHeight="1" x14ac:dyDescent="0.2">
      <c r="A6" t="s">
        <v>891</v>
      </c>
      <c r="B6" t="b">
        <v>1</v>
      </c>
      <c r="E6" s="99"/>
      <c r="F6" s="101"/>
      <c r="G6" s="18" t="s">
        <v>888</v>
      </c>
      <c r="H6" s="18" t="s">
        <v>913</v>
      </c>
      <c r="I6" s="18" t="s">
        <v>888</v>
      </c>
      <c r="J6" s="18" t="s">
        <v>913</v>
      </c>
    </row>
    <row r="7" spans="1:15" ht="15.75" customHeight="1" x14ac:dyDescent="0.2">
      <c r="A7" t="s">
        <v>892</v>
      </c>
      <c r="B7" t="s">
        <v>694</v>
      </c>
      <c r="E7" s="99"/>
      <c r="F7" s="17" t="s">
        <v>220</v>
      </c>
      <c r="G7" s="19">
        <v>44153</v>
      </c>
      <c r="H7" s="20">
        <v>14.9</v>
      </c>
      <c r="I7" s="19">
        <v>252991</v>
      </c>
      <c r="J7" s="20">
        <v>85.1</v>
      </c>
    </row>
    <row r="8" spans="1:15" x14ac:dyDescent="0.2">
      <c r="E8" s="99"/>
      <c r="F8" s="17" t="s">
        <v>18</v>
      </c>
      <c r="G8" s="19">
        <v>93608</v>
      </c>
      <c r="H8" s="20">
        <v>23.2</v>
      </c>
      <c r="I8" s="19">
        <v>310232</v>
      </c>
      <c r="J8" s="20">
        <v>76.8</v>
      </c>
    </row>
    <row r="9" spans="1:15" x14ac:dyDescent="0.2">
      <c r="A9" s="98" t="s">
        <v>893</v>
      </c>
      <c r="B9" s="99"/>
      <c r="E9" s="99"/>
      <c r="F9" s="17" t="s">
        <v>537</v>
      </c>
      <c r="G9" s="19">
        <v>18676</v>
      </c>
      <c r="H9" s="20">
        <v>19.100000000000001</v>
      </c>
      <c r="I9" s="19">
        <v>79312</v>
      </c>
      <c r="J9" s="20">
        <v>80.900000000000006</v>
      </c>
    </row>
    <row r="10" spans="1:15" x14ac:dyDescent="0.2">
      <c r="A10" t="s">
        <v>894</v>
      </c>
      <c r="E10" s="99"/>
      <c r="F10" s="17" t="s">
        <v>449</v>
      </c>
      <c r="G10" s="19">
        <v>67951</v>
      </c>
      <c r="H10" s="20">
        <v>20</v>
      </c>
      <c r="I10" s="19">
        <v>270985</v>
      </c>
      <c r="J10" s="20">
        <v>80</v>
      </c>
    </row>
    <row r="11" spans="1:15" x14ac:dyDescent="0.2">
      <c r="A11" t="s">
        <v>895</v>
      </c>
      <c r="E11" s="99"/>
      <c r="F11" s="17" t="s">
        <v>409</v>
      </c>
      <c r="G11" s="19">
        <v>14544</v>
      </c>
      <c r="H11" s="20">
        <v>18.399999999999999</v>
      </c>
      <c r="I11" s="19">
        <v>64603</v>
      </c>
      <c r="J11" s="20">
        <v>81.599999999999994</v>
      </c>
    </row>
    <row r="12" spans="1:15" x14ac:dyDescent="0.2">
      <c r="A12" t="s">
        <v>896</v>
      </c>
      <c r="E12" s="99"/>
      <c r="F12" s="17" t="s">
        <v>421</v>
      </c>
      <c r="G12" s="19">
        <v>21562</v>
      </c>
      <c r="H12" s="20">
        <v>11.8</v>
      </c>
      <c r="I12" s="19">
        <v>160547</v>
      </c>
      <c r="J12" s="20">
        <v>88.2</v>
      </c>
    </row>
    <row r="13" spans="1:15" x14ac:dyDescent="0.2">
      <c r="A13" t="s">
        <v>897</v>
      </c>
      <c r="E13" s="99"/>
      <c r="F13" s="17" t="s">
        <v>470</v>
      </c>
      <c r="G13" s="19">
        <v>269085</v>
      </c>
      <c r="H13" s="20">
        <v>27</v>
      </c>
      <c r="I13" s="19">
        <v>727803</v>
      </c>
      <c r="J13" s="20">
        <v>73</v>
      </c>
    </row>
    <row r="14" spans="1:15" x14ac:dyDescent="0.2">
      <c r="A14" t="s">
        <v>899</v>
      </c>
      <c r="E14" s="99"/>
      <c r="F14" s="17" t="s">
        <v>898</v>
      </c>
      <c r="G14" s="19">
        <v>529579</v>
      </c>
      <c r="H14" s="20">
        <v>22.1</v>
      </c>
      <c r="I14" s="19">
        <v>1866473</v>
      </c>
      <c r="J14" s="20">
        <v>77.900000000000006</v>
      </c>
    </row>
    <row r="15" spans="1:15" x14ac:dyDescent="0.2">
      <c r="A15" t="s">
        <v>901</v>
      </c>
      <c r="E15" s="99"/>
      <c r="F15" s="17" t="s">
        <v>914</v>
      </c>
      <c r="G15" s="19">
        <v>1478113</v>
      </c>
      <c r="H15" s="20">
        <v>13</v>
      </c>
      <c r="I15" s="19">
        <v>9878004</v>
      </c>
      <c r="J15" s="20">
        <v>87</v>
      </c>
    </row>
    <row r="16" spans="1:15" x14ac:dyDescent="0.2">
      <c r="E16" s="99"/>
      <c r="F16" s="17" t="s">
        <v>915</v>
      </c>
      <c r="G16" s="19">
        <v>3898652</v>
      </c>
      <c r="H16" s="20">
        <v>19.600000000000001</v>
      </c>
      <c r="I16" s="19">
        <v>15973667</v>
      </c>
      <c r="J16" s="20">
        <v>80.400000000000006</v>
      </c>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9">
    <mergeCell ref="B1:O1"/>
    <mergeCell ref="A5:B5"/>
    <mergeCell ref="E5:E57"/>
    <mergeCell ref="A9:B9"/>
    <mergeCell ref="A18:B18"/>
    <mergeCell ref="A27:B27"/>
    <mergeCell ref="G5:H5"/>
    <mergeCell ref="I5:J5"/>
    <mergeCell ref="F5:F6"/>
  </mergeCells>
  <dataValidations count="4">
    <dataValidation type="list" allowBlank="1" showInputMessage="1" showErrorMessage="1" sqref="G4:O4" xr:uid="{CD5B1DBE-72D0-B14C-A8BD-13CCEC57DE23}">
      <formula1>"integer, number, percent1"</formula1>
    </dataValidation>
    <dataValidation type="list" allowBlank="1" showInputMessage="1" showErrorMessage="1" sqref="B10" xr:uid="{4F9C0ABE-FC24-464B-AF30-1260D73B1AEF}">
      <formula1>"Line,Clustered Bar,Stacked Bar"</formula1>
    </dataValidation>
    <dataValidation type="list" allowBlank="1" showInputMessage="1" showErrorMessage="1" sqref="B2" xr:uid="{E7B861C2-6BDC-6342-856B-70B19A8984FB}">
      <formula1>"Table,Figure,Both"</formula1>
    </dataValidation>
    <dataValidation type="list" allowBlank="1" showInputMessage="1" showErrorMessage="1" sqref="B6 B15" xr:uid="{9505056F-95AA-924D-9DF2-CA9F83C08CF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1E2603C-8198-424D-9377-A0105EA0C1F4}">
          <x14:formula1>
            <xm:f>Master!$F$2:$F$293</xm:f>
          </x14:formula1>
          <xm:sqref>B1:O1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D099-0327-FA4C-8D28-3FD9E86BFE35}">
  <dimension ref="A1:V57"/>
  <sheetViews>
    <sheetView workbookViewId="0">
      <selection activeCell="R4" sqref="R4"/>
    </sheetView>
  </sheetViews>
  <sheetFormatPr baseColWidth="10" defaultColWidth="8.6640625" defaultRowHeight="15" x14ac:dyDescent="0.2"/>
  <cols>
    <col min="1" max="1" width="20" bestFit="1" customWidth="1"/>
    <col min="2" max="2" width="16.6640625" customWidth="1"/>
    <col min="5" max="5" width="6.6640625" customWidth="1"/>
    <col min="6" max="6" width="13.6640625" customWidth="1"/>
    <col min="7" max="7" width="9.5" customWidth="1"/>
    <col min="8" max="8" width="13.5" customWidth="1"/>
    <col min="9" max="9" width="11" customWidth="1"/>
    <col min="11" max="11" width="10.6640625" customWidth="1"/>
    <col min="12" max="12" width="12.33203125" bestFit="1" customWidth="1"/>
    <col min="13" max="13" width="12" bestFit="1" customWidth="1"/>
    <col min="14" max="14" width="12.33203125" bestFit="1" customWidth="1"/>
    <col min="15" max="15" width="11" bestFit="1" customWidth="1"/>
    <col min="18" max="18" width="10.83203125" customWidth="1"/>
  </cols>
  <sheetData>
    <row r="1" spans="1:22" x14ac:dyDescent="0.2">
      <c r="A1" s="58" t="s">
        <v>882</v>
      </c>
      <c r="B1" s="102" t="s">
        <v>29</v>
      </c>
      <c r="C1" s="99"/>
      <c r="D1" s="99"/>
      <c r="E1" s="99"/>
      <c r="F1" s="99"/>
      <c r="G1" s="99"/>
      <c r="H1" s="99"/>
      <c r="I1" s="99"/>
      <c r="J1" s="99"/>
      <c r="K1" s="99"/>
      <c r="L1" s="99"/>
      <c r="M1" s="99"/>
      <c r="N1" s="99"/>
      <c r="O1" s="99"/>
    </row>
    <row r="2" spans="1:22" x14ac:dyDescent="0.2">
      <c r="A2" s="58" t="s">
        <v>883</v>
      </c>
      <c r="B2" t="s">
        <v>12</v>
      </c>
    </row>
    <row r="3" spans="1:22" x14ac:dyDescent="0.2">
      <c r="A3" s="58" t="s">
        <v>884</v>
      </c>
      <c r="B3" t="str">
        <f>IF($B$1="","",_xlfn.XLOOKUP($B$1,Master!$F$2:$F$308,Master!$G$2:$G$308,""))</f>
        <v>tbl-race</v>
      </c>
    </row>
    <row r="4" spans="1:22" x14ac:dyDescent="0.2">
      <c r="E4" s="13"/>
      <c r="F4" s="13"/>
      <c r="G4" s="16" t="s">
        <v>664</v>
      </c>
      <c r="H4" s="16" t="s">
        <v>679</v>
      </c>
      <c r="I4" s="16" t="s">
        <v>664</v>
      </c>
      <c r="J4" s="16" t="s">
        <v>679</v>
      </c>
      <c r="K4" s="16" t="s">
        <v>664</v>
      </c>
      <c r="L4" s="16" t="s">
        <v>686</v>
      </c>
      <c r="M4" s="16" t="s">
        <v>664</v>
      </c>
      <c r="N4" s="16" t="s">
        <v>679</v>
      </c>
      <c r="O4" s="16" t="s">
        <v>664</v>
      </c>
      <c r="P4" s="16" t="s">
        <v>686</v>
      </c>
      <c r="Q4" s="16" t="s">
        <v>664</v>
      </c>
      <c r="R4" s="16" t="s">
        <v>686</v>
      </c>
      <c r="S4" s="16" t="s">
        <v>664</v>
      </c>
      <c r="T4" s="16" t="s">
        <v>679</v>
      </c>
      <c r="U4" s="16"/>
      <c r="V4" s="16"/>
    </row>
    <row r="5" spans="1:22" x14ac:dyDescent="0.2">
      <c r="A5" s="98" t="s">
        <v>885</v>
      </c>
      <c r="B5" s="99"/>
      <c r="E5" s="100" t="s">
        <v>886</v>
      </c>
      <c r="F5" s="112" t="s">
        <v>1926</v>
      </c>
      <c r="G5" s="111" t="s">
        <v>929</v>
      </c>
      <c r="H5" s="111"/>
      <c r="I5" s="111" t="s">
        <v>930</v>
      </c>
      <c r="J5" s="111"/>
      <c r="K5" s="111" t="s">
        <v>931</v>
      </c>
      <c r="L5" s="111"/>
      <c r="M5" s="111" t="s">
        <v>932</v>
      </c>
      <c r="N5" s="111"/>
      <c r="O5" s="111" t="s">
        <v>933</v>
      </c>
      <c r="P5" s="111"/>
      <c r="Q5" s="111" t="s">
        <v>934</v>
      </c>
      <c r="R5" s="111"/>
      <c r="S5" s="111" t="s">
        <v>935</v>
      </c>
      <c r="T5" s="111"/>
    </row>
    <row r="6" spans="1:22" ht="15" customHeight="1" x14ac:dyDescent="0.2">
      <c r="A6" t="s">
        <v>891</v>
      </c>
      <c r="B6" t="b">
        <v>1</v>
      </c>
      <c r="E6" s="99"/>
      <c r="F6" s="112"/>
      <c r="G6" s="31" t="s">
        <v>888</v>
      </c>
      <c r="H6" s="31" t="s">
        <v>913</v>
      </c>
      <c r="I6" s="31" t="s">
        <v>888</v>
      </c>
      <c r="J6" s="31" t="s">
        <v>913</v>
      </c>
      <c r="K6" s="31" t="s">
        <v>888</v>
      </c>
      <c r="L6" s="31" t="s">
        <v>913</v>
      </c>
      <c r="M6" s="31" t="s">
        <v>888</v>
      </c>
      <c r="N6" s="31" t="s">
        <v>913</v>
      </c>
      <c r="O6" s="31" t="s">
        <v>888</v>
      </c>
      <c r="P6" s="31" t="s">
        <v>913</v>
      </c>
      <c r="Q6" s="31" t="s">
        <v>888</v>
      </c>
      <c r="R6" s="31" t="s">
        <v>913</v>
      </c>
      <c r="S6" s="31" t="s">
        <v>888</v>
      </c>
      <c r="T6" s="31" t="s">
        <v>913</v>
      </c>
    </row>
    <row r="7" spans="1:22" ht="15.75" customHeight="1" x14ac:dyDescent="0.2">
      <c r="E7" s="99"/>
      <c r="F7" s="57" t="s">
        <v>220</v>
      </c>
      <c r="G7" s="32">
        <v>199670</v>
      </c>
      <c r="H7" s="33">
        <v>67.2</v>
      </c>
      <c r="I7" s="32">
        <v>28024</v>
      </c>
      <c r="J7" s="33">
        <v>9.4</v>
      </c>
      <c r="K7" s="33">
        <v>222</v>
      </c>
      <c r="L7" s="33">
        <v>7.0000000000000007E-2</v>
      </c>
      <c r="M7" s="32">
        <v>10044</v>
      </c>
      <c r="N7" s="33">
        <v>3.4</v>
      </c>
      <c r="O7" s="33">
        <v>117</v>
      </c>
      <c r="P7" s="33">
        <v>0.04</v>
      </c>
      <c r="Q7" s="32">
        <v>2206</v>
      </c>
      <c r="R7" s="33">
        <v>0.7</v>
      </c>
      <c r="S7" s="32">
        <v>12708</v>
      </c>
      <c r="T7" s="33">
        <v>4.3</v>
      </c>
    </row>
    <row r="8" spans="1:22" x14ac:dyDescent="0.2">
      <c r="E8" s="99"/>
      <c r="F8" s="57" t="s">
        <v>18</v>
      </c>
      <c r="G8" s="32">
        <v>239186</v>
      </c>
      <c r="H8" s="33">
        <v>59.2</v>
      </c>
      <c r="I8" s="32">
        <v>42478</v>
      </c>
      <c r="J8" s="33">
        <v>10.5</v>
      </c>
      <c r="K8" s="33">
        <v>438</v>
      </c>
      <c r="L8" s="33">
        <v>0.11</v>
      </c>
      <c r="M8" s="32">
        <v>11223</v>
      </c>
      <c r="N8" s="33">
        <v>2.8</v>
      </c>
      <c r="O8" s="33">
        <v>26</v>
      </c>
      <c r="P8" s="33">
        <v>0.01</v>
      </c>
      <c r="Q8" s="32">
        <v>2563</v>
      </c>
      <c r="R8" s="33">
        <v>0.6</v>
      </c>
      <c r="S8" s="32">
        <v>14318</v>
      </c>
      <c r="T8" s="33">
        <v>3.5</v>
      </c>
    </row>
    <row r="9" spans="1:22" x14ac:dyDescent="0.2">
      <c r="A9" s="98" t="s">
        <v>893</v>
      </c>
      <c r="B9" s="99"/>
      <c r="E9" s="99"/>
      <c r="F9" s="57" t="s">
        <v>537</v>
      </c>
      <c r="G9" s="32">
        <v>70948</v>
      </c>
      <c r="H9" s="33">
        <v>72.400000000000006</v>
      </c>
      <c r="I9" s="32">
        <v>2894</v>
      </c>
      <c r="J9" s="33">
        <v>3</v>
      </c>
      <c r="K9" s="33">
        <v>81</v>
      </c>
      <c r="L9" s="33">
        <v>0.08</v>
      </c>
      <c r="M9" s="32">
        <v>2255</v>
      </c>
      <c r="N9" s="33">
        <v>2.2999999999999998</v>
      </c>
      <c r="O9" s="33">
        <v>24</v>
      </c>
      <c r="P9" s="33">
        <v>0.02</v>
      </c>
      <c r="Q9" s="33">
        <v>788</v>
      </c>
      <c r="R9" s="33">
        <v>0.8</v>
      </c>
      <c r="S9" s="32">
        <v>2322</v>
      </c>
      <c r="T9" s="33">
        <v>2.4</v>
      </c>
    </row>
    <row r="10" spans="1:22" x14ac:dyDescent="0.2">
      <c r="A10" t="s">
        <v>894</v>
      </c>
      <c r="E10" s="99"/>
      <c r="F10" s="57" t="s">
        <v>449</v>
      </c>
      <c r="G10" s="32">
        <v>205539</v>
      </c>
      <c r="H10" s="33">
        <v>60.6</v>
      </c>
      <c r="I10" s="32">
        <v>35626</v>
      </c>
      <c r="J10" s="33">
        <v>10.5</v>
      </c>
      <c r="K10" s="33">
        <v>181</v>
      </c>
      <c r="L10" s="33">
        <v>0.05</v>
      </c>
      <c r="M10" s="32">
        <v>19772</v>
      </c>
      <c r="N10" s="33">
        <v>5.8</v>
      </c>
      <c r="O10" s="33">
        <v>38</v>
      </c>
      <c r="P10" s="33">
        <v>0.01</v>
      </c>
      <c r="Q10" s="32">
        <v>1921</v>
      </c>
      <c r="R10" s="33">
        <v>0.6</v>
      </c>
      <c r="S10" s="32">
        <v>7908</v>
      </c>
      <c r="T10" s="33">
        <v>2.2999999999999998</v>
      </c>
    </row>
    <row r="11" spans="1:22" x14ac:dyDescent="0.2">
      <c r="A11" t="s">
        <v>895</v>
      </c>
      <c r="E11" s="99"/>
      <c r="F11" s="57" t="s">
        <v>409</v>
      </c>
      <c r="G11" s="32">
        <v>53145</v>
      </c>
      <c r="H11" s="33">
        <v>67.099999999999994</v>
      </c>
      <c r="I11" s="32">
        <v>6263</v>
      </c>
      <c r="J11" s="33">
        <v>7.9</v>
      </c>
      <c r="K11" s="33">
        <v>120</v>
      </c>
      <c r="L11" s="33">
        <v>0.15</v>
      </c>
      <c r="M11" s="32">
        <v>1584</v>
      </c>
      <c r="N11" s="33">
        <v>2</v>
      </c>
      <c r="O11" s="33">
        <v>11</v>
      </c>
      <c r="P11" s="33">
        <v>0.01</v>
      </c>
      <c r="Q11" s="33">
        <v>533</v>
      </c>
      <c r="R11" s="33">
        <v>0.7</v>
      </c>
      <c r="S11" s="32">
        <v>2947</v>
      </c>
      <c r="T11" s="33">
        <v>3.7</v>
      </c>
    </row>
    <row r="12" spans="1:22" x14ac:dyDescent="0.2">
      <c r="A12" t="s">
        <v>896</v>
      </c>
      <c r="E12" s="99"/>
      <c r="F12" s="57" t="s">
        <v>421</v>
      </c>
      <c r="G12" s="32">
        <v>133874</v>
      </c>
      <c r="H12" s="33">
        <v>73.5</v>
      </c>
      <c r="I12" s="32">
        <v>10347</v>
      </c>
      <c r="J12" s="33">
        <v>5.7</v>
      </c>
      <c r="K12" s="33">
        <v>66</v>
      </c>
      <c r="L12" s="33">
        <v>0.04</v>
      </c>
      <c r="M12" s="32">
        <v>3675</v>
      </c>
      <c r="N12" s="33">
        <v>2</v>
      </c>
      <c r="O12" s="33">
        <v>40</v>
      </c>
      <c r="P12" s="33">
        <v>0.02</v>
      </c>
      <c r="Q12" s="32">
        <v>2242</v>
      </c>
      <c r="R12" s="33">
        <v>1.2</v>
      </c>
      <c r="S12" s="32">
        <v>10303</v>
      </c>
      <c r="T12" s="33">
        <v>5.7</v>
      </c>
    </row>
    <row r="13" spans="1:22" x14ac:dyDescent="0.2">
      <c r="A13" t="s">
        <v>897</v>
      </c>
      <c r="E13" s="99"/>
      <c r="F13" s="57" t="s">
        <v>470</v>
      </c>
      <c r="G13" s="32">
        <v>498855</v>
      </c>
      <c r="H13" s="33">
        <v>50</v>
      </c>
      <c r="I13" s="32">
        <v>128199</v>
      </c>
      <c r="J13" s="33">
        <v>12.9</v>
      </c>
      <c r="K13" s="32">
        <v>1197</v>
      </c>
      <c r="L13" s="33">
        <v>0.12</v>
      </c>
      <c r="M13" s="32">
        <v>59912</v>
      </c>
      <c r="N13" s="33">
        <v>6</v>
      </c>
      <c r="O13" s="33">
        <v>96</v>
      </c>
      <c r="P13" s="33">
        <v>0.01</v>
      </c>
      <c r="Q13" s="32">
        <v>10638</v>
      </c>
      <c r="R13" s="33">
        <v>1.1000000000000001</v>
      </c>
      <c r="S13" s="32">
        <v>28906</v>
      </c>
      <c r="T13" s="33">
        <v>2.9</v>
      </c>
    </row>
    <row r="14" spans="1:22" x14ac:dyDescent="0.2">
      <c r="A14" t="s">
        <v>899</v>
      </c>
      <c r="E14" s="99"/>
      <c r="F14" s="57" t="s">
        <v>898</v>
      </c>
      <c r="G14" s="32">
        <v>1401217</v>
      </c>
      <c r="H14" s="33">
        <v>58.5</v>
      </c>
      <c r="I14" s="32">
        <v>253831</v>
      </c>
      <c r="J14" s="33">
        <v>10.6</v>
      </c>
      <c r="K14" s="32">
        <v>2305</v>
      </c>
      <c r="L14" s="33">
        <v>0.1</v>
      </c>
      <c r="M14" s="32">
        <v>108465</v>
      </c>
      <c r="N14" s="33">
        <v>4.5</v>
      </c>
      <c r="O14" s="33">
        <v>352</v>
      </c>
      <c r="P14" s="33">
        <v>0.01</v>
      </c>
      <c r="Q14" s="32">
        <v>20891</v>
      </c>
      <c r="R14" s="33">
        <v>0.9</v>
      </c>
      <c r="S14" s="32">
        <v>79412</v>
      </c>
      <c r="T14" s="33">
        <v>3.3</v>
      </c>
    </row>
    <row r="15" spans="1:22" x14ac:dyDescent="0.2">
      <c r="A15" t="s">
        <v>901</v>
      </c>
      <c r="E15" s="99"/>
      <c r="F15" s="57" t="s">
        <v>914</v>
      </c>
      <c r="G15" s="32">
        <v>7942876</v>
      </c>
      <c r="H15" s="33">
        <v>69.900000000000006</v>
      </c>
      <c r="I15" s="32">
        <v>934322</v>
      </c>
      <c r="J15" s="33">
        <v>8.1999999999999993</v>
      </c>
      <c r="K15" s="32">
        <v>21069</v>
      </c>
      <c r="L15" s="33">
        <v>0.19</v>
      </c>
      <c r="M15" s="32">
        <v>518716</v>
      </c>
      <c r="N15" s="33">
        <v>4.5999999999999996</v>
      </c>
      <c r="O15" s="32">
        <v>2610</v>
      </c>
      <c r="P15" s="33">
        <v>0.02</v>
      </c>
      <c r="Q15" s="32">
        <v>70553</v>
      </c>
      <c r="R15" s="33">
        <v>0.6</v>
      </c>
      <c r="S15" s="32">
        <v>387858</v>
      </c>
      <c r="T15" s="33">
        <v>3.4</v>
      </c>
    </row>
    <row r="16" spans="1:22" x14ac:dyDescent="0.2">
      <c r="E16" s="99"/>
      <c r="F16" s="57" t="s">
        <v>915</v>
      </c>
      <c r="G16" s="32">
        <v>10608842</v>
      </c>
      <c r="H16" s="33">
        <v>53.4</v>
      </c>
      <c r="I16" s="32">
        <v>2708094</v>
      </c>
      <c r="J16" s="33">
        <v>13.6</v>
      </c>
      <c r="K16" s="32">
        <v>37212</v>
      </c>
      <c r="L16" s="33">
        <v>0.19</v>
      </c>
      <c r="M16" s="32">
        <v>1754957</v>
      </c>
      <c r="N16" s="33">
        <v>8.8000000000000007</v>
      </c>
      <c r="O16" s="32">
        <v>6220</v>
      </c>
      <c r="P16" s="33">
        <v>0.03</v>
      </c>
      <c r="Q16" s="32">
        <v>178956</v>
      </c>
      <c r="R16" s="33">
        <v>0.9</v>
      </c>
      <c r="S16" s="32">
        <v>679386</v>
      </c>
      <c r="T16" s="33">
        <v>3.4</v>
      </c>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4">
    <mergeCell ref="O5:P5"/>
    <mergeCell ref="Q5:R5"/>
    <mergeCell ref="S5:T5"/>
    <mergeCell ref="B1:O1"/>
    <mergeCell ref="A5:B5"/>
    <mergeCell ref="E5:E57"/>
    <mergeCell ref="A9:B9"/>
    <mergeCell ref="A18:B18"/>
    <mergeCell ref="A27:B27"/>
    <mergeCell ref="G5:H5"/>
    <mergeCell ref="I5:J5"/>
    <mergeCell ref="K5:L5"/>
    <mergeCell ref="M5:N5"/>
    <mergeCell ref="F5:F6"/>
  </mergeCells>
  <dataValidations count="4">
    <dataValidation type="list" allowBlank="1" showInputMessage="1" showErrorMessage="1" sqref="G4:K4 U4:V4" xr:uid="{FE58F644-82A2-7540-B13C-49237D0DA83A}">
      <formula1>"integer, number, percent1"</formula1>
    </dataValidation>
    <dataValidation type="list" allowBlank="1" showInputMessage="1" showErrorMessage="1" sqref="B10" xr:uid="{6211C42E-AE15-F54D-830C-E803262770BF}">
      <formula1>"Line,Clustered Bar,Stacked Bar"</formula1>
    </dataValidation>
    <dataValidation type="list" allowBlank="1" showInputMessage="1" showErrorMessage="1" sqref="B2" xr:uid="{33F5725C-7C21-014E-82B3-3DD95623D095}">
      <formula1>"Table,Figure,Both"</formula1>
    </dataValidation>
    <dataValidation type="list" allowBlank="1" showInputMessage="1" showErrorMessage="1" sqref="B6 B15" xr:uid="{42F6489D-A6E8-3F40-AD10-72AAEF37BE9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13DEA483-5F0E-B148-BE6C-C623E4E97A14}">
          <x14:formula1>
            <xm:f>Master!$F$2:$F$293</xm:f>
          </x14:formula1>
          <xm:sqref>B1:O1</xm:sqref>
        </x14:dataValidation>
        <x14:dataValidation type="list" allowBlank="1" showInputMessage="1" showErrorMessage="1" xr:uid="{724630BC-DB7A-BE48-BCFB-779A60525270}">
          <x14:formula1>
            <xm:f>Dropdowns!$A$1:$A$8</xm:f>
          </x14:formula1>
          <xm:sqref>L4:T4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A698-FD3A-454F-8A8B-068C666B0962}">
  <dimension ref="A1:R57"/>
  <sheetViews>
    <sheetView workbookViewId="0">
      <selection activeCell="K32" sqref="K32"/>
    </sheetView>
  </sheetViews>
  <sheetFormatPr baseColWidth="10" defaultColWidth="8.6640625" defaultRowHeight="15" x14ac:dyDescent="0.2"/>
  <cols>
    <col min="1" max="1" width="20" bestFit="1" customWidth="1"/>
    <col min="2" max="2" width="16.6640625" customWidth="1"/>
    <col min="5" max="5" width="6.6640625" customWidth="1"/>
    <col min="6" max="6" width="11.1640625" bestFit="1" customWidth="1"/>
    <col min="7" max="7" width="12" bestFit="1" customWidth="1"/>
    <col min="8" max="8" width="13.5" customWidth="1"/>
    <col min="9" max="9" width="12" bestFit="1" customWidth="1"/>
    <col min="11" max="11" width="10.6640625" customWidth="1"/>
    <col min="12" max="12" width="6.6640625" customWidth="1"/>
    <col min="13" max="13" width="13.1640625" customWidth="1"/>
    <col min="14" max="14" width="12.33203125" bestFit="1" customWidth="1"/>
    <col min="15" max="15" width="20.33203125" customWidth="1"/>
    <col min="17" max="17" width="14" customWidth="1"/>
  </cols>
  <sheetData>
    <row r="1" spans="1:18" x14ac:dyDescent="0.2">
      <c r="A1" s="58" t="s">
        <v>882</v>
      </c>
      <c r="B1" s="102" t="s">
        <v>32</v>
      </c>
      <c r="C1" s="99"/>
      <c r="D1" s="99"/>
      <c r="E1" s="99"/>
      <c r="F1" s="99"/>
      <c r="G1" s="99"/>
      <c r="H1" s="99"/>
      <c r="I1" s="99"/>
      <c r="J1" s="99"/>
      <c r="K1" s="99"/>
      <c r="L1" s="99"/>
      <c r="M1" s="99"/>
      <c r="N1" s="99"/>
      <c r="O1" s="99"/>
    </row>
    <row r="2" spans="1:18" x14ac:dyDescent="0.2">
      <c r="A2" s="58" t="s">
        <v>883</v>
      </c>
      <c r="B2" t="s">
        <v>12</v>
      </c>
    </row>
    <row r="3" spans="1:18" x14ac:dyDescent="0.2">
      <c r="A3" s="58" t="s">
        <v>884</v>
      </c>
      <c r="B3" t="str">
        <f>IF($B$1="","",_xlfn.XLOOKUP($B$1,Master!$F$2:$F$308,Master!$G$2:$G$308,""))</f>
        <v>tbl-language</v>
      </c>
    </row>
    <row r="4" spans="1:18" x14ac:dyDescent="0.2">
      <c r="E4" s="13"/>
      <c r="F4" s="13"/>
      <c r="G4" s="16" t="s">
        <v>664</v>
      </c>
      <c r="H4" s="16" t="s">
        <v>679</v>
      </c>
      <c r="I4" s="16" t="s">
        <v>664</v>
      </c>
      <c r="J4" s="16" t="s">
        <v>679</v>
      </c>
      <c r="K4" s="16" t="s">
        <v>664</v>
      </c>
      <c r="L4" s="16" t="s">
        <v>679</v>
      </c>
      <c r="M4" s="16" t="s">
        <v>664</v>
      </c>
      <c r="N4" s="16" t="s">
        <v>679</v>
      </c>
      <c r="O4" s="16" t="s">
        <v>664</v>
      </c>
      <c r="P4" s="16" t="s">
        <v>679</v>
      </c>
      <c r="Q4" s="16" t="s">
        <v>664</v>
      </c>
      <c r="R4" s="16" t="s">
        <v>686</v>
      </c>
    </row>
    <row r="5" spans="1:18" x14ac:dyDescent="0.2">
      <c r="A5" s="98" t="s">
        <v>885</v>
      </c>
      <c r="B5" s="99"/>
      <c r="E5" s="100" t="s">
        <v>886</v>
      </c>
      <c r="F5" s="101" t="s">
        <v>1926</v>
      </c>
      <c r="G5" s="113" t="s">
        <v>936</v>
      </c>
      <c r="H5" s="113"/>
      <c r="I5" s="113" t="s">
        <v>937</v>
      </c>
      <c r="J5" s="113"/>
      <c r="K5" s="113" t="s">
        <v>938</v>
      </c>
      <c r="L5" s="113"/>
      <c r="M5" s="113" t="s">
        <v>939</v>
      </c>
      <c r="N5" s="113"/>
      <c r="O5" s="113" t="s">
        <v>940</v>
      </c>
      <c r="P5" s="113"/>
      <c r="Q5" s="113" t="s">
        <v>941</v>
      </c>
      <c r="R5" s="113"/>
    </row>
    <row r="6" spans="1:18" ht="15" customHeight="1" x14ac:dyDescent="0.2">
      <c r="A6" t="s">
        <v>891</v>
      </c>
      <c r="B6" t="b">
        <v>1</v>
      </c>
      <c r="E6" s="99"/>
      <c r="F6" s="101"/>
      <c r="G6" s="37" t="s">
        <v>888</v>
      </c>
      <c r="H6" s="37" t="s">
        <v>913</v>
      </c>
      <c r="I6" s="37" t="s">
        <v>888</v>
      </c>
      <c r="J6" s="37" t="s">
        <v>913</v>
      </c>
      <c r="K6" s="37" t="s">
        <v>888</v>
      </c>
      <c r="L6" s="37" t="s">
        <v>913</v>
      </c>
      <c r="M6" s="37" t="s">
        <v>888</v>
      </c>
      <c r="N6" s="37" t="s">
        <v>913</v>
      </c>
      <c r="O6" s="37" t="s">
        <v>888</v>
      </c>
      <c r="P6" s="37" t="s">
        <v>913</v>
      </c>
      <c r="Q6" s="37" t="s">
        <v>888</v>
      </c>
      <c r="R6" s="37" t="s">
        <v>913</v>
      </c>
    </row>
    <row r="7" spans="1:18" ht="15.75" customHeight="1" x14ac:dyDescent="0.2">
      <c r="E7" s="99"/>
      <c r="F7" s="34" t="s">
        <v>220</v>
      </c>
      <c r="G7" s="38">
        <v>238585</v>
      </c>
      <c r="H7" s="39">
        <v>84.1</v>
      </c>
      <c r="I7" s="38">
        <v>44946</v>
      </c>
      <c r="J7" s="39">
        <v>15.9</v>
      </c>
      <c r="K7" s="38">
        <v>26003</v>
      </c>
      <c r="L7" s="39">
        <v>9.1999999999999993</v>
      </c>
      <c r="M7" s="38">
        <v>10769</v>
      </c>
      <c r="N7" s="39">
        <v>3.8</v>
      </c>
      <c r="O7" s="38">
        <v>5267</v>
      </c>
      <c r="P7" s="39">
        <v>1.9</v>
      </c>
      <c r="Q7" s="38">
        <v>2907</v>
      </c>
      <c r="R7" s="39">
        <v>1</v>
      </c>
    </row>
    <row r="8" spans="1:18" x14ac:dyDescent="0.2">
      <c r="E8" s="99"/>
      <c r="F8" s="34" t="s">
        <v>18</v>
      </c>
      <c r="G8" s="38">
        <v>266545</v>
      </c>
      <c r="H8" s="39">
        <v>70.8</v>
      </c>
      <c r="I8" s="38">
        <v>110152</v>
      </c>
      <c r="J8" s="39">
        <v>29.2</v>
      </c>
      <c r="K8" s="38">
        <v>55418</v>
      </c>
      <c r="L8" s="39">
        <v>15</v>
      </c>
      <c r="M8" s="38">
        <v>45346</v>
      </c>
      <c r="N8" s="39">
        <v>12</v>
      </c>
      <c r="O8" s="38">
        <v>6298</v>
      </c>
      <c r="P8" s="39">
        <v>1.7</v>
      </c>
      <c r="Q8" s="38">
        <v>3090</v>
      </c>
      <c r="R8" s="39">
        <v>0.8</v>
      </c>
    </row>
    <row r="9" spans="1:18" x14ac:dyDescent="0.2">
      <c r="A9" s="98" t="s">
        <v>893</v>
      </c>
      <c r="B9" s="99"/>
      <c r="E9" s="99"/>
      <c r="F9" s="34" t="s">
        <v>537</v>
      </c>
      <c r="G9" s="38">
        <v>73860</v>
      </c>
      <c r="H9" s="39">
        <v>79</v>
      </c>
      <c r="I9" s="38">
        <v>19607</v>
      </c>
      <c r="J9" s="39">
        <v>21</v>
      </c>
      <c r="K9" s="38">
        <v>11733</v>
      </c>
      <c r="L9" s="39">
        <v>13</v>
      </c>
      <c r="M9" s="38">
        <v>5687</v>
      </c>
      <c r="N9" s="39">
        <v>6.1</v>
      </c>
      <c r="O9" s="38">
        <v>1504</v>
      </c>
      <c r="P9" s="39">
        <v>1.6</v>
      </c>
      <c r="Q9" s="39">
        <v>683</v>
      </c>
      <c r="R9" s="39">
        <v>0.7</v>
      </c>
    </row>
    <row r="10" spans="1:18" x14ac:dyDescent="0.2">
      <c r="A10" t="s">
        <v>894</v>
      </c>
      <c r="E10" s="99"/>
      <c r="F10" s="34" t="s">
        <v>449</v>
      </c>
      <c r="G10" s="38">
        <v>174907</v>
      </c>
      <c r="H10" s="39">
        <v>56.4</v>
      </c>
      <c r="I10" s="38">
        <v>135072</v>
      </c>
      <c r="J10" s="39">
        <v>43.6</v>
      </c>
      <c r="K10" s="38">
        <v>46360</v>
      </c>
      <c r="L10" s="39">
        <v>15</v>
      </c>
      <c r="M10" s="38">
        <v>69600</v>
      </c>
      <c r="N10" s="39">
        <v>22.5</v>
      </c>
      <c r="O10" s="38">
        <v>12024</v>
      </c>
      <c r="P10" s="39">
        <v>3.9</v>
      </c>
      <c r="Q10" s="38">
        <v>7088</v>
      </c>
      <c r="R10" s="39">
        <v>2.2999999999999998</v>
      </c>
    </row>
    <row r="11" spans="1:18" x14ac:dyDescent="0.2">
      <c r="A11" t="s">
        <v>895</v>
      </c>
      <c r="E11" s="99"/>
      <c r="F11" s="34" t="s">
        <v>409</v>
      </c>
      <c r="G11" s="38">
        <v>59484</v>
      </c>
      <c r="H11" s="39">
        <v>79.900000000000006</v>
      </c>
      <c r="I11" s="38">
        <v>15007</v>
      </c>
      <c r="J11" s="39">
        <v>20.100000000000001</v>
      </c>
      <c r="K11" s="38">
        <v>8639</v>
      </c>
      <c r="L11" s="39">
        <v>12</v>
      </c>
      <c r="M11" s="38">
        <v>4877</v>
      </c>
      <c r="N11" s="39">
        <v>6.5</v>
      </c>
      <c r="O11" s="39">
        <v>819</v>
      </c>
      <c r="P11" s="39">
        <v>1.1000000000000001</v>
      </c>
      <c r="Q11" s="39">
        <v>672</v>
      </c>
      <c r="R11" s="39">
        <v>0.9</v>
      </c>
    </row>
    <row r="12" spans="1:18" x14ac:dyDescent="0.2">
      <c r="A12" t="s">
        <v>896</v>
      </c>
      <c r="E12" s="99"/>
      <c r="F12" s="34" t="s">
        <v>421</v>
      </c>
      <c r="G12" s="38">
        <v>152966</v>
      </c>
      <c r="H12" s="39">
        <v>87.8</v>
      </c>
      <c r="I12" s="38">
        <v>21217</v>
      </c>
      <c r="J12" s="39">
        <v>12.2</v>
      </c>
      <c r="K12" s="38">
        <v>11924</v>
      </c>
      <c r="L12" s="39">
        <v>6.8</v>
      </c>
      <c r="M12" s="38">
        <v>5602</v>
      </c>
      <c r="N12" s="39">
        <v>3.2</v>
      </c>
      <c r="O12" s="38">
        <v>2679</v>
      </c>
      <c r="P12" s="39">
        <v>1.5</v>
      </c>
      <c r="Q12" s="38">
        <v>1012</v>
      </c>
      <c r="R12" s="39">
        <v>0.6</v>
      </c>
    </row>
    <row r="13" spans="1:18" x14ac:dyDescent="0.2">
      <c r="A13" t="s">
        <v>897</v>
      </c>
      <c r="E13" s="99"/>
      <c r="F13" s="34" t="s">
        <v>470</v>
      </c>
      <c r="G13" s="38">
        <v>619503</v>
      </c>
      <c r="H13" s="39">
        <v>65.7</v>
      </c>
      <c r="I13" s="38">
        <v>324103</v>
      </c>
      <c r="J13" s="39">
        <v>34.299999999999997</v>
      </c>
      <c r="K13" s="38">
        <v>196271</v>
      </c>
      <c r="L13" s="39">
        <v>21</v>
      </c>
      <c r="M13" s="38">
        <v>78915</v>
      </c>
      <c r="N13" s="39">
        <v>8.4</v>
      </c>
      <c r="O13" s="38">
        <v>32889</v>
      </c>
      <c r="P13" s="39">
        <v>3.5</v>
      </c>
      <c r="Q13" s="38">
        <v>16028</v>
      </c>
      <c r="R13" s="39">
        <v>1.7</v>
      </c>
    </row>
    <row r="14" spans="1:18" x14ac:dyDescent="0.2">
      <c r="A14" t="s">
        <v>899</v>
      </c>
      <c r="E14" s="99"/>
      <c r="F14" s="34" t="s">
        <v>898</v>
      </c>
      <c r="G14" s="38">
        <v>1585850</v>
      </c>
      <c r="H14" s="39">
        <v>54.2</v>
      </c>
      <c r="I14" s="38">
        <v>670104</v>
      </c>
      <c r="J14" s="39">
        <v>22.9</v>
      </c>
      <c r="K14" s="38">
        <v>356348</v>
      </c>
      <c r="L14" s="39">
        <v>12.2</v>
      </c>
      <c r="M14" s="38">
        <v>220796</v>
      </c>
      <c r="N14" s="39">
        <v>7.5</v>
      </c>
      <c r="O14" s="38">
        <v>61480</v>
      </c>
      <c r="P14" s="39">
        <v>2.1</v>
      </c>
      <c r="Q14" s="38">
        <v>31480</v>
      </c>
      <c r="R14" s="39">
        <v>1.1000000000000001</v>
      </c>
    </row>
    <row r="15" spans="1:18" x14ac:dyDescent="0.2">
      <c r="A15" t="s">
        <v>901</v>
      </c>
      <c r="E15" s="99"/>
      <c r="F15" s="34" t="s">
        <v>914</v>
      </c>
      <c r="G15" s="38">
        <v>8808643</v>
      </c>
      <c r="H15" s="39">
        <v>69.400000000000006</v>
      </c>
      <c r="I15" s="38">
        <v>1942746</v>
      </c>
      <c r="J15" s="39">
        <v>15.3</v>
      </c>
      <c r="K15" s="38">
        <v>940527</v>
      </c>
      <c r="L15" s="39">
        <v>12.2</v>
      </c>
      <c r="M15" s="38">
        <v>632717</v>
      </c>
      <c r="N15" s="39">
        <v>5</v>
      </c>
      <c r="O15" s="38">
        <v>258104</v>
      </c>
      <c r="P15" s="39">
        <v>2</v>
      </c>
      <c r="Q15" s="38">
        <v>111398</v>
      </c>
      <c r="R15" s="39">
        <v>0.9</v>
      </c>
    </row>
    <row r="16" spans="1:18" x14ac:dyDescent="0.2">
      <c r="E16" s="99"/>
      <c r="F16" s="34" t="s">
        <v>915</v>
      </c>
      <c r="G16" s="38">
        <v>13017480</v>
      </c>
      <c r="H16" s="39">
        <v>69.400000000000006</v>
      </c>
      <c r="I16" s="38">
        <v>5751878</v>
      </c>
      <c r="J16" s="39">
        <v>30.6</v>
      </c>
      <c r="K16" s="38">
        <v>2762664</v>
      </c>
      <c r="L16" s="39">
        <v>15</v>
      </c>
      <c r="M16" s="38">
        <v>1679571</v>
      </c>
      <c r="N16" s="39">
        <v>8.9</v>
      </c>
      <c r="O16" s="38">
        <v>958133</v>
      </c>
      <c r="P16" s="39">
        <v>5.0999999999999996</v>
      </c>
      <c r="Q16" s="38">
        <v>351510</v>
      </c>
      <c r="R16" s="39">
        <v>1.9</v>
      </c>
    </row>
    <row r="17" spans="1:6" x14ac:dyDescent="0.2">
      <c r="E17" s="99"/>
    </row>
    <row r="18" spans="1:6" ht="21" x14ac:dyDescent="0.25">
      <c r="A18" s="98" t="s">
        <v>902</v>
      </c>
      <c r="B18" s="99"/>
      <c r="E18" s="99"/>
      <c r="F18" s="36"/>
    </row>
    <row r="19" spans="1:6" x14ac:dyDescent="0.2">
      <c r="A19" t="s">
        <v>903</v>
      </c>
      <c r="E19" s="99"/>
    </row>
    <row r="20" spans="1:6" x14ac:dyDescent="0.2">
      <c r="A20" t="s">
        <v>904</v>
      </c>
      <c r="E20" s="99"/>
    </row>
    <row r="21" spans="1:6" x14ac:dyDescent="0.2">
      <c r="A21" t="s">
        <v>905</v>
      </c>
      <c r="E21" s="99"/>
    </row>
    <row r="22" spans="1:6" x14ac:dyDescent="0.2">
      <c r="A22" t="s">
        <v>906</v>
      </c>
      <c r="E22" s="99"/>
    </row>
    <row r="23" spans="1:6" x14ac:dyDescent="0.2">
      <c r="A23" t="s">
        <v>907</v>
      </c>
      <c r="E23" s="99"/>
    </row>
    <row r="24" spans="1:6" x14ac:dyDescent="0.2">
      <c r="A24" t="s">
        <v>908</v>
      </c>
      <c r="E24" s="99"/>
    </row>
    <row r="25" spans="1:6" x14ac:dyDescent="0.2">
      <c r="A25" t="s">
        <v>909</v>
      </c>
      <c r="E25" s="99"/>
    </row>
    <row r="26" spans="1:6" x14ac:dyDescent="0.2">
      <c r="E26" s="99"/>
    </row>
    <row r="27" spans="1:6" x14ac:dyDescent="0.2">
      <c r="A27" s="101" t="s">
        <v>910</v>
      </c>
      <c r="B27" s="99"/>
      <c r="E27" s="99"/>
    </row>
    <row r="28" spans="1:6" x14ac:dyDescent="0.2">
      <c r="E28" s="99"/>
    </row>
    <row r="29" spans="1:6" x14ac:dyDescent="0.2">
      <c r="E29" s="99"/>
    </row>
    <row r="30" spans="1:6" x14ac:dyDescent="0.2">
      <c r="E30" s="99"/>
    </row>
    <row r="31" spans="1:6" x14ac:dyDescent="0.2">
      <c r="E31" s="99"/>
    </row>
    <row r="32" spans="1:6"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3">
    <mergeCell ref="O5:P5"/>
    <mergeCell ref="Q5:R5"/>
    <mergeCell ref="B1:O1"/>
    <mergeCell ref="A5:B5"/>
    <mergeCell ref="E5:E57"/>
    <mergeCell ref="A9:B9"/>
    <mergeCell ref="A18:B18"/>
    <mergeCell ref="A27:B27"/>
    <mergeCell ref="G5:H5"/>
    <mergeCell ref="I5:J5"/>
    <mergeCell ref="K5:L5"/>
    <mergeCell ref="M5:N5"/>
    <mergeCell ref="F5:F6"/>
  </mergeCells>
  <dataValidations count="4">
    <dataValidation type="list" allowBlank="1" showInputMessage="1" showErrorMessage="1" sqref="B6 B15" xr:uid="{B5C5F871-DA5A-9F43-9C0A-04B0479F0292}">
      <formula1>"True,False"</formula1>
    </dataValidation>
    <dataValidation type="list" allowBlank="1" showInputMessage="1" showErrorMessage="1" sqref="B2" xr:uid="{A895BE0A-3E6B-D545-B563-F371C103D906}">
      <formula1>"Table,Figure,Both"</formula1>
    </dataValidation>
    <dataValidation type="list" allowBlank="1" showInputMessage="1" showErrorMessage="1" sqref="B10" xr:uid="{109B620B-6DA2-2541-ABED-3AA9FBFDFC03}">
      <formula1>"Line,Clustered Bar,Stacked Bar"</formula1>
    </dataValidation>
    <dataValidation type="list" allowBlank="1" showInputMessage="1" showErrorMessage="1" sqref="G4:Q4" xr:uid="{2280486F-52E7-6749-8D2B-D6CA6A7DB5B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48BD237-2D60-6445-8590-522FE6B68971}">
          <x14:formula1>
            <xm:f>Master!$F$2:$F$293</xm:f>
          </x14:formula1>
          <xm:sqref>B1:O1</xm:sqref>
        </x14:dataValidation>
        <x14:dataValidation type="list" allowBlank="1" showInputMessage="1" showErrorMessage="1" xr:uid="{E07102AB-DABB-B845-BE88-CF1716C41B73}">
          <x14:formula1>
            <xm:f>Dropdowns!$A$1:$A$8</xm:f>
          </x14:formula1>
          <xm:sqref>R4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371D-5FE8-AA49-8E19-672324146399}">
  <dimension ref="A1:O57"/>
  <sheetViews>
    <sheetView workbookViewId="0">
      <selection activeCell="F6" sqref="F6"/>
    </sheetView>
  </sheetViews>
  <sheetFormatPr baseColWidth="10" defaultColWidth="8.6640625" defaultRowHeight="15" x14ac:dyDescent="0.2"/>
  <cols>
    <col min="1" max="1" width="20" bestFit="1" customWidth="1"/>
    <col min="2" max="2" width="16.6640625" customWidth="1"/>
    <col min="5" max="5" width="6.6640625" customWidth="1"/>
    <col min="6" max="6" width="11.16406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102" t="s">
        <v>36</v>
      </c>
      <c r="C1" s="99"/>
      <c r="D1" s="99"/>
      <c r="E1" s="99"/>
      <c r="F1" s="99"/>
      <c r="G1" s="99"/>
      <c r="H1" s="99"/>
      <c r="I1" s="99"/>
      <c r="J1" s="99"/>
      <c r="K1" s="99"/>
      <c r="L1" s="99"/>
      <c r="M1" s="99"/>
      <c r="N1" s="99"/>
      <c r="O1" s="99"/>
    </row>
    <row r="2" spans="1:15" x14ac:dyDescent="0.2">
      <c r="A2" s="58" t="s">
        <v>883</v>
      </c>
      <c r="B2" t="s">
        <v>12</v>
      </c>
    </row>
    <row r="3" spans="1:15" x14ac:dyDescent="0.2">
      <c r="A3" s="58" t="s">
        <v>884</v>
      </c>
      <c r="B3" t="str">
        <f>IF($B$1="","",_xlfn.XLOOKUP($B$1,Master!$F$2:$F$308,Master!$G$2:$G$308,""))</f>
        <v>tbl-pop-25</v>
      </c>
    </row>
    <row r="4" spans="1:15" x14ac:dyDescent="0.2">
      <c r="E4" s="13"/>
      <c r="F4" s="13"/>
      <c r="G4" s="16" t="s">
        <v>664</v>
      </c>
      <c r="H4" s="16"/>
      <c r="I4" s="16"/>
      <c r="J4" s="16"/>
      <c r="K4" s="16"/>
      <c r="L4" s="16"/>
      <c r="M4" s="16"/>
      <c r="N4" s="16"/>
      <c r="O4" s="16"/>
    </row>
    <row r="5" spans="1:15" x14ac:dyDescent="0.2">
      <c r="A5" s="98" t="s">
        <v>885</v>
      </c>
      <c r="B5" s="99"/>
      <c r="E5" s="100" t="s">
        <v>886</v>
      </c>
      <c r="F5" t="s">
        <v>1926</v>
      </c>
      <c r="G5" s="34" t="s">
        <v>888</v>
      </c>
    </row>
    <row r="6" spans="1:15" ht="15" customHeight="1" x14ac:dyDescent="0.2">
      <c r="A6" t="s">
        <v>891</v>
      </c>
      <c r="B6" t="b">
        <v>0</v>
      </c>
      <c r="E6" s="99"/>
      <c r="F6" s="34" t="s">
        <v>220</v>
      </c>
      <c r="G6" s="35">
        <v>211380</v>
      </c>
    </row>
    <row r="7" spans="1:15" ht="15.75" customHeight="1" x14ac:dyDescent="0.2">
      <c r="E7" s="99"/>
      <c r="F7" s="34" t="s">
        <v>18</v>
      </c>
      <c r="G7" s="35">
        <v>258632</v>
      </c>
    </row>
    <row r="8" spans="1:15" x14ac:dyDescent="0.2">
      <c r="E8" s="99"/>
      <c r="F8" s="34" t="s">
        <v>537</v>
      </c>
      <c r="G8" s="35">
        <v>71149</v>
      </c>
    </row>
    <row r="9" spans="1:15" x14ac:dyDescent="0.2">
      <c r="A9" s="98" t="s">
        <v>893</v>
      </c>
      <c r="B9" s="99"/>
      <c r="E9" s="99"/>
      <c r="F9" s="34" t="s">
        <v>449</v>
      </c>
      <c r="G9" s="35">
        <v>208594</v>
      </c>
    </row>
    <row r="10" spans="1:15" x14ac:dyDescent="0.2">
      <c r="A10" t="s">
        <v>894</v>
      </c>
      <c r="E10" s="99"/>
      <c r="F10" s="34" t="s">
        <v>409</v>
      </c>
      <c r="G10" s="35">
        <v>55761</v>
      </c>
    </row>
    <row r="11" spans="1:15" x14ac:dyDescent="0.2">
      <c r="A11" t="s">
        <v>895</v>
      </c>
      <c r="E11" s="99"/>
      <c r="F11" s="34" t="s">
        <v>421</v>
      </c>
      <c r="G11" s="35">
        <v>134325</v>
      </c>
    </row>
    <row r="12" spans="1:15" x14ac:dyDescent="0.2">
      <c r="A12" t="s">
        <v>896</v>
      </c>
      <c r="E12" s="99"/>
      <c r="F12" s="34" t="s">
        <v>470</v>
      </c>
      <c r="G12" s="35">
        <v>697202</v>
      </c>
    </row>
    <row r="13" spans="1:15" x14ac:dyDescent="0.2">
      <c r="A13" t="s">
        <v>897</v>
      </c>
      <c r="E13" s="99"/>
      <c r="F13" s="34" t="s">
        <v>898</v>
      </c>
      <c r="G13" s="35">
        <v>1637043</v>
      </c>
    </row>
    <row r="14" spans="1:15" x14ac:dyDescent="0.2">
      <c r="A14" t="s">
        <v>899</v>
      </c>
      <c r="E14" s="99"/>
      <c r="F14" s="34" t="s">
        <v>914</v>
      </c>
      <c r="G14" s="35">
        <v>7905485</v>
      </c>
    </row>
    <row r="15" spans="1:15" x14ac:dyDescent="0.2">
      <c r="A15" t="s">
        <v>901</v>
      </c>
      <c r="E15" s="99"/>
      <c r="F15" s="34" t="s">
        <v>915</v>
      </c>
      <c r="G15" s="35">
        <v>13996138</v>
      </c>
    </row>
    <row r="16" spans="1:15" x14ac:dyDescent="0.2">
      <c r="E16" s="99"/>
    </row>
    <row r="17" spans="1:6" ht="21" x14ac:dyDescent="0.25">
      <c r="E17" s="99"/>
      <c r="F17" s="36"/>
    </row>
    <row r="18" spans="1:6" x14ac:dyDescent="0.2">
      <c r="A18" s="98" t="s">
        <v>902</v>
      </c>
      <c r="B18" s="99"/>
      <c r="E18" s="99"/>
    </row>
    <row r="19" spans="1:6" x14ac:dyDescent="0.2">
      <c r="A19" t="s">
        <v>903</v>
      </c>
      <c r="E19" s="99"/>
    </row>
    <row r="20" spans="1:6" x14ac:dyDescent="0.2">
      <c r="A20" t="s">
        <v>904</v>
      </c>
      <c r="E20" s="99"/>
    </row>
    <row r="21" spans="1:6" x14ac:dyDescent="0.2">
      <c r="A21" t="s">
        <v>905</v>
      </c>
      <c r="E21" s="99"/>
    </row>
    <row r="22" spans="1:6" x14ac:dyDescent="0.2">
      <c r="A22" t="s">
        <v>906</v>
      </c>
      <c r="E22" s="99"/>
    </row>
    <row r="23" spans="1:6" x14ac:dyDescent="0.2">
      <c r="A23" t="s">
        <v>907</v>
      </c>
      <c r="E23" s="99"/>
    </row>
    <row r="24" spans="1:6" x14ac:dyDescent="0.2">
      <c r="A24" t="s">
        <v>908</v>
      </c>
      <c r="E24" s="99"/>
    </row>
    <row r="25" spans="1:6" x14ac:dyDescent="0.2">
      <c r="A25" t="s">
        <v>909</v>
      </c>
      <c r="E25" s="99"/>
    </row>
    <row r="26" spans="1:6" x14ac:dyDescent="0.2">
      <c r="E26" s="99"/>
    </row>
    <row r="27" spans="1:6" x14ac:dyDescent="0.2">
      <c r="A27" s="101" t="s">
        <v>910</v>
      </c>
      <c r="B27" s="99"/>
      <c r="E27" s="99"/>
    </row>
    <row r="28" spans="1:6" x14ac:dyDescent="0.2">
      <c r="E28" s="99"/>
    </row>
    <row r="29" spans="1:6" x14ac:dyDescent="0.2">
      <c r="E29" s="99"/>
    </row>
    <row r="30" spans="1:6" x14ac:dyDescent="0.2">
      <c r="E30" s="99"/>
    </row>
    <row r="31" spans="1:6" x14ac:dyDescent="0.2">
      <c r="E31" s="99"/>
    </row>
    <row r="32" spans="1:6"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FFE02896-B328-2043-B25C-3776310B771D}">
      <formula1>"True,False"</formula1>
    </dataValidation>
    <dataValidation type="list" allowBlank="1" showInputMessage="1" showErrorMessage="1" sqref="B2" xr:uid="{AFE82897-F9C2-5C43-8DEA-9E24988D7218}">
      <formula1>"Table,Figure,Both"</formula1>
    </dataValidation>
    <dataValidation type="list" allowBlank="1" showInputMessage="1" showErrorMessage="1" sqref="B10" xr:uid="{47CB4697-ADF1-3747-94AF-D6CB99136F95}">
      <formula1>"Line,Clustered Bar,Stacked Bar"</formula1>
    </dataValidation>
    <dataValidation type="list" allowBlank="1" showInputMessage="1" showErrorMessage="1" sqref="G4:O4" xr:uid="{19AF4275-6645-A94B-ADCD-390FC21AE25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8DF00A3-A65A-BE4A-A1D9-C3530940559B}">
          <x14:formula1>
            <xm:f>Master!$F$2:$F$293</xm:f>
          </x14:formula1>
          <xm:sqref>B1:O1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D518-DF56-E641-99B2-BF74A3D7CB95}">
  <dimension ref="A1:T57"/>
  <sheetViews>
    <sheetView workbookViewId="0">
      <selection activeCell="G23" sqref="G23"/>
    </sheetView>
  </sheetViews>
  <sheetFormatPr baseColWidth="10" defaultColWidth="8.6640625" defaultRowHeight="15" x14ac:dyDescent="0.2"/>
  <cols>
    <col min="1" max="1" width="20" bestFit="1" customWidth="1"/>
    <col min="2" max="2" width="16.6640625" customWidth="1"/>
    <col min="5" max="5" width="6.6640625" customWidth="1"/>
    <col min="6" max="6" width="14.6640625" customWidth="1"/>
    <col min="7" max="7" width="9.5" customWidth="1"/>
    <col min="8" max="8" width="13.5" customWidth="1"/>
    <col min="9" max="9" width="15.6640625" customWidth="1"/>
    <col min="11" max="11" width="10.6640625" customWidth="1"/>
    <col min="12" max="12" width="12.33203125" bestFit="1" customWidth="1"/>
    <col min="14" max="14" width="12.33203125" bestFit="1" customWidth="1"/>
    <col min="15" max="15" width="11" bestFit="1" customWidth="1"/>
    <col min="18" max="18" width="11.5" customWidth="1"/>
    <col min="19" max="19" width="14" customWidth="1"/>
    <col min="20" max="20" width="13.6640625" customWidth="1"/>
  </cols>
  <sheetData>
    <row r="1" spans="1:20" x14ac:dyDescent="0.2">
      <c r="A1" s="58" t="s">
        <v>882</v>
      </c>
      <c r="B1" s="102" t="s">
        <v>40</v>
      </c>
      <c r="C1" s="99"/>
      <c r="D1" s="99"/>
      <c r="E1" s="99"/>
      <c r="F1" s="99"/>
      <c r="G1" s="99"/>
      <c r="H1" s="99"/>
      <c r="I1" s="99"/>
      <c r="J1" s="99"/>
      <c r="K1" s="99"/>
      <c r="L1" s="99"/>
      <c r="M1" s="99"/>
      <c r="N1" s="99"/>
      <c r="O1" s="99"/>
    </row>
    <row r="2" spans="1:20" x14ac:dyDescent="0.2">
      <c r="A2" s="58" t="s">
        <v>883</v>
      </c>
      <c r="B2" t="s">
        <v>12</v>
      </c>
    </row>
    <row r="3" spans="1:20" x14ac:dyDescent="0.2">
      <c r="A3" s="58" t="s">
        <v>884</v>
      </c>
      <c r="B3" t="str">
        <f>IF($B$1="","",_xlfn.XLOOKUP($B$1,Master!$F$2:$F$308,Master!$G$2:$G$308,""))</f>
        <v>tbl-education-base</v>
      </c>
    </row>
    <row r="4" spans="1:20" x14ac:dyDescent="0.2">
      <c r="E4" s="13"/>
      <c r="F4" s="13"/>
      <c r="G4" s="16" t="s">
        <v>664</v>
      </c>
      <c r="H4" s="16" t="s">
        <v>679</v>
      </c>
      <c r="I4" s="16" t="s">
        <v>664</v>
      </c>
      <c r="J4" s="16" t="s">
        <v>679</v>
      </c>
      <c r="K4" s="16" t="s">
        <v>664</v>
      </c>
      <c r="L4" s="16" t="s">
        <v>679</v>
      </c>
      <c r="M4" s="16" t="s">
        <v>664</v>
      </c>
      <c r="N4" s="16" t="s">
        <v>679</v>
      </c>
      <c r="O4" s="16" t="s">
        <v>664</v>
      </c>
      <c r="P4" s="16" t="s">
        <v>679</v>
      </c>
      <c r="Q4" s="16" t="s">
        <v>664</v>
      </c>
      <c r="R4" s="16" t="s">
        <v>679</v>
      </c>
      <c r="S4" s="16" t="s">
        <v>664</v>
      </c>
      <c r="T4" s="16" t="s">
        <v>679</v>
      </c>
    </row>
    <row r="5" spans="1:20" x14ac:dyDescent="0.2">
      <c r="A5" s="98" t="s">
        <v>885</v>
      </c>
      <c r="B5" s="99"/>
      <c r="E5" s="100" t="s">
        <v>886</v>
      </c>
      <c r="F5" s="101" t="s">
        <v>1926</v>
      </c>
      <c r="G5" s="111" t="s">
        <v>942</v>
      </c>
      <c r="H5" s="111"/>
      <c r="I5" s="111" t="s">
        <v>943</v>
      </c>
      <c r="J5" s="111"/>
      <c r="K5" s="111" t="s">
        <v>944</v>
      </c>
      <c r="L5" s="111"/>
      <c r="M5" s="111" t="s">
        <v>945</v>
      </c>
      <c r="N5" s="111"/>
      <c r="O5" s="111" t="s">
        <v>946</v>
      </c>
      <c r="P5" s="111"/>
      <c r="Q5" s="111" t="s">
        <v>947</v>
      </c>
      <c r="R5" s="111"/>
      <c r="S5" s="111" t="s">
        <v>948</v>
      </c>
      <c r="T5" s="111"/>
    </row>
    <row r="6" spans="1:20" x14ac:dyDescent="0.2">
      <c r="A6" t="s">
        <v>891</v>
      </c>
      <c r="B6" t="b">
        <v>1</v>
      </c>
      <c r="E6" s="99"/>
      <c r="F6" s="101"/>
      <c r="G6" s="31" t="s">
        <v>949</v>
      </c>
      <c r="H6" s="31" t="s">
        <v>913</v>
      </c>
      <c r="I6" s="31" t="s">
        <v>949</v>
      </c>
      <c r="J6" s="31" t="s">
        <v>913</v>
      </c>
      <c r="K6" s="31" t="s">
        <v>949</v>
      </c>
      <c r="L6" s="31" t="s">
        <v>913</v>
      </c>
      <c r="M6" s="31" t="s">
        <v>949</v>
      </c>
      <c r="N6" s="31" t="s">
        <v>913</v>
      </c>
      <c r="O6" s="31" t="s">
        <v>949</v>
      </c>
      <c r="P6" s="31" t="s">
        <v>913</v>
      </c>
      <c r="Q6" s="31" t="s">
        <v>949</v>
      </c>
      <c r="R6" s="31" t="s">
        <v>913</v>
      </c>
      <c r="S6" s="31" t="s">
        <v>949</v>
      </c>
      <c r="T6" s="31" t="s">
        <v>913</v>
      </c>
    </row>
    <row r="7" spans="1:20" ht="15.75" customHeight="1" x14ac:dyDescent="0.2">
      <c r="E7" s="99"/>
      <c r="F7" s="17" t="s">
        <v>220</v>
      </c>
      <c r="G7" s="32">
        <v>6262</v>
      </c>
      <c r="H7" s="33">
        <v>3</v>
      </c>
      <c r="I7" s="32">
        <v>11055</v>
      </c>
      <c r="J7" s="33">
        <v>5.2</v>
      </c>
      <c r="K7" s="32">
        <v>52992</v>
      </c>
      <c r="L7" s="33">
        <v>25.1</v>
      </c>
      <c r="M7" s="32">
        <v>35689</v>
      </c>
      <c r="N7" s="33">
        <v>16.899999999999999</v>
      </c>
      <c r="O7" s="32">
        <v>21410</v>
      </c>
      <c r="P7" s="33">
        <v>10.1</v>
      </c>
      <c r="Q7" s="32">
        <v>44414</v>
      </c>
      <c r="R7" s="33">
        <v>21</v>
      </c>
      <c r="S7" s="32">
        <v>39558</v>
      </c>
      <c r="T7" s="33">
        <v>18.7</v>
      </c>
    </row>
    <row r="8" spans="1:20" x14ac:dyDescent="0.2">
      <c r="E8" s="99"/>
      <c r="F8" s="17" t="s">
        <v>18</v>
      </c>
      <c r="G8" s="32">
        <v>10091</v>
      </c>
      <c r="H8" s="33">
        <v>3.9</v>
      </c>
      <c r="I8" s="32">
        <v>16609</v>
      </c>
      <c r="J8" s="33">
        <v>6.4</v>
      </c>
      <c r="K8" s="32">
        <v>72466</v>
      </c>
      <c r="L8" s="33">
        <v>28</v>
      </c>
      <c r="M8" s="32">
        <v>49355</v>
      </c>
      <c r="N8" s="33">
        <v>19.100000000000001</v>
      </c>
      <c r="O8" s="32">
        <v>26722</v>
      </c>
      <c r="P8" s="33">
        <v>10.3</v>
      </c>
      <c r="Q8" s="32">
        <v>46977</v>
      </c>
      <c r="R8" s="33">
        <v>18.2</v>
      </c>
      <c r="S8" s="32">
        <v>36412</v>
      </c>
      <c r="T8" s="33">
        <v>14.1</v>
      </c>
    </row>
    <row r="9" spans="1:20" x14ac:dyDescent="0.2">
      <c r="A9" s="98" t="s">
        <v>893</v>
      </c>
      <c r="B9" s="99"/>
      <c r="E9" s="99"/>
      <c r="F9" s="17" t="s">
        <v>537</v>
      </c>
      <c r="G9" s="32">
        <v>2255</v>
      </c>
      <c r="H9" s="33">
        <v>3.2</v>
      </c>
      <c r="I9" s="32">
        <v>2536</v>
      </c>
      <c r="J9" s="33">
        <v>3.6</v>
      </c>
      <c r="K9" s="32">
        <v>17647</v>
      </c>
      <c r="L9" s="33">
        <v>24.8</v>
      </c>
      <c r="M9" s="32">
        <v>11728</v>
      </c>
      <c r="N9" s="33">
        <v>16.5</v>
      </c>
      <c r="O9" s="32">
        <v>6002</v>
      </c>
      <c r="P9" s="33">
        <v>8.4</v>
      </c>
      <c r="Q9" s="32">
        <v>17222</v>
      </c>
      <c r="R9" s="33">
        <v>24.2</v>
      </c>
      <c r="S9" s="32">
        <v>13759</v>
      </c>
      <c r="T9" s="33">
        <v>19.3</v>
      </c>
    </row>
    <row r="10" spans="1:20" x14ac:dyDescent="0.2">
      <c r="A10" t="s">
        <v>894</v>
      </c>
      <c r="E10" s="99"/>
      <c r="F10" s="17" t="s">
        <v>449</v>
      </c>
      <c r="G10" s="32">
        <v>11800</v>
      </c>
      <c r="H10" s="33">
        <v>5.7</v>
      </c>
      <c r="I10" s="32">
        <v>13858</v>
      </c>
      <c r="J10" s="33">
        <v>6.6</v>
      </c>
      <c r="K10" s="32">
        <v>45118</v>
      </c>
      <c r="L10" s="33">
        <v>21.6</v>
      </c>
      <c r="M10" s="32">
        <v>33790</v>
      </c>
      <c r="N10" s="33">
        <v>16.2</v>
      </c>
      <c r="O10" s="32">
        <v>16169</v>
      </c>
      <c r="P10" s="33">
        <v>7.8</v>
      </c>
      <c r="Q10" s="32">
        <v>48405</v>
      </c>
      <c r="R10" s="33">
        <v>23.2</v>
      </c>
      <c r="S10" s="32">
        <v>39454</v>
      </c>
      <c r="T10" s="33">
        <v>18.899999999999999</v>
      </c>
    </row>
    <row r="11" spans="1:20" x14ac:dyDescent="0.2">
      <c r="A11" t="s">
        <v>895</v>
      </c>
      <c r="E11" s="99"/>
      <c r="F11" s="17" t="s">
        <v>409</v>
      </c>
      <c r="G11" s="32">
        <v>2755</v>
      </c>
      <c r="H11" s="33">
        <v>4.9000000000000004</v>
      </c>
      <c r="I11" s="32">
        <v>4129</v>
      </c>
      <c r="J11" s="33">
        <v>7.4</v>
      </c>
      <c r="K11" s="32">
        <v>16623</v>
      </c>
      <c r="L11" s="33">
        <v>29.8</v>
      </c>
      <c r="M11" s="32">
        <v>9973</v>
      </c>
      <c r="N11" s="33">
        <v>17.899999999999999</v>
      </c>
      <c r="O11" s="32">
        <v>5728</v>
      </c>
      <c r="P11" s="33">
        <v>10.3</v>
      </c>
      <c r="Q11" s="32">
        <v>9476</v>
      </c>
      <c r="R11" s="33">
        <v>17</v>
      </c>
      <c r="S11" s="32">
        <v>7077</v>
      </c>
      <c r="T11" s="33">
        <v>12.7</v>
      </c>
    </row>
    <row r="12" spans="1:20" x14ac:dyDescent="0.2">
      <c r="A12" t="s">
        <v>896</v>
      </c>
      <c r="E12" s="99"/>
      <c r="F12" s="17" t="s">
        <v>421</v>
      </c>
      <c r="G12" s="32">
        <v>3463</v>
      </c>
      <c r="H12" s="33">
        <v>2.6</v>
      </c>
      <c r="I12" s="32">
        <v>7622</v>
      </c>
      <c r="J12" s="33">
        <v>5.7</v>
      </c>
      <c r="K12" s="32">
        <v>37570</v>
      </c>
      <c r="L12" s="33">
        <v>28</v>
      </c>
      <c r="M12" s="32">
        <v>22968</v>
      </c>
      <c r="N12" s="33">
        <v>17.100000000000001</v>
      </c>
      <c r="O12" s="32">
        <v>12934</v>
      </c>
      <c r="P12" s="33">
        <v>9.6</v>
      </c>
      <c r="Q12" s="32">
        <v>27094</v>
      </c>
      <c r="R12" s="33">
        <v>20.2</v>
      </c>
      <c r="S12" s="32">
        <v>22674</v>
      </c>
      <c r="T12" s="33">
        <v>16.899999999999999</v>
      </c>
    </row>
    <row r="13" spans="1:20" x14ac:dyDescent="0.2">
      <c r="A13" t="s">
        <v>897</v>
      </c>
      <c r="E13" s="99"/>
      <c r="F13" s="17" t="s">
        <v>470</v>
      </c>
      <c r="G13" s="32">
        <v>37761</v>
      </c>
      <c r="H13" s="33">
        <v>5.4</v>
      </c>
      <c r="I13" s="32">
        <v>36459</v>
      </c>
      <c r="J13" s="33">
        <v>5.2</v>
      </c>
      <c r="K13" s="32">
        <v>124954</v>
      </c>
      <c r="L13" s="33">
        <v>17.899999999999999</v>
      </c>
      <c r="M13" s="32">
        <v>87534</v>
      </c>
      <c r="N13" s="33">
        <v>12.6</v>
      </c>
      <c r="O13" s="32">
        <v>44393</v>
      </c>
      <c r="P13" s="33">
        <v>6.4</v>
      </c>
      <c r="Q13" s="32">
        <v>181482</v>
      </c>
      <c r="R13" s="33">
        <v>26</v>
      </c>
      <c r="S13" s="32">
        <v>184619</v>
      </c>
      <c r="T13" s="33">
        <v>26.5</v>
      </c>
    </row>
    <row r="14" spans="1:20" x14ac:dyDescent="0.2">
      <c r="A14" t="s">
        <v>899</v>
      </c>
      <c r="E14" s="99"/>
      <c r="F14" s="17" t="s">
        <v>898</v>
      </c>
      <c r="G14" s="32">
        <v>74387</v>
      </c>
      <c r="H14" s="33">
        <v>4.5</v>
      </c>
      <c r="I14" s="32">
        <v>92268</v>
      </c>
      <c r="J14" s="33">
        <v>5.6</v>
      </c>
      <c r="K14" s="32">
        <v>367370</v>
      </c>
      <c r="L14" s="33">
        <v>22.4</v>
      </c>
      <c r="M14" s="32">
        <v>251037</v>
      </c>
      <c r="N14" s="33">
        <v>15.3</v>
      </c>
      <c r="O14" s="32">
        <v>133358</v>
      </c>
      <c r="P14" s="33">
        <v>8.1</v>
      </c>
      <c r="Q14" s="32">
        <v>375070</v>
      </c>
      <c r="R14" s="33">
        <v>22.9</v>
      </c>
      <c r="S14" s="32">
        <v>343553</v>
      </c>
      <c r="T14" s="33">
        <v>21</v>
      </c>
    </row>
    <row r="15" spans="1:20" x14ac:dyDescent="0.2">
      <c r="A15" t="s">
        <v>901</v>
      </c>
      <c r="E15" s="99"/>
      <c r="F15" s="17" t="s">
        <v>914</v>
      </c>
      <c r="G15" s="32">
        <v>300738</v>
      </c>
      <c r="H15" s="33">
        <v>3.8</v>
      </c>
      <c r="I15" s="32">
        <v>403754</v>
      </c>
      <c r="J15" s="33">
        <v>5.0999999999999996</v>
      </c>
      <c r="K15" s="32">
        <v>2039454</v>
      </c>
      <c r="L15" s="33">
        <v>25.8</v>
      </c>
      <c r="M15" s="32">
        <v>1277348</v>
      </c>
      <c r="N15" s="33">
        <v>16.2</v>
      </c>
      <c r="O15" s="32">
        <v>847708</v>
      </c>
      <c r="P15" s="33">
        <v>10.7</v>
      </c>
      <c r="Q15" s="32">
        <v>1643943</v>
      </c>
      <c r="R15" s="33">
        <v>20.8</v>
      </c>
      <c r="S15" s="32">
        <v>1392540</v>
      </c>
      <c r="T15" s="33">
        <v>17.600000000000001</v>
      </c>
    </row>
    <row r="16" spans="1:20" x14ac:dyDescent="0.2">
      <c r="E16" s="99"/>
      <c r="F16" s="17" t="s">
        <v>915</v>
      </c>
      <c r="G16" s="32">
        <v>836124</v>
      </c>
      <c r="H16" s="33">
        <v>6</v>
      </c>
      <c r="I16" s="32">
        <v>862413</v>
      </c>
      <c r="J16" s="33">
        <v>6.2</v>
      </c>
      <c r="K16" s="32">
        <v>3437438</v>
      </c>
      <c r="L16" s="33">
        <v>24.6</v>
      </c>
      <c r="M16" s="32">
        <v>2081783</v>
      </c>
      <c r="N16" s="33">
        <v>14.9</v>
      </c>
      <c r="O16" s="32">
        <v>1242877</v>
      </c>
      <c r="P16" s="33">
        <v>8.9</v>
      </c>
      <c r="Q16" s="32">
        <v>3083769</v>
      </c>
      <c r="R16" s="33">
        <v>22</v>
      </c>
      <c r="S16" s="32">
        <v>2451734</v>
      </c>
      <c r="T16" s="33">
        <v>17.5</v>
      </c>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4">
    <mergeCell ref="S5:T5"/>
    <mergeCell ref="Q5:R5"/>
    <mergeCell ref="O5:P5"/>
    <mergeCell ref="M5:N5"/>
    <mergeCell ref="K5:L5"/>
    <mergeCell ref="B1:O1"/>
    <mergeCell ref="A5:B5"/>
    <mergeCell ref="E5:E57"/>
    <mergeCell ref="A9:B9"/>
    <mergeCell ref="A18:B18"/>
    <mergeCell ref="A27:B27"/>
    <mergeCell ref="G5:H5"/>
    <mergeCell ref="I5:J5"/>
    <mergeCell ref="F5:F6"/>
  </mergeCells>
  <dataValidations count="4">
    <dataValidation type="list" allowBlank="1" showInputMessage="1" showErrorMessage="1" sqref="G4:T4" xr:uid="{967E048F-6479-B348-8EF8-7097BAB310F8}">
      <formula1>"integer, number, percent1"</formula1>
    </dataValidation>
    <dataValidation type="list" allowBlank="1" showInputMessage="1" showErrorMessage="1" sqref="B10" xr:uid="{0632C8A3-0579-1849-B29D-F1DD7296AC45}">
      <formula1>"Line,Clustered Bar,Stacked Bar"</formula1>
    </dataValidation>
    <dataValidation type="list" allowBlank="1" showInputMessage="1" showErrorMessage="1" sqref="B2" xr:uid="{1F0F5C09-84EA-CE41-A8D6-7229BA3556A1}">
      <formula1>"Table,Figure,Both"</formula1>
    </dataValidation>
    <dataValidation type="list" allowBlank="1" showInputMessage="1" showErrorMessage="1" sqref="B6 B15" xr:uid="{0F29D217-7F4D-E646-97AB-6A170B8C7D0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BB3CE8B-BF84-6746-950C-257E551055F4}">
          <x14:formula1>
            <xm:f>Master!$F$2:$F$293</xm:f>
          </x14:formula1>
          <xm:sqref>B1:O1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DCF3-8D6A-F243-8A03-B7BD8D5F94F6}">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1.16406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102" t="s">
        <v>42</v>
      </c>
      <c r="C1" s="99"/>
      <c r="D1" s="99"/>
      <c r="E1" s="99"/>
      <c r="F1" s="99"/>
      <c r="G1" s="99"/>
      <c r="H1" s="99"/>
      <c r="I1" s="99"/>
      <c r="J1" s="99"/>
      <c r="K1" s="99"/>
      <c r="L1" s="99"/>
      <c r="M1" s="99"/>
      <c r="N1" s="99"/>
      <c r="O1" s="99"/>
    </row>
    <row r="2" spans="1:15" x14ac:dyDescent="0.2">
      <c r="A2" s="58" t="s">
        <v>883</v>
      </c>
      <c r="B2" t="s">
        <v>12</v>
      </c>
    </row>
    <row r="3" spans="1:15" x14ac:dyDescent="0.2">
      <c r="A3" s="58" t="s">
        <v>884</v>
      </c>
      <c r="B3" t="str">
        <f>IF($B$1="","",_xlfn.XLOOKUP($B$1,Master!$F$2:$F$308,Master!$G$2:$G$308,""))</f>
        <v>tbl-households</v>
      </c>
    </row>
    <row r="4" spans="1:15" x14ac:dyDescent="0.2">
      <c r="E4" s="13"/>
      <c r="F4" s="13"/>
      <c r="G4" s="16" t="s">
        <v>664</v>
      </c>
      <c r="H4" s="16"/>
      <c r="I4" s="16"/>
      <c r="J4" s="16"/>
      <c r="K4" s="16"/>
      <c r="L4" s="16"/>
      <c r="M4" s="16"/>
      <c r="N4" s="16"/>
      <c r="O4" s="16"/>
    </row>
    <row r="5" spans="1:15" x14ac:dyDescent="0.2">
      <c r="A5" s="98" t="s">
        <v>885</v>
      </c>
      <c r="B5" s="99"/>
      <c r="E5" s="100" t="s">
        <v>886</v>
      </c>
      <c r="G5" s="17" t="s">
        <v>950</v>
      </c>
    </row>
    <row r="6" spans="1:15" ht="15" customHeight="1" x14ac:dyDescent="0.2">
      <c r="A6" t="s">
        <v>891</v>
      </c>
      <c r="B6" t="b">
        <v>0</v>
      </c>
      <c r="E6" s="99"/>
      <c r="F6" s="17" t="s">
        <v>220</v>
      </c>
      <c r="G6" s="19">
        <v>115184</v>
      </c>
    </row>
    <row r="7" spans="1:15" ht="15.75" customHeight="1" x14ac:dyDescent="0.2">
      <c r="E7" s="99"/>
      <c r="F7" s="17" t="s">
        <v>18</v>
      </c>
      <c r="G7" s="19">
        <v>137311</v>
      </c>
    </row>
    <row r="8" spans="1:15" x14ac:dyDescent="0.2">
      <c r="E8" s="99"/>
      <c r="F8" s="17" t="s">
        <v>537</v>
      </c>
      <c r="G8" s="19">
        <v>35054</v>
      </c>
    </row>
    <row r="9" spans="1:15" x14ac:dyDescent="0.2">
      <c r="A9" s="98" t="s">
        <v>893</v>
      </c>
      <c r="B9" s="99"/>
      <c r="E9" s="99"/>
      <c r="F9" s="17" t="s">
        <v>449</v>
      </c>
      <c r="G9" s="19">
        <v>103284</v>
      </c>
    </row>
    <row r="10" spans="1:15" x14ac:dyDescent="0.2">
      <c r="A10" t="s">
        <v>894</v>
      </c>
      <c r="E10" s="99"/>
      <c r="F10" s="17" t="s">
        <v>409</v>
      </c>
      <c r="G10" s="19">
        <v>30215</v>
      </c>
    </row>
    <row r="11" spans="1:15" x14ac:dyDescent="0.2">
      <c r="A11" t="s">
        <v>895</v>
      </c>
      <c r="E11" s="99"/>
      <c r="F11" s="17" t="s">
        <v>421</v>
      </c>
      <c r="G11" s="19">
        <v>73105</v>
      </c>
    </row>
    <row r="12" spans="1:15" x14ac:dyDescent="0.2">
      <c r="A12" t="s">
        <v>896</v>
      </c>
      <c r="E12" s="99"/>
      <c r="F12" s="17" t="s">
        <v>470</v>
      </c>
      <c r="G12" s="19">
        <v>370256</v>
      </c>
    </row>
    <row r="13" spans="1:15" x14ac:dyDescent="0.2">
      <c r="A13" t="s">
        <v>897</v>
      </c>
      <c r="E13" s="99"/>
      <c r="F13" s="17" t="s">
        <v>898</v>
      </c>
      <c r="G13" s="19">
        <v>864409</v>
      </c>
    </row>
    <row r="14" spans="1:15" x14ac:dyDescent="0.2">
      <c r="A14" t="s">
        <v>899</v>
      </c>
      <c r="E14" s="99"/>
      <c r="F14" s="17" t="s">
        <v>914</v>
      </c>
      <c r="G14" s="19">
        <v>4355640</v>
      </c>
    </row>
    <row r="15" spans="1:15" x14ac:dyDescent="0.2">
      <c r="A15" t="s">
        <v>901</v>
      </c>
      <c r="E15" s="99"/>
      <c r="F15" s="17" t="s">
        <v>915</v>
      </c>
      <c r="G15" s="19">
        <v>7668956</v>
      </c>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1DB85C37-0438-F64D-BCA7-90852BCDBC6B}">
      <formula1>"True,False"</formula1>
    </dataValidation>
    <dataValidation type="list" allowBlank="1" showInputMessage="1" showErrorMessage="1" sqref="B2" xr:uid="{C04F3986-6448-B14B-A689-6C2572134EE2}">
      <formula1>"Table,Figure,Both"</formula1>
    </dataValidation>
    <dataValidation type="list" allowBlank="1" showInputMessage="1" showErrorMessage="1" sqref="B10" xr:uid="{E2479B8E-9E18-4242-994F-B4A5A9B6EDCE}">
      <formula1>"Line,Clustered Bar,Stacked Bar"</formula1>
    </dataValidation>
    <dataValidation type="list" allowBlank="1" showInputMessage="1" showErrorMessage="1" sqref="G4:O4" xr:uid="{3CABE316-A6C0-BC4F-91D0-B31D8FAE72B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87A6E75-1583-B54A-A81C-6A3A1F669FA8}">
          <x14:formula1>
            <xm:f>Master!$F$2:$F$293</xm:f>
          </x14:formula1>
          <xm:sqref>B1:O1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2B6A-C9E1-884A-8C55-BAF64A09121C}">
  <dimension ref="A1:Z57"/>
  <sheetViews>
    <sheetView workbookViewId="0">
      <selection activeCell="F5" sqref="F5:F6"/>
    </sheetView>
  </sheetViews>
  <sheetFormatPr baseColWidth="10" defaultColWidth="8.6640625" defaultRowHeight="15" x14ac:dyDescent="0.2"/>
  <cols>
    <col min="1" max="1" width="20" bestFit="1" customWidth="1"/>
    <col min="2" max="2" width="16.6640625" customWidth="1"/>
    <col min="5" max="5" width="6.6640625" customWidth="1"/>
    <col min="6" max="6" width="11.1640625" bestFit="1" customWidth="1"/>
    <col min="7" max="7" width="12" bestFit="1" customWidth="1"/>
    <col min="8" max="8" width="13.5" customWidth="1"/>
    <col min="9" max="9" width="12" bestFit="1" customWidth="1"/>
    <col min="11" max="11" width="12" bestFit="1" customWidth="1"/>
    <col min="12" max="12" width="12.33203125" bestFit="1" customWidth="1"/>
    <col min="13" max="13" width="12" bestFit="1" customWidth="1"/>
    <col min="14" max="14" width="12.33203125" bestFit="1" customWidth="1"/>
    <col min="15" max="15" width="12" bestFit="1" customWidth="1"/>
    <col min="17" max="17" width="12" bestFit="1" customWidth="1"/>
    <col min="19" max="19" width="12" bestFit="1" customWidth="1"/>
    <col min="21" max="21" width="12" bestFit="1" customWidth="1"/>
    <col min="22" max="22" width="5.1640625" bestFit="1" customWidth="1"/>
    <col min="23" max="23" width="12" bestFit="1" customWidth="1"/>
    <col min="25" max="25" width="12" bestFit="1" customWidth="1"/>
  </cols>
  <sheetData>
    <row r="1" spans="1:26" x14ac:dyDescent="0.2">
      <c r="A1" s="58" t="s">
        <v>882</v>
      </c>
      <c r="B1" s="102" t="s">
        <v>46</v>
      </c>
      <c r="C1" s="99"/>
      <c r="D1" s="99"/>
      <c r="E1" s="99"/>
      <c r="F1" s="99"/>
      <c r="G1" s="99"/>
      <c r="H1" s="99"/>
      <c r="I1" s="99"/>
      <c r="J1" s="99"/>
      <c r="K1" s="99"/>
      <c r="L1" s="99"/>
      <c r="M1" s="99"/>
      <c r="N1" s="99"/>
      <c r="O1" s="99"/>
    </row>
    <row r="2" spans="1:26" x14ac:dyDescent="0.2">
      <c r="A2" s="58" t="s">
        <v>883</v>
      </c>
      <c r="B2" t="s">
        <v>12</v>
      </c>
    </row>
    <row r="3" spans="1:26" x14ac:dyDescent="0.2">
      <c r="A3" s="58" t="s">
        <v>884</v>
      </c>
      <c r="B3" t="str">
        <f>IF($B$1="","",_xlfn.XLOOKUP($B$1,Master!$F$2:$F$308,Master!$G$2:$G$308,""))</f>
        <v>tbl-income</v>
      </c>
    </row>
    <row r="4" spans="1:26" x14ac:dyDescent="0.2">
      <c r="E4" s="13"/>
      <c r="F4" s="13"/>
      <c r="G4" s="16" t="s">
        <v>664</v>
      </c>
      <c r="H4" s="16" t="s">
        <v>679</v>
      </c>
      <c r="I4" s="16" t="s">
        <v>664</v>
      </c>
      <c r="J4" s="16" t="s">
        <v>679</v>
      </c>
      <c r="K4" s="16" t="s">
        <v>664</v>
      </c>
      <c r="L4" s="16" t="s">
        <v>679</v>
      </c>
      <c r="M4" s="16" t="s">
        <v>664</v>
      </c>
      <c r="N4" s="16" t="s">
        <v>679</v>
      </c>
      <c r="O4" s="16" t="s">
        <v>664</v>
      </c>
      <c r="P4" s="16" t="s">
        <v>679</v>
      </c>
      <c r="Q4" s="16" t="s">
        <v>664</v>
      </c>
      <c r="R4" s="16" t="s">
        <v>679</v>
      </c>
      <c r="S4" s="16" t="s">
        <v>664</v>
      </c>
      <c r="T4" s="16" t="s">
        <v>679</v>
      </c>
      <c r="U4" s="16" t="s">
        <v>664</v>
      </c>
      <c r="V4" s="16" t="s">
        <v>679</v>
      </c>
      <c r="W4" s="16" t="s">
        <v>664</v>
      </c>
      <c r="X4" s="16" t="s">
        <v>679</v>
      </c>
      <c r="Y4" s="16" t="s">
        <v>664</v>
      </c>
      <c r="Z4" s="16" t="s">
        <v>679</v>
      </c>
    </row>
    <row r="5" spans="1:26" x14ac:dyDescent="0.2">
      <c r="A5" s="98" t="s">
        <v>885</v>
      </c>
      <c r="B5" s="99"/>
      <c r="E5" s="100" t="s">
        <v>886</v>
      </c>
      <c r="F5" s="101" t="s">
        <v>1926</v>
      </c>
      <c r="G5" s="108" t="s">
        <v>951</v>
      </c>
      <c r="H5" s="108"/>
      <c r="I5" s="108" t="s">
        <v>952</v>
      </c>
      <c r="J5" s="108"/>
      <c r="K5" s="108" t="s">
        <v>953</v>
      </c>
      <c r="L5" s="108"/>
      <c r="M5" s="108" t="s">
        <v>954</v>
      </c>
      <c r="N5" s="108"/>
      <c r="O5" s="108" t="s">
        <v>955</v>
      </c>
      <c r="P5" s="108"/>
      <c r="Q5" s="108" t="s">
        <v>956</v>
      </c>
      <c r="R5" s="108"/>
      <c r="S5" s="108" t="s">
        <v>957</v>
      </c>
      <c r="T5" s="108"/>
      <c r="U5" s="108" t="s">
        <v>958</v>
      </c>
      <c r="V5" s="108"/>
      <c r="W5" s="108" t="s">
        <v>959</v>
      </c>
      <c r="X5" s="108"/>
      <c r="Y5" s="108" t="s">
        <v>960</v>
      </c>
      <c r="Z5" s="108"/>
    </row>
    <row r="6" spans="1:26" ht="15" customHeight="1" x14ac:dyDescent="0.2">
      <c r="A6" t="s">
        <v>891</v>
      </c>
      <c r="B6" t="b">
        <v>1</v>
      </c>
      <c r="E6" s="99"/>
      <c r="F6" s="101"/>
      <c r="G6" s="18" t="s">
        <v>888</v>
      </c>
      <c r="H6" s="18" t="s">
        <v>913</v>
      </c>
      <c r="I6" s="18" t="s">
        <v>888</v>
      </c>
      <c r="J6" s="18" t="s">
        <v>913</v>
      </c>
      <c r="K6" s="18" t="s">
        <v>888</v>
      </c>
      <c r="L6" s="18" t="s">
        <v>913</v>
      </c>
      <c r="M6" s="18" t="s">
        <v>888</v>
      </c>
      <c r="N6" s="18" t="s">
        <v>913</v>
      </c>
      <c r="O6" s="18" t="s">
        <v>888</v>
      </c>
      <c r="P6" s="18" t="s">
        <v>913</v>
      </c>
      <c r="Q6" s="18" t="s">
        <v>888</v>
      </c>
      <c r="R6" s="18" t="s">
        <v>913</v>
      </c>
      <c r="S6" s="18" t="s">
        <v>888</v>
      </c>
      <c r="T6" s="18" t="s">
        <v>913</v>
      </c>
      <c r="U6" s="18" t="s">
        <v>888</v>
      </c>
      <c r="V6" s="18" t="s">
        <v>913</v>
      </c>
      <c r="W6" s="18" t="s">
        <v>888</v>
      </c>
      <c r="X6" s="18" t="s">
        <v>913</v>
      </c>
      <c r="Y6" s="18" t="s">
        <v>888</v>
      </c>
      <c r="Z6" s="18" t="s">
        <v>913</v>
      </c>
    </row>
    <row r="7" spans="1:26" ht="15.75" customHeight="1" x14ac:dyDescent="0.2">
      <c r="E7" s="99"/>
      <c r="F7" s="17" t="s">
        <v>220</v>
      </c>
      <c r="G7" s="19">
        <v>4723</v>
      </c>
      <c r="H7" s="20">
        <v>4.0999999999999996</v>
      </c>
      <c r="I7" s="19">
        <v>2649</v>
      </c>
      <c r="J7" s="20">
        <v>2.2999999999999998</v>
      </c>
      <c r="K7" s="19">
        <v>5298</v>
      </c>
      <c r="L7" s="20">
        <v>4.5999999999999996</v>
      </c>
      <c r="M7" s="19">
        <v>6105</v>
      </c>
      <c r="N7" s="20">
        <v>5.3</v>
      </c>
      <c r="O7" s="19">
        <v>9906</v>
      </c>
      <c r="P7" s="20">
        <v>8.6</v>
      </c>
      <c r="Q7" s="19">
        <v>15780</v>
      </c>
      <c r="R7" s="20">
        <v>13.7</v>
      </c>
      <c r="S7" s="19">
        <v>14513</v>
      </c>
      <c r="T7" s="20">
        <v>12.6</v>
      </c>
      <c r="U7" s="19">
        <v>22346</v>
      </c>
      <c r="V7" s="20">
        <v>19.399999999999999</v>
      </c>
      <c r="W7" s="19">
        <v>13822</v>
      </c>
      <c r="X7" s="20">
        <v>12</v>
      </c>
      <c r="Y7" s="19">
        <v>20042</v>
      </c>
      <c r="Z7" s="20">
        <v>17.399999999999999</v>
      </c>
    </row>
    <row r="8" spans="1:26" x14ac:dyDescent="0.2">
      <c r="E8" s="99"/>
      <c r="F8" s="17" t="s">
        <v>18</v>
      </c>
      <c r="G8" s="19">
        <v>5492</v>
      </c>
      <c r="H8" s="20">
        <v>4</v>
      </c>
      <c r="I8" s="19">
        <v>4119</v>
      </c>
      <c r="J8" s="20">
        <v>3</v>
      </c>
      <c r="K8" s="19">
        <v>8651</v>
      </c>
      <c r="L8" s="20">
        <v>6.3</v>
      </c>
      <c r="M8" s="19">
        <v>7003</v>
      </c>
      <c r="N8" s="20">
        <v>5.0999999999999996</v>
      </c>
      <c r="O8" s="19">
        <v>10985</v>
      </c>
      <c r="P8" s="20">
        <v>8</v>
      </c>
      <c r="Q8" s="19">
        <v>18125</v>
      </c>
      <c r="R8" s="20">
        <v>13.2</v>
      </c>
      <c r="S8" s="19">
        <v>16340</v>
      </c>
      <c r="T8" s="20">
        <v>11.9</v>
      </c>
      <c r="U8" s="19">
        <v>27188</v>
      </c>
      <c r="V8" s="20">
        <v>19.8</v>
      </c>
      <c r="W8" s="19">
        <v>18125</v>
      </c>
      <c r="X8" s="20">
        <v>13.2</v>
      </c>
      <c r="Y8" s="19">
        <v>21421</v>
      </c>
      <c r="Z8" s="20">
        <v>15.6</v>
      </c>
    </row>
    <row r="9" spans="1:26" x14ac:dyDescent="0.2">
      <c r="A9" s="98" t="s">
        <v>893</v>
      </c>
      <c r="B9" s="99"/>
      <c r="E9" s="99"/>
      <c r="F9" s="17" t="s">
        <v>537</v>
      </c>
      <c r="G9" s="20">
        <v>841</v>
      </c>
      <c r="H9" s="20">
        <v>2.4</v>
      </c>
      <c r="I9" s="20">
        <v>631</v>
      </c>
      <c r="J9" s="20">
        <v>1.8</v>
      </c>
      <c r="K9" s="19">
        <v>1472</v>
      </c>
      <c r="L9" s="20">
        <v>4.2</v>
      </c>
      <c r="M9" s="19">
        <v>1402</v>
      </c>
      <c r="N9" s="20">
        <v>4</v>
      </c>
      <c r="O9" s="19">
        <v>2033</v>
      </c>
      <c r="P9" s="20">
        <v>5.8</v>
      </c>
      <c r="Q9" s="19">
        <v>3926</v>
      </c>
      <c r="R9" s="20">
        <v>11.2</v>
      </c>
      <c r="S9" s="19">
        <v>3365</v>
      </c>
      <c r="T9" s="20">
        <v>9.6</v>
      </c>
      <c r="U9" s="19">
        <v>7326</v>
      </c>
      <c r="V9" s="20">
        <v>20.9</v>
      </c>
      <c r="W9" s="19">
        <v>5503</v>
      </c>
      <c r="X9" s="20">
        <v>15.7</v>
      </c>
      <c r="Y9" s="19">
        <v>8553</v>
      </c>
      <c r="Z9" s="20">
        <v>24.4</v>
      </c>
    </row>
    <row r="10" spans="1:26" x14ac:dyDescent="0.2">
      <c r="A10" t="s">
        <v>894</v>
      </c>
      <c r="E10" s="99"/>
      <c r="F10" s="17" t="s">
        <v>449</v>
      </c>
      <c r="G10" s="19">
        <v>3822</v>
      </c>
      <c r="H10" s="20">
        <v>3.7</v>
      </c>
      <c r="I10" s="19">
        <v>2169</v>
      </c>
      <c r="J10" s="20">
        <v>2.1</v>
      </c>
      <c r="K10" s="19">
        <v>5784</v>
      </c>
      <c r="L10" s="20">
        <v>5.6</v>
      </c>
      <c r="M10" s="19">
        <v>5474</v>
      </c>
      <c r="N10" s="20">
        <v>5.3</v>
      </c>
      <c r="O10" s="19">
        <v>7746</v>
      </c>
      <c r="P10" s="20">
        <v>7.5</v>
      </c>
      <c r="Q10" s="19">
        <v>11878</v>
      </c>
      <c r="R10" s="20">
        <v>11.5</v>
      </c>
      <c r="S10" s="19">
        <v>10328</v>
      </c>
      <c r="T10" s="20">
        <v>10</v>
      </c>
      <c r="U10" s="19">
        <v>18281</v>
      </c>
      <c r="V10" s="20">
        <v>17.7</v>
      </c>
      <c r="W10" s="19">
        <v>12394</v>
      </c>
      <c r="X10" s="20">
        <v>12</v>
      </c>
      <c r="Y10" s="19">
        <v>25408</v>
      </c>
      <c r="Z10" s="20">
        <v>24.6</v>
      </c>
    </row>
    <row r="11" spans="1:26" x14ac:dyDescent="0.2">
      <c r="A11" t="s">
        <v>895</v>
      </c>
      <c r="E11" s="99"/>
      <c r="F11" s="17" t="s">
        <v>409</v>
      </c>
      <c r="G11" s="19">
        <v>1420</v>
      </c>
      <c r="H11" s="20">
        <v>4.7</v>
      </c>
      <c r="I11" s="19">
        <v>1481</v>
      </c>
      <c r="J11" s="20">
        <v>4.9000000000000004</v>
      </c>
      <c r="K11" s="19">
        <v>2327</v>
      </c>
      <c r="L11" s="20">
        <v>7.7</v>
      </c>
      <c r="M11" s="19">
        <v>2447</v>
      </c>
      <c r="N11" s="20">
        <v>8.1</v>
      </c>
      <c r="O11" s="19">
        <v>3384</v>
      </c>
      <c r="P11" s="20">
        <v>11.2</v>
      </c>
      <c r="Q11" s="19">
        <v>5137</v>
      </c>
      <c r="R11" s="20">
        <v>17</v>
      </c>
      <c r="S11" s="19">
        <v>3807</v>
      </c>
      <c r="T11" s="20">
        <v>12.6</v>
      </c>
      <c r="U11" s="19">
        <v>4442</v>
      </c>
      <c r="V11" s="20">
        <v>14.7</v>
      </c>
      <c r="W11" s="19">
        <v>2478</v>
      </c>
      <c r="X11" s="20">
        <v>8.1999999999999993</v>
      </c>
      <c r="Y11" s="19">
        <v>3293</v>
      </c>
      <c r="Z11" s="20">
        <v>10.9</v>
      </c>
    </row>
    <row r="12" spans="1:26" x14ac:dyDescent="0.2">
      <c r="A12" t="s">
        <v>896</v>
      </c>
      <c r="E12" s="99"/>
      <c r="F12" s="17" t="s">
        <v>421</v>
      </c>
      <c r="G12" s="19">
        <v>4021</v>
      </c>
      <c r="H12" s="20">
        <v>5.5</v>
      </c>
      <c r="I12" s="19">
        <v>2778</v>
      </c>
      <c r="J12" s="20">
        <v>3.8</v>
      </c>
      <c r="K12" s="19">
        <v>4606</v>
      </c>
      <c r="L12" s="20">
        <v>6.3</v>
      </c>
      <c r="M12" s="19">
        <v>4752</v>
      </c>
      <c r="N12" s="20">
        <v>6.5</v>
      </c>
      <c r="O12" s="19">
        <v>7384</v>
      </c>
      <c r="P12" s="20">
        <v>10.1</v>
      </c>
      <c r="Q12" s="19">
        <v>10527</v>
      </c>
      <c r="R12" s="20">
        <v>14.4</v>
      </c>
      <c r="S12" s="19">
        <v>8334</v>
      </c>
      <c r="T12" s="20">
        <v>11.4</v>
      </c>
      <c r="U12" s="19">
        <v>13378</v>
      </c>
      <c r="V12" s="20">
        <v>18.3</v>
      </c>
      <c r="W12" s="19">
        <v>7384</v>
      </c>
      <c r="X12" s="20">
        <v>10.1</v>
      </c>
      <c r="Y12" s="19">
        <v>9942</v>
      </c>
      <c r="Z12" s="20">
        <v>13.6</v>
      </c>
    </row>
    <row r="13" spans="1:26" x14ac:dyDescent="0.2">
      <c r="A13" t="s">
        <v>897</v>
      </c>
      <c r="E13" s="99"/>
      <c r="F13" s="17" t="s">
        <v>470</v>
      </c>
      <c r="G13" s="19">
        <v>17402</v>
      </c>
      <c r="H13" s="20">
        <v>4.7</v>
      </c>
      <c r="I13" s="19">
        <v>9997</v>
      </c>
      <c r="J13" s="20">
        <v>2.7</v>
      </c>
      <c r="K13" s="19">
        <v>17032</v>
      </c>
      <c r="L13" s="20">
        <v>4.5999999999999996</v>
      </c>
      <c r="M13" s="19">
        <v>15180</v>
      </c>
      <c r="N13" s="20">
        <v>4.0999999999999996</v>
      </c>
      <c r="O13" s="19">
        <v>27029</v>
      </c>
      <c r="P13" s="20">
        <v>7.3</v>
      </c>
      <c r="Q13" s="19">
        <v>37766</v>
      </c>
      <c r="R13" s="20">
        <v>10.199999999999999</v>
      </c>
      <c r="S13" s="19">
        <v>36285</v>
      </c>
      <c r="T13" s="20">
        <v>9.8000000000000007</v>
      </c>
      <c r="U13" s="19">
        <v>59241</v>
      </c>
      <c r="V13" s="20">
        <v>16</v>
      </c>
      <c r="W13" s="19">
        <v>39988</v>
      </c>
      <c r="X13" s="20">
        <v>10.8</v>
      </c>
      <c r="Y13" s="19">
        <v>110336</v>
      </c>
      <c r="Z13" s="20">
        <v>29.8</v>
      </c>
    </row>
    <row r="14" spans="1:26" x14ac:dyDescent="0.2">
      <c r="A14" t="s">
        <v>899</v>
      </c>
      <c r="E14" s="99"/>
      <c r="F14" s="17" t="s">
        <v>898</v>
      </c>
      <c r="G14" s="19">
        <v>37721</v>
      </c>
      <c r="H14" s="20">
        <v>4.4000000000000004</v>
      </c>
      <c r="I14" s="19">
        <v>23824</v>
      </c>
      <c r="J14" s="20">
        <v>2.8</v>
      </c>
      <c r="K14" s="19">
        <v>45169</v>
      </c>
      <c r="L14" s="20">
        <v>5.2</v>
      </c>
      <c r="M14" s="19">
        <v>42364</v>
      </c>
      <c r="N14" s="20">
        <v>4.9000000000000004</v>
      </c>
      <c r="O14" s="19">
        <v>68467</v>
      </c>
      <c r="P14" s="20">
        <v>7.9</v>
      </c>
      <c r="Q14" s="19">
        <v>103139</v>
      </c>
      <c r="R14" s="20">
        <v>11.9</v>
      </c>
      <c r="S14" s="19">
        <v>92973</v>
      </c>
      <c r="T14" s="20">
        <v>10.8</v>
      </c>
      <c r="U14" s="19">
        <v>152202</v>
      </c>
      <c r="V14" s="20">
        <v>17.600000000000001</v>
      </c>
      <c r="W14" s="19">
        <v>99694</v>
      </c>
      <c r="X14" s="20">
        <v>11.5</v>
      </c>
      <c r="Y14" s="19">
        <v>198996</v>
      </c>
      <c r="Z14" s="20">
        <v>23</v>
      </c>
    </row>
    <row r="15" spans="1:26" x14ac:dyDescent="0.2">
      <c r="A15" t="s">
        <v>901</v>
      </c>
      <c r="E15" s="99"/>
      <c r="F15" s="17" t="s">
        <v>914</v>
      </c>
      <c r="G15" s="19">
        <v>201885</v>
      </c>
      <c r="H15" s="20">
        <v>4.5999999999999996</v>
      </c>
      <c r="I15" s="19">
        <v>142135</v>
      </c>
      <c r="J15" s="20">
        <v>3.3</v>
      </c>
      <c r="K15" s="19">
        <v>266550</v>
      </c>
      <c r="L15" s="20">
        <v>6.1</v>
      </c>
      <c r="M15" s="19">
        <v>266736</v>
      </c>
      <c r="N15" s="20">
        <v>6.1</v>
      </c>
      <c r="O15" s="19">
        <v>402990</v>
      </c>
      <c r="P15" s="20">
        <v>9.3000000000000007</v>
      </c>
      <c r="Q15" s="19">
        <v>617645</v>
      </c>
      <c r="R15" s="20">
        <v>14.2</v>
      </c>
      <c r="S15" s="19">
        <v>516423</v>
      </c>
      <c r="T15" s="20">
        <v>11.9</v>
      </c>
      <c r="U15" s="19">
        <v>781447</v>
      </c>
      <c r="V15" s="20">
        <v>17.899999999999999</v>
      </c>
      <c r="W15" s="19">
        <v>466426</v>
      </c>
      <c r="X15" s="20">
        <v>10.7</v>
      </c>
      <c r="Y15" s="19">
        <v>701072</v>
      </c>
      <c r="Z15" s="20">
        <v>16.100000000000001</v>
      </c>
    </row>
    <row r="16" spans="1:26" x14ac:dyDescent="0.2">
      <c r="E16" s="99"/>
      <c r="F16" s="17" t="s">
        <v>915</v>
      </c>
      <c r="G16" s="19">
        <v>437130</v>
      </c>
      <c r="H16" s="20">
        <v>5.7</v>
      </c>
      <c r="I16" s="19">
        <v>314427</v>
      </c>
      <c r="J16" s="20">
        <v>4.0999999999999996</v>
      </c>
      <c r="K16" s="19">
        <v>498482</v>
      </c>
      <c r="L16" s="20">
        <v>6.5</v>
      </c>
      <c r="M16" s="19">
        <v>475475</v>
      </c>
      <c r="N16" s="20">
        <v>6.2</v>
      </c>
      <c r="O16" s="19">
        <v>697875</v>
      </c>
      <c r="P16" s="20">
        <v>9.1</v>
      </c>
      <c r="Q16" s="19">
        <v>1058316</v>
      </c>
      <c r="R16" s="20">
        <v>13.8</v>
      </c>
      <c r="S16" s="19">
        <v>874261</v>
      </c>
      <c r="T16" s="20">
        <v>11.4</v>
      </c>
      <c r="U16" s="19">
        <v>1288385</v>
      </c>
      <c r="V16" s="20">
        <v>16.8</v>
      </c>
      <c r="W16" s="19">
        <v>774565</v>
      </c>
      <c r="X16" s="20">
        <v>10.1</v>
      </c>
      <c r="Y16" s="19">
        <v>1257709</v>
      </c>
      <c r="Z16" s="20">
        <v>16.399999999999999</v>
      </c>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7">
    <mergeCell ref="Y5:Z5"/>
    <mergeCell ref="W5:X5"/>
    <mergeCell ref="U5:V5"/>
    <mergeCell ref="S5:T5"/>
    <mergeCell ref="Q5:R5"/>
    <mergeCell ref="B1:O1"/>
    <mergeCell ref="A5:B5"/>
    <mergeCell ref="E5:E57"/>
    <mergeCell ref="A9:B9"/>
    <mergeCell ref="A18:B18"/>
    <mergeCell ref="A27:B27"/>
    <mergeCell ref="O5:P5"/>
    <mergeCell ref="M5:N5"/>
    <mergeCell ref="K5:L5"/>
    <mergeCell ref="I5:J5"/>
    <mergeCell ref="G5:H5"/>
    <mergeCell ref="F5:F6"/>
  </mergeCells>
  <dataValidations count="4">
    <dataValidation type="list" allowBlank="1" showInputMessage="1" showErrorMessage="1" sqref="G4:Z4" xr:uid="{DF32BE45-90F9-1B4E-922C-2DAA3D4841A6}">
      <formula1>"integer, number, percent1"</formula1>
    </dataValidation>
    <dataValidation type="list" allowBlank="1" showInputMessage="1" showErrorMessage="1" sqref="B10" xr:uid="{6827E013-AA27-424A-9C57-2DD7B957560A}">
      <formula1>"Line,Clustered Bar,Stacked Bar"</formula1>
    </dataValidation>
    <dataValidation type="list" allowBlank="1" showInputMessage="1" showErrorMessage="1" sqref="B2" xr:uid="{17E903ED-6FDF-464A-BDC4-3ADA8C0A6994}">
      <formula1>"Table,Figure,Both"</formula1>
    </dataValidation>
    <dataValidation type="list" allowBlank="1" showInputMessage="1" showErrorMessage="1" sqref="B6 B15" xr:uid="{143A1F64-A331-2746-A7E4-2A3FC7237A9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6927233-97D0-1E4E-9438-D364F55246BF}">
          <x14:formula1>
            <xm:f>Master!$F$2:$F$293</xm:f>
          </x14:formula1>
          <xm:sqref>B1:O1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6B7B-0B42-FD42-AD57-0D88DB84F65C}">
  <dimension ref="A1:O57"/>
  <sheetViews>
    <sheetView workbookViewId="0">
      <selection activeCell="F7" sqref="F7"/>
    </sheetView>
  </sheetViews>
  <sheetFormatPr baseColWidth="10" defaultColWidth="8.6640625" defaultRowHeight="15" x14ac:dyDescent="0.2"/>
  <cols>
    <col min="1" max="1" width="20" bestFit="1" customWidth="1"/>
    <col min="2" max="2" width="16.6640625" customWidth="1"/>
    <col min="5" max="5" width="6.6640625" customWidth="1"/>
    <col min="6" max="6" width="11.1640625" bestFit="1" customWidth="1"/>
    <col min="7" max="7" width="28.6640625" bestFit="1"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102" t="s">
        <v>49</v>
      </c>
      <c r="C1" s="99"/>
      <c r="D1" s="99"/>
      <c r="E1" s="99"/>
      <c r="F1" s="99"/>
      <c r="G1" s="99"/>
      <c r="H1" s="99"/>
      <c r="I1" s="99"/>
      <c r="J1" s="99"/>
      <c r="K1" s="99"/>
      <c r="L1" s="99"/>
      <c r="M1" s="99"/>
      <c r="N1" s="99"/>
      <c r="O1" s="99"/>
    </row>
    <row r="2" spans="1:15" x14ac:dyDescent="0.2">
      <c r="A2" s="58" t="s">
        <v>883</v>
      </c>
      <c r="B2" t="s">
        <v>12</v>
      </c>
    </row>
    <row r="3" spans="1:15" x14ac:dyDescent="0.2">
      <c r="A3" s="58" t="s">
        <v>884</v>
      </c>
      <c r="B3" t="str">
        <f>IF($B$1="","",_xlfn.XLOOKUP($B$1,Master!$F$2:$F$308,Master!$G$2:$G$308,""))</f>
        <v>tbl-veteran</v>
      </c>
    </row>
    <row r="4" spans="1:15" x14ac:dyDescent="0.2">
      <c r="E4" s="13"/>
      <c r="F4" s="13"/>
      <c r="G4" s="16" t="s">
        <v>664</v>
      </c>
      <c r="H4" s="16" t="s">
        <v>664</v>
      </c>
      <c r="I4" s="16" t="s">
        <v>679</v>
      </c>
      <c r="J4" s="16"/>
      <c r="K4" s="16"/>
      <c r="L4" s="16"/>
      <c r="M4" s="16"/>
      <c r="N4" s="16"/>
      <c r="O4" s="16"/>
    </row>
    <row r="5" spans="1:15" x14ac:dyDescent="0.2">
      <c r="A5" s="98" t="s">
        <v>885</v>
      </c>
      <c r="B5" s="99"/>
      <c r="E5" s="100" t="s">
        <v>886</v>
      </c>
      <c r="F5" s="101" t="s">
        <v>1926</v>
      </c>
      <c r="G5" s="57" t="s">
        <v>961</v>
      </c>
      <c r="H5" s="111" t="s">
        <v>962</v>
      </c>
      <c r="I5" s="111"/>
    </row>
    <row r="6" spans="1:15" ht="15" customHeight="1" x14ac:dyDescent="0.2">
      <c r="A6" t="s">
        <v>891</v>
      </c>
      <c r="B6" t="b">
        <v>1</v>
      </c>
      <c r="E6" s="99"/>
      <c r="F6" s="101"/>
      <c r="G6" s="31" t="s">
        <v>888</v>
      </c>
      <c r="H6" s="31" t="s">
        <v>888</v>
      </c>
      <c r="I6" s="31" t="s">
        <v>913</v>
      </c>
    </row>
    <row r="7" spans="1:15" ht="15.75" customHeight="1" x14ac:dyDescent="0.2">
      <c r="E7" s="99"/>
      <c r="F7" s="17" t="s">
        <v>220</v>
      </c>
      <c r="G7" s="32">
        <v>241517</v>
      </c>
      <c r="H7" s="32">
        <v>11694</v>
      </c>
      <c r="I7" s="33">
        <v>4.8</v>
      </c>
    </row>
    <row r="8" spans="1:15" x14ac:dyDescent="0.2">
      <c r="E8" s="99"/>
      <c r="F8" s="17" t="s">
        <v>18</v>
      </c>
      <c r="G8" s="32">
        <v>296319</v>
      </c>
      <c r="H8" s="32">
        <v>16695</v>
      </c>
      <c r="I8" s="33">
        <v>5.6</v>
      </c>
    </row>
    <row r="9" spans="1:15" x14ac:dyDescent="0.2">
      <c r="A9" s="98" t="s">
        <v>893</v>
      </c>
      <c r="B9" s="99"/>
      <c r="E9" s="99"/>
      <c r="F9" s="17" t="s">
        <v>537</v>
      </c>
      <c r="G9" s="32">
        <v>78712</v>
      </c>
      <c r="H9" s="32">
        <v>3320</v>
      </c>
      <c r="I9" s="33">
        <v>4.2</v>
      </c>
    </row>
    <row r="10" spans="1:15" x14ac:dyDescent="0.2">
      <c r="A10" t="s">
        <v>894</v>
      </c>
      <c r="E10" s="99"/>
      <c r="F10" s="17" t="s">
        <v>449</v>
      </c>
      <c r="G10" s="32">
        <v>239088</v>
      </c>
      <c r="H10" s="32">
        <v>7130</v>
      </c>
      <c r="I10" s="33">
        <v>3</v>
      </c>
    </row>
    <row r="11" spans="1:15" x14ac:dyDescent="0.2">
      <c r="A11" t="s">
        <v>895</v>
      </c>
      <c r="E11" s="99"/>
      <c r="F11" s="17" t="s">
        <v>409</v>
      </c>
      <c r="G11" s="32">
        <v>62181</v>
      </c>
      <c r="H11" s="32">
        <v>3713</v>
      </c>
      <c r="I11" s="33">
        <v>6</v>
      </c>
    </row>
    <row r="12" spans="1:15" x14ac:dyDescent="0.2">
      <c r="A12" t="s">
        <v>896</v>
      </c>
      <c r="E12" s="99"/>
      <c r="F12" s="17" t="s">
        <v>421</v>
      </c>
      <c r="G12" s="32">
        <v>150409</v>
      </c>
      <c r="H12" s="32">
        <v>6711</v>
      </c>
      <c r="I12" s="33">
        <v>4.5</v>
      </c>
    </row>
    <row r="13" spans="1:15" x14ac:dyDescent="0.2">
      <c r="A13" t="s">
        <v>897</v>
      </c>
      <c r="E13" s="99"/>
      <c r="F13" s="17" t="s">
        <v>470</v>
      </c>
      <c r="G13" s="32">
        <v>781837</v>
      </c>
      <c r="H13" s="32">
        <v>23744</v>
      </c>
      <c r="I13" s="33">
        <v>3</v>
      </c>
    </row>
    <row r="14" spans="1:15" x14ac:dyDescent="0.2">
      <c r="A14" t="s">
        <v>899</v>
      </c>
      <c r="E14" s="99"/>
      <c r="F14" s="17" t="s">
        <v>898</v>
      </c>
      <c r="G14" s="32">
        <v>1850063</v>
      </c>
      <c r="H14" s="32">
        <v>73007</v>
      </c>
      <c r="I14" s="33">
        <v>3.9</v>
      </c>
    </row>
    <row r="15" spans="1:15" x14ac:dyDescent="0.2">
      <c r="A15" t="s">
        <v>901</v>
      </c>
      <c r="E15" s="99"/>
      <c r="F15" s="17" t="s">
        <v>914</v>
      </c>
      <c r="G15" s="32">
        <v>8964773</v>
      </c>
      <c r="H15" s="32">
        <v>478417</v>
      </c>
      <c r="I15" s="33">
        <v>5.3</v>
      </c>
    </row>
    <row r="16" spans="1:15" x14ac:dyDescent="0.2">
      <c r="E16" s="99"/>
      <c r="F16" s="17" t="s">
        <v>915</v>
      </c>
      <c r="G16" s="32">
        <v>15737168</v>
      </c>
      <c r="H16" s="32">
        <v>607728</v>
      </c>
      <c r="I16" s="33">
        <v>3.9</v>
      </c>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H5:I5"/>
    <mergeCell ref="F5:F6"/>
  </mergeCells>
  <dataValidations count="4">
    <dataValidation type="list" allowBlank="1" showInputMessage="1" showErrorMessage="1" sqref="G4:O4" xr:uid="{6D0EA40B-E917-EB4C-B4F3-C8749B4639BB}">
      <formula1>"integer, number, percent1"</formula1>
    </dataValidation>
    <dataValidation type="list" allowBlank="1" showInputMessage="1" showErrorMessage="1" sqref="B10" xr:uid="{AC798627-9AF8-5A4E-B13F-B3C7076B1677}">
      <formula1>"Line,Clustered Bar,Stacked Bar"</formula1>
    </dataValidation>
    <dataValidation type="list" allowBlank="1" showInputMessage="1" showErrorMessage="1" sqref="B2" xr:uid="{E2D62C64-7AE9-AD44-B6CD-D791F0AC169F}">
      <formula1>"Table,Figure,Both"</formula1>
    </dataValidation>
    <dataValidation type="list" allowBlank="1" showInputMessage="1" showErrorMessage="1" sqref="B6 B15" xr:uid="{75C420FD-7B47-1644-B140-7C8FA38B4B2E}">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DD9DF85-E7B4-B749-814A-F3449E4B17EB}">
          <x14:formula1>
            <xm:f>Master!$F$2:$F$293</xm:f>
          </x14:formula1>
          <xm:sqref>B1:O1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3C13-4CD1-494C-8004-8393FF46CEB1}">
  <dimension ref="A1:O57"/>
  <sheetViews>
    <sheetView workbookViewId="0">
      <selection activeCell="B1" sqref="B1:O1"/>
    </sheetView>
  </sheetViews>
  <sheetFormatPr baseColWidth="10" defaultColWidth="8.6640625" defaultRowHeight="15" x14ac:dyDescent="0.2"/>
  <cols>
    <col min="1" max="1" width="20" bestFit="1" customWidth="1"/>
    <col min="2" max="2" width="16.6640625" customWidth="1"/>
    <col min="5" max="5" width="6.6640625" customWidth="1"/>
    <col min="7" max="7" width="19" bestFit="1" customWidth="1"/>
    <col min="8" max="8" width="13.33203125" bestFit="1" customWidth="1"/>
    <col min="9" max="9" width="12.33203125" bestFit="1" customWidth="1"/>
    <col min="10" max="10" width="14.6640625" bestFit="1" customWidth="1"/>
    <col min="11" max="11" width="16.33203125" bestFit="1" customWidth="1"/>
    <col min="12" max="12" width="14" bestFit="1" customWidth="1"/>
    <col min="13" max="13" width="21.5" bestFit="1" customWidth="1"/>
    <col min="14" max="14" width="12.33203125" bestFit="1" customWidth="1"/>
    <col min="15" max="15" width="11" bestFit="1" customWidth="1"/>
  </cols>
  <sheetData>
    <row r="1" spans="1:15" x14ac:dyDescent="0.2">
      <c r="A1" s="58" t="s">
        <v>882</v>
      </c>
      <c r="B1" s="102" t="s">
        <v>53</v>
      </c>
      <c r="C1" s="99"/>
      <c r="D1" s="99"/>
      <c r="E1" s="99"/>
      <c r="F1" s="99"/>
      <c r="G1" s="99"/>
      <c r="H1" s="99"/>
      <c r="I1" s="99"/>
      <c r="J1" s="99"/>
      <c r="K1" s="99"/>
      <c r="L1" s="99"/>
      <c r="M1" s="99"/>
      <c r="N1" s="99"/>
      <c r="O1" s="99"/>
    </row>
    <row r="2" spans="1:15" x14ac:dyDescent="0.2">
      <c r="A2" s="58" t="s">
        <v>883</v>
      </c>
      <c r="B2" t="s">
        <v>12</v>
      </c>
    </row>
    <row r="3" spans="1:15" x14ac:dyDescent="0.2">
      <c r="A3" s="58" t="s">
        <v>884</v>
      </c>
      <c r="B3" t="str">
        <f>IF($B$1="","",_xlfn.XLOOKUP($B$1,Master!$F$2:$F$308,Master!$G$2:$G$308,""))</f>
        <v>tbl-disability</v>
      </c>
    </row>
    <row r="4" spans="1:15" x14ac:dyDescent="0.2">
      <c r="E4" s="13"/>
      <c r="F4" s="13"/>
      <c r="G4" s="16" t="s">
        <v>679</v>
      </c>
      <c r="H4" s="16" t="s">
        <v>679</v>
      </c>
      <c r="I4" s="16" t="s">
        <v>679</v>
      </c>
      <c r="J4" s="16" t="s">
        <v>679</v>
      </c>
      <c r="K4" s="16" t="s">
        <v>679</v>
      </c>
      <c r="L4" s="16" t="s">
        <v>679</v>
      </c>
      <c r="M4" s="16" t="s">
        <v>679</v>
      </c>
      <c r="N4" s="16"/>
      <c r="O4" s="16"/>
    </row>
    <row r="5" spans="1:15" x14ac:dyDescent="0.2">
      <c r="A5" s="98" t="s">
        <v>885</v>
      </c>
      <c r="B5" s="99"/>
      <c r="E5" s="100" t="s">
        <v>886</v>
      </c>
      <c r="G5" s="17" t="s">
        <v>963</v>
      </c>
      <c r="H5" s="17" t="s">
        <v>964</v>
      </c>
      <c r="I5" s="17" t="s">
        <v>965</v>
      </c>
      <c r="J5" s="17" t="s">
        <v>966</v>
      </c>
      <c r="K5" s="17" t="s">
        <v>967</v>
      </c>
      <c r="L5" s="17" t="s">
        <v>1923</v>
      </c>
      <c r="M5" s="17" t="s">
        <v>968</v>
      </c>
    </row>
    <row r="6" spans="1:15" ht="15" customHeight="1" x14ac:dyDescent="0.2">
      <c r="A6" t="s">
        <v>891</v>
      </c>
      <c r="B6" t="b">
        <v>0</v>
      </c>
      <c r="E6" s="99"/>
      <c r="F6" s="17" t="s">
        <v>220</v>
      </c>
      <c r="G6" s="20">
        <v>12.2</v>
      </c>
      <c r="H6" s="20">
        <v>3.5</v>
      </c>
      <c r="I6" s="20">
        <v>2</v>
      </c>
      <c r="J6" s="20">
        <v>4.7</v>
      </c>
      <c r="K6" s="20">
        <v>6.3</v>
      </c>
      <c r="L6" s="20">
        <v>2.6</v>
      </c>
      <c r="M6" s="20">
        <v>5.9</v>
      </c>
    </row>
    <row r="7" spans="1:15" ht="15.75" customHeight="1" x14ac:dyDescent="0.2">
      <c r="E7" s="99"/>
      <c r="F7" s="17" t="s">
        <v>18</v>
      </c>
      <c r="G7" s="20">
        <v>11.7</v>
      </c>
      <c r="H7" s="20">
        <v>3.2</v>
      </c>
      <c r="I7" s="20">
        <v>2.1</v>
      </c>
      <c r="J7" s="20">
        <v>5.4</v>
      </c>
      <c r="K7" s="20">
        <v>6.3</v>
      </c>
      <c r="L7" s="20">
        <v>2.9</v>
      </c>
      <c r="M7" s="20">
        <v>6.2</v>
      </c>
    </row>
    <row r="8" spans="1:15" x14ac:dyDescent="0.2">
      <c r="E8" s="99"/>
      <c r="F8" s="17" t="s">
        <v>537</v>
      </c>
      <c r="G8" s="20">
        <v>9.6</v>
      </c>
      <c r="H8" s="20">
        <v>2.8</v>
      </c>
      <c r="I8" s="20">
        <v>1.4</v>
      </c>
      <c r="J8" s="20">
        <v>3.5</v>
      </c>
      <c r="K8" s="20">
        <v>5.4</v>
      </c>
      <c r="L8" s="20">
        <v>2.4</v>
      </c>
      <c r="M8" s="20">
        <v>4.5999999999999996</v>
      </c>
    </row>
    <row r="9" spans="1:15" x14ac:dyDescent="0.2">
      <c r="A9" s="98" t="s">
        <v>893</v>
      </c>
      <c r="B9" s="99"/>
      <c r="E9" s="99"/>
      <c r="F9" s="17" t="s">
        <v>449</v>
      </c>
      <c r="G9" s="20">
        <v>8.6999999999999993</v>
      </c>
      <c r="H9" s="20">
        <v>2.7</v>
      </c>
      <c r="I9" s="20">
        <v>1.4</v>
      </c>
      <c r="J9" s="20">
        <v>3.4</v>
      </c>
      <c r="K9" s="20">
        <v>4.4000000000000004</v>
      </c>
      <c r="L9" s="20">
        <v>2.2000000000000002</v>
      </c>
      <c r="M9" s="20">
        <v>4.5</v>
      </c>
    </row>
    <row r="10" spans="1:15" x14ac:dyDescent="0.2">
      <c r="A10" t="s">
        <v>894</v>
      </c>
      <c r="E10" s="99"/>
      <c r="F10" s="17" t="s">
        <v>409</v>
      </c>
      <c r="G10" s="20">
        <v>15.9</v>
      </c>
      <c r="H10" s="20">
        <v>4.4000000000000004</v>
      </c>
      <c r="I10" s="20">
        <v>3</v>
      </c>
      <c r="J10" s="20">
        <v>6.4</v>
      </c>
      <c r="K10" s="20">
        <v>9.1</v>
      </c>
      <c r="L10" s="20">
        <v>3.7</v>
      </c>
      <c r="M10" s="20">
        <v>7.2</v>
      </c>
    </row>
    <row r="11" spans="1:15" x14ac:dyDescent="0.2">
      <c r="A11" t="s">
        <v>895</v>
      </c>
      <c r="E11" s="99"/>
      <c r="F11" s="17" t="s">
        <v>421</v>
      </c>
      <c r="G11" s="20">
        <v>14.4</v>
      </c>
      <c r="H11" s="20">
        <v>4.2</v>
      </c>
      <c r="I11" s="20">
        <v>2.2999999999999998</v>
      </c>
      <c r="J11" s="20">
        <v>5.0999999999999996</v>
      </c>
      <c r="K11" s="20">
        <v>7.4</v>
      </c>
      <c r="L11" s="20">
        <v>3</v>
      </c>
      <c r="M11" s="20">
        <v>6</v>
      </c>
    </row>
    <row r="12" spans="1:15" x14ac:dyDescent="0.2">
      <c r="A12" t="s">
        <v>896</v>
      </c>
      <c r="E12" s="99"/>
      <c r="F12" s="17" t="s">
        <v>470</v>
      </c>
      <c r="G12" s="20">
        <v>9.5</v>
      </c>
      <c r="H12" s="20">
        <v>2.5</v>
      </c>
      <c r="I12" s="20">
        <v>1.6</v>
      </c>
      <c r="J12" s="20">
        <v>3.7</v>
      </c>
      <c r="K12" s="20">
        <v>5.3</v>
      </c>
      <c r="L12" s="20">
        <v>2.2999999999999998</v>
      </c>
      <c r="M12" s="20">
        <v>4.8</v>
      </c>
    </row>
    <row r="13" spans="1:15" x14ac:dyDescent="0.2">
      <c r="A13" t="s">
        <v>897</v>
      </c>
      <c r="E13" s="99"/>
      <c r="F13" s="17" t="s">
        <v>898</v>
      </c>
      <c r="G13" s="20">
        <v>10.199999999999999</v>
      </c>
      <c r="H13" s="20">
        <v>2.8</v>
      </c>
      <c r="I13" s="20">
        <v>1.7</v>
      </c>
      <c r="J13" s="20">
        <v>3.8</v>
      </c>
      <c r="K13" s="20">
        <v>5.2</v>
      </c>
      <c r="L13" s="20">
        <v>2.2999999999999998</v>
      </c>
      <c r="M13" s="20">
        <v>3.9</v>
      </c>
    </row>
    <row r="14" spans="1:15" x14ac:dyDescent="0.2">
      <c r="A14" t="s">
        <v>899</v>
      </c>
      <c r="E14" s="99"/>
      <c r="F14" s="17" t="s">
        <v>915</v>
      </c>
      <c r="G14" s="20">
        <v>11.6</v>
      </c>
      <c r="H14" s="20">
        <v>2.8</v>
      </c>
      <c r="I14" s="20">
        <v>2.1</v>
      </c>
      <c r="J14" s="20">
        <v>4.5</v>
      </c>
      <c r="K14" s="20">
        <v>6.6</v>
      </c>
      <c r="L14" s="20">
        <v>2.7</v>
      </c>
      <c r="M14" s="20">
        <v>5.7</v>
      </c>
    </row>
    <row r="15" spans="1:15" x14ac:dyDescent="0.2">
      <c r="A15" t="s">
        <v>901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F5D1FCA0-37F6-6540-BC45-C0FAA776F593}">
      <formula1>"True,False"</formula1>
    </dataValidation>
    <dataValidation type="list" allowBlank="1" showInputMessage="1" showErrorMessage="1" sqref="B2" xr:uid="{1B1C0C6A-1DBC-0A4F-A062-D8E4D659A2C9}">
      <formula1>"Table,Figure,Both"</formula1>
    </dataValidation>
    <dataValidation type="list" allowBlank="1" showInputMessage="1" showErrorMessage="1" sqref="B10" xr:uid="{1DD50B02-1D97-A944-92A1-E83E643F4959}">
      <formula1>"Line,Clustered Bar,Stacked Bar"</formula1>
    </dataValidation>
    <dataValidation type="list" allowBlank="1" showInputMessage="1" showErrorMessage="1" sqref="G4:O4" xr:uid="{9260ECE6-5CF1-0E4F-AB0B-219432DB1D1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092E70B-A70E-5D48-AD9C-C5EA022762C3}">
          <x14:formula1>
            <xm:f>Master!$F$2:$F$293</xm:f>
          </x14:formula1>
          <xm:sqref>B1:O1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676F-CDA9-4E59-B412-070DA7214EC2}">
  <dimension ref="A1:O57"/>
  <sheetViews>
    <sheetView workbookViewId="0">
      <selection activeCell="B14" sqref="B14"/>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204</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tbl-no-vehicles</v>
      </c>
    </row>
    <row r="4" spans="1:15" x14ac:dyDescent="0.2">
      <c r="A4" s="58" t="s">
        <v>6</v>
      </c>
      <c r="B4" t="str">
        <f>IF($B$1="","",_xlfn.XLOOKUP($B$1,Master!$F$2:$F$308,Master!$H$2:$H$308,""))</f>
        <v>fig-no-vehicles</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s="55" t="s">
        <v>220</v>
      </c>
      <c r="H5" s="55" t="s">
        <v>18</v>
      </c>
      <c r="I5" s="55" t="s">
        <v>537</v>
      </c>
      <c r="J5" s="55" t="s">
        <v>449</v>
      </c>
      <c r="K5" s="55" t="s">
        <v>409</v>
      </c>
      <c r="L5" s="55" t="s">
        <v>421</v>
      </c>
      <c r="M5" s="55" t="s">
        <v>470</v>
      </c>
      <c r="N5" s="55" t="s">
        <v>915</v>
      </c>
    </row>
    <row r="6" spans="1:15" ht="15" customHeight="1" x14ac:dyDescent="0.2">
      <c r="A6" t="s">
        <v>891</v>
      </c>
      <c r="B6" t="b">
        <v>0</v>
      </c>
      <c r="E6" s="99"/>
      <c r="F6" t="s">
        <v>969</v>
      </c>
      <c r="G6" s="55">
        <v>7.2</v>
      </c>
      <c r="H6" s="55">
        <v>8.9</v>
      </c>
      <c r="I6" s="55">
        <v>4.7</v>
      </c>
      <c r="J6" s="55">
        <v>10.4</v>
      </c>
      <c r="K6" s="55">
        <v>10.4</v>
      </c>
      <c r="L6" s="55">
        <v>6.8</v>
      </c>
      <c r="M6" s="55">
        <v>14.3</v>
      </c>
      <c r="N6" s="55">
        <v>28.9</v>
      </c>
    </row>
    <row r="7" spans="1:15" ht="15.75" customHeight="1" x14ac:dyDescent="0.2">
      <c r="E7" s="99"/>
      <c r="F7" t="s">
        <v>970</v>
      </c>
      <c r="G7" s="55">
        <v>7.2</v>
      </c>
      <c r="H7" s="55">
        <v>8.6</v>
      </c>
      <c r="I7" s="55">
        <v>4.0999999999999996</v>
      </c>
      <c r="J7" s="55">
        <v>9.9</v>
      </c>
      <c r="K7" s="55">
        <v>9.9</v>
      </c>
      <c r="L7" s="55">
        <v>7.2</v>
      </c>
      <c r="M7" s="55">
        <v>14.2</v>
      </c>
      <c r="N7" s="59">
        <v>29</v>
      </c>
    </row>
    <row r="8" spans="1:15" x14ac:dyDescent="0.2">
      <c r="E8" s="99"/>
      <c r="F8" t="s">
        <v>971</v>
      </c>
      <c r="G8" s="59">
        <v>7</v>
      </c>
      <c r="H8" s="55">
        <v>8.6</v>
      </c>
      <c r="I8" s="55">
        <v>4.2</v>
      </c>
      <c r="J8" s="55">
        <v>9.6999999999999993</v>
      </c>
      <c r="K8" s="55">
        <v>8.8000000000000007</v>
      </c>
      <c r="L8" s="55">
        <v>7.5</v>
      </c>
      <c r="M8" s="55">
        <v>14.2</v>
      </c>
      <c r="N8" s="59">
        <v>29</v>
      </c>
    </row>
    <row r="9" spans="1:15" x14ac:dyDescent="0.2">
      <c r="A9" s="98" t="s">
        <v>893</v>
      </c>
      <c r="B9" s="99"/>
      <c r="E9" s="99"/>
    </row>
    <row r="10" spans="1:15" x14ac:dyDescent="0.2">
      <c r="A10" t="s">
        <v>894</v>
      </c>
      <c r="B10" t="s">
        <v>972</v>
      </c>
      <c r="E10" s="99"/>
    </row>
    <row r="11" spans="1:15" x14ac:dyDescent="0.2">
      <c r="A11" t="s">
        <v>895</v>
      </c>
      <c r="B11" t="s">
        <v>1123</v>
      </c>
      <c r="E11" s="99"/>
    </row>
    <row r="12" spans="1:15" x14ac:dyDescent="0.2">
      <c r="A12" t="s">
        <v>896</v>
      </c>
      <c r="B12" t="s">
        <v>694</v>
      </c>
      <c r="E12" s="99"/>
    </row>
    <row r="13" spans="1:15" x14ac:dyDescent="0.2">
      <c r="A13" t="s">
        <v>897</v>
      </c>
      <c r="B13" t="str">
        <f>F5</f>
        <v>Year</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ht="144" x14ac:dyDescent="0.2">
      <c r="A20" t="s">
        <v>904</v>
      </c>
      <c r="B20" s="50" t="s">
        <v>974</v>
      </c>
      <c r="E20" s="99"/>
    </row>
    <row r="21" spans="1:5" x14ac:dyDescent="0.2">
      <c r="A21" t="s">
        <v>905</v>
      </c>
      <c r="B21" t="s">
        <v>975</v>
      </c>
      <c r="E21" s="99"/>
    </row>
    <row r="22" spans="1:5" x14ac:dyDescent="0.2">
      <c r="A22" t="s">
        <v>906</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s="101" t="s">
        <v>977</v>
      </c>
      <c r="B27" s="99"/>
      <c r="E27" s="99"/>
    </row>
    <row r="28" spans="1:5" x14ac:dyDescent="0.2">
      <c r="A28" t="s">
        <v>978</v>
      </c>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C77CE38C-A317-4B59-A2E8-58ED05D5493D}">
      <formula1>"True,False"</formula1>
    </dataValidation>
    <dataValidation type="list" allowBlank="1" showInputMessage="1" showErrorMessage="1" sqref="B2" xr:uid="{B0602114-1E5D-45C4-8158-FF883AF99F90}">
      <formula1>"Table,Figure,Both"</formula1>
    </dataValidation>
    <dataValidation type="list" allowBlank="1" showInputMessage="1" showErrorMessage="1" sqref="F4:O4" xr:uid="{390C03B1-BF32-44D8-8973-25B2C4B362BE}">
      <formula1>"integer, number, percent1"</formula1>
    </dataValidation>
    <dataValidation type="list" allowBlank="1" showInputMessage="1" showErrorMessage="1" sqref="B10" xr:uid="{DDE46B2D-20E2-4D30-86DC-3000E6C4229C}">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5F3197E-A49C-4D5E-B41C-D2D96D316D2F}">
          <x14:formula1>
            <xm:f>Master!$F$2:$F$293</xm:f>
          </x14:formula1>
          <xm:sqref>B1:O1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49A9-4763-4937-9C41-65A923212F7E}">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206</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tbl-mode-to-work</v>
      </c>
    </row>
    <row r="4" spans="1:15" x14ac:dyDescent="0.2">
      <c r="A4" s="58" t="s">
        <v>6</v>
      </c>
      <c r="B4" t="str">
        <f>IF($B$1="","",_xlfn.XLOOKUP($B$1,Master!$F$2:$F$308,Master!$H$2:$H$308,""))</f>
        <v>fig-mode-to-work</v>
      </c>
      <c r="E4" s="13"/>
      <c r="F4" s="13"/>
      <c r="G4" s="16" t="s">
        <v>679</v>
      </c>
      <c r="H4" s="16" t="s">
        <v>679</v>
      </c>
      <c r="I4" s="16" t="s">
        <v>679</v>
      </c>
      <c r="J4" s="16" t="s">
        <v>679</v>
      </c>
      <c r="K4" s="16" t="s">
        <v>679</v>
      </c>
      <c r="L4" s="16" t="s">
        <v>679</v>
      </c>
      <c r="M4" s="16" t="s">
        <v>679</v>
      </c>
      <c r="N4" s="16" t="s">
        <v>679</v>
      </c>
      <c r="O4" s="16"/>
    </row>
    <row r="5" spans="1:15" x14ac:dyDescent="0.2">
      <c r="A5" s="98" t="s">
        <v>885</v>
      </c>
      <c r="B5" s="99"/>
      <c r="E5" s="100" t="s">
        <v>886</v>
      </c>
      <c r="G5" s="55" t="s">
        <v>220</v>
      </c>
      <c r="H5" s="55" t="s">
        <v>18</v>
      </c>
      <c r="I5" s="55" t="s">
        <v>537</v>
      </c>
      <c r="J5" s="55" t="s">
        <v>449</v>
      </c>
      <c r="K5" s="55" t="s">
        <v>409</v>
      </c>
      <c r="L5" s="55" t="s">
        <v>421</v>
      </c>
      <c r="M5" s="55" t="s">
        <v>470</v>
      </c>
      <c r="N5" s="55" t="s">
        <v>915</v>
      </c>
    </row>
    <row r="6" spans="1:15" ht="15" customHeight="1" x14ac:dyDescent="0.2">
      <c r="A6" t="s">
        <v>891</v>
      </c>
      <c r="B6" t="b">
        <v>0</v>
      </c>
      <c r="E6" s="99"/>
      <c r="F6" t="s">
        <v>979</v>
      </c>
      <c r="G6">
        <v>71.400000000000006</v>
      </c>
      <c r="H6">
        <v>69.8</v>
      </c>
      <c r="I6">
        <v>70.599999999999994</v>
      </c>
      <c r="J6">
        <v>66.599999999999994</v>
      </c>
      <c r="K6">
        <v>74.099999999999994</v>
      </c>
      <c r="L6">
        <v>71.7</v>
      </c>
      <c r="M6">
        <v>51.9</v>
      </c>
      <c r="N6" s="14">
        <v>50</v>
      </c>
    </row>
    <row r="7" spans="1:15" ht="15.75" customHeight="1" x14ac:dyDescent="0.2">
      <c r="E7" s="99"/>
      <c r="F7" t="s">
        <v>980</v>
      </c>
      <c r="G7">
        <v>7.5</v>
      </c>
      <c r="H7">
        <v>9.6</v>
      </c>
      <c r="I7">
        <v>7.6</v>
      </c>
      <c r="J7">
        <v>8.5</v>
      </c>
      <c r="K7">
        <v>8.8000000000000007</v>
      </c>
      <c r="L7">
        <v>6.7</v>
      </c>
      <c r="M7">
        <v>7.2</v>
      </c>
      <c r="N7" s="14">
        <v>6.3</v>
      </c>
    </row>
    <row r="8" spans="1:15" x14ac:dyDescent="0.2">
      <c r="E8" s="99"/>
      <c r="F8" t="s">
        <v>981</v>
      </c>
      <c r="G8" s="14">
        <v>3.7</v>
      </c>
      <c r="H8">
        <v>4.4000000000000004</v>
      </c>
      <c r="I8">
        <v>5.6</v>
      </c>
      <c r="J8">
        <v>6.2</v>
      </c>
      <c r="K8">
        <v>1.2</v>
      </c>
      <c r="L8">
        <v>2.1</v>
      </c>
      <c r="M8">
        <v>17.8</v>
      </c>
      <c r="N8" s="14">
        <v>22.4</v>
      </c>
    </row>
    <row r="9" spans="1:15" x14ac:dyDescent="0.2">
      <c r="A9" s="98" t="s">
        <v>893</v>
      </c>
      <c r="B9" s="99"/>
      <c r="E9" s="99"/>
      <c r="F9" t="s">
        <v>982</v>
      </c>
      <c r="G9">
        <v>2.2999999999999998</v>
      </c>
      <c r="H9">
        <v>3.1</v>
      </c>
      <c r="I9">
        <v>1.5</v>
      </c>
      <c r="J9">
        <v>3.1</v>
      </c>
      <c r="K9">
        <v>2.4</v>
      </c>
      <c r="L9">
        <v>2.4</v>
      </c>
      <c r="M9">
        <v>3.7</v>
      </c>
      <c r="N9">
        <v>5.3</v>
      </c>
    </row>
    <row r="10" spans="1:15" x14ac:dyDescent="0.2">
      <c r="A10" t="s">
        <v>894</v>
      </c>
      <c r="B10" t="s">
        <v>983</v>
      </c>
      <c r="E10" s="99"/>
      <c r="F10" t="s">
        <v>984</v>
      </c>
      <c r="G10">
        <v>1.7</v>
      </c>
      <c r="H10" s="14">
        <v>2</v>
      </c>
      <c r="I10" s="14">
        <v>1</v>
      </c>
      <c r="J10">
        <v>2.8</v>
      </c>
      <c r="K10">
        <v>1.9</v>
      </c>
      <c r="L10">
        <v>1.8</v>
      </c>
      <c r="M10">
        <v>2.1</v>
      </c>
      <c r="N10">
        <v>2.6</v>
      </c>
    </row>
    <row r="11" spans="1:15" x14ac:dyDescent="0.2">
      <c r="A11" t="s">
        <v>895</v>
      </c>
      <c r="B11" t="s">
        <v>985</v>
      </c>
      <c r="E11" s="99"/>
      <c r="F11" t="s">
        <v>986</v>
      </c>
      <c r="G11">
        <v>13.4</v>
      </c>
      <c r="H11">
        <v>11.1</v>
      </c>
      <c r="I11">
        <v>13.7</v>
      </c>
      <c r="J11">
        <v>12.7</v>
      </c>
      <c r="K11">
        <v>11.6</v>
      </c>
      <c r="L11">
        <v>15.3</v>
      </c>
      <c r="M11">
        <v>17.3</v>
      </c>
      <c r="N11">
        <v>13.3</v>
      </c>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B20" t="s">
        <v>987</v>
      </c>
      <c r="E20" s="99"/>
    </row>
    <row r="21" spans="1:5" x14ac:dyDescent="0.2">
      <c r="A21" t="s">
        <v>905</v>
      </c>
      <c r="B21">
        <v>2023</v>
      </c>
      <c r="E21" s="99"/>
    </row>
    <row r="22" spans="1:5" x14ac:dyDescent="0.2">
      <c r="A22" t="s">
        <v>906</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s="101" t="s">
        <v>977</v>
      </c>
      <c r="B27" s="99"/>
      <c r="E27" s="99"/>
    </row>
    <row r="28" spans="1:5" ht="208" x14ac:dyDescent="0.2">
      <c r="A28" s="50" t="s">
        <v>988</v>
      </c>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G4:O4" xr:uid="{4AD8B260-BA6C-44C4-9843-22ABAEEAE822}">
      <formula1>"integer, number, percent1"</formula1>
    </dataValidation>
    <dataValidation type="list" allowBlank="1" showInputMessage="1" showErrorMessage="1" sqref="B10" xr:uid="{9F952178-496B-4BB9-911A-B51452FA8676}">
      <formula1>"Line,Clustered Bar,Stacked Bar"</formula1>
    </dataValidation>
    <dataValidation type="list" allowBlank="1" showInputMessage="1" showErrorMessage="1" sqref="B2" xr:uid="{2FC7337B-A007-4909-B4F7-F728E221D424}">
      <formula1>"Table,Figure,Both"</formula1>
    </dataValidation>
    <dataValidation type="list" allowBlank="1" showInputMessage="1" showErrorMessage="1" sqref="B6 B15" xr:uid="{FB0241E6-4D05-427B-AFCB-1140C16F8976}">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037A434-7F4C-49A9-9303-3A95A2EDD5DE}">
          <x14:formula1>
            <xm:f>Master!$F$2:$F$293</xm:f>
          </x14:formula1>
          <xm:sqref>B1:O1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AB47-9C3C-40A3-80F0-EDAE13345314}">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211</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tbl-mean-time-work</v>
      </c>
    </row>
    <row r="4" spans="1:15" x14ac:dyDescent="0.2">
      <c r="A4" s="58" t="s">
        <v>6</v>
      </c>
      <c r="B4" t="str">
        <f>IF($B$1="","",_xlfn.XLOOKUP($B$1,Master!$F$2:$F$308,Master!$H$2:$H$308,""))</f>
        <v>fig-mean-time-work</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G5" s="55" t="s">
        <v>220</v>
      </c>
      <c r="H5" s="55" t="s">
        <v>18</v>
      </c>
      <c r="I5" s="55" t="s">
        <v>537</v>
      </c>
      <c r="J5" s="55" t="s">
        <v>449</v>
      </c>
      <c r="K5" s="55" t="s">
        <v>409</v>
      </c>
      <c r="L5" s="55" t="s">
        <v>421</v>
      </c>
      <c r="M5" s="55" t="s">
        <v>470</v>
      </c>
      <c r="N5" s="55" t="s">
        <v>915</v>
      </c>
    </row>
    <row r="6" spans="1:15" ht="15" customHeight="1" x14ac:dyDescent="0.2">
      <c r="A6" t="s">
        <v>891</v>
      </c>
      <c r="B6" t="b">
        <v>0</v>
      </c>
      <c r="E6" s="99"/>
      <c r="F6" t="s">
        <v>969</v>
      </c>
      <c r="G6" s="59">
        <v>32</v>
      </c>
      <c r="H6" s="59">
        <v>34.1</v>
      </c>
      <c r="I6" s="59">
        <v>39.200000000000003</v>
      </c>
      <c r="J6" s="59">
        <v>31.2</v>
      </c>
      <c r="K6" s="59">
        <v>28.6</v>
      </c>
      <c r="L6" s="59">
        <v>28.6</v>
      </c>
      <c r="M6" s="59">
        <v>34.799999999999997</v>
      </c>
      <c r="N6" s="59">
        <v>33.299999999999997</v>
      </c>
    </row>
    <row r="7" spans="1:15" ht="15.75" customHeight="1" x14ac:dyDescent="0.2">
      <c r="E7" s="99"/>
      <c r="F7" t="s">
        <v>970</v>
      </c>
      <c r="G7" s="59">
        <v>32.299999999999997</v>
      </c>
      <c r="H7" s="59">
        <v>34.1</v>
      </c>
      <c r="I7" s="59">
        <v>39.9</v>
      </c>
      <c r="J7" s="59">
        <v>31</v>
      </c>
      <c r="K7" s="59">
        <v>28.1</v>
      </c>
      <c r="L7" s="59">
        <v>28.1</v>
      </c>
      <c r="M7" s="59">
        <v>34.799999999999997</v>
      </c>
      <c r="N7" s="59">
        <v>33.200000000000003</v>
      </c>
    </row>
    <row r="8" spans="1:15" x14ac:dyDescent="0.2">
      <c r="E8" s="99"/>
      <c r="F8" t="s">
        <v>971</v>
      </c>
      <c r="G8" s="59">
        <v>31.4</v>
      </c>
      <c r="H8" s="59">
        <v>34.200000000000003</v>
      </c>
      <c r="I8" s="59">
        <v>39.5</v>
      </c>
      <c r="J8" s="59">
        <v>30.3</v>
      </c>
      <c r="K8" s="59">
        <v>27.8</v>
      </c>
      <c r="L8" s="59">
        <v>27.8</v>
      </c>
      <c r="M8" s="59">
        <v>34.700000000000003</v>
      </c>
      <c r="N8" s="59">
        <v>32.799999999999997</v>
      </c>
    </row>
    <row r="9" spans="1:15" x14ac:dyDescent="0.2">
      <c r="A9" s="98" t="s">
        <v>893</v>
      </c>
      <c r="B9" s="99"/>
      <c r="E9" s="99"/>
    </row>
    <row r="10" spans="1:15" x14ac:dyDescent="0.2">
      <c r="A10" t="s">
        <v>894</v>
      </c>
      <c r="B10" t="s">
        <v>972</v>
      </c>
      <c r="E10" s="99"/>
    </row>
    <row r="11" spans="1:15" x14ac:dyDescent="0.2">
      <c r="A11" t="s">
        <v>895</v>
      </c>
      <c r="B11" t="s">
        <v>973</v>
      </c>
      <c r="E11" s="99"/>
    </row>
    <row r="12" spans="1:15" x14ac:dyDescent="0.2">
      <c r="A12" t="s">
        <v>896</v>
      </c>
      <c r="B12" t="s">
        <v>989</v>
      </c>
      <c r="E12" s="99"/>
    </row>
    <row r="13" spans="1:15" x14ac:dyDescent="0.2">
      <c r="A13" t="s">
        <v>897</v>
      </c>
      <c r="E13" s="99"/>
    </row>
    <row r="14" spans="1:15" x14ac:dyDescent="0.2">
      <c r="A14" t="s">
        <v>899</v>
      </c>
      <c r="B14" t="s">
        <v>989</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B20" t="s">
        <v>990</v>
      </c>
      <c r="E20" s="99"/>
    </row>
    <row r="21" spans="1:5" x14ac:dyDescent="0.2">
      <c r="A21" t="s">
        <v>905</v>
      </c>
      <c r="B21" t="s">
        <v>975</v>
      </c>
      <c r="E21" s="99"/>
    </row>
    <row r="22" spans="1:5" x14ac:dyDescent="0.2">
      <c r="A22" t="s">
        <v>906</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s="101" t="s">
        <v>977</v>
      </c>
      <c r="B27" s="99"/>
      <c r="E27" s="99"/>
    </row>
    <row r="28" spans="1:5" ht="350" x14ac:dyDescent="0.2">
      <c r="A28" s="50" t="s">
        <v>991</v>
      </c>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5">
    <dataValidation type="list" allowBlank="1" showInputMessage="1" showErrorMessage="1" sqref="B10" xr:uid="{D84F7CB9-0401-4E89-B320-B4C68033C94A}">
      <formula1>"Line, Bar, Clustered Bar, Stacked Bar, Horizontal Bar"</formula1>
    </dataValidation>
    <dataValidation type="list" allowBlank="1" showInputMessage="1" showErrorMessage="1" sqref="F4:O4" xr:uid="{5CF0207C-4BEC-492B-8FB7-5DAE4F5B9F73}">
      <formula1>"integer, number, percent1"</formula1>
    </dataValidation>
    <dataValidation type="list" allowBlank="1" showInputMessage="1" showErrorMessage="1" sqref="B2" xr:uid="{E2820B0B-8110-400E-9C67-D1FFB3A63119}">
      <formula1>"Table,Figure,Both"</formula1>
    </dataValidation>
    <dataValidation type="list" allowBlank="1" showInputMessage="1" showErrorMessage="1" sqref="B6 B15" xr:uid="{1FC7BC7E-5433-482A-AB74-0A305F16955D}">
      <formula1>"True,False"</formula1>
    </dataValidation>
    <dataValidation type="list" allowBlank="1" showInputMessage="1" showErrorMessage="1" sqref="B14 B12" xr:uid="{4C5BA2B1-7C56-49F2-9D19-BDC16A3CB9B8}">
      <formula1>"Percent, Minutes"</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3F7117F-DECD-4E5B-977D-021F1E8050C3}">
          <x14:formula1>
            <xm:f>Master!$F$2:$F$293</xm:f>
          </x14:formula1>
          <xm:sqref>B1:O1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5B03-D52D-4949-9665-12A8249EE021}">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28.83203125" bestFit="1" customWidth="1"/>
    <col min="7" max="7" width="26.83203125" bestFit="1" customWidth="1"/>
    <col min="8" max="8" width="35.33203125" bestFit="1" customWidth="1"/>
    <col min="9" max="9" width="29.5" bestFit="1" customWidth="1"/>
    <col min="10" max="10" width="34.6640625" bestFit="1" customWidth="1"/>
    <col min="11" max="11" width="29.33203125" bestFit="1" customWidth="1"/>
    <col min="12" max="12" width="22.1640625" bestFit="1" customWidth="1"/>
    <col min="13" max="13" width="39.5" bestFit="1" customWidth="1"/>
    <col min="14" max="14" width="25.6640625" bestFit="1" customWidth="1"/>
    <col min="15" max="15" width="33.5" bestFit="1" customWidth="1"/>
  </cols>
  <sheetData>
    <row r="1" spans="1:15" x14ac:dyDescent="0.2">
      <c r="A1" s="58" t="s">
        <v>882</v>
      </c>
      <c r="B1" s="96" t="s">
        <v>215</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tbl-DC-affect-health</v>
      </c>
    </row>
    <row r="4" spans="1:15" x14ac:dyDescent="0.2">
      <c r="A4" s="58" t="s">
        <v>6</v>
      </c>
      <c r="B4" t="str">
        <f>IF($B$1="","",_xlfn.XLOOKUP($B$1,Master!$F$2:$F$308,Master!$H$2:$H$308,""))</f>
        <v>fig-DC-affect-health</v>
      </c>
      <c r="E4" s="13"/>
      <c r="F4" s="16" t="s">
        <v>679</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55" t="s">
        <v>992</v>
      </c>
      <c r="G5" s="55" t="s">
        <v>993</v>
      </c>
      <c r="H5" s="55" t="s">
        <v>994</v>
      </c>
      <c r="I5" s="55" t="s">
        <v>995</v>
      </c>
      <c r="J5" s="55" t="s">
        <v>996</v>
      </c>
      <c r="K5" s="55" t="s">
        <v>997</v>
      </c>
      <c r="L5" s="55" t="s">
        <v>998</v>
      </c>
      <c r="M5" s="55" t="s">
        <v>999</v>
      </c>
      <c r="N5" s="55" t="s">
        <v>1000</v>
      </c>
      <c r="O5" s="55" t="s">
        <v>1001</v>
      </c>
    </row>
    <row r="6" spans="1:15" ht="15" customHeight="1" x14ac:dyDescent="0.2">
      <c r="A6" t="s">
        <v>891</v>
      </c>
      <c r="B6" t="b">
        <v>0</v>
      </c>
      <c r="E6" s="99"/>
      <c r="F6" s="59">
        <v>48.6</v>
      </c>
      <c r="G6" s="59">
        <v>47.7</v>
      </c>
      <c r="H6" s="59">
        <v>46.8</v>
      </c>
      <c r="I6" s="59">
        <v>42.2</v>
      </c>
      <c r="J6" s="59">
        <v>40.4</v>
      </c>
      <c r="K6" s="59">
        <v>34.9</v>
      </c>
      <c r="L6" s="59">
        <v>18.399999999999999</v>
      </c>
      <c r="M6" s="59">
        <v>12</v>
      </c>
      <c r="N6" s="59">
        <v>8.3000000000000007</v>
      </c>
      <c r="O6" s="59">
        <v>0.9</v>
      </c>
    </row>
    <row r="7" spans="1:15" ht="15.75" customHeight="1" x14ac:dyDescent="0.2">
      <c r="E7" s="99"/>
      <c r="N7" s="14"/>
    </row>
    <row r="8" spans="1:15" x14ac:dyDescent="0.2">
      <c r="E8" s="99"/>
      <c r="G8" s="14"/>
      <c r="N8" s="14"/>
    </row>
    <row r="9" spans="1:15" x14ac:dyDescent="0.2">
      <c r="A9" s="98" t="s">
        <v>893</v>
      </c>
      <c r="B9" s="99"/>
      <c r="E9" s="99"/>
    </row>
    <row r="10" spans="1:15" x14ac:dyDescent="0.2">
      <c r="A10" t="s">
        <v>894</v>
      </c>
      <c r="B10" t="s">
        <v>1002</v>
      </c>
      <c r="E10" s="99"/>
      <c r="H10" s="14"/>
      <c r="I10" s="14"/>
    </row>
    <row r="11" spans="1:15" x14ac:dyDescent="0.2">
      <c r="A11" t="s">
        <v>895</v>
      </c>
      <c r="B11" t="s">
        <v>985</v>
      </c>
      <c r="E11" s="99"/>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50DF3265-AAA0-49F4-A4F7-DA7F723E9B76}">
      <formula1>"integer, number, percent1"</formula1>
    </dataValidation>
    <dataValidation type="list" allowBlank="1" showInputMessage="1" showErrorMessage="1" sqref="B2" xr:uid="{166C6F13-6581-4D35-8372-697BBC7B4B40}">
      <formula1>"Table,Figure,Both"</formula1>
    </dataValidation>
    <dataValidation type="list" allowBlank="1" showInputMessage="1" showErrorMessage="1" sqref="B6 B15" xr:uid="{1CDBDBFC-4B78-424E-949F-C9423C88D4D2}">
      <formula1>"True,False"</formula1>
    </dataValidation>
    <dataValidation type="list" allowBlank="1" showInputMessage="1" showErrorMessage="1" sqref="B10" xr:uid="{14F6FFBA-B616-4F71-BD06-637993477CC4}">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3FFEA0B-2930-4EE0-BEB6-211D74FA4C2D}">
          <x14:formula1>
            <xm:f>Master!$F$2:$F$293</xm:f>
          </x14:formula1>
          <xm:sqref>B1:O1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3376-F994-4C57-9151-175000BA39B9}">
  <dimension ref="A1:Q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7" x14ac:dyDescent="0.2">
      <c r="A1" s="58" t="s">
        <v>882</v>
      </c>
      <c r="B1" s="96" t="s">
        <v>222</v>
      </c>
      <c r="C1" s="97"/>
      <c r="D1" s="97"/>
      <c r="E1" s="97"/>
      <c r="F1" s="97"/>
      <c r="G1" s="97"/>
      <c r="H1" s="97"/>
      <c r="I1" s="97"/>
      <c r="J1" s="97"/>
      <c r="K1" s="97"/>
      <c r="L1" s="97"/>
      <c r="M1" s="97"/>
      <c r="N1" s="97"/>
      <c r="O1" s="97"/>
    </row>
    <row r="2" spans="1:17" x14ac:dyDescent="0.2">
      <c r="A2" s="58" t="s">
        <v>883</v>
      </c>
      <c r="B2" t="s">
        <v>56</v>
      </c>
    </row>
    <row r="3" spans="1:17" x14ac:dyDescent="0.2">
      <c r="A3" s="58" t="s">
        <v>884</v>
      </c>
      <c r="B3" t="str">
        <f>IF($B$1="","",_xlfn.XLOOKUP($B$1,Master!$F$2:$F$308,Master!$G$2:$G$308,""))</f>
        <v>tbl-DC-achieve-health</v>
      </c>
    </row>
    <row r="4" spans="1:17" x14ac:dyDescent="0.2">
      <c r="A4" s="58" t="s">
        <v>6</v>
      </c>
      <c r="B4" t="str">
        <f>IF($B$1="","",_xlfn.XLOOKUP($B$1,Master!$F$2:$F$308,Master!$H$2:$H$308,""))</f>
        <v>fig-DC-achieve-health</v>
      </c>
      <c r="E4" s="13"/>
      <c r="F4" s="16" t="s">
        <v>679</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1003</v>
      </c>
      <c r="G5" t="s">
        <v>1004</v>
      </c>
      <c r="H5" t="s">
        <v>1005</v>
      </c>
      <c r="I5" t="s">
        <v>1006</v>
      </c>
      <c r="J5" t="s">
        <v>1007</v>
      </c>
      <c r="K5" t="s">
        <v>1008</v>
      </c>
      <c r="L5" t="s">
        <v>728</v>
      </c>
      <c r="M5" t="s">
        <v>1009</v>
      </c>
      <c r="N5" t="s">
        <v>1010</v>
      </c>
      <c r="O5" t="s">
        <v>1011</v>
      </c>
      <c r="P5" t="s">
        <v>1012</v>
      </c>
      <c r="Q5" t="s">
        <v>1013</v>
      </c>
    </row>
    <row r="6" spans="1:17" ht="15" customHeight="1" x14ac:dyDescent="0.2">
      <c r="A6" t="s">
        <v>891</v>
      </c>
      <c r="B6" t="b">
        <v>0</v>
      </c>
      <c r="E6" s="99"/>
      <c r="F6">
        <v>77.099999999999994</v>
      </c>
      <c r="G6">
        <v>51.4</v>
      </c>
      <c r="H6">
        <v>34.9</v>
      </c>
      <c r="I6">
        <v>32.1</v>
      </c>
      <c r="J6">
        <v>25.7</v>
      </c>
      <c r="K6">
        <v>25.7</v>
      </c>
      <c r="L6">
        <v>17.399999999999999</v>
      </c>
      <c r="M6">
        <v>9.1999999999999993</v>
      </c>
      <c r="N6" s="14">
        <v>7.3</v>
      </c>
      <c r="O6">
        <v>6.4</v>
      </c>
      <c r="P6">
        <v>6.4</v>
      </c>
      <c r="Q6">
        <v>6.4</v>
      </c>
    </row>
    <row r="7" spans="1:17" ht="15.75" customHeight="1" x14ac:dyDescent="0.2">
      <c r="E7" s="99"/>
      <c r="N7" s="14"/>
    </row>
    <row r="8" spans="1:17" x14ac:dyDescent="0.2">
      <c r="E8" s="99"/>
      <c r="G8" s="14"/>
      <c r="N8" s="14"/>
    </row>
    <row r="9" spans="1:17" x14ac:dyDescent="0.2">
      <c r="A9" s="98" t="s">
        <v>893</v>
      </c>
      <c r="B9" s="99"/>
      <c r="E9" s="99"/>
    </row>
    <row r="10" spans="1:17" x14ac:dyDescent="0.2">
      <c r="A10" t="s">
        <v>894</v>
      </c>
      <c r="B10" t="s">
        <v>1002</v>
      </c>
      <c r="E10" s="99"/>
      <c r="H10" s="14"/>
      <c r="I10" s="14"/>
    </row>
    <row r="11" spans="1:17" x14ac:dyDescent="0.2">
      <c r="A11" t="s">
        <v>895</v>
      </c>
      <c r="B11" t="s">
        <v>985</v>
      </c>
      <c r="E11" s="99"/>
    </row>
    <row r="12" spans="1:17" x14ac:dyDescent="0.2">
      <c r="A12" t="s">
        <v>896</v>
      </c>
      <c r="B12" t="s">
        <v>694</v>
      </c>
      <c r="E12" s="99"/>
    </row>
    <row r="13" spans="1:17" x14ac:dyDescent="0.2">
      <c r="A13" t="s">
        <v>897</v>
      </c>
      <c r="E13" s="99"/>
    </row>
    <row r="14" spans="1:17" x14ac:dyDescent="0.2">
      <c r="A14" t="s">
        <v>899</v>
      </c>
      <c r="B14" t="s">
        <v>694</v>
      </c>
      <c r="E14" s="99"/>
    </row>
    <row r="15" spans="1:17" x14ac:dyDescent="0.2">
      <c r="A15" t="s">
        <v>901</v>
      </c>
      <c r="B15" t="b">
        <v>1</v>
      </c>
      <c r="E15" s="99"/>
    </row>
    <row r="16" spans="1:17"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999DCF14-2CDD-4EC2-A726-EC5B417549DF}">
      <formula1>"True,False"</formula1>
    </dataValidation>
    <dataValidation type="list" allowBlank="1" showInputMessage="1" showErrorMessage="1" sqref="B2" xr:uid="{6A8991D2-A5EE-4EAD-8A3B-7D05CAD82B8B}">
      <formula1>"Table,Figure,Both"</formula1>
    </dataValidation>
    <dataValidation type="list" allowBlank="1" showInputMessage="1" showErrorMessage="1" sqref="F4:Q4" xr:uid="{801210A9-E2BD-41BB-82BA-178E93D1C47B}">
      <formula1>"integer, number, percent1"</formula1>
    </dataValidation>
    <dataValidation type="list" allowBlank="1" showInputMessage="1" showErrorMessage="1" sqref="B10" xr:uid="{2D8807D4-62DD-482B-8EF0-81978FF6DF5A}">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AFB5EE0-C4BB-48E9-8C87-A1CD629892D7}">
          <x14:formula1>
            <xm:f>Master!$F$2:$F$293</xm:f>
          </x14:formula1>
          <xm:sqref>B1:O1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33AA-6EBE-4AB1-849E-18981246B85B}">
  <dimension ref="A1:O57"/>
  <sheetViews>
    <sheetView topLeftCell="A5" workbookViewId="0">
      <selection activeCell="K21" sqref="K21"/>
    </sheetView>
  </sheetViews>
  <sheetFormatPr baseColWidth="10" defaultColWidth="8.6640625" defaultRowHeight="15" x14ac:dyDescent="0.2"/>
  <cols>
    <col min="1" max="1" width="20" bestFit="1" customWidth="1"/>
    <col min="2" max="2" width="16.6640625" customWidth="1"/>
    <col min="5" max="5" width="6.6640625" customWidth="1"/>
    <col min="6" max="6" width="9.66406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226</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tbl-DC-impact-hlth-issue</v>
      </c>
    </row>
    <row r="4" spans="1:15" x14ac:dyDescent="0.2">
      <c r="A4" s="58" t="s">
        <v>6</v>
      </c>
      <c r="B4" t="str">
        <f>IF($B$1="","",_xlfn.XLOOKUP($B$1,Master!$F$2:$F$308,Master!$H$2:$H$308,""))</f>
        <v>fig-DC-impact-hlth-issue</v>
      </c>
      <c r="E4" s="13"/>
      <c r="F4" s="16"/>
      <c r="G4" s="16" t="s">
        <v>679</v>
      </c>
      <c r="H4" s="16" t="s">
        <v>679</v>
      </c>
      <c r="I4" s="16" t="s">
        <v>679</v>
      </c>
      <c r="J4" s="16" t="s">
        <v>679</v>
      </c>
      <c r="K4" s="16" t="s">
        <v>679</v>
      </c>
      <c r="L4" s="16" t="s">
        <v>679</v>
      </c>
      <c r="M4" s="16"/>
      <c r="N4" s="16"/>
      <c r="O4" s="16"/>
    </row>
    <row r="5" spans="1:15" ht="15" customHeight="1" x14ac:dyDescent="0.2">
      <c r="A5" s="98" t="s">
        <v>885</v>
      </c>
      <c r="B5" s="99"/>
      <c r="E5" s="100" t="s">
        <v>886</v>
      </c>
      <c r="F5" t="s">
        <v>2172</v>
      </c>
      <c r="G5" s="55" t="s">
        <v>1014</v>
      </c>
      <c r="H5" s="55" t="s">
        <v>1015</v>
      </c>
      <c r="I5" s="55" t="s">
        <v>1016</v>
      </c>
      <c r="J5" s="55" t="s">
        <v>1017</v>
      </c>
      <c r="K5" s="55" t="s">
        <v>1018</v>
      </c>
      <c r="L5" s="55" t="s">
        <v>1019</v>
      </c>
      <c r="M5" s="55"/>
      <c r="N5" s="55"/>
    </row>
    <row r="6" spans="1:15" ht="15" customHeight="1" x14ac:dyDescent="0.2">
      <c r="A6" t="s">
        <v>891</v>
      </c>
      <c r="B6" t="b">
        <v>0</v>
      </c>
      <c r="E6" s="100"/>
      <c r="F6" s="61">
        <v>1</v>
      </c>
      <c r="G6" s="55">
        <v>6.7</v>
      </c>
      <c r="H6" s="55">
        <v>3.9</v>
      </c>
      <c r="I6" s="55">
        <v>4.9000000000000004</v>
      </c>
      <c r="J6" s="55">
        <v>22.3</v>
      </c>
      <c r="K6" s="55">
        <v>17.600000000000001</v>
      </c>
      <c r="L6" s="55">
        <v>21.2</v>
      </c>
      <c r="N6" s="14"/>
    </row>
    <row r="7" spans="1:15" ht="15.75" customHeight="1" x14ac:dyDescent="0.2">
      <c r="E7" s="100"/>
      <c r="F7" s="61">
        <v>2</v>
      </c>
      <c r="G7" s="55">
        <v>3.8</v>
      </c>
      <c r="H7" s="55">
        <v>8.6999999999999993</v>
      </c>
      <c r="I7" s="55">
        <v>6.9</v>
      </c>
      <c r="J7" s="55">
        <v>12.6</v>
      </c>
      <c r="K7" s="55">
        <v>17.7</v>
      </c>
      <c r="L7" s="55">
        <v>19.2</v>
      </c>
      <c r="N7" s="14"/>
    </row>
    <row r="8" spans="1:15" x14ac:dyDescent="0.2">
      <c r="E8" s="100"/>
      <c r="F8" s="61">
        <v>3</v>
      </c>
      <c r="G8" s="59">
        <v>21</v>
      </c>
      <c r="H8" s="55">
        <v>18.5</v>
      </c>
      <c r="I8" s="55">
        <v>13.7</v>
      </c>
      <c r="J8" s="55">
        <v>26.2</v>
      </c>
      <c r="K8" s="55">
        <v>24.5</v>
      </c>
      <c r="L8" s="55">
        <v>28.9</v>
      </c>
      <c r="N8" s="14"/>
    </row>
    <row r="9" spans="1:15" x14ac:dyDescent="0.2">
      <c r="A9" s="98" t="s">
        <v>893</v>
      </c>
      <c r="B9" s="99"/>
      <c r="E9" s="100"/>
      <c r="F9" s="61">
        <v>4</v>
      </c>
      <c r="G9" s="55">
        <v>16.2</v>
      </c>
      <c r="H9" s="55">
        <v>25.2</v>
      </c>
      <c r="I9" s="55">
        <v>22.6</v>
      </c>
      <c r="J9" s="55">
        <v>14.6</v>
      </c>
      <c r="K9" s="55">
        <v>19.600000000000001</v>
      </c>
      <c r="L9" s="55">
        <v>14.4</v>
      </c>
    </row>
    <row r="10" spans="1:15" x14ac:dyDescent="0.2">
      <c r="A10" t="s">
        <v>894</v>
      </c>
      <c r="B10" t="s">
        <v>983</v>
      </c>
      <c r="E10" s="100"/>
      <c r="F10" s="61">
        <v>5</v>
      </c>
      <c r="G10" s="55">
        <v>52.4</v>
      </c>
      <c r="H10" s="59">
        <v>43.7</v>
      </c>
      <c r="I10" s="59">
        <v>52</v>
      </c>
      <c r="J10" s="55">
        <v>24.3</v>
      </c>
      <c r="K10" s="55">
        <v>19.600000000000001</v>
      </c>
      <c r="L10" s="55">
        <v>14.4</v>
      </c>
    </row>
    <row r="11" spans="1:15" x14ac:dyDescent="0.2">
      <c r="A11" t="s">
        <v>895</v>
      </c>
      <c r="B11" t="s">
        <v>2173</v>
      </c>
      <c r="E11" s="100"/>
    </row>
    <row r="12" spans="1:15" x14ac:dyDescent="0.2">
      <c r="A12" t="s">
        <v>896</v>
      </c>
      <c r="E12" s="100"/>
    </row>
    <row r="13" spans="1:15" x14ac:dyDescent="0.2">
      <c r="A13" t="s">
        <v>897</v>
      </c>
      <c r="B13" t="s">
        <v>2173</v>
      </c>
      <c r="E13" s="100"/>
    </row>
    <row r="14" spans="1:15" x14ac:dyDescent="0.2">
      <c r="A14" t="s">
        <v>899</v>
      </c>
      <c r="B14" t="s">
        <v>694</v>
      </c>
      <c r="E14" s="100"/>
    </row>
    <row r="15" spans="1:15" x14ac:dyDescent="0.2">
      <c r="A15" t="s">
        <v>901</v>
      </c>
      <c r="B15" t="b">
        <v>1</v>
      </c>
      <c r="E15" s="100"/>
    </row>
    <row r="16" spans="1:15" x14ac:dyDescent="0.2">
      <c r="A16" t="s">
        <v>1799</v>
      </c>
      <c r="B16" t="b">
        <v>1</v>
      </c>
      <c r="E16" s="100"/>
    </row>
    <row r="17" spans="1:5" x14ac:dyDescent="0.2">
      <c r="E17" s="100"/>
    </row>
    <row r="18" spans="1:5" x14ac:dyDescent="0.2">
      <c r="A18" s="98" t="s">
        <v>902</v>
      </c>
      <c r="B18" s="99"/>
      <c r="E18" s="100"/>
    </row>
    <row r="19" spans="1:5" x14ac:dyDescent="0.2">
      <c r="A19" t="s">
        <v>903</v>
      </c>
      <c r="E19" s="100"/>
    </row>
    <row r="20" spans="1:5" x14ac:dyDescent="0.2">
      <c r="A20" t="s">
        <v>904</v>
      </c>
      <c r="E20" s="100"/>
    </row>
    <row r="21" spans="1:5" x14ac:dyDescent="0.2">
      <c r="A21" t="s">
        <v>905</v>
      </c>
      <c r="E21" s="100"/>
    </row>
    <row r="22" spans="1:5" x14ac:dyDescent="0.2">
      <c r="A22" t="s">
        <v>906</v>
      </c>
      <c r="E22" s="100"/>
    </row>
    <row r="23" spans="1:5" x14ac:dyDescent="0.2">
      <c r="A23" t="s">
        <v>907</v>
      </c>
      <c r="E23" s="100"/>
    </row>
    <row r="24" spans="1:5" x14ac:dyDescent="0.2">
      <c r="A24" t="s">
        <v>908</v>
      </c>
      <c r="E24" s="100"/>
    </row>
    <row r="25" spans="1:5" x14ac:dyDescent="0.2">
      <c r="A25" t="s">
        <v>909</v>
      </c>
      <c r="E25" s="100"/>
    </row>
    <row r="26" spans="1:5" x14ac:dyDescent="0.2">
      <c r="E26" s="100"/>
    </row>
    <row r="27" spans="1:5" x14ac:dyDescent="0.2">
      <c r="A27" s="101" t="s">
        <v>977</v>
      </c>
      <c r="B27" s="99"/>
      <c r="E27" s="100"/>
    </row>
    <row r="28" spans="1:5" ht="32" x14ac:dyDescent="0.2">
      <c r="A28" s="50" t="s">
        <v>1809</v>
      </c>
      <c r="E28" s="100"/>
    </row>
    <row r="29" spans="1:5" x14ac:dyDescent="0.2">
      <c r="E29" s="100"/>
    </row>
    <row r="30" spans="1:5" x14ac:dyDescent="0.2">
      <c r="E30" s="100"/>
    </row>
    <row r="31" spans="1:5" x14ac:dyDescent="0.2">
      <c r="E31" s="100"/>
    </row>
    <row r="32" spans="1:5" x14ac:dyDescent="0.2">
      <c r="E32" s="100"/>
    </row>
    <row r="33" spans="5:5" x14ac:dyDescent="0.2">
      <c r="E33" s="100"/>
    </row>
    <row r="34" spans="5:5" x14ac:dyDescent="0.2">
      <c r="E34" s="100"/>
    </row>
    <row r="35" spans="5:5" x14ac:dyDescent="0.2">
      <c r="E35" s="100"/>
    </row>
    <row r="36" spans="5:5" x14ac:dyDescent="0.2">
      <c r="E36" s="100"/>
    </row>
    <row r="37" spans="5:5" x14ac:dyDescent="0.2">
      <c r="E37" s="100"/>
    </row>
    <row r="38" spans="5:5" x14ac:dyDescent="0.2">
      <c r="E38" s="100"/>
    </row>
    <row r="39" spans="5:5" x14ac:dyDescent="0.2">
      <c r="E39" s="100"/>
    </row>
    <row r="40" spans="5:5" x14ac:dyDescent="0.2">
      <c r="E40" s="100"/>
    </row>
    <row r="41" spans="5:5" x14ac:dyDescent="0.2">
      <c r="E41" s="100"/>
    </row>
    <row r="42" spans="5:5" x14ac:dyDescent="0.2">
      <c r="E42" s="100"/>
    </row>
    <row r="43" spans="5:5" x14ac:dyDescent="0.2">
      <c r="E43" s="100"/>
    </row>
    <row r="44" spans="5:5" x14ac:dyDescent="0.2">
      <c r="E44" s="100"/>
    </row>
    <row r="45" spans="5:5" x14ac:dyDescent="0.2">
      <c r="E45" s="100"/>
    </row>
    <row r="46" spans="5:5" x14ac:dyDescent="0.2">
      <c r="E46" s="100"/>
    </row>
    <row r="47" spans="5:5" x14ac:dyDescent="0.2">
      <c r="E47" s="100"/>
    </row>
    <row r="48" spans="5:5" x14ac:dyDescent="0.2">
      <c r="E48" s="100"/>
    </row>
    <row r="49" spans="5:5" x14ac:dyDescent="0.2">
      <c r="E49" s="100"/>
    </row>
    <row r="50" spans="5:5" x14ac:dyDescent="0.2">
      <c r="E50" s="100"/>
    </row>
    <row r="51" spans="5:5" x14ac:dyDescent="0.2">
      <c r="E51" s="100"/>
    </row>
    <row r="52" spans="5:5" x14ac:dyDescent="0.2">
      <c r="E52" s="100"/>
    </row>
    <row r="53" spans="5:5" x14ac:dyDescent="0.2">
      <c r="E53" s="100"/>
    </row>
    <row r="54" spans="5:5" x14ac:dyDescent="0.2">
      <c r="E54" s="100"/>
    </row>
    <row r="55" spans="5:5" x14ac:dyDescent="0.2">
      <c r="E55" s="100"/>
    </row>
    <row r="56" spans="5:5" x14ac:dyDescent="0.2">
      <c r="E56" s="100"/>
    </row>
    <row r="57" spans="5:5" x14ac:dyDescent="0.2">
      <c r="E57" s="100"/>
    </row>
  </sheetData>
  <mergeCells count="6">
    <mergeCell ref="B1:O1"/>
    <mergeCell ref="A5:B5"/>
    <mergeCell ref="E5:E57"/>
    <mergeCell ref="A9:B9"/>
    <mergeCell ref="A18:B18"/>
    <mergeCell ref="A27:B27"/>
  </mergeCells>
  <dataValidations count="4">
    <dataValidation type="list" allowBlank="1" showInputMessage="1" showErrorMessage="1" sqref="B6 B15" xr:uid="{76883EAE-F8DF-4F64-B6BA-5777F58850DC}">
      <formula1>"True,False"</formula1>
    </dataValidation>
    <dataValidation type="list" allowBlank="1" showInputMessage="1" showErrorMessage="1" sqref="B2" xr:uid="{F899881E-0F20-4F07-B66E-1A83976C47A1}">
      <formula1>"Table,Figure,Both"</formula1>
    </dataValidation>
    <dataValidation type="list" allowBlank="1" showInputMessage="1" showErrorMessage="1" sqref="F4:O4" xr:uid="{0EB244B1-9210-46AF-AA6C-C1253870619E}">
      <formula1>"integer, number, percent1"</formula1>
    </dataValidation>
    <dataValidation type="list" allowBlank="1" showInputMessage="1" showErrorMessage="1" sqref="B10" xr:uid="{3E2D44F1-1FF3-4F64-AFEE-BA3FF794060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A143377-5AAD-4052-8464-A46623D5302E}">
          <x14:formula1>
            <xm:f>Master!$F$2:$F$293</xm:f>
          </x14:formula1>
          <xm:sqref>B1:O1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9524-8E4B-4586-A286-04CDC7A589E7}">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230</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tbl-DC-impact-sdoh</v>
      </c>
    </row>
    <row r="4" spans="1:15" x14ac:dyDescent="0.2">
      <c r="A4" s="58" t="s">
        <v>6</v>
      </c>
      <c r="B4" t="str">
        <f>IF($B$1="","",_xlfn.XLOOKUP($B$1,Master!$F$2:$F$308,Master!$H$2:$H$308,""))</f>
        <v>fig-DC-impact-sdoh</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1021</v>
      </c>
      <c r="G5" s="55" t="s">
        <v>1022</v>
      </c>
      <c r="H5" s="55" t="s">
        <v>1023</v>
      </c>
      <c r="I5" s="55" t="s">
        <v>1024</v>
      </c>
      <c r="J5" s="55" t="s">
        <v>1025</v>
      </c>
      <c r="K5" s="55" t="s">
        <v>1026</v>
      </c>
      <c r="M5" s="55"/>
      <c r="N5" s="55"/>
    </row>
    <row r="6" spans="1:15" ht="15" customHeight="1" x14ac:dyDescent="0.2">
      <c r="A6" t="s">
        <v>891</v>
      </c>
      <c r="B6" t="b">
        <v>0</v>
      </c>
      <c r="E6" s="99"/>
      <c r="F6" s="55">
        <v>77.7</v>
      </c>
      <c r="G6" s="55">
        <v>73.8</v>
      </c>
      <c r="H6" s="59">
        <v>50</v>
      </c>
      <c r="I6" s="55">
        <v>48.5</v>
      </c>
      <c r="J6" s="55">
        <v>28.2</v>
      </c>
      <c r="K6" s="55">
        <v>25.2</v>
      </c>
      <c r="N6" s="14"/>
    </row>
    <row r="7" spans="1:15" ht="15.75" customHeight="1" x14ac:dyDescent="0.2">
      <c r="E7" s="99"/>
      <c r="F7" s="55"/>
      <c r="G7" s="55"/>
      <c r="H7" s="55"/>
      <c r="I7" s="55"/>
      <c r="J7" s="55"/>
      <c r="K7" s="55"/>
      <c r="N7" s="14"/>
    </row>
    <row r="8" spans="1:15" x14ac:dyDescent="0.2">
      <c r="E8" s="99"/>
      <c r="F8" s="59"/>
      <c r="G8" s="55"/>
      <c r="H8" s="55"/>
      <c r="I8" s="55"/>
      <c r="J8" s="55"/>
      <c r="K8" s="55"/>
      <c r="N8" s="14"/>
    </row>
    <row r="9" spans="1:15" x14ac:dyDescent="0.2">
      <c r="A9" s="98" t="s">
        <v>893</v>
      </c>
      <c r="B9" s="99"/>
      <c r="E9" s="99"/>
      <c r="F9" s="55"/>
      <c r="G9" s="55"/>
      <c r="H9" s="55"/>
      <c r="I9" s="55"/>
      <c r="J9" s="55"/>
      <c r="K9" s="55"/>
    </row>
    <row r="10" spans="1:15" x14ac:dyDescent="0.2">
      <c r="A10" t="s">
        <v>894</v>
      </c>
      <c r="B10" t="s">
        <v>1002</v>
      </c>
      <c r="E10" s="99"/>
      <c r="F10" s="55"/>
      <c r="G10" s="59"/>
      <c r="H10" s="59"/>
      <c r="I10" s="55"/>
      <c r="J10" s="55"/>
      <c r="K10" s="55"/>
    </row>
    <row r="11" spans="1:15" x14ac:dyDescent="0.2">
      <c r="A11" t="s">
        <v>895</v>
      </c>
      <c r="B11" t="s">
        <v>985</v>
      </c>
      <c r="E11" s="99"/>
      <c r="F11" s="55"/>
      <c r="G11" s="55"/>
      <c r="H11" s="55"/>
      <c r="I11" s="55"/>
      <c r="J11" s="55"/>
      <c r="K11" s="55"/>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55A4DA60-217F-4FA3-AB94-B091B60EDC49}">
      <formula1>"integer, number, percent1"</formula1>
    </dataValidation>
    <dataValidation type="list" allowBlank="1" showInputMessage="1" showErrorMessage="1" sqref="B2" xr:uid="{A8427E75-EB51-4EB9-8DA1-9ADA5520AF48}">
      <formula1>"Table,Figure,Both"</formula1>
    </dataValidation>
    <dataValidation type="list" allowBlank="1" showInputMessage="1" showErrorMessage="1" sqref="B6 B15" xr:uid="{319F52CF-4DA3-4DA3-A316-BAB11CCC5B05}">
      <formula1>"True,False"</formula1>
    </dataValidation>
    <dataValidation type="list" allowBlank="1" showInputMessage="1" showErrorMessage="1" sqref="B10" xr:uid="{EAA56B09-D2EC-479D-8693-DD42D52C2BF9}">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F7C55C4-CAAF-420B-BBFE-D2EFCE0F1F62}">
          <x14:formula1>
            <xm:f>Master!$F$2:$F$293</xm:f>
          </x14:formula1>
          <xm:sqref>B1:O1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2F58-6B7C-4C2C-A2DC-5342DE11B916}">
  <dimension ref="A1:O57"/>
  <sheetViews>
    <sheetView workbookViewId="0">
      <selection activeCell="Q14" sqref="Q14"/>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234</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tbl-DC-eco-wellbeing</v>
      </c>
    </row>
    <row r="4" spans="1:15" x14ac:dyDescent="0.2">
      <c r="A4" s="58" t="s">
        <v>6</v>
      </c>
      <c r="B4" t="str">
        <f>IF($B$1="","",_xlfn.XLOOKUP($B$1,Master!$F$2:$F$308,Master!$H$2:$H$308,""))</f>
        <v>fig-DC-eco-wellbeing</v>
      </c>
      <c r="E4" s="13"/>
      <c r="F4" s="13"/>
      <c r="G4" s="16" t="s">
        <v>679</v>
      </c>
      <c r="H4" s="16" t="s">
        <v>679</v>
      </c>
      <c r="I4" s="16" t="s">
        <v>679</v>
      </c>
      <c r="J4" s="16" t="s">
        <v>679</v>
      </c>
      <c r="K4" s="16"/>
      <c r="L4" s="16"/>
      <c r="M4" s="16"/>
      <c r="N4" s="16"/>
      <c r="O4" s="16"/>
    </row>
    <row r="5" spans="1:15" x14ac:dyDescent="0.2">
      <c r="A5" s="98" t="s">
        <v>885</v>
      </c>
      <c r="B5" s="99"/>
      <c r="E5" s="100" t="s">
        <v>886</v>
      </c>
      <c r="F5" t="s">
        <v>2172</v>
      </c>
      <c r="G5" s="55" t="s">
        <v>1027</v>
      </c>
      <c r="H5" s="55" t="s">
        <v>1028</v>
      </c>
      <c r="I5" s="55" t="s">
        <v>1029</v>
      </c>
      <c r="J5" s="55" t="s">
        <v>1030</v>
      </c>
      <c r="K5" s="55"/>
      <c r="L5" s="55"/>
      <c r="M5" s="55"/>
      <c r="N5" s="55"/>
    </row>
    <row r="6" spans="1:15" ht="15" customHeight="1" x14ac:dyDescent="0.2">
      <c r="A6" t="s">
        <v>891</v>
      </c>
      <c r="B6" t="b">
        <v>0</v>
      </c>
      <c r="E6" s="99"/>
      <c r="F6" s="61">
        <v>1</v>
      </c>
      <c r="G6" s="59">
        <v>3.9</v>
      </c>
      <c r="H6" s="59">
        <v>7</v>
      </c>
      <c r="I6" s="59">
        <v>5</v>
      </c>
      <c r="J6" s="59">
        <v>3.6</v>
      </c>
      <c r="N6" s="14"/>
    </row>
    <row r="7" spans="1:15" ht="15.75" customHeight="1" x14ac:dyDescent="0.2">
      <c r="E7" s="99"/>
      <c r="F7" s="61">
        <v>2</v>
      </c>
      <c r="G7" s="59">
        <v>5.8</v>
      </c>
      <c r="H7" s="59">
        <v>10.199999999999999</v>
      </c>
      <c r="I7" s="59">
        <v>7</v>
      </c>
      <c r="J7" s="59">
        <v>8.8000000000000007</v>
      </c>
      <c r="N7" s="14"/>
    </row>
    <row r="8" spans="1:15" x14ac:dyDescent="0.2">
      <c r="E8" s="99"/>
      <c r="F8" s="61">
        <v>3</v>
      </c>
      <c r="G8" s="59">
        <v>24.3</v>
      </c>
      <c r="H8" s="59">
        <v>26.3</v>
      </c>
      <c r="I8" s="59">
        <v>28</v>
      </c>
      <c r="J8" s="59">
        <v>19.5</v>
      </c>
      <c r="N8" s="14"/>
    </row>
    <row r="9" spans="1:15" x14ac:dyDescent="0.2">
      <c r="A9" s="98" t="s">
        <v>893</v>
      </c>
      <c r="B9" s="99"/>
      <c r="E9" s="99"/>
      <c r="F9" s="61">
        <v>4</v>
      </c>
      <c r="G9" s="59">
        <v>12.6</v>
      </c>
      <c r="H9" s="59">
        <v>29</v>
      </c>
      <c r="I9" s="59">
        <v>23</v>
      </c>
      <c r="J9" s="59">
        <v>21.1</v>
      </c>
    </row>
    <row r="10" spans="1:15" x14ac:dyDescent="0.2">
      <c r="A10" t="s">
        <v>894</v>
      </c>
      <c r="B10" t="s">
        <v>983</v>
      </c>
      <c r="E10" s="99"/>
      <c r="F10" s="61">
        <v>5</v>
      </c>
      <c r="G10" s="59">
        <v>53.4</v>
      </c>
      <c r="H10" s="59">
        <v>27.6</v>
      </c>
      <c r="I10" s="59">
        <v>37</v>
      </c>
      <c r="J10" s="59">
        <v>47.1</v>
      </c>
    </row>
    <row r="11" spans="1:15" x14ac:dyDescent="0.2">
      <c r="A11" t="s">
        <v>895</v>
      </c>
      <c r="B11" t="s">
        <v>2173</v>
      </c>
      <c r="E11" s="99"/>
    </row>
    <row r="12" spans="1:15" x14ac:dyDescent="0.2">
      <c r="A12" t="s">
        <v>896</v>
      </c>
      <c r="E12" s="99"/>
    </row>
    <row r="13" spans="1:15" x14ac:dyDescent="0.2">
      <c r="A13" t="s">
        <v>897</v>
      </c>
      <c r="B13"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G4:O4" xr:uid="{6B25609E-5C27-426C-B04D-20DE78DCACC2}">
      <formula1>"integer, number, percent1"</formula1>
    </dataValidation>
    <dataValidation type="list" allowBlank="1" showInputMessage="1" showErrorMessage="1" sqref="B2" xr:uid="{6BF28781-7B74-4793-9D15-8ABCAAF6E124}">
      <formula1>"Table,Figure,Both"</formula1>
    </dataValidation>
    <dataValidation type="list" allowBlank="1" showInputMessage="1" showErrorMessage="1" sqref="B6 B15" xr:uid="{FDC8A205-6B4C-4EB5-9DD7-BCFF4CF60691}">
      <formula1>"True,False"</formula1>
    </dataValidation>
    <dataValidation type="list" allowBlank="1" showInputMessage="1" showErrorMessage="1" sqref="B10" xr:uid="{309DABF8-37BF-447C-8249-0AF6C27D4E34}">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3F8DDD6-C6BB-400E-8C16-FB801D840F56}">
          <x14:formula1>
            <xm:f>Master!$F$2:$F$293</xm:f>
          </x14:formula1>
          <xm:sqref>B1:O1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11424-B756-42EE-BAD4-718517E6771F}">
  <dimension ref="A1:O57"/>
  <sheetViews>
    <sheetView workbookViewId="0">
      <selection activeCell="H10" sqref="H10"/>
    </sheetView>
  </sheetViews>
  <sheetFormatPr baseColWidth="10" defaultColWidth="8.6640625" defaultRowHeight="15" x14ac:dyDescent="0.2"/>
  <cols>
    <col min="1" max="1" width="20" bestFit="1" customWidth="1"/>
    <col min="2" max="2" width="16.6640625" customWidth="1"/>
    <col min="5" max="5" width="6.6640625" customWidth="1"/>
    <col min="6" max="6" width="15.832031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238</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tbl-DC-impact-mhsu</v>
      </c>
    </row>
    <row r="4" spans="1:15" x14ac:dyDescent="0.2">
      <c r="A4" s="58" t="s">
        <v>6</v>
      </c>
      <c r="B4" t="str">
        <f>IF($B$1="","",_xlfn.XLOOKUP($B$1,Master!$F$2:$F$308,Master!$H$2:$H$308,""))</f>
        <v>fig-DC-impact-mhsu</v>
      </c>
      <c r="E4" s="13"/>
      <c r="F4" s="16"/>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1031</v>
      </c>
      <c r="H5" s="55" t="s">
        <v>1032</v>
      </c>
      <c r="I5" s="55" t="s">
        <v>1033</v>
      </c>
      <c r="J5" s="55" t="s">
        <v>1034</v>
      </c>
      <c r="K5" s="55" t="s">
        <v>1035</v>
      </c>
      <c r="L5" s="55" t="s">
        <v>1036</v>
      </c>
      <c r="M5" s="55"/>
      <c r="N5" s="55"/>
    </row>
    <row r="6" spans="1:15" ht="15" customHeight="1" x14ac:dyDescent="0.2">
      <c r="A6" t="s">
        <v>891</v>
      </c>
      <c r="B6" t="b">
        <v>0</v>
      </c>
      <c r="E6" s="99"/>
      <c r="F6" s="61">
        <v>1</v>
      </c>
      <c r="G6" s="51">
        <v>0</v>
      </c>
      <c r="H6" s="59">
        <v>20.399999999999999</v>
      </c>
      <c r="I6" s="59">
        <v>2</v>
      </c>
      <c r="J6" s="59">
        <v>11.1</v>
      </c>
      <c r="K6" s="59">
        <v>4</v>
      </c>
      <c r="L6" s="59">
        <v>5</v>
      </c>
      <c r="N6" s="14"/>
    </row>
    <row r="7" spans="1:15" ht="15.75" customHeight="1" x14ac:dyDescent="0.2">
      <c r="E7" s="99"/>
      <c r="F7" s="61">
        <v>2</v>
      </c>
      <c r="G7" s="59">
        <v>2.6</v>
      </c>
      <c r="H7" s="59">
        <v>17.399999999999999</v>
      </c>
      <c r="I7" s="59">
        <v>12</v>
      </c>
      <c r="J7" s="59">
        <v>11.1</v>
      </c>
      <c r="K7" s="59">
        <v>10.1</v>
      </c>
      <c r="L7" s="59">
        <v>5.9</v>
      </c>
      <c r="N7" s="14"/>
    </row>
    <row r="8" spans="1:15" x14ac:dyDescent="0.2">
      <c r="E8" s="99"/>
      <c r="F8" s="61">
        <v>3</v>
      </c>
      <c r="G8" s="59">
        <v>12.4</v>
      </c>
      <c r="H8" s="59">
        <v>27.6</v>
      </c>
      <c r="I8" s="59">
        <v>17</v>
      </c>
      <c r="J8" s="59">
        <v>23.2</v>
      </c>
      <c r="K8" s="59">
        <v>24.2</v>
      </c>
      <c r="L8" s="59">
        <v>23.8</v>
      </c>
      <c r="N8" s="14"/>
    </row>
    <row r="9" spans="1:15" x14ac:dyDescent="0.2">
      <c r="A9" s="98" t="s">
        <v>893</v>
      </c>
      <c r="B9" s="99"/>
      <c r="E9" s="99"/>
      <c r="F9" s="61">
        <v>4</v>
      </c>
      <c r="G9" s="59">
        <v>23.8</v>
      </c>
      <c r="H9" s="59">
        <v>19.399999999999999</v>
      </c>
      <c r="I9" s="59">
        <v>28</v>
      </c>
      <c r="J9" s="59">
        <v>15.2</v>
      </c>
      <c r="K9" s="59">
        <v>28.3</v>
      </c>
      <c r="L9" s="59">
        <v>27.7</v>
      </c>
    </row>
    <row r="10" spans="1:15" x14ac:dyDescent="0.2">
      <c r="A10" t="s">
        <v>894</v>
      </c>
      <c r="B10" t="s">
        <v>983</v>
      </c>
      <c r="E10" s="99"/>
      <c r="F10" s="61">
        <v>5</v>
      </c>
      <c r="G10" s="59">
        <v>60.9</v>
      </c>
      <c r="H10" s="59">
        <v>15.3</v>
      </c>
      <c r="I10" s="59">
        <v>41</v>
      </c>
      <c r="J10" s="59">
        <v>39.4</v>
      </c>
      <c r="K10" s="59">
        <v>33.299999999999997</v>
      </c>
      <c r="L10" s="59">
        <v>37.6</v>
      </c>
    </row>
    <row r="11" spans="1:15" x14ac:dyDescent="0.2">
      <c r="A11" t="s">
        <v>895</v>
      </c>
      <c r="B11" s="82" t="s">
        <v>2173</v>
      </c>
      <c r="E11" s="99"/>
    </row>
    <row r="12" spans="1:15" x14ac:dyDescent="0.2">
      <c r="A12" t="s">
        <v>896</v>
      </c>
      <c r="B12" s="82"/>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E602840E-7E1A-46EA-A52F-363359F8DA8B}">
      <formula1>"True,False"</formula1>
    </dataValidation>
    <dataValidation type="list" allowBlank="1" showInputMessage="1" showErrorMessage="1" sqref="B2" xr:uid="{85C59882-BA00-4C95-8062-9BE38C566516}">
      <formula1>"Table,Figure,Both"</formula1>
    </dataValidation>
    <dataValidation type="list" allowBlank="1" showInputMessage="1" showErrorMessage="1" sqref="F4:O4" xr:uid="{58643BE2-F140-4064-825F-D869A9FC35C2}">
      <formula1>"integer, number, percent1"</formula1>
    </dataValidation>
    <dataValidation type="list" allowBlank="1" showInputMessage="1" showErrorMessage="1" sqref="B10" xr:uid="{046FEB6D-7BE0-4B79-AAB2-E64682EF7CA9}">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EF401C5-62A5-45AB-86C8-E2770F1D88D3}">
          <x14:formula1>
            <xm:f>Master!$F$2:$F$293</xm:f>
          </x14:formula1>
          <xm:sqref>B1:O1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BF7F-7130-42AE-B0F1-1C5A40B03466}">
  <dimension ref="A1:O57"/>
  <sheetViews>
    <sheetView workbookViewId="0">
      <selection activeCell="J20" sqref="J20"/>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242</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tbl-DC-impact-hlthinsur-access</v>
      </c>
    </row>
    <row r="4" spans="1:15" x14ac:dyDescent="0.2">
      <c r="A4" s="58" t="s">
        <v>6</v>
      </c>
      <c r="B4" t="str">
        <f>IF($B$1="","",_xlfn.XLOOKUP($B$1,Master!$F$2:$F$308,Master!$H$2:$H$308,""))</f>
        <v>fig-DC-impact-hlthinsur-access</v>
      </c>
      <c r="E4" s="13"/>
      <c r="F4" s="16"/>
      <c r="G4" s="16" t="s">
        <v>679</v>
      </c>
      <c r="H4" s="16" t="s">
        <v>679</v>
      </c>
      <c r="I4" s="16" t="s">
        <v>679</v>
      </c>
      <c r="J4" s="16" t="s">
        <v>679</v>
      </c>
      <c r="K4" s="16"/>
      <c r="L4" s="16"/>
      <c r="M4" s="16"/>
      <c r="N4" s="16"/>
      <c r="O4" s="16"/>
    </row>
    <row r="5" spans="1:15" x14ac:dyDescent="0.2">
      <c r="A5" s="98" t="s">
        <v>885</v>
      </c>
      <c r="B5" s="99"/>
      <c r="E5" s="100" t="s">
        <v>886</v>
      </c>
      <c r="F5" t="s">
        <v>2172</v>
      </c>
      <c r="G5" s="55" t="s">
        <v>1037</v>
      </c>
      <c r="H5" s="55" t="s">
        <v>1038</v>
      </c>
      <c r="I5" s="55" t="s">
        <v>1039</v>
      </c>
      <c r="J5" s="55" t="s">
        <v>1040</v>
      </c>
      <c r="K5" s="55"/>
      <c r="L5" s="55"/>
      <c r="M5" s="55"/>
      <c r="N5" s="55"/>
    </row>
    <row r="6" spans="1:15" ht="15" customHeight="1" x14ac:dyDescent="0.2">
      <c r="A6" t="s">
        <v>891</v>
      </c>
      <c r="B6" t="b">
        <v>0</v>
      </c>
      <c r="E6" s="99"/>
      <c r="F6" s="61">
        <v>1</v>
      </c>
      <c r="G6" s="59">
        <v>27.5</v>
      </c>
      <c r="H6" s="59">
        <v>29.6</v>
      </c>
      <c r="I6" s="59">
        <v>3</v>
      </c>
      <c r="J6" s="59">
        <v>7</v>
      </c>
      <c r="N6" s="14"/>
    </row>
    <row r="7" spans="1:15" ht="15.75" customHeight="1" x14ac:dyDescent="0.2">
      <c r="E7" s="99"/>
      <c r="F7" s="61">
        <v>2</v>
      </c>
      <c r="G7" s="59">
        <v>14.3</v>
      </c>
      <c r="H7" s="59">
        <v>14.3</v>
      </c>
      <c r="I7" s="59">
        <v>11.1</v>
      </c>
      <c r="J7" s="59">
        <v>12</v>
      </c>
      <c r="N7" s="14"/>
    </row>
    <row r="8" spans="1:15" x14ac:dyDescent="0.2">
      <c r="E8" s="99"/>
      <c r="F8" s="61">
        <v>3</v>
      </c>
      <c r="G8" s="59">
        <v>24.5</v>
      </c>
      <c r="H8" s="59">
        <v>26.5</v>
      </c>
      <c r="I8" s="59">
        <v>18.2</v>
      </c>
      <c r="J8" s="59">
        <v>19</v>
      </c>
      <c r="N8" s="14"/>
    </row>
    <row r="9" spans="1:15" x14ac:dyDescent="0.2">
      <c r="A9" s="98" t="s">
        <v>893</v>
      </c>
      <c r="B9" s="99"/>
      <c r="E9" s="99"/>
      <c r="F9" s="61">
        <v>4</v>
      </c>
      <c r="G9" s="59">
        <v>13.3</v>
      </c>
      <c r="H9" s="59">
        <v>11.2</v>
      </c>
      <c r="I9" s="59">
        <v>22.2</v>
      </c>
      <c r="J9" s="59">
        <v>23</v>
      </c>
    </row>
    <row r="10" spans="1:15" x14ac:dyDescent="0.2">
      <c r="A10" t="s">
        <v>894</v>
      </c>
      <c r="B10" t="s">
        <v>983</v>
      </c>
      <c r="E10" s="99"/>
      <c r="F10" s="61">
        <v>5</v>
      </c>
      <c r="G10" s="59">
        <v>20.399999999999999</v>
      </c>
      <c r="H10" s="59">
        <v>18.399999999999999</v>
      </c>
      <c r="I10" s="59">
        <v>45.5</v>
      </c>
      <c r="J10" s="59">
        <v>39</v>
      </c>
    </row>
    <row r="11" spans="1:15" x14ac:dyDescent="0.2">
      <c r="A11" t="s">
        <v>895</v>
      </c>
      <c r="B11" s="82" t="s">
        <v>2173</v>
      </c>
      <c r="E11" s="99"/>
    </row>
    <row r="12" spans="1:15" x14ac:dyDescent="0.2">
      <c r="A12" t="s">
        <v>896</v>
      </c>
      <c r="B12" s="82"/>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ht="16" x14ac:dyDescent="0.2">
      <c r="A17" t="s">
        <v>1807</v>
      </c>
      <c r="B17" s="80" t="s">
        <v>1808</v>
      </c>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41D225BC-9859-44F5-B917-BD41A0BAE684}">
      <formula1>"integer, number, percent1"</formula1>
    </dataValidation>
    <dataValidation type="list" allowBlank="1" showInputMessage="1" showErrorMessage="1" sqref="B2" xr:uid="{1C2225A8-7DC4-4054-AD08-D7E88532D63E}">
      <formula1>"Table,Figure,Both"</formula1>
    </dataValidation>
    <dataValidation type="list" allowBlank="1" showInputMessage="1" showErrorMessage="1" sqref="B6 B15" xr:uid="{E06FD858-DD54-4816-8494-2CD48B5610DD}">
      <formula1>"True,False"</formula1>
    </dataValidation>
    <dataValidation type="list" allowBlank="1" showInputMessage="1" showErrorMessage="1" sqref="B10" xr:uid="{951CD5BD-E527-45BD-A224-5232495A036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1B71956-201D-4F0C-B390-29959DC5AAF6}">
          <x14:formula1>
            <xm:f>Master!$F$2:$F$293</xm:f>
          </x14:formula1>
          <xm:sqref>B1:O1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4354-D027-4A28-A8FA-76B9F6D12ED7}">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34" bestFit="1" customWidth="1"/>
    <col min="7" max="7" width="31.5" bestFit="1"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246</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tbl-OC-affect-health</v>
      </c>
    </row>
    <row r="4" spans="1:15" x14ac:dyDescent="0.2">
      <c r="A4" s="58" t="s">
        <v>6</v>
      </c>
      <c r="B4" t="str">
        <f>IF($B$1="","",_xlfn.XLOOKUP($B$1,Master!$F$2:$F$308,Master!$H$2:$H$308,""))</f>
        <v>fig-OC-affect-health</v>
      </c>
      <c r="E4" s="13"/>
      <c r="F4" s="16" t="s">
        <v>679</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55" t="s">
        <v>993</v>
      </c>
      <c r="G5" s="55" t="s">
        <v>994</v>
      </c>
      <c r="H5" s="55" t="s">
        <v>995</v>
      </c>
      <c r="I5" s="55" t="s">
        <v>996</v>
      </c>
      <c r="J5" s="55" t="s">
        <v>997</v>
      </c>
      <c r="K5" s="55" t="s">
        <v>992</v>
      </c>
      <c r="L5" s="55" t="s">
        <v>998</v>
      </c>
      <c r="M5" s="55" t="s">
        <v>999</v>
      </c>
      <c r="N5" s="55" t="s">
        <v>1000</v>
      </c>
      <c r="O5" s="55" t="s">
        <v>1001</v>
      </c>
    </row>
    <row r="6" spans="1:15" ht="15" customHeight="1" x14ac:dyDescent="0.2">
      <c r="A6" t="s">
        <v>891</v>
      </c>
      <c r="B6" t="b">
        <v>0</v>
      </c>
      <c r="E6" s="99"/>
      <c r="F6" s="59">
        <v>58.2</v>
      </c>
      <c r="G6" s="59">
        <v>42.4</v>
      </c>
      <c r="H6" s="59">
        <v>40.6</v>
      </c>
      <c r="I6" s="59">
        <v>37.700000000000003</v>
      </c>
      <c r="J6" s="59">
        <v>36.5</v>
      </c>
      <c r="K6" s="59">
        <v>34.1</v>
      </c>
      <c r="L6" s="59">
        <v>30</v>
      </c>
      <c r="M6" s="59">
        <v>10.6</v>
      </c>
      <c r="N6" s="59">
        <v>10</v>
      </c>
      <c r="O6" s="51">
        <v>0</v>
      </c>
    </row>
    <row r="7" spans="1:15" ht="15.75" customHeight="1" x14ac:dyDescent="0.2">
      <c r="E7" s="99"/>
    </row>
    <row r="8" spans="1:15" x14ac:dyDescent="0.2">
      <c r="E8" s="99"/>
    </row>
    <row r="9" spans="1:15" x14ac:dyDescent="0.2">
      <c r="A9" s="98" t="s">
        <v>893</v>
      </c>
      <c r="B9" s="99"/>
      <c r="E9" s="99"/>
    </row>
    <row r="10" spans="1:15" x14ac:dyDescent="0.2">
      <c r="A10" t="s">
        <v>894</v>
      </c>
      <c r="B10" t="s">
        <v>1002</v>
      </c>
      <c r="E10" s="99"/>
      <c r="H10" s="14"/>
      <c r="I10" s="14"/>
    </row>
    <row r="11" spans="1:15" x14ac:dyDescent="0.2">
      <c r="A11" t="s">
        <v>895</v>
      </c>
      <c r="B11" t="s">
        <v>985</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BCBA23DD-EC27-4E4C-8292-426E2ED922D8}">
      <formula1>"True,False"</formula1>
    </dataValidation>
    <dataValidation type="list" allowBlank="1" showInputMessage="1" showErrorMessage="1" sqref="B2" xr:uid="{6F668CCB-1414-47E1-8A56-2E8D84DC332F}">
      <formula1>"Table,Figure,Both"</formula1>
    </dataValidation>
    <dataValidation type="list" allowBlank="1" showInputMessage="1" showErrorMessage="1" sqref="F4:O4" xr:uid="{C8935A19-4F25-4772-9C96-C400CD86B69E}">
      <formula1>"integer, number, percent1"</formula1>
    </dataValidation>
    <dataValidation type="list" allowBlank="1" showInputMessage="1" showErrorMessage="1" sqref="B10" xr:uid="{68DC1C47-35C3-43AC-BC3B-14C69F7EDF6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A403D56-E123-49C1-8B2F-B4C169F4BEB8}">
          <x14:formula1>
            <xm:f>Master!$F$2:$F$293</xm:f>
          </x14:formula1>
          <xm:sqref>B1:O1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C522-9506-48CD-96E2-69C1749F1A05}">
  <dimension ref="A1:Q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7" x14ac:dyDescent="0.2">
      <c r="A1" s="58" t="s">
        <v>882</v>
      </c>
      <c r="B1" s="96" t="s">
        <v>250</v>
      </c>
      <c r="C1" s="97"/>
      <c r="D1" s="97"/>
      <c r="E1" s="97"/>
      <c r="F1" s="97"/>
      <c r="G1" s="97"/>
      <c r="H1" s="97"/>
      <c r="I1" s="97"/>
      <c r="J1" s="97"/>
      <c r="K1" s="97"/>
      <c r="L1" s="97"/>
      <c r="M1" s="97"/>
      <c r="N1" s="97"/>
      <c r="O1" s="97"/>
    </row>
    <row r="2" spans="1:17" x14ac:dyDescent="0.2">
      <c r="A2" s="58" t="s">
        <v>883</v>
      </c>
      <c r="B2" t="s">
        <v>56</v>
      </c>
    </row>
    <row r="3" spans="1:17" x14ac:dyDescent="0.2">
      <c r="A3" s="58" t="s">
        <v>884</v>
      </c>
      <c r="B3" t="str">
        <f>IF($B$1="","",_xlfn.XLOOKUP($B$1,Master!$F$2:$F$308,Master!$G$2:$G$308,""))</f>
        <v>tbl-OC-achieve-health</v>
      </c>
    </row>
    <row r="4" spans="1:17" x14ac:dyDescent="0.2">
      <c r="A4" s="58" t="s">
        <v>6</v>
      </c>
      <c r="B4" t="str">
        <f>IF($B$1="","",_xlfn.XLOOKUP($B$1,Master!$F$2:$F$308,Master!$H$2:$H$308,""))</f>
        <v>fig-OC-achieve-health</v>
      </c>
      <c r="E4" s="13"/>
      <c r="F4" s="16" t="s">
        <v>679</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1003</v>
      </c>
      <c r="G5" t="s">
        <v>1004</v>
      </c>
      <c r="H5" t="s">
        <v>1005</v>
      </c>
      <c r="I5" t="s">
        <v>1007</v>
      </c>
      <c r="J5" t="s">
        <v>1006</v>
      </c>
      <c r="K5" t="s">
        <v>1008</v>
      </c>
      <c r="L5" t="s">
        <v>728</v>
      </c>
      <c r="M5" t="s">
        <v>1013</v>
      </c>
      <c r="N5" t="s">
        <v>1011</v>
      </c>
      <c r="O5" t="s">
        <v>1012</v>
      </c>
      <c r="P5" t="s">
        <v>1009</v>
      </c>
      <c r="Q5" t="s">
        <v>1010</v>
      </c>
    </row>
    <row r="6" spans="1:17" ht="15" customHeight="1" x14ac:dyDescent="0.2">
      <c r="A6" t="s">
        <v>891</v>
      </c>
      <c r="B6" t="b">
        <v>0</v>
      </c>
      <c r="E6" s="99"/>
      <c r="F6">
        <v>67.099999999999994</v>
      </c>
      <c r="G6">
        <v>50.6</v>
      </c>
      <c r="H6">
        <v>32.4</v>
      </c>
      <c r="I6">
        <v>31.2</v>
      </c>
      <c r="J6">
        <v>28.8</v>
      </c>
      <c r="K6">
        <v>27.7</v>
      </c>
      <c r="L6">
        <v>21.2</v>
      </c>
      <c r="M6">
        <v>9.4</v>
      </c>
      <c r="N6">
        <v>8.1999999999999993</v>
      </c>
      <c r="O6">
        <v>8.1999999999999993</v>
      </c>
      <c r="P6">
        <v>7.7</v>
      </c>
      <c r="Q6" s="14">
        <v>7.7</v>
      </c>
    </row>
    <row r="7" spans="1:17" ht="15.75" customHeight="1" x14ac:dyDescent="0.2">
      <c r="E7" s="99"/>
    </row>
    <row r="8" spans="1:17" x14ac:dyDescent="0.2">
      <c r="E8" s="99"/>
      <c r="G8" s="14"/>
    </row>
    <row r="9" spans="1:17" x14ac:dyDescent="0.2">
      <c r="A9" s="98" t="s">
        <v>893</v>
      </c>
      <c r="B9" s="99"/>
      <c r="E9" s="99"/>
    </row>
    <row r="10" spans="1:17" x14ac:dyDescent="0.2">
      <c r="A10" t="s">
        <v>894</v>
      </c>
      <c r="B10" t="s">
        <v>1002</v>
      </c>
      <c r="E10" s="99"/>
      <c r="H10" s="14"/>
      <c r="I10" s="14"/>
    </row>
    <row r="11" spans="1:17" x14ac:dyDescent="0.2">
      <c r="A11" t="s">
        <v>895</v>
      </c>
      <c r="B11" t="s">
        <v>985</v>
      </c>
      <c r="E11" s="99"/>
    </row>
    <row r="12" spans="1:17" x14ac:dyDescent="0.2">
      <c r="A12" t="s">
        <v>896</v>
      </c>
      <c r="E12" s="99"/>
    </row>
    <row r="13" spans="1:17" x14ac:dyDescent="0.2">
      <c r="A13" t="s">
        <v>897</v>
      </c>
      <c r="E13" s="99"/>
    </row>
    <row r="14" spans="1:17" x14ac:dyDescent="0.2">
      <c r="A14" t="s">
        <v>899</v>
      </c>
      <c r="B14" t="s">
        <v>694</v>
      </c>
      <c r="E14" s="99"/>
    </row>
    <row r="15" spans="1:17" x14ac:dyDescent="0.2">
      <c r="A15" t="s">
        <v>901</v>
      </c>
      <c r="B15" t="b">
        <v>1</v>
      </c>
      <c r="E15" s="99"/>
    </row>
    <row r="16" spans="1:17"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Q4" xr:uid="{104A2EAE-D571-49C2-B83F-BA39D97274C9}">
      <formula1>"integer, number, percent1"</formula1>
    </dataValidation>
    <dataValidation type="list" allowBlank="1" showInputMessage="1" showErrorMessage="1" sqref="B2" xr:uid="{7615B993-05C6-4FDA-8AB3-0D1E3A19F594}">
      <formula1>"Table,Figure,Both"</formula1>
    </dataValidation>
    <dataValidation type="list" allowBlank="1" showInputMessage="1" showErrorMessage="1" sqref="B6 B15" xr:uid="{5F730560-4A27-4569-BA2F-63EF458DB2EC}">
      <formula1>"True,False"</formula1>
    </dataValidation>
    <dataValidation type="list" allowBlank="1" showInputMessage="1" showErrorMessage="1" sqref="B10" xr:uid="{130A0FA5-ACEA-4A02-A053-79E68A96B953}">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4F355A0-FBA7-44A7-9C61-5B97F952F4A9}">
          <x14:formula1>
            <xm:f>Master!$F$2:$F$293</xm:f>
          </x14:formula1>
          <xm:sqref>B1:O1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4437-347B-4BF7-9B87-7E47C9084A68}">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6" max="6" width="15.832031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254</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tbl-OC-impact-hlth-issue</v>
      </c>
    </row>
    <row r="4" spans="1:15" x14ac:dyDescent="0.2">
      <c r="A4" s="58" t="s">
        <v>6</v>
      </c>
      <c r="B4" t="str">
        <f>IF($B$1="","",_xlfn.XLOOKUP($B$1,Master!$F$2:$F$308,Master!$H$2:$H$308,""))</f>
        <v>fig-OC-impact-hlth-issue</v>
      </c>
      <c r="E4" s="13"/>
      <c r="F4" s="16"/>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1014</v>
      </c>
      <c r="H5" s="55" t="s">
        <v>1015</v>
      </c>
      <c r="I5" s="55" t="s">
        <v>1016</v>
      </c>
      <c r="J5" s="55" t="s">
        <v>1017</v>
      </c>
      <c r="K5" s="55" t="s">
        <v>1018</v>
      </c>
      <c r="L5" s="55" t="s">
        <v>1019</v>
      </c>
      <c r="M5" s="55"/>
      <c r="N5" s="55"/>
    </row>
    <row r="6" spans="1:15" ht="15" customHeight="1" x14ac:dyDescent="0.2">
      <c r="A6" t="s">
        <v>891</v>
      </c>
      <c r="B6" t="b">
        <v>0</v>
      </c>
      <c r="E6" s="99"/>
      <c r="F6" s="61">
        <v>1</v>
      </c>
      <c r="G6" s="59">
        <v>3.1</v>
      </c>
      <c r="H6" s="59">
        <v>4.4000000000000004</v>
      </c>
      <c r="I6" s="59">
        <v>3.7</v>
      </c>
      <c r="J6" s="59">
        <v>16.899999999999999</v>
      </c>
      <c r="K6" s="59">
        <v>16.100000000000001</v>
      </c>
      <c r="L6" s="59">
        <v>19</v>
      </c>
      <c r="N6" s="14"/>
    </row>
    <row r="7" spans="1:15" ht="15.75" customHeight="1" x14ac:dyDescent="0.2">
      <c r="E7" s="99"/>
      <c r="F7" s="61">
        <v>2</v>
      </c>
      <c r="G7" s="59">
        <v>5.6</v>
      </c>
      <c r="H7" s="59">
        <v>5</v>
      </c>
      <c r="I7" s="59">
        <v>5</v>
      </c>
      <c r="J7" s="59">
        <v>10</v>
      </c>
      <c r="K7" s="59">
        <v>15.4</v>
      </c>
      <c r="L7" s="59">
        <v>14.7</v>
      </c>
      <c r="N7" s="14"/>
    </row>
    <row r="8" spans="1:15" x14ac:dyDescent="0.2">
      <c r="E8" s="99"/>
      <c r="F8" s="61">
        <v>3</v>
      </c>
      <c r="G8" s="59">
        <v>12.4</v>
      </c>
      <c r="H8" s="59">
        <v>18.899999999999999</v>
      </c>
      <c r="I8" s="59">
        <v>15.5</v>
      </c>
      <c r="J8" s="59">
        <v>31.3</v>
      </c>
      <c r="K8" s="59">
        <v>34</v>
      </c>
      <c r="L8" s="59">
        <v>32.5</v>
      </c>
      <c r="N8" s="14"/>
    </row>
    <row r="9" spans="1:15" x14ac:dyDescent="0.2">
      <c r="A9" s="98" t="s">
        <v>893</v>
      </c>
      <c r="B9" s="99"/>
      <c r="E9" s="99"/>
      <c r="F9" s="61">
        <v>4</v>
      </c>
      <c r="G9" s="59">
        <v>15.5</v>
      </c>
      <c r="H9" s="59">
        <v>28.3</v>
      </c>
      <c r="I9" s="59">
        <v>19.899999999999999</v>
      </c>
      <c r="J9" s="59">
        <v>18.8</v>
      </c>
      <c r="K9" s="59">
        <v>17.899999999999999</v>
      </c>
      <c r="L9" s="59">
        <v>16</v>
      </c>
    </row>
    <row r="10" spans="1:15" x14ac:dyDescent="0.2">
      <c r="A10" t="s">
        <v>894</v>
      </c>
      <c r="B10" t="s">
        <v>983</v>
      </c>
      <c r="E10" s="99"/>
      <c r="F10" s="61">
        <v>5</v>
      </c>
      <c r="G10" s="59">
        <v>63.4</v>
      </c>
      <c r="H10" s="59">
        <v>43.4</v>
      </c>
      <c r="I10" s="59">
        <v>55.9</v>
      </c>
      <c r="J10" s="59">
        <v>23.1</v>
      </c>
      <c r="K10" s="59">
        <v>16.7</v>
      </c>
      <c r="L10" s="59">
        <v>17.8</v>
      </c>
    </row>
    <row r="11" spans="1:15" x14ac:dyDescent="0.2">
      <c r="A11" t="s">
        <v>895</v>
      </c>
      <c r="B11" s="82" t="s">
        <v>2173</v>
      </c>
      <c r="E11" s="99"/>
    </row>
    <row r="12" spans="1:15" x14ac:dyDescent="0.2">
      <c r="A12" t="s">
        <v>896</v>
      </c>
      <c r="B12" s="82"/>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FA1CDF8B-87FA-4A6D-AE22-E3811998FF7A}">
      <formula1>"integer, number, percent1"</formula1>
    </dataValidation>
    <dataValidation type="list" allowBlank="1" showInputMessage="1" showErrorMessage="1" sqref="B2" xr:uid="{86A1877C-6946-4DAD-B2BD-12923D75BFDE}">
      <formula1>"Table,Figure,Both"</formula1>
    </dataValidation>
    <dataValidation type="list" allowBlank="1" showInputMessage="1" showErrorMessage="1" sqref="B6 B15" xr:uid="{20851C80-847B-4CCD-B19B-1F52C6E13513}">
      <formula1>"True,False"</formula1>
    </dataValidation>
    <dataValidation type="list" allowBlank="1" showInputMessage="1" showErrorMessage="1" sqref="B10" xr:uid="{707B78A3-E258-4070-86B7-332B1E6A7EE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4BCBC25-F766-4751-AA8B-3867CDC9F41B}">
          <x14:formula1>
            <xm:f>Master!$F$2:$F$293</xm:f>
          </x14:formula1>
          <xm:sqref>B1:O1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2560-C160-4714-A13D-B163B2976049}">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258</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tbl-OC-impact-sdoh</v>
      </c>
    </row>
    <row r="4" spans="1:15" x14ac:dyDescent="0.2">
      <c r="A4" s="58" t="s">
        <v>6</v>
      </c>
      <c r="B4" t="str">
        <f>IF($B$1="","",_xlfn.XLOOKUP($B$1,Master!$F$2:$F$308,Master!$H$2:$H$308,""))</f>
        <v>fig-OC-impact-sdoh</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1022</v>
      </c>
      <c r="G5" s="55" t="s">
        <v>1021</v>
      </c>
      <c r="H5" s="55" t="s">
        <v>1023</v>
      </c>
      <c r="I5" s="55" t="s">
        <v>1024</v>
      </c>
      <c r="J5" s="55" t="s">
        <v>1025</v>
      </c>
      <c r="K5" s="55" t="s">
        <v>1026</v>
      </c>
      <c r="M5" s="55"/>
      <c r="N5" s="55"/>
    </row>
    <row r="6" spans="1:15" ht="15" customHeight="1" x14ac:dyDescent="0.2">
      <c r="A6" t="s">
        <v>891</v>
      </c>
      <c r="B6" t="b">
        <v>0</v>
      </c>
      <c r="E6" s="99"/>
      <c r="F6" s="55">
        <v>77.5</v>
      </c>
      <c r="G6" s="55">
        <v>76.900000000000006</v>
      </c>
      <c r="H6" s="59">
        <v>61.9</v>
      </c>
      <c r="I6" s="55">
        <v>48.8</v>
      </c>
      <c r="J6" s="55">
        <v>18.8</v>
      </c>
      <c r="K6" s="55">
        <v>16.3</v>
      </c>
      <c r="N6" s="14"/>
    </row>
    <row r="7" spans="1:15" ht="15.75" customHeight="1" x14ac:dyDescent="0.2">
      <c r="E7" s="99"/>
      <c r="F7" s="55"/>
      <c r="G7" s="55"/>
      <c r="H7" s="55"/>
      <c r="I7" s="55"/>
      <c r="J7" s="55"/>
      <c r="K7" s="55"/>
      <c r="N7" s="14"/>
    </row>
    <row r="8" spans="1:15" x14ac:dyDescent="0.2">
      <c r="E8" s="99"/>
      <c r="H8" s="55"/>
      <c r="I8" s="55"/>
      <c r="J8" s="55"/>
      <c r="K8" s="55"/>
      <c r="N8" s="14"/>
    </row>
    <row r="9" spans="1:15" x14ac:dyDescent="0.2">
      <c r="A9" s="98" t="s">
        <v>893</v>
      </c>
      <c r="B9" s="99"/>
      <c r="E9" s="99"/>
      <c r="H9" s="55"/>
      <c r="I9" s="55"/>
      <c r="J9" s="55"/>
      <c r="K9" s="55"/>
    </row>
    <row r="10" spans="1:15" x14ac:dyDescent="0.2">
      <c r="A10" t="s">
        <v>894</v>
      </c>
      <c r="B10" t="s">
        <v>1002</v>
      </c>
      <c r="E10" s="99"/>
      <c r="F10" s="55"/>
      <c r="G10" s="59"/>
      <c r="H10" s="59"/>
      <c r="I10" s="55"/>
      <c r="J10" s="55"/>
      <c r="K10" s="55"/>
    </row>
    <row r="11" spans="1:15" x14ac:dyDescent="0.2">
      <c r="A11" t="s">
        <v>895</v>
      </c>
      <c r="B11" t="s">
        <v>985</v>
      </c>
      <c r="E11" s="99"/>
      <c r="F11" s="55"/>
      <c r="G11" s="55"/>
      <c r="H11" s="55"/>
      <c r="I11" s="55"/>
      <c r="J11" s="55"/>
      <c r="K11" s="55"/>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D544B7D3-FB4E-4F88-9E76-3C8E9A7C8BC2}">
      <formula1>"True,False"</formula1>
    </dataValidation>
    <dataValidation type="list" allowBlank="1" showInputMessage="1" showErrorMessage="1" sqref="B2" xr:uid="{A7B16F72-1592-46B4-A875-3F65B4C202F0}">
      <formula1>"Table,Figure,Both"</formula1>
    </dataValidation>
    <dataValidation type="list" allowBlank="1" showInputMessage="1" showErrorMessage="1" sqref="F4:O4" xr:uid="{EFE86B34-B83A-4A35-BE0F-992FF14A4EF9}">
      <formula1>"integer, number, percent1"</formula1>
    </dataValidation>
    <dataValidation type="list" allowBlank="1" showInputMessage="1" showErrorMessage="1" sqref="B10" xr:uid="{AF9A93F9-C263-4BA1-B0AA-C5D516B7BC96}">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BD4FA5E-EAD4-4BCA-B81E-3FF661ECF219}">
          <x14:formula1>
            <xm:f>Master!$F$2:$F$293</xm:f>
          </x14:formula1>
          <xm:sqref>B1:O1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B776-4633-4EEA-A1FC-12388C3ABFD8}">
  <dimension ref="A1:O57"/>
  <sheetViews>
    <sheetView workbookViewId="0">
      <selection activeCell="B11" sqref="B11: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262</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tbl-OC-eco-wellbeing</v>
      </c>
    </row>
    <row r="4" spans="1:15" x14ac:dyDescent="0.2">
      <c r="A4" s="58" t="s">
        <v>6</v>
      </c>
      <c r="B4" t="str">
        <f>IF($B$1="","",_xlfn.XLOOKUP($B$1,Master!$F$2:$F$308,Master!$H$2:$H$308,""))</f>
        <v>fig-OC-eco-wellbeing</v>
      </c>
      <c r="E4" s="13"/>
      <c r="F4" s="16"/>
      <c r="G4" s="16" t="s">
        <v>679</v>
      </c>
      <c r="H4" s="16" t="s">
        <v>679</v>
      </c>
      <c r="I4" s="16" t="s">
        <v>679</v>
      </c>
      <c r="J4" s="16" t="s">
        <v>679</v>
      </c>
      <c r="K4" s="16"/>
      <c r="L4" s="16"/>
      <c r="M4" s="16"/>
      <c r="N4" s="16"/>
      <c r="O4" s="16"/>
    </row>
    <row r="5" spans="1:15" x14ac:dyDescent="0.2">
      <c r="A5" s="98" t="s">
        <v>885</v>
      </c>
      <c r="B5" s="99"/>
      <c r="E5" s="100" t="s">
        <v>886</v>
      </c>
      <c r="F5" t="s">
        <v>2172</v>
      </c>
      <c r="G5" s="55" t="s">
        <v>1027</v>
      </c>
      <c r="H5" s="55" t="s">
        <v>1028</v>
      </c>
      <c r="I5" s="55" t="s">
        <v>1029</v>
      </c>
      <c r="J5" s="55" t="s">
        <v>1030</v>
      </c>
      <c r="K5" s="55"/>
      <c r="L5" s="55"/>
      <c r="M5" s="55"/>
      <c r="N5" s="55"/>
    </row>
    <row r="6" spans="1:15" ht="15" customHeight="1" x14ac:dyDescent="0.2">
      <c r="A6" t="s">
        <v>891</v>
      </c>
      <c r="B6" t="b">
        <v>0</v>
      </c>
      <c r="E6" s="99"/>
      <c r="F6" s="61">
        <v>1</v>
      </c>
      <c r="G6" s="59">
        <v>1.9</v>
      </c>
      <c r="H6" s="59">
        <v>5.7</v>
      </c>
      <c r="I6" s="59">
        <v>3.9</v>
      </c>
      <c r="J6" s="59">
        <v>2.5</v>
      </c>
      <c r="K6" s="59"/>
      <c r="N6" s="14"/>
    </row>
    <row r="7" spans="1:15" ht="15.75" customHeight="1" x14ac:dyDescent="0.2">
      <c r="E7" s="99"/>
      <c r="F7" s="61">
        <v>2</v>
      </c>
      <c r="G7" s="59">
        <v>5.7</v>
      </c>
      <c r="H7" s="59">
        <v>8.9</v>
      </c>
      <c r="I7" s="59">
        <v>8.3000000000000007</v>
      </c>
      <c r="J7" s="59">
        <v>5.7</v>
      </c>
      <c r="N7" s="14"/>
    </row>
    <row r="8" spans="1:15" x14ac:dyDescent="0.2">
      <c r="E8" s="99"/>
      <c r="F8" s="61">
        <v>3</v>
      </c>
      <c r="G8" s="59">
        <v>20.8</v>
      </c>
      <c r="H8" s="59">
        <v>28.5</v>
      </c>
      <c r="I8" s="59">
        <v>25.6</v>
      </c>
      <c r="J8" s="59">
        <v>23.3</v>
      </c>
      <c r="N8" s="14"/>
    </row>
    <row r="9" spans="1:15" x14ac:dyDescent="0.2">
      <c r="A9" s="98" t="s">
        <v>893</v>
      </c>
      <c r="B9" s="99"/>
      <c r="E9" s="99"/>
      <c r="F9" s="61">
        <v>4</v>
      </c>
      <c r="G9" s="59">
        <v>21.4</v>
      </c>
      <c r="H9" s="59">
        <v>31</v>
      </c>
      <c r="I9" s="59">
        <v>27.6</v>
      </c>
      <c r="J9" s="59">
        <v>18.899999999999999</v>
      </c>
    </row>
    <row r="10" spans="1:15" x14ac:dyDescent="0.2">
      <c r="A10" t="s">
        <v>894</v>
      </c>
      <c r="B10" t="s">
        <v>983</v>
      </c>
      <c r="E10" s="99"/>
      <c r="F10" s="61">
        <v>5</v>
      </c>
      <c r="G10" s="59">
        <v>50.3</v>
      </c>
      <c r="H10" s="59">
        <v>26</v>
      </c>
      <c r="I10" s="59">
        <v>34.6</v>
      </c>
      <c r="J10" s="59">
        <v>50</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4F16B382-9746-404B-8283-337C3CD68F9B}">
      <formula1>"True,False"</formula1>
    </dataValidation>
    <dataValidation type="list" allowBlank="1" showInputMessage="1" showErrorMessage="1" sqref="B2" xr:uid="{11B72923-0D44-4E28-A615-D75F5B2C90AA}">
      <formula1>"Table,Figure,Both"</formula1>
    </dataValidation>
    <dataValidation type="list" allowBlank="1" showInputMessage="1" showErrorMessage="1" sqref="F4:O4" xr:uid="{4D5EB239-D011-4D47-A72E-70C42CE30A9B}">
      <formula1>"integer, number, percent1"</formula1>
    </dataValidation>
    <dataValidation type="list" allowBlank="1" showInputMessage="1" showErrorMessage="1" sqref="B10" xr:uid="{C9D33019-0006-416E-ACBA-94122AFA8E3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EC01D5E-2744-4035-812F-7BC850AA703F}">
          <x14:formula1>
            <xm:f>Master!$F$2:$F$293</xm:f>
          </x14:formula1>
          <xm:sqref>B1:O1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8845-137A-434E-A254-621DB2DA74F0}">
  <dimension ref="A1:O57"/>
  <sheetViews>
    <sheetView workbookViewId="0">
      <selection activeCell="B12" sqref="B12"/>
    </sheetView>
  </sheetViews>
  <sheetFormatPr baseColWidth="10" defaultColWidth="8.6640625" defaultRowHeight="15" x14ac:dyDescent="0.2"/>
  <cols>
    <col min="1" max="1" width="20" bestFit="1" customWidth="1"/>
    <col min="2" max="2" width="16.6640625" customWidth="1"/>
    <col min="5" max="5" width="6.6640625" customWidth="1"/>
    <col min="6" max="6" width="9.66406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266</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tbl-OC-impact-mhsu</v>
      </c>
    </row>
    <row r="4" spans="1:15" x14ac:dyDescent="0.2">
      <c r="A4" s="58" t="s">
        <v>6</v>
      </c>
      <c r="B4" t="str">
        <f>IF($B$1="","",_xlfn.XLOOKUP($B$1,Master!$F$2:$F$308,Master!$H$2:$H$308,""))</f>
        <v>fig-OC-impact-mhsu</v>
      </c>
      <c r="E4" s="13"/>
      <c r="F4" s="16"/>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1031</v>
      </c>
      <c r="H5" s="55" t="s">
        <v>1032</v>
      </c>
      <c r="I5" s="55" t="s">
        <v>1033</v>
      </c>
      <c r="J5" s="55" t="s">
        <v>1034</v>
      </c>
      <c r="K5" s="55" t="s">
        <v>1035</v>
      </c>
      <c r="L5" s="55" t="s">
        <v>1036</v>
      </c>
      <c r="M5" s="55"/>
      <c r="N5" s="55"/>
    </row>
    <row r="6" spans="1:15" ht="15" customHeight="1" x14ac:dyDescent="0.2">
      <c r="A6" t="s">
        <v>891</v>
      </c>
      <c r="B6" t="b">
        <v>0</v>
      </c>
      <c r="E6" s="99"/>
      <c r="F6" s="61">
        <v>1</v>
      </c>
      <c r="G6" s="51">
        <v>0</v>
      </c>
      <c r="H6" s="59">
        <v>14.3</v>
      </c>
      <c r="I6" s="59">
        <v>1.3</v>
      </c>
      <c r="J6" s="59">
        <v>7.7</v>
      </c>
      <c r="K6" s="59">
        <v>9.6999999999999993</v>
      </c>
      <c r="L6" s="59">
        <v>3.8</v>
      </c>
      <c r="N6" s="14"/>
    </row>
    <row r="7" spans="1:15" ht="15.75" customHeight="1" x14ac:dyDescent="0.2">
      <c r="E7" s="99"/>
      <c r="F7" s="61">
        <v>2</v>
      </c>
      <c r="G7" s="59">
        <v>1.9</v>
      </c>
      <c r="H7" s="59">
        <v>20.8</v>
      </c>
      <c r="I7" s="59">
        <v>5.7</v>
      </c>
      <c r="J7" s="59">
        <v>8.4</v>
      </c>
      <c r="K7" s="59">
        <v>11.6</v>
      </c>
      <c r="L7" s="59">
        <v>9.6</v>
      </c>
      <c r="N7" s="14"/>
    </row>
    <row r="8" spans="1:15" x14ac:dyDescent="0.2">
      <c r="E8" s="99"/>
      <c r="F8" s="61">
        <v>3</v>
      </c>
      <c r="G8" s="59">
        <v>8.3000000000000007</v>
      </c>
      <c r="H8" s="59">
        <v>26</v>
      </c>
      <c r="I8" s="59">
        <v>13.4</v>
      </c>
      <c r="J8" s="59">
        <v>21.3</v>
      </c>
      <c r="K8" s="59">
        <v>22.6</v>
      </c>
      <c r="L8" s="59">
        <v>21.7</v>
      </c>
      <c r="N8" s="14"/>
    </row>
    <row r="9" spans="1:15" x14ac:dyDescent="0.2">
      <c r="A9" s="98" t="s">
        <v>893</v>
      </c>
      <c r="B9" s="99"/>
      <c r="E9" s="99"/>
      <c r="F9" s="61">
        <v>4</v>
      </c>
      <c r="G9" s="59">
        <v>26.1</v>
      </c>
      <c r="H9" s="59">
        <v>23.4</v>
      </c>
      <c r="I9" s="59">
        <v>31.2</v>
      </c>
      <c r="J9" s="59">
        <v>24.5</v>
      </c>
      <c r="K9" s="59">
        <v>28.4</v>
      </c>
      <c r="L9" s="59">
        <v>27.4</v>
      </c>
    </row>
    <row r="10" spans="1:15" x14ac:dyDescent="0.2">
      <c r="A10" t="s">
        <v>894</v>
      </c>
      <c r="B10" t="s">
        <v>983</v>
      </c>
      <c r="E10" s="99"/>
      <c r="F10" s="61">
        <v>5</v>
      </c>
      <c r="G10" s="59">
        <v>63.7</v>
      </c>
      <c r="H10" s="59">
        <v>15.6</v>
      </c>
      <c r="I10" s="59">
        <v>48.4</v>
      </c>
      <c r="J10" s="59">
        <v>38.1</v>
      </c>
      <c r="K10" s="59">
        <v>27.7</v>
      </c>
      <c r="L10" s="59">
        <v>37.6</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ED0D27A7-22EB-406A-80EC-F7CEBE433CF6}">
      <formula1>"True,False"</formula1>
    </dataValidation>
    <dataValidation type="list" allowBlank="1" showInputMessage="1" showErrorMessage="1" sqref="B2" xr:uid="{943D1D18-93CB-46A3-B68D-43589A515B43}">
      <formula1>"Table,Figure,Both"</formula1>
    </dataValidation>
    <dataValidation type="list" allowBlank="1" showInputMessage="1" showErrorMessage="1" sqref="F4:O4" xr:uid="{D273A4E7-0467-4347-BA69-AE0DD61DA31F}">
      <formula1>"integer, number, percent1"</formula1>
    </dataValidation>
    <dataValidation type="list" allowBlank="1" showInputMessage="1" showErrorMessage="1" sqref="B10" xr:uid="{E5FC15B7-6E9A-49FC-A20D-5957E90E1B04}">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268819D-5B06-45D1-A9DC-8EE9FE603FD8}">
          <x14:formula1>
            <xm:f>Master!$F$2:$F$293</xm:f>
          </x14:formula1>
          <xm:sqref>B1:O1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35CF-13D0-4C59-8C26-CD1C3BAD2C8A}">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270</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tbl-OC-impact-hlthinsur-access</v>
      </c>
    </row>
    <row r="4" spans="1:15" x14ac:dyDescent="0.2">
      <c r="A4" s="58" t="s">
        <v>6</v>
      </c>
      <c r="B4" t="str">
        <f>IF($B$1="","",_xlfn.XLOOKUP($B$1,Master!$F$2:$F$308,Master!$H$2:$H$308,""))</f>
        <v>fig-OC-impact-hlthinsur-access</v>
      </c>
      <c r="E4" s="13"/>
      <c r="F4" s="16"/>
      <c r="G4" s="16" t="s">
        <v>679</v>
      </c>
      <c r="H4" s="16" t="s">
        <v>679</v>
      </c>
      <c r="I4" s="16" t="s">
        <v>679</v>
      </c>
      <c r="J4" s="16" t="s">
        <v>679</v>
      </c>
      <c r="K4" s="16"/>
      <c r="L4" s="16"/>
      <c r="M4" s="16"/>
      <c r="N4" s="16"/>
      <c r="O4" s="16"/>
    </row>
    <row r="5" spans="1:15" x14ac:dyDescent="0.2">
      <c r="A5" s="98" t="s">
        <v>885</v>
      </c>
      <c r="B5" s="99"/>
      <c r="E5" s="100" t="s">
        <v>886</v>
      </c>
      <c r="F5" t="s">
        <v>2172</v>
      </c>
      <c r="G5" t="s">
        <v>1037</v>
      </c>
      <c r="H5" t="s">
        <v>1038</v>
      </c>
      <c r="I5" t="s">
        <v>1039</v>
      </c>
      <c r="J5" t="s">
        <v>1040</v>
      </c>
      <c r="K5" s="55"/>
      <c r="L5" s="55"/>
      <c r="M5" s="55"/>
      <c r="N5" s="55"/>
    </row>
    <row r="6" spans="1:15" ht="15" customHeight="1" x14ac:dyDescent="0.2">
      <c r="A6" t="s">
        <v>891</v>
      </c>
      <c r="B6" t="b">
        <v>0</v>
      </c>
      <c r="E6" s="99"/>
      <c r="F6" s="61">
        <v>1</v>
      </c>
      <c r="G6" s="14">
        <v>18.8</v>
      </c>
      <c r="H6" s="14">
        <v>21.4</v>
      </c>
      <c r="I6" s="14">
        <v>3.2</v>
      </c>
      <c r="J6" s="14">
        <v>8.3000000000000007</v>
      </c>
      <c r="N6" s="14"/>
    </row>
    <row r="7" spans="1:15" ht="15.75" customHeight="1" x14ac:dyDescent="0.2">
      <c r="E7" s="99"/>
      <c r="F7" s="61">
        <v>2</v>
      </c>
      <c r="G7" s="14">
        <v>14.3</v>
      </c>
      <c r="H7" s="14">
        <v>18.8</v>
      </c>
      <c r="I7" s="14">
        <v>8.4</v>
      </c>
      <c r="J7" s="14">
        <v>7.1</v>
      </c>
      <c r="N7" s="14"/>
    </row>
    <row r="8" spans="1:15" x14ac:dyDescent="0.2">
      <c r="E8" s="99"/>
      <c r="F8" s="61">
        <v>3</v>
      </c>
      <c r="G8" s="14">
        <v>30</v>
      </c>
      <c r="H8" s="14">
        <v>28.6</v>
      </c>
      <c r="I8" s="14">
        <v>20.7</v>
      </c>
      <c r="J8" s="14">
        <v>23.1</v>
      </c>
      <c r="N8" s="14"/>
    </row>
    <row r="9" spans="1:15" x14ac:dyDescent="0.2">
      <c r="A9" s="98" t="s">
        <v>893</v>
      </c>
      <c r="B9" s="99"/>
      <c r="E9" s="99"/>
      <c r="F9" s="61">
        <v>4</v>
      </c>
      <c r="G9" s="14">
        <v>16.899999999999999</v>
      </c>
      <c r="H9" s="14">
        <v>15.6</v>
      </c>
      <c r="I9" s="14">
        <v>27.7</v>
      </c>
      <c r="J9" s="14">
        <v>30.8</v>
      </c>
    </row>
    <row r="10" spans="1:15" x14ac:dyDescent="0.2">
      <c r="A10" t="s">
        <v>894</v>
      </c>
      <c r="B10" t="s">
        <v>983</v>
      </c>
      <c r="E10" s="99"/>
      <c r="F10" s="61">
        <v>5</v>
      </c>
      <c r="G10" s="14">
        <v>20.100000000000001</v>
      </c>
      <c r="H10" s="14">
        <v>15.6</v>
      </c>
      <c r="I10" s="14">
        <v>40</v>
      </c>
      <c r="J10" s="14">
        <v>30.8</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23C108A7-1903-4A8A-BBED-AE29EEBC4501}">
      <formula1>"integer, number, percent1"</formula1>
    </dataValidation>
    <dataValidation type="list" allowBlank="1" showInputMessage="1" showErrorMessage="1" sqref="B2" xr:uid="{76A161CC-5CCE-4F55-A489-B339E35D129E}">
      <formula1>"Table,Figure,Both"</formula1>
    </dataValidation>
    <dataValidation type="list" allowBlank="1" showInputMessage="1" showErrorMessage="1" sqref="B6 B15" xr:uid="{C61FEA6A-DAF3-474B-AFFF-D5109F446775}">
      <formula1>"True,False"</formula1>
    </dataValidation>
    <dataValidation type="list" allowBlank="1" showInputMessage="1" showErrorMessage="1" sqref="B10" xr:uid="{D6202071-1A1D-47C3-9358-8FE916D1A771}">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7510167-98F8-4A1A-850D-2A6ECE562249}">
          <x14:formula1>
            <xm:f>Master!$F$2:$F$293</xm:f>
          </x14:formula1>
          <xm:sqref>B1:O1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96F5-5053-4868-890E-575A70006FD0}">
  <dimension ref="A1:Z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26" x14ac:dyDescent="0.2">
      <c r="A1" s="58" t="s">
        <v>882</v>
      </c>
      <c r="B1" s="96" t="s">
        <v>274</v>
      </c>
      <c r="C1" s="97"/>
      <c r="D1" s="97"/>
      <c r="E1" s="97"/>
      <c r="F1" s="97"/>
      <c r="G1" s="97"/>
      <c r="H1" s="97"/>
      <c r="I1" s="97"/>
      <c r="J1" s="97"/>
      <c r="K1" s="97"/>
      <c r="L1" s="97"/>
      <c r="M1" s="97"/>
      <c r="N1" s="97"/>
      <c r="O1" s="97"/>
    </row>
    <row r="2" spans="1:26" x14ac:dyDescent="0.2">
      <c r="A2" s="58" t="s">
        <v>883</v>
      </c>
      <c r="B2" t="s">
        <v>56</v>
      </c>
    </row>
    <row r="3" spans="1:26" x14ac:dyDescent="0.2">
      <c r="A3" s="58" t="s">
        <v>884</v>
      </c>
      <c r="B3" t="str">
        <f>IF($B$1="","",_xlfn.XLOOKUP($B$1,Master!$F$2:$F$308,Master!$G$2:$G$308,""))</f>
        <v>tbl-PC-big-hlth-prob</v>
      </c>
    </row>
    <row r="4" spans="1:26" x14ac:dyDescent="0.2">
      <c r="A4" s="58" t="s">
        <v>6</v>
      </c>
      <c r="B4" t="str">
        <f>IF($B$1="","",_xlfn.XLOOKUP($B$1,Master!$F$2:$F$308,Master!$H$2:$H$308,""))</f>
        <v>fig-PC-big-hlth-prob</v>
      </c>
      <c r="E4" s="13"/>
      <c r="F4" s="16" t="s">
        <v>679</v>
      </c>
      <c r="G4" s="16" t="s">
        <v>679</v>
      </c>
      <c r="H4" s="16" t="s">
        <v>679</v>
      </c>
      <c r="I4" s="16" t="s">
        <v>679</v>
      </c>
      <c r="J4" s="16" t="s">
        <v>679</v>
      </c>
      <c r="K4" s="16" t="s">
        <v>679</v>
      </c>
      <c r="L4" s="16" t="s">
        <v>679</v>
      </c>
      <c r="M4" s="16" t="s">
        <v>679</v>
      </c>
      <c r="N4" s="16" t="s">
        <v>679</v>
      </c>
      <c r="O4" s="16" t="s">
        <v>679</v>
      </c>
      <c r="P4" s="16" t="s">
        <v>679</v>
      </c>
      <c r="Q4" s="16" t="s">
        <v>679</v>
      </c>
      <c r="R4" s="16" t="s">
        <v>679</v>
      </c>
      <c r="S4" s="16" t="s">
        <v>679</v>
      </c>
      <c r="T4" s="16" t="s">
        <v>679</v>
      </c>
      <c r="U4" s="16" t="s">
        <v>679</v>
      </c>
      <c r="V4" s="16" t="s">
        <v>679</v>
      </c>
      <c r="W4" s="16" t="s">
        <v>679</v>
      </c>
      <c r="X4" s="16" t="s">
        <v>679</v>
      </c>
      <c r="Y4" s="16" t="s">
        <v>679</v>
      </c>
      <c r="Z4" s="16" t="s">
        <v>679</v>
      </c>
    </row>
    <row r="5" spans="1:26" x14ac:dyDescent="0.2">
      <c r="A5" s="98" t="s">
        <v>885</v>
      </c>
      <c r="B5" s="99"/>
      <c r="E5" s="100" t="s">
        <v>886</v>
      </c>
      <c r="F5" t="s">
        <v>1041</v>
      </c>
      <c r="G5" t="s">
        <v>1042</v>
      </c>
      <c r="H5" t="s">
        <v>1043</v>
      </c>
      <c r="I5" t="s">
        <v>1044</v>
      </c>
      <c r="J5" t="s">
        <v>1045</v>
      </c>
      <c r="K5" t="s">
        <v>1046</v>
      </c>
      <c r="L5" t="s">
        <v>1047</v>
      </c>
      <c r="M5" t="s">
        <v>1048</v>
      </c>
      <c r="N5" t="s">
        <v>1049</v>
      </c>
      <c r="O5" t="s">
        <v>1050</v>
      </c>
      <c r="P5" t="s">
        <v>1051</v>
      </c>
      <c r="Q5" t="s">
        <v>1052</v>
      </c>
      <c r="R5" t="s">
        <v>1053</v>
      </c>
      <c r="S5" t="s">
        <v>1054</v>
      </c>
      <c r="T5" t="s">
        <v>1055</v>
      </c>
      <c r="U5" t="s">
        <v>1056</v>
      </c>
      <c r="V5" t="s">
        <v>1057</v>
      </c>
      <c r="W5" t="s">
        <v>1058</v>
      </c>
      <c r="X5" t="s">
        <v>1059</v>
      </c>
      <c r="Y5" t="s">
        <v>1060</v>
      </c>
      <c r="Z5" t="s">
        <v>1061</v>
      </c>
    </row>
    <row r="6" spans="1:26" ht="15" customHeight="1" x14ac:dyDescent="0.2">
      <c r="A6" t="s">
        <v>891</v>
      </c>
      <c r="B6" t="b">
        <v>0</v>
      </c>
      <c r="E6" s="99"/>
      <c r="F6" s="59">
        <v>2</v>
      </c>
      <c r="G6" s="59">
        <v>2</v>
      </c>
      <c r="H6" s="59">
        <v>3</v>
      </c>
      <c r="I6" s="59">
        <v>3</v>
      </c>
      <c r="J6" s="59">
        <v>4</v>
      </c>
      <c r="K6" s="59">
        <v>5</v>
      </c>
      <c r="L6" s="59">
        <v>5</v>
      </c>
      <c r="M6" s="59">
        <v>6</v>
      </c>
      <c r="N6" s="59">
        <v>7</v>
      </c>
      <c r="O6" s="59">
        <v>7</v>
      </c>
      <c r="P6" s="59">
        <v>8</v>
      </c>
      <c r="Q6" s="59">
        <v>8</v>
      </c>
      <c r="R6" s="59">
        <v>9</v>
      </c>
      <c r="S6" s="59">
        <v>11</v>
      </c>
      <c r="T6" s="59">
        <v>12</v>
      </c>
      <c r="U6" s="59">
        <v>13</v>
      </c>
      <c r="V6" s="59">
        <v>16</v>
      </c>
      <c r="W6" s="59">
        <v>20</v>
      </c>
      <c r="X6" s="59">
        <v>31</v>
      </c>
      <c r="Y6" s="59">
        <v>39</v>
      </c>
      <c r="Z6" s="59">
        <v>68</v>
      </c>
    </row>
    <row r="7" spans="1:26" ht="15.75" customHeight="1" x14ac:dyDescent="0.2">
      <c r="E7" s="99"/>
      <c r="N7" s="14"/>
    </row>
    <row r="8" spans="1:26" x14ac:dyDescent="0.2">
      <c r="E8" s="99"/>
      <c r="G8" s="14"/>
      <c r="N8" s="14"/>
    </row>
    <row r="9" spans="1:26" x14ac:dyDescent="0.2">
      <c r="A9" s="98" t="s">
        <v>893</v>
      </c>
      <c r="B9" s="99"/>
      <c r="E9" s="99"/>
    </row>
    <row r="10" spans="1:26" x14ac:dyDescent="0.2">
      <c r="A10" t="s">
        <v>894</v>
      </c>
      <c r="B10" t="s">
        <v>1062</v>
      </c>
      <c r="E10" s="99"/>
      <c r="H10" s="14"/>
      <c r="I10" s="14"/>
    </row>
    <row r="11" spans="1:26" x14ac:dyDescent="0.2">
      <c r="A11" t="s">
        <v>895</v>
      </c>
      <c r="B11" t="s">
        <v>985</v>
      </c>
      <c r="E11" s="99"/>
    </row>
    <row r="12" spans="1:26" x14ac:dyDescent="0.2">
      <c r="A12" t="s">
        <v>896</v>
      </c>
      <c r="E12" s="99"/>
    </row>
    <row r="13" spans="1:26" x14ac:dyDescent="0.2">
      <c r="A13" t="s">
        <v>897</v>
      </c>
      <c r="E13" s="99"/>
    </row>
    <row r="14" spans="1:26" x14ac:dyDescent="0.2">
      <c r="A14" t="s">
        <v>899</v>
      </c>
      <c r="B14" t="s">
        <v>694</v>
      </c>
      <c r="E14" s="99"/>
    </row>
    <row r="15" spans="1:26" x14ac:dyDescent="0.2">
      <c r="A15" t="s">
        <v>901</v>
      </c>
      <c r="B15" t="b">
        <v>1</v>
      </c>
      <c r="E15" s="99"/>
    </row>
    <row r="16" spans="1:26"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Z4" xr:uid="{403C0A47-691B-446E-938E-3044558DB29B}">
      <formula1>"integer, number, percent1"</formula1>
    </dataValidation>
    <dataValidation type="list" allowBlank="1" showInputMessage="1" showErrorMessage="1" sqref="B10" xr:uid="{052B4820-8BCF-4808-9BD6-0A327689C96B}">
      <formula1>"Line, Bar, Clustered Bar, Stacked Bar, Horizontal Bar"</formula1>
    </dataValidation>
    <dataValidation type="list" allowBlank="1" showInputMessage="1" showErrorMessage="1" sqref="B2" xr:uid="{EB82A01D-DA3A-4663-814C-429630B63B34}">
      <formula1>"Table,Figure,Both"</formula1>
    </dataValidation>
    <dataValidation type="list" allowBlank="1" showInputMessage="1" showErrorMessage="1" sqref="B6 B15" xr:uid="{DA322555-6669-4FAE-9650-88BE4B0D9C4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049743E-B5A7-4437-8160-E41A990295C4}">
          <x14:formula1>
            <xm:f>Master!$F$2:$F$293</xm:f>
          </x14:formula1>
          <xm:sqref>B1:O1</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4D67-3A9E-416D-B634-145FB28CB979}">
  <dimension ref="A1:W57"/>
  <sheetViews>
    <sheetView workbookViewId="0">
      <selection activeCell="I5" sqref="I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23" x14ac:dyDescent="0.2">
      <c r="A1" s="58" t="s">
        <v>882</v>
      </c>
      <c r="B1" s="96" t="s">
        <v>278</v>
      </c>
      <c r="C1" s="97"/>
      <c r="D1" s="97"/>
      <c r="E1" s="97"/>
      <c r="F1" s="97"/>
      <c r="G1" s="97"/>
      <c r="H1" s="97"/>
      <c r="I1" s="97"/>
      <c r="J1" s="97"/>
      <c r="K1" s="97"/>
      <c r="L1" s="97"/>
      <c r="M1" s="97"/>
      <c r="N1" s="97"/>
      <c r="O1" s="97"/>
    </row>
    <row r="2" spans="1:23" x14ac:dyDescent="0.2">
      <c r="A2" s="58" t="s">
        <v>883</v>
      </c>
      <c r="B2" t="s">
        <v>56</v>
      </c>
    </row>
    <row r="3" spans="1:23" x14ac:dyDescent="0.2">
      <c r="A3" s="58" t="s">
        <v>884</v>
      </c>
      <c r="B3" t="str">
        <f>IF($B$1="","",_xlfn.XLOOKUP($B$1,Master!$F$2:$F$308,Master!$G$2:$G$308,""))</f>
        <v>tbl-PC-help-improve-hlth</v>
      </c>
    </row>
    <row r="4" spans="1:23" x14ac:dyDescent="0.2">
      <c r="A4" s="58" t="s">
        <v>6</v>
      </c>
      <c r="B4" t="str">
        <f>IF($B$1="","",_xlfn.XLOOKUP($B$1,Master!$F$2:$F$308,Master!$H$2:$H$308,""))</f>
        <v>fig-PC-help-improve-hlth</v>
      </c>
      <c r="E4" s="13"/>
      <c r="F4" s="16" t="s">
        <v>679</v>
      </c>
      <c r="G4" s="16" t="s">
        <v>679</v>
      </c>
      <c r="H4" s="16" t="s">
        <v>679</v>
      </c>
      <c r="I4" s="16" t="s">
        <v>679</v>
      </c>
      <c r="J4" s="16" t="s">
        <v>679</v>
      </c>
      <c r="K4" s="16" t="s">
        <v>679</v>
      </c>
      <c r="L4" s="16" t="s">
        <v>679</v>
      </c>
      <c r="M4" s="16" t="s">
        <v>679</v>
      </c>
      <c r="N4" s="16" t="s">
        <v>679</v>
      </c>
      <c r="O4" s="16" t="s">
        <v>679</v>
      </c>
      <c r="P4" s="16" t="s">
        <v>679</v>
      </c>
      <c r="Q4" s="16" t="s">
        <v>679</v>
      </c>
      <c r="R4" s="16" t="s">
        <v>679</v>
      </c>
      <c r="S4" s="16" t="s">
        <v>679</v>
      </c>
      <c r="T4" s="16" t="s">
        <v>679</v>
      </c>
      <c r="U4" s="16" t="s">
        <v>679</v>
      </c>
      <c r="V4" s="16" t="s">
        <v>679</v>
      </c>
      <c r="W4" s="16" t="s">
        <v>679</v>
      </c>
    </row>
    <row r="5" spans="1:23" x14ac:dyDescent="0.2">
      <c r="A5" s="98" t="s">
        <v>885</v>
      </c>
      <c r="B5" s="99"/>
      <c r="E5" s="100" t="s">
        <v>886</v>
      </c>
      <c r="F5" t="s">
        <v>1063</v>
      </c>
      <c r="G5" t="s">
        <v>1064</v>
      </c>
      <c r="H5" t="s">
        <v>1065</v>
      </c>
      <c r="I5" t="s">
        <v>1066</v>
      </c>
      <c r="J5" t="s">
        <v>1067</v>
      </c>
      <c r="K5" t="s">
        <v>1068</v>
      </c>
      <c r="L5" t="s">
        <v>1069</v>
      </c>
      <c r="M5" t="s">
        <v>1070</v>
      </c>
      <c r="N5" t="s">
        <v>1071</v>
      </c>
      <c r="O5" t="s">
        <v>1072</v>
      </c>
      <c r="P5" t="s">
        <v>1073</v>
      </c>
      <c r="Q5" t="s">
        <v>1074</v>
      </c>
      <c r="R5" t="s">
        <v>1075</v>
      </c>
      <c r="S5" t="s">
        <v>1076</v>
      </c>
      <c r="T5" t="s">
        <v>1077</v>
      </c>
      <c r="U5" t="s">
        <v>1078</v>
      </c>
      <c r="V5" t="s">
        <v>1079</v>
      </c>
      <c r="W5" t="s">
        <v>1080</v>
      </c>
    </row>
    <row r="6" spans="1:23" ht="15" customHeight="1" x14ac:dyDescent="0.2">
      <c r="A6" t="s">
        <v>891</v>
      </c>
      <c r="B6" t="b">
        <v>0</v>
      </c>
      <c r="E6" s="99"/>
      <c r="F6" s="49">
        <v>2</v>
      </c>
      <c r="G6" s="49">
        <v>2</v>
      </c>
      <c r="H6" s="49">
        <v>2</v>
      </c>
      <c r="I6" s="49">
        <v>2</v>
      </c>
      <c r="J6" s="49">
        <v>4</v>
      </c>
      <c r="K6" s="49">
        <v>4</v>
      </c>
      <c r="L6" s="49">
        <v>4</v>
      </c>
      <c r="M6" s="49">
        <v>4</v>
      </c>
      <c r="N6" s="49">
        <v>5</v>
      </c>
      <c r="O6" s="49">
        <v>7</v>
      </c>
      <c r="P6" s="49">
        <v>8</v>
      </c>
      <c r="Q6" s="49">
        <v>16</v>
      </c>
      <c r="R6" s="49">
        <v>18</v>
      </c>
      <c r="S6" s="49">
        <v>20</v>
      </c>
      <c r="T6" s="49">
        <v>23.2</v>
      </c>
      <c r="U6" s="49">
        <v>44</v>
      </c>
      <c r="V6" s="49">
        <v>45</v>
      </c>
      <c r="W6" s="49">
        <v>51</v>
      </c>
    </row>
    <row r="7" spans="1:23" ht="15.75" customHeight="1" x14ac:dyDescent="0.2">
      <c r="E7" s="99"/>
    </row>
    <row r="8" spans="1:23" x14ac:dyDescent="0.2">
      <c r="E8" s="99"/>
      <c r="H8" s="14"/>
      <c r="I8" s="14"/>
    </row>
    <row r="9" spans="1:23" x14ac:dyDescent="0.2">
      <c r="A9" s="98" t="s">
        <v>893</v>
      </c>
      <c r="B9" s="99"/>
      <c r="E9" s="99"/>
    </row>
    <row r="10" spans="1:23" x14ac:dyDescent="0.2">
      <c r="A10" t="s">
        <v>894</v>
      </c>
      <c r="B10" t="s">
        <v>1062</v>
      </c>
      <c r="E10" s="99"/>
    </row>
    <row r="11" spans="1:23" x14ac:dyDescent="0.2">
      <c r="A11" t="s">
        <v>895</v>
      </c>
      <c r="B11" t="s">
        <v>985</v>
      </c>
      <c r="E11" s="99"/>
    </row>
    <row r="12" spans="1:23" x14ac:dyDescent="0.2">
      <c r="A12" t="s">
        <v>896</v>
      </c>
      <c r="E12" s="99"/>
    </row>
    <row r="13" spans="1:23" x14ac:dyDescent="0.2">
      <c r="A13" t="s">
        <v>897</v>
      </c>
      <c r="E13" s="99"/>
    </row>
    <row r="14" spans="1:23" x14ac:dyDescent="0.2">
      <c r="A14" t="s">
        <v>899</v>
      </c>
      <c r="B14" t="s">
        <v>694</v>
      </c>
      <c r="E14" s="99"/>
    </row>
    <row r="15" spans="1:23" x14ac:dyDescent="0.2">
      <c r="A15" t="s">
        <v>901</v>
      </c>
      <c r="B15" t="b">
        <v>1</v>
      </c>
      <c r="E15" s="99"/>
    </row>
    <row r="16" spans="1:23"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D2FF674F-2E02-4AB3-BB4F-617C31A18E92}">
      <formula1>"True,False"</formula1>
    </dataValidation>
    <dataValidation type="list" allowBlank="1" showInputMessage="1" showErrorMessage="1" sqref="B2" xr:uid="{21695D28-7066-4BBD-99C2-218F7AC35A1A}">
      <formula1>"Table,Figure,Both"</formula1>
    </dataValidation>
    <dataValidation type="list" allowBlank="1" showInputMessage="1" showErrorMessage="1" sqref="F4:W4" xr:uid="{68D1E024-B6B0-42D3-B0F2-F945D4F1E7BE}">
      <formula1>"integer, number, percent1"</formula1>
    </dataValidation>
    <dataValidation type="list" allowBlank="1" showInputMessage="1" showErrorMessage="1" sqref="B10" xr:uid="{0A906BD4-6643-45DB-B45E-343B8ED45DE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94E3A31-2FA5-4A3B-9EB6-3AB74C35B67A}">
          <x14:formula1>
            <xm:f>Master!$F$2:$F$293</xm:f>
          </x14:formula1>
          <xm:sqref>B1:O1</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E762-E521-4DF1-8800-65F3BD56FB72}">
  <dimension ref="A1:AB57"/>
  <sheetViews>
    <sheetView workbookViewId="0">
      <selection activeCell="K5" sqref="K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28" x14ac:dyDescent="0.2">
      <c r="A1" s="58" t="s">
        <v>882</v>
      </c>
      <c r="B1" s="96" t="s">
        <v>1081</v>
      </c>
      <c r="C1" s="97"/>
      <c r="D1" s="97"/>
      <c r="E1" s="97"/>
      <c r="F1" s="97"/>
      <c r="G1" s="97"/>
      <c r="H1" s="97"/>
      <c r="I1" s="97"/>
      <c r="J1" s="97"/>
      <c r="K1" s="97"/>
      <c r="L1" s="97"/>
      <c r="M1" s="97"/>
      <c r="N1" s="97"/>
      <c r="O1" s="97"/>
    </row>
    <row r="2" spans="1:28" x14ac:dyDescent="0.2">
      <c r="A2" s="58" t="s">
        <v>883</v>
      </c>
      <c r="B2" t="s">
        <v>56</v>
      </c>
    </row>
    <row r="3" spans="1:28" x14ac:dyDescent="0.2">
      <c r="A3" s="58" t="s">
        <v>884</v>
      </c>
      <c r="B3" t="str">
        <f>IF($B$1="","",_xlfn.XLOOKUP($B$1,Master!$F$2:$F$308,Master!$G$2:$G$308,""))</f>
        <v>tbl-PC-help-hlth-screen-education</v>
      </c>
    </row>
    <row r="4" spans="1:28" x14ac:dyDescent="0.2">
      <c r="A4" s="58" t="s">
        <v>6</v>
      </c>
      <c r="B4" t="str">
        <f>IF($B$1="","",_xlfn.XLOOKUP($B$1,Master!$F$2:$F$308,Master!$H$2:$H$308,""))</f>
        <v>fig-PC-help-hlth-screen-education</v>
      </c>
      <c r="E4" s="13"/>
      <c r="F4" s="16" t="s">
        <v>679</v>
      </c>
      <c r="G4" s="16" t="s">
        <v>679</v>
      </c>
      <c r="H4" s="16" t="s">
        <v>679</v>
      </c>
      <c r="I4" s="16" t="s">
        <v>679</v>
      </c>
      <c r="J4" s="16" t="s">
        <v>679</v>
      </c>
      <c r="K4" s="16" t="s">
        <v>679</v>
      </c>
      <c r="L4" s="16" t="s">
        <v>679</v>
      </c>
      <c r="M4" s="16" t="s">
        <v>679</v>
      </c>
      <c r="N4" s="16" t="s">
        <v>679</v>
      </c>
      <c r="O4" s="16" t="s">
        <v>679</v>
      </c>
      <c r="P4" s="16" t="s">
        <v>679</v>
      </c>
      <c r="Q4" s="16" t="s">
        <v>679</v>
      </c>
      <c r="R4" s="16" t="s">
        <v>679</v>
      </c>
      <c r="S4" s="16" t="s">
        <v>679</v>
      </c>
      <c r="T4" s="16" t="s">
        <v>679</v>
      </c>
      <c r="U4" s="16" t="s">
        <v>679</v>
      </c>
      <c r="V4" s="16" t="s">
        <v>679</v>
      </c>
      <c r="W4" s="16" t="s">
        <v>679</v>
      </c>
      <c r="X4" s="16" t="s">
        <v>679</v>
      </c>
      <c r="Y4" s="16" t="s">
        <v>679</v>
      </c>
      <c r="Z4" s="16" t="s">
        <v>679</v>
      </c>
      <c r="AA4" s="16" t="s">
        <v>679</v>
      </c>
      <c r="AB4" s="16" t="s">
        <v>679</v>
      </c>
    </row>
    <row r="5" spans="1:28" x14ac:dyDescent="0.2">
      <c r="A5" s="98" t="s">
        <v>885</v>
      </c>
      <c r="B5" s="99"/>
      <c r="E5" s="100" t="s">
        <v>886</v>
      </c>
      <c r="F5" s="55" t="s">
        <v>1082</v>
      </c>
      <c r="G5" s="55" t="s">
        <v>1083</v>
      </c>
      <c r="H5" s="55" t="s">
        <v>1084</v>
      </c>
      <c r="I5" s="55" t="s">
        <v>1085</v>
      </c>
      <c r="J5" s="55" t="s">
        <v>1086</v>
      </c>
      <c r="K5" s="55" t="s">
        <v>1087</v>
      </c>
      <c r="L5" t="s">
        <v>1088</v>
      </c>
      <c r="M5" s="55" t="s">
        <v>1089</v>
      </c>
      <c r="N5" s="55" t="s">
        <v>1090</v>
      </c>
      <c r="O5" t="s">
        <v>1091</v>
      </c>
      <c r="P5" t="s">
        <v>1092</v>
      </c>
      <c r="Q5" t="s">
        <v>1093</v>
      </c>
      <c r="R5" t="s">
        <v>1094</v>
      </c>
      <c r="S5" t="s">
        <v>1095</v>
      </c>
      <c r="T5" t="s">
        <v>1049</v>
      </c>
      <c r="U5" t="s">
        <v>1096</v>
      </c>
      <c r="V5" t="s">
        <v>1097</v>
      </c>
      <c r="W5" t="s">
        <v>1098</v>
      </c>
      <c r="X5" t="s">
        <v>1099</v>
      </c>
      <c r="Y5" t="s">
        <v>1051</v>
      </c>
      <c r="Z5" t="s">
        <v>1100</v>
      </c>
      <c r="AA5" t="s">
        <v>1101</v>
      </c>
      <c r="AB5" t="s">
        <v>1102</v>
      </c>
    </row>
    <row r="6" spans="1:28" ht="15" customHeight="1" x14ac:dyDescent="0.2">
      <c r="A6" t="s">
        <v>891</v>
      </c>
      <c r="B6" t="b">
        <v>0</v>
      </c>
      <c r="E6" s="99"/>
      <c r="F6" s="59">
        <v>1</v>
      </c>
      <c r="G6" s="59">
        <v>1</v>
      </c>
      <c r="H6" s="59">
        <v>1</v>
      </c>
      <c r="I6" s="59">
        <v>2</v>
      </c>
      <c r="J6" s="59">
        <v>3</v>
      </c>
      <c r="K6" s="59">
        <v>3</v>
      </c>
      <c r="L6" s="14">
        <v>4</v>
      </c>
      <c r="M6" s="14">
        <v>5</v>
      </c>
      <c r="N6" s="14">
        <v>5</v>
      </c>
      <c r="O6" s="14">
        <v>5</v>
      </c>
      <c r="P6" s="14">
        <v>6</v>
      </c>
      <c r="Q6" s="14">
        <v>8</v>
      </c>
      <c r="R6" s="14">
        <v>9</v>
      </c>
      <c r="S6" s="14">
        <v>9</v>
      </c>
      <c r="T6" s="14">
        <v>9</v>
      </c>
      <c r="U6" s="14">
        <v>11</v>
      </c>
      <c r="V6" s="14">
        <v>12</v>
      </c>
      <c r="W6" s="14">
        <v>13</v>
      </c>
      <c r="X6" s="14">
        <v>14</v>
      </c>
      <c r="Y6" s="14">
        <v>16</v>
      </c>
      <c r="Z6" s="14">
        <v>22</v>
      </c>
      <c r="AA6" s="14">
        <v>25</v>
      </c>
      <c r="AB6" s="14">
        <v>56</v>
      </c>
    </row>
    <row r="7" spans="1:28" ht="15.75" customHeight="1" x14ac:dyDescent="0.2">
      <c r="E7" s="99"/>
      <c r="F7" s="61"/>
      <c r="G7" s="55"/>
      <c r="H7" s="55"/>
      <c r="I7" s="55"/>
      <c r="J7" s="55"/>
      <c r="K7" s="55"/>
      <c r="L7" s="55"/>
      <c r="N7" s="14"/>
    </row>
    <row r="8" spans="1:28" x14ac:dyDescent="0.2">
      <c r="E8" s="99"/>
      <c r="F8" s="61"/>
      <c r="G8" s="59"/>
      <c r="H8" s="55"/>
      <c r="I8" s="55"/>
      <c r="J8" s="55"/>
      <c r="K8" s="55"/>
      <c r="L8" s="55"/>
      <c r="N8" s="14"/>
    </row>
    <row r="9" spans="1:28" x14ac:dyDescent="0.2">
      <c r="A9" s="98" t="s">
        <v>893</v>
      </c>
      <c r="B9" s="99"/>
      <c r="E9" s="99"/>
      <c r="F9" s="61"/>
      <c r="G9" s="55"/>
      <c r="H9" s="55"/>
      <c r="I9" s="55"/>
      <c r="J9" s="55"/>
      <c r="K9" s="55"/>
      <c r="L9" s="55"/>
    </row>
    <row r="10" spans="1:28" x14ac:dyDescent="0.2">
      <c r="A10" t="s">
        <v>894</v>
      </c>
      <c r="B10" t="s">
        <v>1062</v>
      </c>
      <c r="E10" s="99"/>
      <c r="F10" s="61"/>
      <c r="G10" s="55"/>
      <c r="H10" s="59"/>
      <c r="I10" s="59"/>
      <c r="J10" s="55"/>
      <c r="K10" s="55"/>
      <c r="L10" s="55"/>
    </row>
    <row r="11" spans="1:28" x14ac:dyDescent="0.2">
      <c r="A11" t="s">
        <v>895</v>
      </c>
      <c r="B11" t="s">
        <v>985</v>
      </c>
      <c r="E11" s="99"/>
    </row>
    <row r="12" spans="1:28" x14ac:dyDescent="0.2">
      <c r="A12" t="s">
        <v>896</v>
      </c>
      <c r="E12" s="99"/>
    </row>
    <row r="13" spans="1:28" x14ac:dyDescent="0.2">
      <c r="A13" t="s">
        <v>897</v>
      </c>
      <c r="E13" s="99"/>
    </row>
    <row r="14" spans="1:28" x14ac:dyDescent="0.2">
      <c r="A14" t="s">
        <v>899</v>
      </c>
      <c r="B14" t="s">
        <v>694</v>
      </c>
      <c r="E14" s="99"/>
    </row>
    <row r="15" spans="1:28" x14ac:dyDescent="0.2">
      <c r="A15" t="s">
        <v>901</v>
      </c>
      <c r="B15" t="b">
        <v>1</v>
      </c>
      <c r="E15" s="99"/>
    </row>
    <row r="16" spans="1:28"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B20C0C62-DD1D-446D-916B-0A32AB849BEF}">
      <formula1>"True,False"</formula1>
    </dataValidation>
    <dataValidation type="list" allowBlank="1" showInputMessage="1" showErrorMessage="1" sqref="B2" xr:uid="{615D64E1-DD68-4E24-9FCD-BD3490DF783D}">
      <formula1>"Table,Figure,Both"</formula1>
    </dataValidation>
    <dataValidation type="list" allowBlank="1" showInputMessage="1" showErrorMessage="1" sqref="F4:AB4" xr:uid="{EDC9ADE1-7074-47C4-A703-51D45F3FEB02}">
      <formula1>"integer, number, percent1"</formula1>
    </dataValidation>
    <dataValidation type="list" allowBlank="1" showInputMessage="1" showErrorMessage="1" sqref="B10" xr:uid="{27DC636B-01FB-416A-A557-E3ADE1E4DD31}">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3BB74D7-895C-435F-B4B3-E80E1A8871D1}">
          <x14:formula1>
            <xm:f>Master!$F$2:$F$293</xm:f>
          </x14:formula1>
          <xm:sqref>B1:O1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887A-C4AD-49D4-91B4-F7116AF7350F}">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285</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tbl-PC-reason-no-hlthcare</v>
      </c>
    </row>
    <row r="4" spans="1:15" x14ac:dyDescent="0.2">
      <c r="A4" s="58" t="s">
        <v>6</v>
      </c>
      <c r="B4" t="str">
        <f>IF($B$1="","",_xlfn.XLOOKUP($B$1,Master!$F$2:$F$308,Master!$H$2:$H$308,""))</f>
        <v>fig-PC-reason-no-hlthcare</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1103</v>
      </c>
      <c r="G5" s="55" t="s">
        <v>1104</v>
      </c>
      <c r="H5" s="55" t="s">
        <v>1105</v>
      </c>
      <c r="I5" s="55" t="s">
        <v>1106</v>
      </c>
      <c r="J5" s="55" t="s">
        <v>1107</v>
      </c>
      <c r="K5" s="55" t="s">
        <v>1108</v>
      </c>
      <c r="L5" s="55" t="s">
        <v>1109</v>
      </c>
      <c r="M5" s="55" t="s">
        <v>1110</v>
      </c>
      <c r="N5" s="55"/>
    </row>
    <row r="6" spans="1:15" ht="15" customHeight="1" x14ac:dyDescent="0.2">
      <c r="A6" t="s">
        <v>891</v>
      </c>
      <c r="B6" t="b">
        <v>0</v>
      </c>
      <c r="E6" s="99"/>
      <c r="F6" s="59">
        <v>4</v>
      </c>
      <c r="G6" s="59">
        <v>10</v>
      </c>
      <c r="H6" s="59">
        <v>15</v>
      </c>
      <c r="I6" s="59">
        <v>23</v>
      </c>
      <c r="J6" s="59">
        <v>38</v>
      </c>
      <c r="K6" s="59">
        <v>40</v>
      </c>
      <c r="L6" s="59">
        <v>44</v>
      </c>
      <c r="M6" s="59">
        <v>52</v>
      </c>
      <c r="N6" s="14"/>
    </row>
    <row r="7" spans="1:15" ht="15.75" customHeight="1" x14ac:dyDescent="0.2">
      <c r="E7" s="99"/>
      <c r="F7" s="55"/>
      <c r="G7" s="55"/>
      <c r="H7" s="55"/>
      <c r="I7" s="55"/>
      <c r="J7" s="55"/>
      <c r="K7" s="55"/>
      <c r="N7" s="14"/>
    </row>
    <row r="8" spans="1:15" x14ac:dyDescent="0.2">
      <c r="E8" s="99"/>
      <c r="F8" s="59"/>
      <c r="G8" s="55"/>
      <c r="H8" s="55"/>
      <c r="I8" s="55"/>
      <c r="J8" s="55"/>
      <c r="K8" s="55"/>
      <c r="N8" s="14"/>
    </row>
    <row r="9" spans="1:15" x14ac:dyDescent="0.2">
      <c r="A9" s="98" t="s">
        <v>893</v>
      </c>
      <c r="B9" s="99"/>
      <c r="E9" s="99"/>
      <c r="F9" s="55"/>
      <c r="G9" s="55"/>
      <c r="H9" s="55"/>
      <c r="I9" s="55"/>
      <c r="J9" s="55"/>
      <c r="K9" s="55"/>
    </row>
    <row r="10" spans="1:15" x14ac:dyDescent="0.2">
      <c r="A10" t="s">
        <v>894</v>
      </c>
      <c r="B10" t="s">
        <v>1062</v>
      </c>
      <c r="E10" s="99"/>
      <c r="F10" s="55"/>
      <c r="G10" s="59"/>
      <c r="H10" s="59"/>
      <c r="I10" s="55"/>
      <c r="J10" s="55"/>
      <c r="K10" s="55"/>
    </row>
    <row r="11" spans="1:15" x14ac:dyDescent="0.2">
      <c r="A11" t="s">
        <v>895</v>
      </c>
      <c r="B11" t="s">
        <v>985</v>
      </c>
      <c r="E11" s="99"/>
      <c r="F11" s="55"/>
      <c r="G11" s="55"/>
      <c r="H11" s="55"/>
      <c r="I11" s="55"/>
      <c r="J11" s="55"/>
      <c r="K11" s="55"/>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1F72ADFB-31B1-4ECF-A323-35CC62FDD163}">
      <formula1>"integer, number, percent1"</formula1>
    </dataValidation>
    <dataValidation type="list" allowBlank="1" showInputMessage="1" showErrorMessage="1" sqref="B2" xr:uid="{DC27AFD8-4892-4A7D-80AA-E8913F9374B4}">
      <formula1>"Table,Figure,Both"</formula1>
    </dataValidation>
    <dataValidation type="list" allowBlank="1" showInputMessage="1" showErrorMessage="1" sqref="B6 B15" xr:uid="{D9B8531B-A34D-42E3-AB77-F76A2C76A071}">
      <formula1>"True,False"</formula1>
    </dataValidation>
    <dataValidation type="list" allowBlank="1" showInputMessage="1" showErrorMessage="1" sqref="B10" xr:uid="{3B24DAC6-F91A-43D8-8B0F-81CA6243EE4B}">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D7D9186-95E6-438E-AD3B-6DAC573EBA93}">
          <x14:formula1>
            <xm:f>Master!$F$2:$F$293</xm:f>
          </x14:formula1>
          <xm:sqref>B1:O1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8468-3073-4012-AE13-9DCD51F35068}">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289</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tbl-PC-trust-hlth-source</v>
      </c>
    </row>
    <row r="4" spans="1:15" x14ac:dyDescent="0.2">
      <c r="A4" s="58" t="s">
        <v>6</v>
      </c>
      <c r="B4" t="str">
        <f>IF($B$1="","",_xlfn.XLOOKUP($B$1,Master!$F$2:$F$308,Master!$H$2:$H$308,""))</f>
        <v>fig-PC-trust-hlth-source</v>
      </c>
      <c r="E4" s="13"/>
      <c r="F4" s="16" t="s">
        <v>679</v>
      </c>
      <c r="G4" s="16" t="s">
        <v>679</v>
      </c>
      <c r="H4" s="16" t="s">
        <v>679</v>
      </c>
      <c r="I4" s="16" t="s">
        <v>679</v>
      </c>
      <c r="J4" s="16" t="s">
        <v>679</v>
      </c>
      <c r="K4" s="16" t="s">
        <v>679</v>
      </c>
      <c r="L4" s="16" t="s">
        <v>679</v>
      </c>
      <c r="M4" s="16" t="s">
        <v>679</v>
      </c>
    </row>
    <row r="5" spans="1:15" x14ac:dyDescent="0.2">
      <c r="A5" s="98" t="s">
        <v>885</v>
      </c>
      <c r="B5" s="99"/>
      <c r="E5" s="100" t="s">
        <v>886</v>
      </c>
      <c r="F5" t="s">
        <v>1111</v>
      </c>
      <c r="G5" t="s">
        <v>1112</v>
      </c>
      <c r="H5" t="s">
        <v>1113</v>
      </c>
      <c r="I5" t="s">
        <v>1114</v>
      </c>
      <c r="J5" t="s">
        <v>1115</v>
      </c>
      <c r="K5" t="s">
        <v>1116</v>
      </c>
      <c r="L5" t="s">
        <v>1117</v>
      </c>
      <c r="M5" t="s">
        <v>1118</v>
      </c>
      <c r="N5" s="55"/>
    </row>
    <row r="6" spans="1:15" ht="15" customHeight="1" x14ac:dyDescent="0.2">
      <c r="A6" t="s">
        <v>891</v>
      </c>
      <c r="B6" t="b">
        <v>0</v>
      </c>
      <c r="E6" s="99"/>
      <c r="F6" s="53">
        <v>10</v>
      </c>
      <c r="G6" s="59">
        <v>16</v>
      </c>
      <c r="H6" s="59">
        <v>21</v>
      </c>
      <c r="I6" s="59">
        <v>28</v>
      </c>
      <c r="J6" s="59">
        <v>39</v>
      </c>
      <c r="K6" s="59">
        <v>45</v>
      </c>
      <c r="L6" s="59">
        <v>48</v>
      </c>
      <c r="M6" s="59">
        <v>76</v>
      </c>
      <c r="N6" s="14"/>
    </row>
    <row r="7" spans="1:15" ht="15.75" customHeight="1" x14ac:dyDescent="0.2">
      <c r="E7" s="99"/>
      <c r="F7" s="61"/>
      <c r="G7" s="59"/>
      <c r="H7" s="59"/>
      <c r="I7" s="59"/>
      <c r="J7" s="59"/>
      <c r="N7" s="14"/>
    </row>
    <row r="8" spans="1:15" x14ac:dyDescent="0.2">
      <c r="E8" s="99"/>
      <c r="F8" s="61"/>
      <c r="G8" s="59"/>
      <c r="H8" s="59"/>
      <c r="I8" s="59"/>
      <c r="J8" s="59"/>
      <c r="N8" s="14"/>
    </row>
    <row r="9" spans="1:15" x14ac:dyDescent="0.2">
      <c r="A9" s="98" t="s">
        <v>893</v>
      </c>
      <c r="B9" s="99"/>
      <c r="E9" s="99"/>
      <c r="F9" s="61"/>
      <c r="G9" s="59"/>
      <c r="H9" s="59"/>
      <c r="I9" s="59"/>
      <c r="J9" s="59"/>
    </row>
    <row r="10" spans="1:15" x14ac:dyDescent="0.2">
      <c r="A10" t="s">
        <v>894</v>
      </c>
      <c r="B10" t="s">
        <v>1062</v>
      </c>
      <c r="E10" s="99"/>
      <c r="F10" s="61"/>
      <c r="G10" s="59"/>
      <c r="H10" s="59"/>
      <c r="I10" s="59"/>
      <c r="J10" s="59"/>
    </row>
    <row r="11" spans="1:15" x14ac:dyDescent="0.2">
      <c r="A11" t="s">
        <v>895</v>
      </c>
      <c r="B11" t="s">
        <v>985</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M4" xr:uid="{17C78E38-8998-43C3-91D0-D0EF2AA1F181}">
      <formula1>"integer, number, percent1"</formula1>
    </dataValidation>
    <dataValidation type="list" allowBlank="1" showInputMessage="1" showErrorMessage="1" sqref="B2" xr:uid="{597C9A71-895D-4226-8502-FCBA1C2A65DF}">
      <formula1>"Table,Figure,Both"</formula1>
    </dataValidation>
    <dataValidation type="list" allowBlank="1" showInputMessage="1" showErrorMessage="1" sqref="B6 B15" xr:uid="{CD1CF08E-70DA-4CA5-99D6-A67070E70361}">
      <formula1>"True,False"</formula1>
    </dataValidation>
    <dataValidation type="list" allowBlank="1" showInputMessage="1" showErrorMessage="1" sqref="B10" xr:uid="{3C500E47-4A3E-4151-AF13-A2A28A30AA16}">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518DC63-946B-411D-9ED2-9DB0BEC21CFA}">
          <x14:formula1>
            <xm:f>Master!$F$2:$F$293</xm:f>
          </x14:formula1>
          <xm:sqref>B1:O1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32244-5564-4BBF-8FDD-9A01510017C9}">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293</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tbl-RC-affect-health</v>
      </c>
    </row>
    <row r="4" spans="1:15" x14ac:dyDescent="0.2">
      <c r="A4" s="58" t="s">
        <v>6</v>
      </c>
      <c r="B4" t="str">
        <f>IF($B$1="","",_xlfn.XLOOKUP($B$1,Master!$F$2:$F$308,Master!$H$2:$H$308,""))</f>
        <v>fig-RC-affect-health</v>
      </c>
      <c r="E4" s="13"/>
      <c r="F4" s="16" t="s">
        <v>679</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55" t="s">
        <v>993</v>
      </c>
      <c r="G5" s="55" t="s">
        <v>994</v>
      </c>
      <c r="H5" s="55" t="s">
        <v>995</v>
      </c>
      <c r="I5" s="55" t="s">
        <v>997</v>
      </c>
      <c r="J5" s="55" t="s">
        <v>996</v>
      </c>
      <c r="K5" s="55" t="s">
        <v>992</v>
      </c>
      <c r="L5" s="55" t="s">
        <v>998</v>
      </c>
      <c r="M5" s="55" t="s">
        <v>999</v>
      </c>
      <c r="N5" s="55" t="s">
        <v>1000</v>
      </c>
      <c r="O5" s="55" t="s">
        <v>1001</v>
      </c>
    </row>
    <row r="6" spans="1:15" ht="15" customHeight="1" x14ac:dyDescent="0.2">
      <c r="A6" t="s">
        <v>891</v>
      </c>
      <c r="B6" t="b">
        <v>0</v>
      </c>
      <c r="E6" s="99"/>
      <c r="F6" s="59">
        <v>50.4</v>
      </c>
      <c r="G6" s="59">
        <v>46.7</v>
      </c>
      <c r="H6" s="59">
        <v>43</v>
      </c>
      <c r="I6" s="59">
        <v>38.5</v>
      </c>
      <c r="J6" s="59">
        <v>31.9</v>
      </c>
      <c r="K6" s="59">
        <v>29.6</v>
      </c>
      <c r="L6" s="59">
        <v>27.4</v>
      </c>
      <c r="M6" s="59">
        <v>17</v>
      </c>
      <c r="N6" s="59">
        <v>14.1</v>
      </c>
      <c r="O6" s="59">
        <v>1.5</v>
      </c>
    </row>
    <row r="7" spans="1:15" ht="15.75" customHeight="1" x14ac:dyDescent="0.2">
      <c r="E7" s="99"/>
      <c r="N7" s="14"/>
    </row>
    <row r="8" spans="1:15" x14ac:dyDescent="0.2">
      <c r="E8" s="99"/>
      <c r="N8" s="14"/>
    </row>
    <row r="9" spans="1:15" x14ac:dyDescent="0.2">
      <c r="A9" s="98" t="s">
        <v>893</v>
      </c>
      <c r="B9" s="99"/>
      <c r="E9" s="99"/>
    </row>
    <row r="10" spans="1:15" x14ac:dyDescent="0.2">
      <c r="A10" t="s">
        <v>894</v>
      </c>
      <c r="B10" t="s">
        <v>1002</v>
      </c>
      <c r="E10" s="99"/>
      <c r="H10" s="14"/>
      <c r="I10" s="14"/>
    </row>
    <row r="11" spans="1:15" x14ac:dyDescent="0.2">
      <c r="A11" t="s">
        <v>895</v>
      </c>
      <c r="B11" t="s">
        <v>985</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F52553D5-B63B-4679-8EB2-03144ABF30DF}">
      <formula1>"True,False"</formula1>
    </dataValidation>
    <dataValidation type="list" allowBlank="1" showInputMessage="1" showErrorMessage="1" sqref="B2" xr:uid="{9DC575C7-D5FB-4433-9386-CD74B02EAC1E}">
      <formula1>"Table,Figure,Both"</formula1>
    </dataValidation>
    <dataValidation type="list" allowBlank="1" showInputMessage="1" showErrorMessage="1" sqref="F4:O4" xr:uid="{E2C5B120-F8F9-4B42-B234-814B152C15FF}">
      <formula1>"integer, number, percent1"</formula1>
    </dataValidation>
    <dataValidation type="list" allowBlank="1" showInputMessage="1" showErrorMessage="1" sqref="B10" xr:uid="{7C24CF62-FD65-4E13-B426-C9D20B61EF82}">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F949164-D083-45B8-9230-14E5FBE88B85}">
          <x14:formula1>
            <xm:f>Master!$F$2:$F$293</xm:f>
          </x14:formula1>
          <xm:sqref>B1:O1</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1A31-AC56-484E-8384-430410912845}">
  <dimension ref="A1:Q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7" x14ac:dyDescent="0.2">
      <c r="A1" s="58" t="s">
        <v>882</v>
      </c>
      <c r="B1" s="96" t="s">
        <v>297</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tbl-RC-achieve-health</v>
      </c>
    </row>
    <row r="4" spans="1:17" x14ac:dyDescent="0.2">
      <c r="A4" s="58" t="s">
        <v>6</v>
      </c>
      <c r="B4" t="str">
        <f>IF($B$1="","",_xlfn.XLOOKUP($B$1,Master!$F$2:$F$308,Master!$H$2:$H$308,""))</f>
        <v>fig-RC-achieve-health</v>
      </c>
      <c r="E4" s="13"/>
      <c r="F4" s="16" t="s">
        <v>679</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1003</v>
      </c>
      <c r="G5" t="s">
        <v>1004</v>
      </c>
      <c r="H5" t="s">
        <v>1006</v>
      </c>
      <c r="I5" t="s">
        <v>1007</v>
      </c>
      <c r="J5" t="s">
        <v>1008</v>
      </c>
      <c r="K5" t="s">
        <v>728</v>
      </c>
      <c r="L5" t="s">
        <v>1013</v>
      </c>
      <c r="M5" t="s">
        <v>1005</v>
      </c>
      <c r="N5" t="s">
        <v>1011</v>
      </c>
      <c r="O5" t="s">
        <v>1012</v>
      </c>
      <c r="P5" t="s">
        <v>1010</v>
      </c>
      <c r="Q5" t="s">
        <v>1009</v>
      </c>
    </row>
    <row r="6" spans="1:17" ht="15" customHeight="1" x14ac:dyDescent="0.2">
      <c r="A6" t="s">
        <v>891</v>
      </c>
      <c r="B6" t="b">
        <v>0</v>
      </c>
      <c r="E6" s="99"/>
      <c r="F6" s="14">
        <v>66</v>
      </c>
      <c r="G6">
        <v>59.3</v>
      </c>
      <c r="H6">
        <v>34.1</v>
      </c>
      <c r="I6">
        <v>26.7</v>
      </c>
      <c r="J6">
        <v>23.7</v>
      </c>
      <c r="K6">
        <v>21.5</v>
      </c>
      <c r="L6">
        <v>19.3</v>
      </c>
      <c r="M6">
        <v>18.5</v>
      </c>
      <c r="N6">
        <v>9.6</v>
      </c>
      <c r="O6">
        <v>9.6</v>
      </c>
      <c r="P6" s="14">
        <v>6.7</v>
      </c>
      <c r="Q6">
        <v>5.2</v>
      </c>
    </row>
    <row r="7" spans="1:17" ht="15.75" customHeight="1" x14ac:dyDescent="0.2">
      <c r="E7" s="99"/>
      <c r="N7" s="14"/>
    </row>
    <row r="8" spans="1:17" x14ac:dyDescent="0.2">
      <c r="E8" s="99"/>
      <c r="G8" s="14"/>
      <c r="N8" s="14"/>
    </row>
    <row r="9" spans="1:17" x14ac:dyDescent="0.2">
      <c r="A9" s="98" t="s">
        <v>893</v>
      </c>
      <c r="B9" s="99"/>
      <c r="E9" s="99"/>
    </row>
    <row r="10" spans="1:17" x14ac:dyDescent="0.2">
      <c r="A10" t="s">
        <v>894</v>
      </c>
      <c r="B10" t="s">
        <v>1002</v>
      </c>
      <c r="E10" s="99"/>
      <c r="H10" s="14"/>
      <c r="I10" s="14"/>
    </row>
    <row r="11" spans="1:17" x14ac:dyDescent="0.2">
      <c r="A11" t="s">
        <v>895</v>
      </c>
      <c r="B11" t="s">
        <v>985</v>
      </c>
      <c r="E11" s="99"/>
    </row>
    <row r="12" spans="1:17" x14ac:dyDescent="0.2">
      <c r="A12" t="s">
        <v>896</v>
      </c>
      <c r="E12" s="99"/>
    </row>
    <row r="13" spans="1:17" x14ac:dyDescent="0.2">
      <c r="A13" t="s">
        <v>897</v>
      </c>
      <c r="E13" s="99"/>
    </row>
    <row r="14" spans="1:17" x14ac:dyDescent="0.2">
      <c r="A14" t="s">
        <v>899</v>
      </c>
      <c r="B14" t="s">
        <v>694</v>
      </c>
      <c r="E14" s="99"/>
    </row>
    <row r="15" spans="1:17" x14ac:dyDescent="0.2">
      <c r="A15" t="s">
        <v>901</v>
      </c>
      <c r="B15" t="b">
        <v>1</v>
      </c>
      <c r="E15" s="99"/>
    </row>
    <row r="16" spans="1:17"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Q4" xr:uid="{D1E9456C-C848-4D93-984B-BA4E853F7093}">
      <formula1>"integer, number, percent1"</formula1>
    </dataValidation>
    <dataValidation type="list" allowBlank="1" showInputMessage="1" showErrorMessage="1" sqref="B2" xr:uid="{01572FB4-DC8A-45CF-B274-A106836522A7}">
      <formula1>"Table,Figure,Both"</formula1>
    </dataValidation>
    <dataValidation type="list" allowBlank="1" showInputMessage="1" showErrorMessage="1" sqref="B6 B15" xr:uid="{08FB0CC9-7031-4FAE-AAE7-29DA268B57E9}">
      <formula1>"True,False"</formula1>
    </dataValidation>
    <dataValidation type="list" allowBlank="1" showInputMessage="1" showErrorMessage="1" sqref="B10" xr:uid="{5C3374E6-BD47-4579-9E16-C06D5A425A9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56DC3D9-7D56-4F88-843C-792155E132DA}">
          <x14:formula1>
            <xm:f>Master!$F$2:$F$293</xm:f>
          </x14:formula1>
          <xm:sqref>B1:O1</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2833-A499-4C6C-AC89-C97E4288624A}">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301</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tbl-RC-impact-hlth-issue</v>
      </c>
    </row>
    <row r="4" spans="1:15" x14ac:dyDescent="0.2">
      <c r="A4" s="58" t="s">
        <v>6</v>
      </c>
      <c r="B4" t="str">
        <f>IF($B$1="","",_xlfn.XLOOKUP($B$1,Master!$F$2:$F$308,Master!$H$2:$H$308,""))</f>
        <v>fig-RC-impact-hlth-issue</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1014</v>
      </c>
      <c r="H5" s="55" t="s">
        <v>1015</v>
      </c>
      <c r="I5" s="55" t="s">
        <v>1016</v>
      </c>
      <c r="J5" s="55" t="s">
        <v>1017</v>
      </c>
      <c r="K5" s="55" t="s">
        <v>1018</v>
      </c>
      <c r="L5" s="55" t="s">
        <v>1019</v>
      </c>
      <c r="M5" s="55"/>
      <c r="N5" s="55"/>
    </row>
    <row r="6" spans="1:15" ht="15" customHeight="1" x14ac:dyDescent="0.2">
      <c r="A6" t="s">
        <v>891</v>
      </c>
      <c r="B6" t="b">
        <v>0</v>
      </c>
      <c r="E6" s="99"/>
      <c r="F6" s="61">
        <v>1</v>
      </c>
      <c r="G6" s="55">
        <v>5.4</v>
      </c>
      <c r="H6" s="55">
        <v>4.7</v>
      </c>
      <c r="I6" s="55">
        <v>3.1</v>
      </c>
      <c r="J6" s="55">
        <v>14.6</v>
      </c>
      <c r="K6" s="59">
        <v>16</v>
      </c>
      <c r="L6" s="55">
        <v>21.4</v>
      </c>
      <c r="N6" s="14"/>
    </row>
    <row r="7" spans="1:15" ht="15.75" customHeight="1" x14ac:dyDescent="0.2">
      <c r="E7" s="99"/>
      <c r="F7" s="61">
        <v>2</v>
      </c>
      <c r="G7" s="55">
        <v>2.2999999999999998</v>
      </c>
      <c r="H7" s="55">
        <v>6.2</v>
      </c>
      <c r="I7" s="55">
        <v>6.3</v>
      </c>
      <c r="J7" s="55">
        <v>16.2</v>
      </c>
      <c r="K7" s="55">
        <v>19.899999999999999</v>
      </c>
      <c r="L7" s="54">
        <v>16</v>
      </c>
      <c r="N7" s="14"/>
    </row>
    <row r="8" spans="1:15" x14ac:dyDescent="0.2">
      <c r="E8" s="99"/>
      <c r="F8" s="61">
        <v>3</v>
      </c>
      <c r="G8" s="59">
        <v>16.3</v>
      </c>
      <c r="H8" s="55">
        <v>22.5</v>
      </c>
      <c r="I8" s="59">
        <v>18</v>
      </c>
      <c r="J8" s="55">
        <v>28.5</v>
      </c>
      <c r="K8" s="55">
        <v>28.2</v>
      </c>
      <c r="L8" s="55">
        <v>30.5</v>
      </c>
      <c r="N8" s="14"/>
    </row>
    <row r="9" spans="1:15" x14ac:dyDescent="0.2">
      <c r="A9" s="98" t="s">
        <v>893</v>
      </c>
      <c r="B9" s="99"/>
      <c r="E9" s="99"/>
      <c r="F9" s="61">
        <v>4</v>
      </c>
      <c r="G9" s="55">
        <v>21.7</v>
      </c>
      <c r="H9" s="55">
        <v>27.1</v>
      </c>
      <c r="I9" s="55">
        <v>24.2</v>
      </c>
      <c r="J9" s="59">
        <v>20</v>
      </c>
      <c r="K9" s="55">
        <v>17.600000000000001</v>
      </c>
      <c r="L9" s="55">
        <v>18.3</v>
      </c>
    </row>
    <row r="10" spans="1:15" x14ac:dyDescent="0.2">
      <c r="A10" t="s">
        <v>894</v>
      </c>
      <c r="B10" t="s">
        <v>983</v>
      </c>
      <c r="E10" s="99"/>
      <c r="F10" s="61">
        <v>5</v>
      </c>
      <c r="G10" s="55">
        <v>54.3</v>
      </c>
      <c r="H10" s="59">
        <v>40</v>
      </c>
      <c r="I10" s="59">
        <v>48.4</v>
      </c>
      <c r="J10" s="55">
        <v>20.8</v>
      </c>
      <c r="K10" s="55">
        <v>18.3</v>
      </c>
      <c r="L10" s="55">
        <v>13.7</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73F84744-256E-4433-A66D-15A561993F8F}">
      <formula1>"True,False"</formula1>
    </dataValidation>
    <dataValidation type="list" allowBlank="1" showInputMessage="1" showErrorMessage="1" sqref="B2" xr:uid="{F66EF388-C1F9-4CB8-8E5E-AA9EF71185A0}">
      <formula1>"Table,Figure,Both"</formula1>
    </dataValidation>
    <dataValidation type="list" allowBlank="1" showInputMessage="1" showErrorMessage="1" sqref="F4:O4" xr:uid="{A5046929-8AD7-42AA-AB2E-32C0EEE74D05}">
      <formula1>"integer, number, percent1"</formula1>
    </dataValidation>
    <dataValidation type="list" allowBlank="1" showInputMessage="1" showErrorMessage="1" sqref="B10" xr:uid="{BE64EFDD-B4D5-46C0-BDBA-C309CA9AE83B}">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48B5C9C-9D69-4174-B66A-A0FA280E3AAC}">
          <x14:formula1>
            <xm:f>Master!$F$2:$F$293</xm:f>
          </x14:formula1>
          <xm:sqref>B1:O1</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C477-A6BF-485E-A937-3BC1905419DD}">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305</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tbl-RC-impact-sdoh</v>
      </c>
    </row>
    <row r="4" spans="1:15" x14ac:dyDescent="0.2">
      <c r="A4" s="58" t="s">
        <v>6</v>
      </c>
      <c r="B4" t="str">
        <f>IF($B$1="","",_xlfn.XLOOKUP($B$1,Master!$F$2:$F$308,Master!$H$2:$H$308,""))</f>
        <v>fig-RC-impact-sdoh</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1021</v>
      </c>
      <c r="G5" s="55" t="s">
        <v>1022</v>
      </c>
      <c r="H5" s="55" t="s">
        <v>1023</v>
      </c>
      <c r="I5" s="55" t="s">
        <v>1024</v>
      </c>
      <c r="J5" s="55" t="s">
        <v>1025</v>
      </c>
      <c r="K5" s="55" t="s">
        <v>1026</v>
      </c>
      <c r="M5" s="55"/>
      <c r="N5" s="55"/>
    </row>
    <row r="6" spans="1:15" ht="15" customHeight="1" x14ac:dyDescent="0.2">
      <c r="A6" t="s">
        <v>891</v>
      </c>
      <c r="B6" t="b">
        <v>0</v>
      </c>
      <c r="E6" s="99"/>
      <c r="F6" s="55">
        <v>79.7</v>
      </c>
      <c r="G6" s="55">
        <v>70.3</v>
      </c>
      <c r="H6" s="59">
        <v>68.8</v>
      </c>
      <c r="I6" s="55">
        <v>46.9</v>
      </c>
      <c r="J6" s="55">
        <v>17.2</v>
      </c>
      <c r="K6" s="55">
        <v>17.2</v>
      </c>
      <c r="N6" s="14"/>
    </row>
    <row r="7" spans="1:15" ht="15.75" customHeight="1" x14ac:dyDescent="0.2">
      <c r="E7" s="99"/>
      <c r="F7" s="55"/>
      <c r="G7" s="55"/>
      <c r="H7" s="55"/>
      <c r="I7" s="55"/>
      <c r="J7" s="55"/>
      <c r="K7" s="55"/>
      <c r="N7" s="14"/>
    </row>
    <row r="8" spans="1:15" x14ac:dyDescent="0.2">
      <c r="E8" s="99"/>
      <c r="F8" s="59"/>
      <c r="G8" s="55"/>
      <c r="H8" s="55"/>
      <c r="I8" s="55"/>
      <c r="J8" s="55"/>
      <c r="K8" s="55"/>
      <c r="N8" s="14"/>
    </row>
    <row r="9" spans="1:15" x14ac:dyDescent="0.2">
      <c r="A9" s="98" t="s">
        <v>893</v>
      </c>
      <c r="B9" s="99"/>
      <c r="E9" s="99"/>
      <c r="F9" s="55"/>
      <c r="G9" s="55"/>
      <c r="H9" s="55"/>
      <c r="I9" s="55"/>
      <c r="J9" s="55"/>
      <c r="K9" s="55"/>
    </row>
    <row r="10" spans="1:15" x14ac:dyDescent="0.2">
      <c r="A10" t="s">
        <v>894</v>
      </c>
      <c r="B10" t="s">
        <v>1002</v>
      </c>
      <c r="E10" s="99"/>
      <c r="F10" s="55"/>
      <c r="G10" s="59"/>
      <c r="H10" s="59"/>
      <c r="I10" s="55"/>
      <c r="J10" s="55"/>
      <c r="K10" s="55"/>
    </row>
    <row r="11" spans="1:15" x14ac:dyDescent="0.2">
      <c r="A11" t="s">
        <v>895</v>
      </c>
      <c r="B11" t="s">
        <v>985</v>
      </c>
      <c r="E11" s="99"/>
      <c r="F11" s="55"/>
      <c r="H11" s="55"/>
      <c r="I11" s="55"/>
      <c r="J11" s="55"/>
      <c r="K11" s="55"/>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17BE8395-C850-4048-B52D-47EA15BE5DAE}">
      <formula1>"True,False"</formula1>
    </dataValidation>
    <dataValidation type="list" allowBlank="1" showInputMessage="1" showErrorMessage="1" sqref="B2" xr:uid="{74D00AF4-298E-498F-BCA1-6C7ED484AB85}">
      <formula1>"Table,Figure,Both"</formula1>
    </dataValidation>
    <dataValidation type="list" allowBlank="1" showInputMessage="1" showErrorMessage="1" sqref="F4:O4" xr:uid="{B8BE82CB-BDB3-45F6-9267-6B874FDBFA0F}">
      <formula1>"integer, number, percent1"</formula1>
    </dataValidation>
    <dataValidation type="list" allowBlank="1" showInputMessage="1" showErrorMessage="1" sqref="B10" xr:uid="{2539862E-4C30-4824-B635-DE865FFAE810}">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FF296E8-8B0A-4337-9916-AA0CEFE3DDA2}">
          <x14:formula1>
            <xm:f>Master!$F$2:$F$293</xm:f>
          </x14:formula1>
          <xm:sqref>B1:O1</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2688-E740-4436-A76F-97967ECE820F}">
  <dimension ref="A1:O57"/>
  <sheetViews>
    <sheetView workbookViewId="0">
      <selection activeCell="M40" sqref="M40"/>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309</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tbl-RC-eco-wellbeing</v>
      </c>
    </row>
    <row r="4" spans="1:15" x14ac:dyDescent="0.2">
      <c r="A4" s="58" t="s">
        <v>6</v>
      </c>
      <c r="B4" t="str">
        <f>IF($B$1="","",_xlfn.XLOOKUP($B$1,Master!$F$2:$F$308,Master!$H$2:$H$308,""))</f>
        <v>fig-RC-eco-wellbeing</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s="55" t="s">
        <v>1027</v>
      </c>
      <c r="H5" s="55" t="s">
        <v>1028</v>
      </c>
      <c r="I5" s="55" t="s">
        <v>1029</v>
      </c>
      <c r="J5" s="55" t="s">
        <v>1030</v>
      </c>
      <c r="K5" s="55"/>
      <c r="L5" s="55"/>
      <c r="M5" s="55"/>
      <c r="N5" s="55"/>
    </row>
    <row r="6" spans="1:15" ht="15" customHeight="1" x14ac:dyDescent="0.2">
      <c r="A6" t="s">
        <v>891</v>
      </c>
      <c r="B6" t="b">
        <v>0</v>
      </c>
      <c r="E6" s="99"/>
      <c r="F6" s="61">
        <v>1</v>
      </c>
      <c r="G6" s="59">
        <v>2.4</v>
      </c>
      <c r="H6" s="59">
        <v>3.3</v>
      </c>
      <c r="I6" s="59">
        <v>6.4</v>
      </c>
      <c r="J6" s="59">
        <v>2.4</v>
      </c>
      <c r="N6" s="14"/>
    </row>
    <row r="7" spans="1:15" ht="15.75" customHeight="1" x14ac:dyDescent="0.2">
      <c r="E7" s="99"/>
      <c r="F7" s="61">
        <v>2</v>
      </c>
      <c r="G7" s="59">
        <v>6.3</v>
      </c>
      <c r="H7" s="59">
        <v>12.2</v>
      </c>
      <c r="I7" s="59">
        <v>14.4</v>
      </c>
      <c r="J7" s="59">
        <v>9.5</v>
      </c>
      <c r="N7" s="14"/>
    </row>
    <row r="8" spans="1:15" x14ac:dyDescent="0.2">
      <c r="E8" s="99"/>
      <c r="F8" s="61">
        <v>3</v>
      </c>
      <c r="G8" s="59">
        <v>22.1</v>
      </c>
      <c r="H8" s="59">
        <v>26.8</v>
      </c>
      <c r="I8" s="59">
        <v>23.2</v>
      </c>
      <c r="J8" s="59">
        <v>19.8</v>
      </c>
      <c r="N8" s="14"/>
    </row>
    <row r="9" spans="1:15" x14ac:dyDescent="0.2">
      <c r="A9" s="98" t="s">
        <v>893</v>
      </c>
      <c r="B9" s="99"/>
      <c r="E9" s="99"/>
      <c r="F9" s="61">
        <v>4</v>
      </c>
      <c r="G9" s="59">
        <v>21.3</v>
      </c>
      <c r="H9" s="59">
        <v>30.9</v>
      </c>
      <c r="I9" s="59">
        <v>28</v>
      </c>
      <c r="J9" s="59">
        <v>23.8</v>
      </c>
    </row>
    <row r="10" spans="1:15" x14ac:dyDescent="0.2">
      <c r="A10" t="s">
        <v>894</v>
      </c>
      <c r="B10" t="s">
        <v>983</v>
      </c>
      <c r="E10" s="99"/>
      <c r="F10" s="61">
        <v>5</v>
      </c>
      <c r="G10" s="59">
        <v>48</v>
      </c>
      <c r="H10" s="59">
        <v>26.8</v>
      </c>
      <c r="I10" s="59">
        <v>28</v>
      </c>
      <c r="J10" s="59">
        <v>44.4</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E8631A0A-3DED-46CE-8BC2-282D89DA9663}">
      <formula1>"integer, number, percent1"</formula1>
    </dataValidation>
    <dataValidation type="list" allowBlank="1" showInputMessage="1" showErrorMessage="1" sqref="B2" xr:uid="{60CC7530-D04E-45E9-8683-D18F34B54641}">
      <formula1>"Table,Figure,Both"</formula1>
    </dataValidation>
    <dataValidation type="list" allowBlank="1" showInputMessage="1" showErrorMessage="1" sqref="B6 B15" xr:uid="{D5670773-26BB-4487-9A03-38886EF079CD}">
      <formula1>"True,False"</formula1>
    </dataValidation>
    <dataValidation type="list" allowBlank="1" showInputMessage="1" showErrorMessage="1" sqref="B10" xr:uid="{69BC997F-D733-4008-9A48-55F2ED2AAD09}">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47EC298-A2C7-4522-8EF0-CFF913B8B19C}">
          <x14:formula1>
            <xm:f>Master!$F$2:$F$293</xm:f>
          </x14:formula1>
          <xm:sqref>B1:O1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1D0A-60B2-4D9D-BD1C-7F9F0CC6FB03}">
  <dimension ref="A1:O57"/>
  <sheetViews>
    <sheetView workbookViewId="0">
      <selection activeCell="J26" sqref="J26"/>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313</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tbl-RC-impact-mhsu</v>
      </c>
    </row>
    <row r="4" spans="1:15" x14ac:dyDescent="0.2">
      <c r="A4" s="58" t="s">
        <v>6</v>
      </c>
      <c r="B4" t="str">
        <f>IF($B$1="","",_xlfn.XLOOKUP($B$1,Master!$F$2:$F$308,Master!$H$2:$H$308,""))</f>
        <v>fig-RC-impact-mhsu</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1031</v>
      </c>
      <c r="H5" s="55" t="s">
        <v>1032</v>
      </c>
      <c r="I5" s="55" t="s">
        <v>1033</v>
      </c>
      <c r="J5" s="55" t="s">
        <v>1034</v>
      </c>
      <c r="K5" s="55" t="s">
        <v>1035</v>
      </c>
      <c r="L5" s="55" t="s">
        <v>1036</v>
      </c>
      <c r="M5" s="55"/>
      <c r="N5" s="55"/>
    </row>
    <row r="6" spans="1:15" ht="15" customHeight="1" x14ac:dyDescent="0.2">
      <c r="A6" t="s">
        <v>891</v>
      </c>
      <c r="B6" t="b">
        <v>0</v>
      </c>
      <c r="E6" s="99"/>
      <c r="F6" s="61">
        <v>1</v>
      </c>
      <c r="G6" s="59">
        <v>0.8</v>
      </c>
      <c r="H6" s="59">
        <v>18.7</v>
      </c>
      <c r="I6" s="59">
        <v>1.6</v>
      </c>
      <c r="J6" s="59">
        <v>11.4</v>
      </c>
      <c r="K6" s="59">
        <v>12.2</v>
      </c>
      <c r="L6" s="59">
        <v>3.2</v>
      </c>
      <c r="N6" s="14"/>
    </row>
    <row r="7" spans="1:15" ht="15.75" customHeight="1" x14ac:dyDescent="0.2">
      <c r="E7" s="99"/>
      <c r="F7" s="61">
        <v>2</v>
      </c>
      <c r="G7" s="59">
        <v>2.4</v>
      </c>
      <c r="H7" s="59">
        <v>17.899999999999999</v>
      </c>
      <c r="I7" s="59">
        <v>5.7</v>
      </c>
      <c r="J7" s="59">
        <v>11.4</v>
      </c>
      <c r="K7" s="59">
        <v>10.6</v>
      </c>
      <c r="L7" s="59">
        <v>12.1</v>
      </c>
      <c r="N7" s="14"/>
    </row>
    <row r="8" spans="1:15" x14ac:dyDescent="0.2">
      <c r="E8" s="99"/>
      <c r="F8" s="61">
        <v>3</v>
      </c>
      <c r="G8" s="59">
        <v>15.2</v>
      </c>
      <c r="H8" s="59">
        <v>30.9</v>
      </c>
      <c r="I8" s="59">
        <v>24.4</v>
      </c>
      <c r="J8" s="59">
        <v>24.4</v>
      </c>
      <c r="K8" s="59">
        <v>23.6</v>
      </c>
      <c r="L8" s="59">
        <v>21.8</v>
      </c>
      <c r="N8" s="14"/>
    </row>
    <row r="9" spans="1:15" x14ac:dyDescent="0.2">
      <c r="A9" s="98" t="s">
        <v>893</v>
      </c>
      <c r="B9" s="99"/>
      <c r="E9" s="99"/>
      <c r="F9" s="61">
        <v>4</v>
      </c>
      <c r="G9" s="59">
        <v>20</v>
      </c>
      <c r="H9" s="59">
        <v>19.5</v>
      </c>
      <c r="I9" s="59">
        <v>28.5</v>
      </c>
      <c r="J9" s="59">
        <v>22</v>
      </c>
      <c r="K9" s="59">
        <v>28.5</v>
      </c>
      <c r="L9" s="59">
        <v>29</v>
      </c>
    </row>
    <row r="10" spans="1:15" x14ac:dyDescent="0.2">
      <c r="A10" t="s">
        <v>894</v>
      </c>
      <c r="B10" t="s">
        <v>983</v>
      </c>
      <c r="E10" s="99"/>
      <c r="F10" s="61">
        <v>5</v>
      </c>
      <c r="G10" s="59">
        <v>61.6</v>
      </c>
      <c r="H10" s="59">
        <v>13</v>
      </c>
      <c r="I10" s="59">
        <v>39.799999999999997</v>
      </c>
      <c r="J10" s="59">
        <v>30.9</v>
      </c>
      <c r="K10" s="59">
        <v>25.2</v>
      </c>
      <c r="L10" s="59">
        <v>33.9</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2282A9C6-A2D7-4218-9ECD-27A8757514D8}">
      <formula1>"True,False"</formula1>
    </dataValidation>
    <dataValidation type="list" allowBlank="1" showInputMessage="1" showErrorMessage="1" sqref="B2" xr:uid="{E27390C1-3404-4E12-81D6-C83BB8991FB0}">
      <formula1>"Table,Figure,Both"</formula1>
    </dataValidation>
    <dataValidation type="list" allowBlank="1" showInputMessage="1" showErrorMessage="1" sqref="F4:O4" xr:uid="{E1BD137B-CC97-4F47-A6CF-3240B0E73289}">
      <formula1>"integer, number, percent1"</formula1>
    </dataValidation>
    <dataValidation type="list" allowBlank="1" showInputMessage="1" showErrorMessage="1" sqref="B10" xr:uid="{1D0E464F-A003-4D5F-B266-C32D75675CAF}">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3A7809C-73BC-47E4-9380-17C6250E1BF2}">
          <x14:formula1>
            <xm:f>Master!$F$2:$F$293</xm:f>
          </x14:formula1>
          <xm:sqref>B1:O1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62EE0-9479-4886-93C2-D35F29737C76}">
  <dimension ref="A1:O57"/>
  <sheetViews>
    <sheetView workbookViewId="0">
      <selection activeCell="K19" sqref="K19"/>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317</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tbl-RC-impact-hlthinsur-access</v>
      </c>
    </row>
    <row r="4" spans="1:15" x14ac:dyDescent="0.2">
      <c r="A4" s="58" t="s">
        <v>6</v>
      </c>
      <c r="B4" t="str">
        <f>IF($B$1="","",_xlfn.XLOOKUP($B$1,Master!$F$2:$F$308,Master!$H$2:$H$308,""))</f>
        <v>fig-RC-impact-hlthinsur-access</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t="s">
        <v>1037</v>
      </c>
      <c r="H5" t="s">
        <v>1038</v>
      </c>
      <c r="I5" t="s">
        <v>1039</v>
      </c>
      <c r="J5" t="s">
        <v>1040</v>
      </c>
      <c r="K5" s="55"/>
      <c r="L5" s="55"/>
      <c r="M5" s="55"/>
      <c r="N5" s="55"/>
    </row>
    <row r="6" spans="1:15" ht="15" customHeight="1" x14ac:dyDescent="0.2">
      <c r="A6" t="s">
        <v>891</v>
      </c>
      <c r="B6" t="b">
        <v>0</v>
      </c>
      <c r="E6" s="99"/>
      <c r="F6">
        <v>1</v>
      </c>
      <c r="G6" s="14">
        <v>23.6</v>
      </c>
      <c r="H6" s="14">
        <v>27.6</v>
      </c>
      <c r="I6" s="14">
        <v>8.1</v>
      </c>
      <c r="J6" s="14">
        <v>9.8000000000000007</v>
      </c>
      <c r="N6" s="14"/>
    </row>
    <row r="7" spans="1:15" ht="15.75" customHeight="1" x14ac:dyDescent="0.2">
      <c r="E7" s="99"/>
      <c r="F7">
        <v>2</v>
      </c>
      <c r="G7" s="14">
        <v>15.5</v>
      </c>
      <c r="H7" s="14">
        <v>17.899999999999999</v>
      </c>
      <c r="I7" s="14">
        <v>7.3</v>
      </c>
      <c r="J7" s="14">
        <v>7.4</v>
      </c>
      <c r="N7" s="14"/>
    </row>
    <row r="8" spans="1:15" x14ac:dyDescent="0.2">
      <c r="E8" s="99"/>
      <c r="F8">
        <v>3</v>
      </c>
      <c r="G8" s="14">
        <v>26.8</v>
      </c>
      <c r="H8" s="14">
        <v>28.5</v>
      </c>
      <c r="I8" s="14">
        <v>23.6</v>
      </c>
      <c r="J8" s="14">
        <v>28.7</v>
      </c>
      <c r="N8" s="14"/>
    </row>
    <row r="9" spans="1:15" x14ac:dyDescent="0.2">
      <c r="A9" s="98" t="s">
        <v>893</v>
      </c>
      <c r="B9" s="99"/>
      <c r="E9" s="99"/>
      <c r="F9">
        <v>4</v>
      </c>
      <c r="G9" s="14">
        <v>16.3</v>
      </c>
      <c r="H9" s="14">
        <v>11.4</v>
      </c>
      <c r="I9" s="14">
        <v>25.2</v>
      </c>
      <c r="J9" s="14">
        <v>22.1</v>
      </c>
    </row>
    <row r="10" spans="1:15" x14ac:dyDescent="0.2">
      <c r="A10" t="s">
        <v>894</v>
      </c>
      <c r="B10" t="s">
        <v>983</v>
      </c>
      <c r="E10" s="99"/>
      <c r="F10">
        <v>5</v>
      </c>
      <c r="G10" s="14">
        <v>17.899999999999999</v>
      </c>
      <c r="H10" s="14">
        <v>14.6</v>
      </c>
      <c r="I10" s="14">
        <v>35.799999999999997</v>
      </c>
      <c r="J10" s="14">
        <v>32</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5A488B99-EDD8-4A6A-A947-B82FCA13B5A7}">
      <formula1>"integer, number, percent1"</formula1>
    </dataValidation>
    <dataValidation type="list" allowBlank="1" showInputMessage="1" showErrorMessage="1" sqref="B2" xr:uid="{B9E3120B-0A9A-4148-A368-D459BBB4390E}">
      <formula1>"Table,Figure,Both"</formula1>
    </dataValidation>
    <dataValidation type="list" allowBlank="1" showInputMessage="1" showErrorMessage="1" sqref="B6 B15" xr:uid="{47BA312D-F33A-41DC-B9E7-8363B74027D3}">
      <formula1>"True,False"</formula1>
    </dataValidation>
    <dataValidation type="list" allowBlank="1" showInputMessage="1" showErrorMessage="1" sqref="B10" xr:uid="{D7D02C88-87D6-448F-AB54-B56167F5EFC4}">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B7E040D-358A-4F08-8654-327AD86FEF51}">
          <x14:formula1>
            <xm:f>Master!$F$2:$F$293</xm:f>
          </x14:formula1>
          <xm:sqref>B1:O1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56D1-71CE-4080-825B-527EFE420A35}">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321</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tbl-SC-affect-health</v>
      </c>
    </row>
    <row r="4" spans="1:15" x14ac:dyDescent="0.2">
      <c r="A4" s="58" t="s">
        <v>6</v>
      </c>
      <c r="B4" t="str">
        <f>IF($B$1="","",_xlfn.XLOOKUP($B$1,Master!$F$2:$F$308,Master!$H$2:$H$308,""))</f>
        <v>fig-SC-affect-health</v>
      </c>
      <c r="E4" s="13"/>
      <c r="F4" s="16" t="s">
        <v>679</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55" t="s">
        <v>993</v>
      </c>
      <c r="G5" s="55" t="s">
        <v>994</v>
      </c>
      <c r="H5" s="55" t="s">
        <v>996</v>
      </c>
      <c r="I5" s="55" t="s">
        <v>992</v>
      </c>
      <c r="J5" s="55" t="s">
        <v>995</v>
      </c>
      <c r="K5" s="55" t="s">
        <v>997</v>
      </c>
      <c r="L5" s="55" t="s">
        <v>998</v>
      </c>
      <c r="M5" s="55" t="s">
        <v>1000</v>
      </c>
      <c r="N5" s="55" t="s">
        <v>999</v>
      </c>
      <c r="O5" s="55" t="s">
        <v>1001</v>
      </c>
    </row>
    <row r="6" spans="1:15" ht="15" customHeight="1" x14ac:dyDescent="0.2">
      <c r="A6" t="s">
        <v>891</v>
      </c>
      <c r="B6" t="b">
        <v>0</v>
      </c>
      <c r="E6" s="99"/>
      <c r="F6" s="59">
        <v>49</v>
      </c>
      <c r="G6" s="59">
        <v>48</v>
      </c>
      <c r="H6" s="59">
        <v>45.1</v>
      </c>
      <c r="I6" s="59">
        <v>40.200000000000003</v>
      </c>
      <c r="J6" s="59">
        <v>38.200000000000003</v>
      </c>
      <c r="K6" s="59">
        <v>32.4</v>
      </c>
      <c r="L6" s="59">
        <v>23.5</v>
      </c>
      <c r="M6" s="59">
        <v>14.7</v>
      </c>
      <c r="N6" s="59">
        <v>8.8000000000000007</v>
      </c>
      <c r="O6" s="59">
        <v>0</v>
      </c>
    </row>
    <row r="7" spans="1:15" ht="15.75" customHeight="1" x14ac:dyDescent="0.2">
      <c r="E7" s="99"/>
    </row>
    <row r="8" spans="1:15" x14ac:dyDescent="0.2">
      <c r="E8" s="99"/>
      <c r="G8" s="14"/>
    </row>
    <row r="9" spans="1:15" x14ac:dyDescent="0.2">
      <c r="A9" s="98" t="s">
        <v>893</v>
      </c>
      <c r="B9" s="99"/>
      <c r="E9" s="99"/>
    </row>
    <row r="10" spans="1:15" x14ac:dyDescent="0.2">
      <c r="A10" t="s">
        <v>894</v>
      </c>
      <c r="B10" t="s">
        <v>1002</v>
      </c>
      <c r="E10" s="99"/>
      <c r="H10" s="14"/>
      <c r="I10" s="14"/>
    </row>
    <row r="11" spans="1:15" x14ac:dyDescent="0.2">
      <c r="A11" t="s">
        <v>895</v>
      </c>
      <c r="B11" t="s">
        <v>985</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B9D79E38-7C05-4907-8FA9-7B4F05457B1C}">
      <formula1>"integer, number, percent1"</formula1>
    </dataValidation>
    <dataValidation type="list" allowBlank="1" showInputMessage="1" showErrorMessage="1" sqref="B2" xr:uid="{28C72274-87DD-4ECF-A1AF-0AB224EBC852}">
      <formula1>"Table,Figure,Both"</formula1>
    </dataValidation>
    <dataValidation type="list" allowBlank="1" showInputMessage="1" showErrorMessage="1" sqref="B6 B15" xr:uid="{886E7DA2-22D5-407F-A6B1-880D61E3FF5B}">
      <formula1>"True,False"</formula1>
    </dataValidation>
    <dataValidation type="list" allowBlank="1" showInputMessage="1" showErrorMessage="1" sqref="B10" xr:uid="{8335021F-431E-4C7B-B8B1-39A511220B28}">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4F93FB2-A48D-4EE7-82C2-054192948CFD}">
          <x14:formula1>
            <xm:f>Master!$F$2:$F$293</xm:f>
          </x14:formula1>
          <xm:sqref>B1:O1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A4C9D-1C99-4149-8607-6137DA0146A9}">
  <dimension ref="A1:Q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7" x14ac:dyDescent="0.2">
      <c r="A1" s="58" t="s">
        <v>882</v>
      </c>
      <c r="B1" s="96" t="s">
        <v>325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tbl-SC-achieve-health</v>
      </c>
    </row>
    <row r="4" spans="1:17" x14ac:dyDescent="0.2">
      <c r="A4" s="58" t="s">
        <v>6</v>
      </c>
      <c r="B4" t="str">
        <f>IF($B$1="","",_xlfn.XLOOKUP($B$1,Master!$F$2:$F$308,Master!$H$2:$H$308,""))</f>
        <v>fig-SC-achieve-health</v>
      </c>
      <c r="E4" s="13"/>
      <c r="F4" s="16" t="s">
        <v>679</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1003</v>
      </c>
      <c r="G5" t="s">
        <v>1119</v>
      </c>
      <c r="H5" t="s">
        <v>1004</v>
      </c>
      <c r="I5" t="s">
        <v>1008</v>
      </c>
      <c r="J5" t="s">
        <v>1006</v>
      </c>
      <c r="K5" t="s">
        <v>1007</v>
      </c>
      <c r="L5" t="s">
        <v>728</v>
      </c>
      <c r="M5" t="s">
        <v>1012</v>
      </c>
      <c r="N5" t="s">
        <v>1011</v>
      </c>
      <c r="O5" t="s">
        <v>1010</v>
      </c>
      <c r="P5" t="s">
        <v>1013</v>
      </c>
      <c r="Q5" t="s">
        <v>1009</v>
      </c>
    </row>
    <row r="6" spans="1:17" ht="15" customHeight="1" x14ac:dyDescent="0.2">
      <c r="A6" t="s">
        <v>891</v>
      </c>
      <c r="B6" t="b">
        <v>0</v>
      </c>
      <c r="E6" s="99"/>
      <c r="F6" s="14">
        <v>62.8</v>
      </c>
      <c r="G6" s="14">
        <v>48</v>
      </c>
      <c r="H6" s="14">
        <v>44.1</v>
      </c>
      <c r="I6" s="14">
        <v>36.299999999999997</v>
      </c>
      <c r="J6" s="14">
        <v>59.4</v>
      </c>
      <c r="K6" s="14">
        <v>22.6</v>
      </c>
      <c r="L6" s="14">
        <v>21.6</v>
      </c>
      <c r="M6" s="14">
        <v>10.8</v>
      </c>
      <c r="N6" s="14">
        <v>8.8000000000000007</v>
      </c>
      <c r="O6" s="14">
        <v>5.9</v>
      </c>
      <c r="P6" s="14">
        <v>4.9000000000000004</v>
      </c>
      <c r="Q6" s="14">
        <v>4.9000000000000004</v>
      </c>
    </row>
    <row r="7" spans="1:17" ht="15.75" customHeight="1" x14ac:dyDescent="0.2">
      <c r="E7" s="99"/>
      <c r="N7" s="14"/>
    </row>
    <row r="8" spans="1:17" x14ac:dyDescent="0.2">
      <c r="E8" s="99"/>
      <c r="N8" s="14"/>
    </row>
    <row r="9" spans="1:17" x14ac:dyDescent="0.2">
      <c r="A9" s="98" t="s">
        <v>893</v>
      </c>
      <c r="B9" s="99"/>
      <c r="E9" s="99"/>
    </row>
    <row r="10" spans="1:17" x14ac:dyDescent="0.2">
      <c r="A10" t="s">
        <v>894</v>
      </c>
      <c r="B10" t="s">
        <v>1002</v>
      </c>
      <c r="E10" s="99"/>
      <c r="H10" s="14"/>
      <c r="I10" s="14"/>
    </row>
    <row r="11" spans="1:17" x14ac:dyDescent="0.2">
      <c r="A11" t="s">
        <v>895</v>
      </c>
      <c r="B11" t="s">
        <v>985</v>
      </c>
      <c r="E11" s="99"/>
    </row>
    <row r="12" spans="1:17" x14ac:dyDescent="0.2">
      <c r="A12" t="s">
        <v>896</v>
      </c>
      <c r="E12" s="99"/>
    </row>
    <row r="13" spans="1:17" x14ac:dyDescent="0.2">
      <c r="A13" t="s">
        <v>897</v>
      </c>
      <c r="E13" s="99"/>
    </row>
    <row r="14" spans="1:17" x14ac:dyDescent="0.2">
      <c r="A14" t="s">
        <v>899</v>
      </c>
      <c r="B14" t="s">
        <v>694</v>
      </c>
      <c r="E14" s="99"/>
    </row>
    <row r="15" spans="1:17" x14ac:dyDescent="0.2">
      <c r="A15" t="s">
        <v>901</v>
      </c>
      <c r="B15" t="b">
        <v>1</v>
      </c>
      <c r="E15" s="99"/>
    </row>
    <row r="16" spans="1:17"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43FA96F8-104A-4985-8220-3FC2836EBF6B}">
      <formula1>"True,False"</formula1>
    </dataValidation>
    <dataValidation type="list" allowBlank="1" showInputMessage="1" showErrorMessage="1" sqref="B2" xr:uid="{F67A4DAB-0C8A-4C93-A40C-92A2882BD3F2}">
      <formula1>"Table,Figure,Both"</formula1>
    </dataValidation>
    <dataValidation type="list" allowBlank="1" showInputMessage="1" showErrorMessage="1" sqref="F4:Q4" xr:uid="{B225BFB4-F264-431C-A84D-C8DB8CB20A38}">
      <formula1>"integer, number, percent1"</formula1>
    </dataValidation>
    <dataValidation type="list" allowBlank="1" showInputMessage="1" showErrorMessage="1" sqref="B10" xr:uid="{4CA52984-2F33-48F7-8694-91B167A98E88}">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B3D2CE1-9E05-41B8-9A29-232A0FE6EF49}">
          <x14:formula1>
            <xm:f>Master!$F$2:$F$293</xm:f>
          </x14:formula1>
          <xm:sqref>B1:O1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8FE2-F4D9-460A-B97A-8D65A26054F7}">
  <dimension ref="A1:O57"/>
  <sheetViews>
    <sheetView workbookViewId="0">
      <selection activeCell="H27" sqref="H27"/>
    </sheetView>
  </sheetViews>
  <sheetFormatPr baseColWidth="10" defaultColWidth="8.6640625" defaultRowHeight="15" x14ac:dyDescent="0.2"/>
  <cols>
    <col min="1" max="1" width="20" bestFit="1" customWidth="1"/>
    <col min="2" max="2" width="16.6640625" customWidth="1"/>
    <col min="5" max="5" width="6.6640625" customWidth="1"/>
    <col min="6" max="6" width="18.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329</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tbl-SC-impact-hlth-issue</v>
      </c>
    </row>
    <row r="4" spans="1:15" x14ac:dyDescent="0.2">
      <c r="A4" s="58" t="s">
        <v>6</v>
      </c>
      <c r="B4" t="str">
        <f>IF($B$1="","",_xlfn.XLOOKUP($B$1,Master!$F$2:$F$308,Master!$H$2:$H$308,""))</f>
        <v>fig-SC-impact-hlth-issue</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1014</v>
      </c>
      <c r="H5" s="55" t="s">
        <v>1015</v>
      </c>
      <c r="I5" s="55" t="s">
        <v>1016</v>
      </c>
      <c r="J5" s="55" t="s">
        <v>1017</v>
      </c>
      <c r="K5" s="55" t="s">
        <v>1018</v>
      </c>
      <c r="L5" s="55" t="s">
        <v>1019</v>
      </c>
      <c r="M5" s="55"/>
      <c r="N5" s="55"/>
    </row>
    <row r="6" spans="1:15" ht="15" customHeight="1" x14ac:dyDescent="0.2">
      <c r="A6" t="s">
        <v>891</v>
      </c>
      <c r="B6" t="b">
        <v>0</v>
      </c>
      <c r="E6" s="99"/>
      <c r="F6" s="61">
        <v>1</v>
      </c>
      <c r="G6" s="55">
        <v>5.2</v>
      </c>
      <c r="H6" s="55">
        <v>3.1</v>
      </c>
      <c r="I6" s="55">
        <v>4.0999999999999996</v>
      </c>
      <c r="J6" s="55">
        <v>9.3000000000000007</v>
      </c>
      <c r="K6" s="55">
        <v>12.4</v>
      </c>
      <c r="L6" s="55">
        <v>17.399999999999999</v>
      </c>
      <c r="N6" s="14"/>
    </row>
    <row r="7" spans="1:15" ht="15.75" customHeight="1" x14ac:dyDescent="0.2">
      <c r="E7" s="99"/>
      <c r="F7" s="61">
        <v>2</v>
      </c>
      <c r="G7" s="55">
        <v>4.0999999999999996</v>
      </c>
      <c r="H7" s="55">
        <v>5.2</v>
      </c>
      <c r="I7" s="55">
        <v>6.2</v>
      </c>
      <c r="J7" s="55">
        <v>10.3</v>
      </c>
      <c r="K7" s="55">
        <v>19.600000000000001</v>
      </c>
      <c r="L7" s="55">
        <v>14.3</v>
      </c>
      <c r="N7" s="14"/>
    </row>
    <row r="8" spans="1:15" x14ac:dyDescent="0.2">
      <c r="E8" s="99"/>
      <c r="F8" s="61">
        <v>3</v>
      </c>
      <c r="G8" s="59">
        <v>14.4</v>
      </c>
      <c r="H8" s="55">
        <v>19.8</v>
      </c>
      <c r="I8" s="55">
        <v>13.4</v>
      </c>
      <c r="J8" s="55">
        <v>35.1</v>
      </c>
      <c r="K8" s="59">
        <v>32</v>
      </c>
      <c r="L8" s="59">
        <v>30</v>
      </c>
      <c r="N8" s="14"/>
    </row>
    <row r="9" spans="1:15" x14ac:dyDescent="0.2">
      <c r="A9" s="98" t="s">
        <v>893</v>
      </c>
      <c r="B9" s="99"/>
      <c r="E9" s="99"/>
      <c r="F9" s="61">
        <v>4</v>
      </c>
      <c r="G9" s="55">
        <v>19.600000000000001</v>
      </c>
      <c r="H9" s="55">
        <v>27.1</v>
      </c>
      <c r="I9" s="55">
        <v>19.600000000000001</v>
      </c>
      <c r="J9" s="55">
        <v>16.5</v>
      </c>
      <c r="K9" s="55">
        <v>14.4</v>
      </c>
      <c r="L9" s="55">
        <v>21.4</v>
      </c>
    </row>
    <row r="10" spans="1:15" x14ac:dyDescent="0.2">
      <c r="A10" t="s">
        <v>894</v>
      </c>
      <c r="B10" t="s">
        <v>983</v>
      </c>
      <c r="E10" s="99"/>
      <c r="F10" s="61">
        <v>5</v>
      </c>
      <c r="G10" s="55">
        <v>56.7</v>
      </c>
      <c r="H10" s="59">
        <v>44.8</v>
      </c>
      <c r="I10" s="59">
        <v>56.7</v>
      </c>
      <c r="J10" s="55">
        <v>28.9</v>
      </c>
      <c r="K10" s="55">
        <v>21.7</v>
      </c>
      <c r="L10" s="55">
        <v>17.399999999999999</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DA237FD5-634F-4422-BE79-672428ACFD4D}">
      <formula1>"integer, number, percent1"</formula1>
    </dataValidation>
    <dataValidation type="list" allowBlank="1" showInputMessage="1" showErrorMessage="1" sqref="B2" xr:uid="{959BF49D-4C8E-4D24-A819-D4E0CBD67377}">
      <formula1>"Table,Figure,Both"</formula1>
    </dataValidation>
    <dataValidation type="list" allowBlank="1" showInputMessage="1" showErrorMessage="1" sqref="B6 B15" xr:uid="{BD56117D-71BD-424D-B6A9-824F3AF581F1}">
      <formula1>"True,False"</formula1>
    </dataValidation>
    <dataValidation type="list" allowBlank="1" showInputMessage="1" showErrorMessage="1" sqref="B10" xr:uid="{16A22DD0-7E69-4425-914C-ED52444C0C0B}">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1935B57-C0B1-40AB-8783-66177FF6ED7A}">
          <x14:formula1>
            <xm:f>Master!$F$2:$F$293</xm:f>
          </x14:formula1>
          <xm:sqref>B1:O1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1BAF-0E08-4E78-95AD-D2B69196CC1D}">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333</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tbl-SC-impact-sdoh</v>
      </c>
    </row>
    <row r="4" spans="1:15" x14ac:dyDescent="0.2">
      <c r="A4" s="58" t="s">
        <v>6</v>
      </c>
      <c r="B4" t="str">
        <f>IF($B$1="","",_xlfn.XLOOKUP($B$1,Master!$F$2:$F$308,Master!$H$2:$H$308,""))</f>
        <v>fig-SC-impact-sdoh</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1022</v>
      </c>
      <c r="G5" s="55" t="s">
        <v>1021</v>
      </c>
      <c r="H5" s="55" t="s">
        <v>1023</v>
      </c>
      <c r="I5" s="55" t="s">
        <v>1024</v>
      </c>
      <c r="J5" s="55" t="s">
        <v>1025</v>
      </c>
      <c r="K5" s="55" t="s">
        <v>1026</v>
      </c>
      <c r="M5" s="55"/>
      <c r="N5" s="55"/>
    </row>
    <row r="6" spans="1:15" ht="15" customHeight="1" x14ac:dyDescent="0.2">
      <c r="A6" t="s">
        <v>891</v>
      </c>
      <c r="B6" t="b">
        <v>0</v>
      </c>
      <c r="E6" s="99"/>
      <c r="F6" s="55">
        <v>83.3</v>
      </c>
      <c r="G6" s="55">
        <v>80.2</v>
      </c>
      <c r="H6" s="59">
        <v>56.3</v>
      </c>
      <c r="I6" s="55">
        <v>44.8</v>
      </c>
      <c r="J6" s="55">
        <v>20.8</v>
      </c>
      <c r="K6" s="55">
        <v>14.6</v>
      </c>
      <c r="N6" s="14"/>
    </row>
    <row r="7" spans="1:15" ht="15.75" customHeight="1" x14ac:dyDescent="0.2">
      <c r="E7" s="99"/>
      <c r="G7" s="55"/>
      <c r="H7" s="55"/>
      <c r="I7" s="55"/>
      <c r="J7" s="55"/>
      <c r="K7" s="55"/>
      <c r="N7" s="14"/>
    </row>
    <row r="8" spans="1:15" x14ac:dyDescent="0.2">
      <c r="E8" s="99"/>
      <c r="G8" s="55"/>
      <c r="H8" s="55"/>
      <c r="I8" s="55"/>
      <c r="J8" s="55"/>
      <c r="K8" s="55"/>
      <c r="N8" s="14"/>
    </row>
    <row r="9" spans="1:15" x14ac:dyDescent="0.2">
      <c r="A9" s="98" t="s">
        <v>893</v>
      </c>
      <c r="B9" s="99"/>
      <c r="E9" s="99"/>
      <c r="F9" s="55"/>
      <c r="G9" s="55"/>
      <c r="H9" s="55"/>
      <c r="I9" s="55"/>
      <c r="J9" s="55"/>
      <c r="K9" s="55"/>
    </row>
    <row r="10" spans="1:15" x14ac:dyDescent="0.2">
      <c r="A10" t="s">
        <v>894</v>
      </c>
      <c r="B10" t="s">
        <v>1002</v>
      </c>
      <c r="E10" s="99"/>
      <c r="G10" s="59"/>
      <c r="H10" s="59"/>
      <c r="I10" s="55"/>
      <c r="J10" s="55"/>
      <c r="K10" s="55"/>
    </row>
    <row r="11" spans="1:15" x14ac:dyDescent="0.2">
      <c r="A11" t="s">
        <v>895</v>
      </c>
      <c r="B11" t="s">
        <v>985</v>
      </c>
      <c r="E11" s="99"/>
      <c r="G11" s="55"/>
      <c r="H11" s="55"/>
      <c r="I11" s="55"/>
      <c r="J11" s="55"/>
      <c r="K11" s="55"/>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3ED745B4-B1B4-4526-B203-110E02C4C505}">
      <formula1>"integer, number, percent1"</formula1>
    </dataValidation>
    <dataValidation type="list" allowBlank="1" showInputMessage="1" showErrorMessage="1" sqref="B2" xr:uid="{6FFED058-C2FC-4F10-9F7D-3620CD1B9F5D}">
      <formula1>"Table,Figure,Both"</formula1>
    </dataValidation>
    <dataValidation type="list" allowBlank="1" showInputMessage="1" showErrorMessage="1" sqref="B6 B15" xr:uid="{542046C3-EEBE-4E89-9231-4F189C5BAC9B}">
      <formula1>"True,False"</formula1>
    </dataValidation>
    <dataValidation type="list" allowBlank="1" showInputMessage="1" showErrorMessage="1" sqref="B10" xr:uid="{B0296DFB-E4F4-4A03-8624-06FDC1456C1A}">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0EF6722-8AF6-49CA-8697-229EBD009037}">
          <x14:formula1>
            <xm:f>Master!$F$2:$F$293</xm:f>
          </x14:formula1>
          <xm:sqref>B1:O1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C2C2-68D8-4295-AED2-D88DCA0A4C7F}">
  <dimension ref="A1:O57"/>
  <sheetViews>
    <sheetView workbookViewId="0">
      <selection activeCell="B11" sqref="B11: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337</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tbl-SC-eco-wellbeing</v>
      </c>
    </row>
    <row r="4" spans="1:15" x14ac:dyDescent="0.2">
      <c r="A4" s="58" t="s">
        <v>6</v>
      </c>
      <c r="B4" t="str">
        <f>IF($B$1="","",_xlfn.XLOOKUP($B$1,Master!$F$2:$F$308,Master!$H$2:$H$308,""))</f>
        <v>fig-SC-eco-wellbeing</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s="55" t="s">
        <v>1027</v>
      </c>
      <c r="H5" s="55" t="s">
        <v>1028</v>
      </c>
      <c r="I5" s="55" t="s">
        <v>1029</v>
      </c>
      <c r="J5" s="55" t="s">
        <v>1030</v>
      </c>
      <c r="K5" s="55"/>
      <c r="L5" s="55"/>
      <c r="M5" s="55"/>
      <c r="N5" s="55"/>
    </row>
    <row r="6" spans="1:15" ht="15" customHeight="1" x14ac:dyDescent="0.2">
      <c r="A6" t="s">
        <v>891</v>
      </c>
      <c r="B6" t="b">
        <v>0</v>
      </c>
      <c r="E6" s="99"/>
      <c r="F6" s="61">
        <v>1</v>
      </c>
      <c r="G6" s="59">
        <v>1.1000000000000001</v>
      </c>
      <c r="H6" s="59">
        <v>4.2</v>
      </c>
      <c r="I6" s="59">
        <v>2.1</v>
      </c>
      <c r="J6" s="59">
        <v>2.1</v>
      </c>
      <c r="N6" s="14"/>
    </row>
    <row r="7" spans="1:15" ht="15.75" customHeight="1" x14ac:dyDescent="0.2">
      <c r="E7" s="99"/>
      <c r="F7" s="61">
        <v>2</v>
      </c>
      <c r="G7" s="59">
        <v>5.3</v>
      </c>
      <c r="H7" s="59">
        <v>7.4</v>
      </c>
      <c r="I7" s="59">
        <v>5.3</v>
      </c>
      <c r="J7" s="59">
        <v>6.3</v>
      </c>
      <c r="N7" s="14"/>
    </row>
    <row r="8" spans="1:15" x14ac:dyDescent="0.2">
      <c r="E8" s="99"/>
      <c r="F8" s="61">
        <v>3</v>
      </c>
      <c r="G8" s="59">
        <v>20</v>
      </c>
      <c r="H8" s="59">
        <v>24.2</v>
      </c>
      <c r="I8" s="59">
        <v>31.9</v>
      </c>
      <c r="J8" s="59">
        <v>24.2</v>
      </c>
      <c r="N8" s="14"/>
    </row>
    <row r="9" spans="1:15" x14ac:dyDescent="0.2">
      <c r="A9" s="98" t="s">
        <v>893</v>
      </c>
      <c r="B9" s="99"/>
      <c r="E9" s="99"/>
      <c r="F9" s="61">
        <v>4</v>
      </c>
      <c r="G9" s="59">
        <v>16.8</v>
      </c>
      <c r="H9" s="59">
        <v>34.700000000000003</v>
      </c>
      <c r="I9" s="59">
        <v>24.5</v>
      </c>
      <c r="J9" s="59">
        <v>16.8</v>
      </c>
    </row>
    <row r="10" spans="1:15" x14ac:dyDescent="0.2">
      <c r="A10" t="s">
        <v>894</v>
      </c>
      <c r="B10" t="s">
        <v>983</v>
      </c>
      <c r="E10" s="99"/>
      <c r="F10" s="61">
        <v>5</v>
      </c>
      <c r="G10" s="59">
        <v>56.8</v>
      </c>
      <c r="H10" s="59">
        <v>29.5</v>
      </c>
      <c r="I10" s="59">
        <v>36.200000000000003</v>
      </c>
      <c r="J10" s="59">
        <v>50.5</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DE4584BC-CEDD-41C7-A886-265B4C506059}">
      <formula1>"True,False"</formula1>
    </dataValidation>
    <dataValidation type="list" allowBlank="1" showInputMessage="1" showErrorMessage="1" sqref="B2" xr:uid="{85F2C2CB-3A8C-4652-8FF0-CC752D46EEED}">
      <formula1>"Table,Figure,Both"</formula1>
    </dataValidation>
    <dataValidation type="list" allowBlank="1" showInputMessage="1" showErrorMessage="1" sqref="F4:O4" xr:uid="{29A02DB7-37CA-46EB-89A6-D60E0C07B943}">
      <formula1>"integer, number, percent1"</formula1>
    </dataValidation>
    <dataValidation type="list" allowBlank="1" showInputMessage="1" showErrorMessage="1" sqref="B10" xr:uid="{158D7B5B-4D9E-4684-986A-E1D26866A58A}">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93F0D0C-5278-4F7C-801B-0A9F413F12D6}">
          <x14:formula1>
            <xm:f>Master!$F$2:$F$293</xm:f>
          </x14:formula1>
          <xm:sqref>B1:O1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2F832-DAAB-4DA4-87DC-B8E5D47776BB}">
  <dimension ref="A1:O57"/>
  <sheetViews>
    <sheetView workbookViewId="0">
      <selection activeCell="B11" sqref="B11: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341</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tbl-SC-impact-mhsu</v>
      </c>
    </row>
    <row r="4" spans="1:15" x14ac:dyDescent="0.2">
      <c r="A4" s="58" t="s">
        <v>6</v>
      </c>
      <c r="B4" t="str">
        <f>IF($B$1="","",_xlfn.XLOOKUP($B$1,Master!$F$2:$F$308,Master!$H$2:$H$308,""))</f>
        <v>fig-SC-impact-mhsu</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1031</v>
      </c>
      <c r="H5" s="55" t="s">
        <v>1032</v>
      </c>
      <c r="I5" s="55" t="s">
        <v>1033</v>
      </c>
      <c r="J5" s="55" t="s">
        <v>1034</v>
      </c>
      <c r="K5" s="55" t="s">
        <v>1035</v>
      </c>
      <c r="L5" s="55" t="s">
        <v>1036</v>
      </c>
      <c r="M5" s="55"/>
      <c r="N5" s="55"/>
    </row>
    <row r="6" spans="1:15" ht="15" customHeight="1" x14ac:dyDescent="0.2">
      <c r="A6" t="s">
        <v>891</v>
      </c>
      <c r="B6" t="b">
        <v>0</v>
      </c>
      <c r="E6" s="99"/>
      <c r="F6" s="61">
        <v>1</v>
      </c>
      <c r="G6" s="51">
        <v>0</v>
      </c>
      <c r="H6" s="59">
        <v>10.9</v>
      </c>
      <c r="I6" s="51">
        <v>0</v>
      </c>
      <c r="J6" s="59">
        <v>5.5</v>
      </c>
      <c r="K6" s="59">
        <v>7.6</v>
      </c>
      <c r="L6" s="59">
        <v>3.2</v>
      </c>
      <c r="N6" s="14"/>
    </row>
    <row r="7" spans="1:15" ht="15.75" customHeight="1" x14ac:dyDescent="0.2">
      <c r="E7" s="99"/>
      <c r="F7" s="61">
        <v>2</v>
      </c>
      <c r="G7" s="59">
        <v>1.1000000000000001</v>
      </c>
      <c r="H7" s="59">
        <v>14.1</v>
      </c>
      <c r="I7" s="59">
        <v>6.5</v>
      </c>
      <c r="J7" s="59">
        <v>8.8000000000000007</v>
      </c>
      <c r="K7" s="59">
        <v>13</v>
      </c>
      <c r="L7" s="59">
        <v>7.5</v>
      </c>
      <c r="N7" s="14"/>
    </row>
    <row r="8" spans="1:15" x14ac:dyDescent="0.2">
      <c r="E8" s="99"/>
      <c r="F8" s="61">
        <v>3</v>
      </c>
      <c r="G8" s="59">
        <v>10.8</v>
      </c>
      <c r="H8" s="59">
        <v>32.6</v>
      </c>
      <c r="I8" s="59">
        <v>17.2</v>
      </c>
      <c r="J8" s="59">
        <v>22</v>
      </c>
      <c r="K8" s="59">
        <v>21.7</v>
      </c>
      <c r="L8" s="59">
        <v>18.3</v>
      </c>
      <c r="N8" s="14"/>
    </row>
    <row r="9" spans="1:15" x14ac:dyDescent="0.2">
      <c r="A9" s="98" t="s">
        <v>893</v>
      </c>
      <c r="B9" s="99"/>
      <c r="E9" s="99"/>
      <c r="F9" s="61">
        <v>4</v>
      </c>
      <c r="G9" s="59">
        <v>20.399999999999999</v>
      </c>
      <c r="H9" s="59">
        <v>27.2</v>
      </c>
      <c r="I9" s="59">
        <v>31.2</v>
      </c>
      <c r="J9" s="59">
        <v>24.2</v>
      </c>
      <c r="K9" s="59">
        <v>24</v>
      </c>
      <c r="L9" s="59">
        <v>33.299999999999997</v>
      </c>
    </row>
    <row r="10" spans="1:15" x14ac:dyDescent="0.2">
      <c r="A10" t="s">
        <v>894</v>
      </c>
      <c r="B10" t="s">
        <v>983</v>
      </c>
      <c r="E10" s="99"/>
      <c r="F10" s="61">
        <v>5</v>
      </c>
      <c r="G10" s="59">
        <v>67.7</v>
      </c>
      <c r="H10" s="59">
        <v>15.2</v>
      </c>
      <c r="I10" s="59">
        <v>45.2</v>
      </c>
      <c r="J10" s="59">
        <v>39.6</v>
      </c>
      <c r="K10" s="59">
        <v>33.700000000000003</v>
      </c>
      <c r="L10" s="59">
        <v>37.6</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F2F0AC6E-8B9D-4B9C-A0BE-8AAF9EA1A51C}">
      <formula1>"integer, number, percent1"</formula1>
    </dataValidation>
    <dataValidation type="list" allowBlank="1" showInputMessage="1" showErrorMessage="1" sqref="B2" xr:uid="{FF90E63B-EDAE-41A8-8A8C-E5FDDACAF856}">
      <formula1>"Table,Figure,Both"</formula1>
    </dataValidation>
    <dataValidation type="list" allowBlank="1" showInputMessage="1" showErrorMessage="1" sqref="B6 B15" xr:uid="{59F24348-6561-4EA4-A11B-7E3705717A07}">
      <formula1>"True,False"</formula1>
    </dataValidation>
    <dataValidation type="list" allowBlank="1" showInputMessage="1" showErrorMessage="1" sqref="B10" xr:uid="{F400A316-9C6A-4BF2-A222-8A5EADE647DE}">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76959C5-F102-49E6-8DB7-C78D8E033ACD}">
          <x14:formula1>
            <xm:f>Master!$F$2:$F$293</xm:f>
          </x14:formula1>
          <xm:sqref>B1:O1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24B48-3F3C-436D-A587-7A405751D2FA}">
  <dimension ref="A1:O57"/>
  <sheetViews>
    <sheetView workbookViewId="0">
      <selection activeCell="B11" sqref="B11: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345</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tbl-SC-impact-hlthinsur-access</v>
      </c>
    </row>
    <row r="4" spans="1:15" x14ac:dyDescent="0.2">
      <c r="A4" s="58" t="s">
        <v>6</v>
      </c>
      <c r="B4" t="str">
        <f>IF($B$1="","",_xlfn.XLOOKUP($B$1,Master!$F$2:$F$308,Master!$H$2:$H$308,""))</f>
        <v>fig-SC-impact-hlthinsur-access</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t="s">
        <v>1037</v>
      </c>
      <c r="H5" t="s">
        <v>1038</v>
      </c>
      <c r="I5" t="s">
        <v>1039</v>
      </c>
      <c r="J5" t="s">
        <v>1040</v>
      </c>
      <c r="K5" s="55"/>
      <c r="L5" s="55"/>
      <c r="M5" s="55"/>
      <c r="N5" s="55"/>
    </row>
    <row r="6" spans="1:15" ht="15" customHeight="1" x14ac:dyDescent="0.2">
      <c r="A6" t="s">
        <v>891</v>
      </c>
      <c r="B6" t="b">
        <v>0</v>
      </c>
      <c r="E6" s="99"/>
      <c r="F6">
        <v>1</v>
      </c>
      <c r="G6" s="14">
        <v>9.8000000000000007</v>
      </c>
      <c r="H6" s="14">
        <v>12</v>
      </c>
      <c r="I6" s="14">
        <v>1.1000000000000001</v>
      </c>
      <c r="J6" s="14">
        <v>5.4</v>
      </c>
      <c r="N6" s="14"/>
    </row>
    <row r="7" spans="1:15" ht="15.75" customHeight="1" x14ac:dyDescent="0.2">
      <c r="E7" s="99"/>
      <c r="F7">
        <v>2</v>
      </c>
      <c r="G7" s="14">
        <v>13</v>
      </c>
      <c r="H7" s="14">
        <v>19.600000000000001</v>
      </c>
      <c r="I7" s="14">
        <v>8.6999999999999993</v>
      </c>
      <c r="J7" s="14">
        <v>7.6</v>
      </c>
      <c r="N7" s="14"/>
    </row>
    <row r="8" spans="1:15" x14ac:dyDescent="0.2">
      <c r="E8" s="99"/>
      <c r="F8">
        <v>3</v>
      </c>
      <c r="G8" s="14">
        <v>35.9</v>
      </c>
      <c r="H8" s="14">
        <v>31.5</v>
      </c>
      <c r="I8" s="14">
        <v>20.7</v>
      </c>
      <c r="J8" s="14">
        <v>23.9</v>
      </c>
      <c r="N8" s="14"/>
    </row>
    <row r="9" spans="1:15" x14ac:dyDescent="0.2">
      <c r="A9" s="98" t="s">
        <v>893</v>
      </c>
      <c r="B9" s="99"/>
      <c r="E9" s="99"/>
      <c r="F9">
        <v>4</v>
      </c>
      <c r="G9" s="14">
        <v>25</v>
      </c>
      <c r="H9" s="14">
        <v>22.8</v>
      </c>
      <c r="I9" s="14">
        <v>31.5</v>
      </c>
      <c r="J9" s="14">
        <v>34.799999999999997</v>
      </c>
    </row>
    <row r="10" spans="1:15" x14ac:dyDescent="0.2">
      <c r="A10" t="s">
        <v>894</v>
      </c>
      <c r="B10" t="s">
        <v>983</v>
      </c>
      <c r="E10" s="99"/>
      <c r="F10">
        <v>5</v>
      </c>
      <c r="G10" s="14">
        <v>16.3</v>
      </c>
      <c r="H10" s="14">
        <v>14.1</v>
      </c>
      <c r="I10" s="14">
        <v>38</v>
      </c>
      <c r="J10" s="14">
        <v>28.3</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683F5DE7-DD6D-46D2-B68D-1A8CF082806A}">
      <formula1>"True,False"</formula1>
    </dataValidation>
    <dataValidation type="list" allowBlank="1" showInputMessage="1" showErrorMessage="1" sqref="B2" xr:uid="{F72C9C03-996F-4C21-A2B0-7DFAF944C647}">
      <formula1>"Table,Figure,Both"</formula1>
    </dataValidation>
    <dataValidation type="list" allowBlank="1" showInputMessage="1" showErrorMessage="1" sqref="F4:O4" xr:uid="{CC6AFD9B-61E1-46A4-956E-7D0A571250E9}">
      <formula1>"integer, number, percent1"</formula1>
    </dataValidation>
    <dataValidation type="list" allowBlank="1" showInputMessage="1" showErrorMessage="1" sqref="B10" xr:uid="{95E280BD-3C83-4DC6-9E60-E9E49DB2EC06}">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B854E40-BB1A-4188-9277-1E9385AD48BA}">
          <x14:formula1>
            <xm:f>Master!$F$2:$F$293</xm:f>
          </x14:formula1>
          <xm:sqref>B1:O1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E3DA-7C4C-4254-B93D-19628E37B1CA}">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349</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tbl-UC-affect-health</v>
      </c>
    </row>
    <row r="4" spans="1:15" x14ac:dyDescent="0.2">
      <c r="A4" s="58" t="s">
        <v>6</v>
      </c>
      <c r="B4" t="str">
        <f>IF($B$1="","",_xlfn.XLOOKUP($B$1,Master!$F$2:$F$308,Master!$H$2:$H$308,""))</f>
        <v>fig-UC-affect-health</v>
      </c>
      <c r="E4" s="13"/>
      <c r="F4" s="16" t="s">
        <v>679</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55" t="s">
        <v>994</v>
      </c>
      <c r="G5" s="55" t="s">
        <v>993</v>
      </c>
      <c r="H5" s="55" t="s">
        <v>995</v>
      </c>
      <c r="I5" t="s">
        <v>992</v>
      </c>
      <c r="J5" s="55" t="s">
        <v>996</v>
      </c>
      <c r="K5" s="55" t="s">
        <v>997</v>
      </c>
      <c r="L5" s="55" t="s">
        <v>998</v>
      </c>
      <c r="M5" s="55" t="s">
        <v>1000</v>
      </c>
      <c r="N5" s="55" t="s">
        <v>999</v>
      </c>
      <c r="O5" s="55" t="s">
        <v>1001</v>
      </c>
    </row>
    <row r="6" spans="1:15" ht="15" customHeight="1" x14ac:dyDescent="0.2">
      <c r="A6" t="s">
        <v>891</v>
      </c>
      <c r="B6" t="b">
        <v>0</v>
      </c>
      <c r="E6" s="99"/>
      <c r="F6" s="59">
        <v>52.1</v>
      </c>
      <c r="G6" s="59">
        <v>50.7</v>
      </c>
      <c r="H6" s="59">
        <v>43.8</v>
      </c>
      <c r="I6" s="59">
        <v>40</v>
      </c>
      <c r="J6" s="59">
        <v>37</v>
      </c>
      <c r="K6" s="59">
        <v>30.1</v>
      </c>
      <c r="L6" s="59">
        <v>24.7</v>
      </c>
      <c r="M6" s="59">
        <v>11</v>
      </c>
      <c r="N6" s="59">
        <v>11</v>
      </c>
      <c r="O6" s="51">
        <v>0</v>
      </c>
    </row>
    <row r="7" spans="1:15" ht="15.75" customHeight="1" x14ac:dyDescent="0.2">
      <c r="E7" s="99"/>
      <c r="I7" s="55"/>
    </row>
    <row r="8" spans="1:15" x14ac:dyDescent="0.2">
      <c r="E8" s="99"/>
      <c r="G8" s="14"/>
    </row>
    <row r="9" spans="1:15" x14ac:dyDescent="0.2">
      <c r="A9" s="98" t="s">
        <v>893</v>
      </c>
      <c r="B9" s="99"/>
      <c r="E9" s="99"/>
    </row>
    <row r="10" spans="1:15" x14ac:dyDescent="0.2">
      <c r="A10" t="s">
        <v>894</v>
      </c>
      <c r="B10" t="s">
        <v>983</v>
      </c>
      <c r="E10" s="99"/>
      <c r="H10" s="14"/>
      <c r="I10" s="14"/>
    </row>
    <row r="11" spans="1:15" x14ac:dyDescent="0.2">
      <c r="A11" t="s">
        <v>895</v>
      </c>
      <c r="B11" t="s">
        <v>985</v>
      </c>
      <c r="E11" s="99"/>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C2686B7E-AF2E-490A-8387-8E5A976ECE64}">
      <formula1>"True,False"</formula1>
    </dataValidation>
    <dataValidation type="list" allowBlank="1" showInputMessage="1" showErrorMessage="1" sqref="B2" xr:uid="{03F4EE10-E318-4B08-BC74-C2BDCD227980}">
      <formula1>"Table,Figure,Both"</formula1>
    </dataValidation>
    <dataValidation type="list" allowBlank="1" showInputMessage="1" showErrorMessage="1" sqref="F4:O4" xr:uid="{84738361-2028-42AE-8486-5A5C53305B0E}">
      <formula1>"integer, number, percent1"</formula1>
    </dataValidation>
    <dataValidation type="list" allowBlank="1" showInputMessage="1" showErrorMessage="1" sqref="B10" xr:uid="{F0B84A36-C584-4484-BFA8-661FCA92A55D}">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A1160A5-9D39-4D86-82CC-17D0BCBA6B73}">
          <x14:formula1>
            <xm:f>Master!$F$2:$F$293</xm:f>
          </x14:formula1>
          <xm:sqref>B1:O1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EAC7-8BFB-458E-804D-A2F9B3BA681C}">
  <dimension ref="A1:Q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7" x14ac:dyDescent="0.2">
      <c r="A1" s="58" t="s">
        <v>882</v>
      </c>
      <c r="B1" s="96" t="s">
        <v>353</v>
      </c>
      <c r="C1" s="97"/>
      <c r="D1" s="97"/>
      <c r="E1" s="97"/>
      <c r="F1" s="97"/>
      <c r="G1" s="97"/>
      <c r="H1" s="97"/>
      <c r="I1" s="97"/>
      <c r="J1" s="97"/>
      <c r="K1" s="97"/>
      <c r="L1" s="97"/>
      <c r="M1" s="97"/>
      <c r="N1" s="97"/>
      <c r="O1" s="97"/>
    </row>
    <row r="2" spans="1:17" x14ac:dyDescent="0.2">
      <c r="A2" s="58" t="s">
        <v>883</v>
      </c>
      <c r="B2" t="s">
        <v>56</v>
      </c>
    </row>
    <row r="3" spans="1:17" x14ac:dyDescent="0.2">
      <c r="A3" s="58" t="s">
        <v>884</v>
      </c>
      <c r="B3" t="str">
        <f>IF($B$1="","",_xlfn.XLOOKUP($B$1,Master!$F$2:$F$308,Master!$G$2:$G$308,""))</f>
        <v>tbl-UC-achieve-health</v>
      </c>
    </row>
    <row r="4" spans="1:17" x14ac:dyDescent="0.2">
      <c r="A4" s="58" t="s">
        <v>6</v>
      </c>
      <c r="B4" t="str">
        <f>IF($B$1="","",_xlfn.XLOOKUP($B$1,Master!$F$2:$F$308,Master!$H$2:$H$308,""))</f>
        <v>fig-UC-achieve-health</v>
      </c>
      <c r="E4" s="13"/>
      <c r="F4" s="16" t="s">
        <v>679</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1003</v>
      </c>
      <c r="G5" t="s">
        <v>1004</v>
      </c>
      <c r="H5" t="s">
        <v>1008</v>
      </c>
      <c r="I5" t="s">
        <v>1006</v>
      </c>
      <c r="J5" t="s">
        <v>1005</v>
      </c>
      <c r="K5" t="s">
        <v>1007</v>
      </c>
      <c r="L5" t="s">
        <v>728</v>
      </c>
      <c r="M5" t="s">
        <v>1012</v>
      </c>
      <c r="N5" t="s">
        <v>1011</v>
      </c>
      <c r="O5" t="s">
        <v>1009</v>
      </c>
      <c r="P5" t="s">
        <v>1013</v>
      </c>
      <c r="Q5" t="s">
        <v>1010</v>
      </c>
    </row>
    <row r="6" spans="1:17" ht="15" customHeight="1" x14ac:dyDescent="0.2">
      <c r="A6" t="s">
        <v>891</v>
      </c>
      <c r="B6" t="b">
        <v>0</v>
      </c>
      <c r="E6" s="99"/>
      <c r="F6">
        <v>65.8</v>
      </c>
      <c r="G6">
        <v>46.6</v>
      </c>
      <c r="H6">
        <v>38.4</v>
      </c>
      <c r="I6" s="14">
        <v>37</v>
      </c>
      <c r="J6">
        <v>35.6</v>
      </c>
      <c r="K6">
        <v>27.4</v>
      </c>
      <c r="L6">
        <v>20.6</v>
      </c>
      <c r="M6">
        <v>9.6</v>
      </c>
      <c r="N6">
        <v>6.9</v>
      </c>
      <c r="O6">
        <v>5.5</v>
      </c>
      <c r="P6">
        <v>4.0999999999999996</v>
      </c>
      <c r="Q6" s="14">
        <v>2.7</v>
      </c>
    </row>
    <row r="7" spans="1:17" ht="15.75" customHeight="1" x14ac:dyDescent="0.2">
      <c r="E7" s="99"/>
      <c r="N7" s="14"/>
    </row>
    <row r="8" spans="1:17" x14ac:dyDescent="0.2">
      <c r="E8" s="99"/>
      <c r="G8" s="14"/>
      <c r="N8" s="14"/>
    </row>
    <row r="9" spans="1:17" x14ac:dyDescent="0.2">
      <c r="A9" s="98" t="s">
        <v>893</v>
      </c>
      <c r="B9" s="99"/>
      <c r="E9" s="99"/>
    </row>
    <row r="10" spans="1:17" x14ac:dyDescent="0.2">
      <c r="A10" t="s">
        <v>894</v>
      </c>
      <c r="B10" t="s">
        <v>983</v>
      </c>
      <c r="E10" s="99"/>
      <c r="H10" s="14"/>
      <c r="I10" s="14"/>
    </row>
    <row r="11" spans="1:17" x14ac:dyDescent="0.2">
      <c r="A11" t="s">
        <v>895</v>
      </c>
      <c r="B11" t="s">
        <v>985</v>
      </c>
      <c r="E11" s="99"/>
    </row>
    <row r="12" spans="1:17" x14ac:dyDescent="0.2">
      <c r="A12" t="s">
        <v>896</v>
      </c>
      <c r="B12" t="s">
        <v>694</v>
      </c>
      <c r="E12" s="99"/>
    </row>
    <row r="13" spans="1:17" x14ac:dyDescent="0.2">
      <c r="A13" t="s">
        <v>897</v>
      </c>
      <c r="E13" s="99"/>
    </row>
    <row r="14" spans="1:17" x14ac:dyDescent="0.2">
      <c r="A14" t="s">
        <v>899</v>
      </c>
      <c r="B14" t="s">
        <v>694</v>
      </c>
      <c r="E14" s="99"/>
    </row>
    <row r="15" spans="1:17" x14ac:dyDescent="0.2">
      <c r="A15" t="s">
        <v>901</v>
      </c>
      <c r="B15" t="b">
        <v>1</v>
      </c>
      <c r="E15" s="99"/>
    </row>
    <row r="16" spans="1:17"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Q4" xr:uid="{7335CEEB-ABFE-463D-BAEE-E1695CBD3100}">
      <formula1>"integer, number, percent1"</formula1>
    </dataValidation>
    <dataValidation type="list" allowBlank="1" showInputMessage="1" showErrorMessage="1" sqref="B2" xr:uid="{2DA237BF-4F62-4E9F-B6FE-4CA47BAAFADF}">
      <formula1>"Table,Figure,Both"</formula1>
    </dataValidation>
    <dataValidation type="list" allowBlank="1" showInputMessage="1" showErrorMessage="1" sqref="B6 B15" xr:uid="{788E3840-A58E-43E5-B490-5DD3CD768B87}">
      <formula1>"True,False"</formula1>
    </dataValidation>
    <dataValidation type="list" allowBlank="1" showInputMessage="1" showErrorMessage="1" sqref="B10" xr:uid="{F476BC94-60E2-4A01-B3C6-7246DC4F5DB5}">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990F9F1-6D13-45E7-B2C6-9902318E56A0}">
          <x14:formula1>
            <xm:f>Master!$F$2:$F$293</xm:f>
          </x14:formula1>
          <xm:sqref>B1:O1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49DB-D96E-43A5-B614-5C67D3FB88B2}">
  <dimension ref="A1:O57"/>
  <sheetViews>
    <sheetView workbookViewId="0">
      <selection activeCell="K32" sqref="K32"/>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357</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tbl-UC-impact-hlth-issue</v>
      </c>
    </row>
    <row r="4" spans="1:15" x14ac:dyDescent="0.2">
      <c r="A4" s="58" t="s">
        <v>6</v>
      </c>
      <c r="B4" t="str">
        <f>IF($B$1="","",_xlfn.XLOOKUP($B$1,Master!$F$2:$F$308,Master!$H$2:$H$308,""))</f>
        <v>fig-UC-impact-hlth-issue</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1014</v>
      </c>
      <c r="H5" s="55" t="s">
        <v>1015</v>
      </c>
      <c r="I5" s="55" t="s">
        <v>1016</v>
      </c>
      <c r="J5" s="55" t="s">
        <v>1017</v>
      </c>
      <c r="K5" s="55" t="s">
        <v>1018</v>
      </c>
      <c r="L5" s="55" t="s">
        <v>1019</v>
      </c>
      <c r="M5" s="55"/>
      <c r="N5" s="55"/>
    </row>
    <row r="6" spans="1:15" ht="15" customHeight="1" x14ac:dyDescent="0.2">
      <c r="A6" t="s">
        <v>891</v>
      </c>
      <c r="B6" t="b">
        <v>0</v>
      </c>
      <c r="E6" s="99"/>
      <c r="F6" s="61">
        <v>1</v>
      </c>
      <c r="G6" s="55">
        <v>2.9</v>
      </c>
      <c r="H6" s="55">
        <v>2.9</v>
      </c>
      <c r="I6" s="55">
        <v>2.9</v>
      </c>
      <c r="J6" s="59">
        <v>13</v>
      </c>
      <c r="K6" s="59">
        <v>15.7</v>
      </c>
      <c r="L6" s="55">
        <v>16.899999999999999</v>
      </c>
      <c r="N6" s="14"/>
    </row>
    <row r="7" spans="1:15" ht="15.75" customHeight="1" x14ac:dyDescent="0.2">
      <c r="E7" s="99"/>
      <c r="F7" s="61">
        <v>2</v>
      </c>
      <c r="G7" s="55">
        <v>4.3</v>
      </c>
      <c r="H7" s="55">
        <v>5.7</v>
      </c>
      <c r="I7" s="55">
        <v>5.7</v>
      </c>
      <c r="J7" s="59">
        <v>8.6999999999999993</v>
      </c>
      <c r="K7" s="59">
        <v>15.7</v>
      </c>
      <c r="L7" s="55">
        <v>19.7</v>
      </c>
      <c r="N7" s="14"/>
    </row>
    <row r="8" spans="1:15" x14ac:dyDescent="0.2">
      <c r="E8" s="99"/>
      <c r="F8" s="61">
        <v>3</v>
      </c>
      <c r="G8" s="59">
        <v>14.3</v>
      </c>
      <c r="H8" s="59">
        <v>10</v>
      </c>
      <c r="I8" s="55">
        <v>14.3</v>
      </c>
      <c r="J8" s="59">
        <v>34.799999999999997</v>
      </c>
      <c r="K8" s="59">
        <v>30</v>
      </c>
      <c r="L8" s="59">
        <v>31</v>
      </c>
      <c r="N8" s="14"/>
    </row>
    <row r="9" spans="1:15" x14ac:dyDescent="0.2">
      <c r="A9" s="98" t="s">
        <v>893</v>
      </c>
      <c r="B9" s="99"/>
      <c r="E9" s="99"/>
      <c r="F9" s="61">
        <v>4</v>
      </c>
      <c r="G9" s="55">
        <v>18.600000000000001</v>
      </c>
      <c r="H9" s="55">
        <v>31.4</v>
      </c>
      <c r="I9" s="59">
        <v>20</v>
      </c>
      <c r="J9" s="59">
        <v>14.5</v>
      </c>
      <c r="K9" s="59">
        <v>18.600000000000001</v>
      </c>
      <c r="L9" s="55">
        <v>14.1</v>
      </c>
    </row>
    <row r="10" spans="1:15" x14ac:dyDescent="0.2">
      <c r="A10" t="s">
        <v>894</v>
      </c>
      <c r="B10" t="s">
        <v>983</v>
      </c>
      <c r="E10" s="99"/>
      <c r="F10" s="61">
        <v>5</v>
      </c>
      <c r="G10" s="59">
        <v>60</v>
      </c>
      <c r="H10" s="59">
        <v>50</v>
      </c>
      <c r="I10" s="59">
        <v>57.1</v>
      </c>
      <c r="J10" s="59">
        <v>29</v>
      </c>
      <c r="K10" s="59">
        <v>20</v>
      </c>
      <c r="L10" s="55">
        <v>18.3</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5C484F9C-C86F-4087-ADB2-EE121435FAE1}">
      <formula1>"True,False"</formula1>
    </dataValidation>
    <dataValidation type="list" allowBlank="1" showInputMessage="1" showErrorMessage="1" sqref="B2" xr:uid="{B53B0ABB-FA17-49C5-9063-35B703013F0D}">
      <formula1>"Table,Figure,Both"</formula1>
    </dataValidation>
    <dataValidation type="list" allowBlank="1" showInputMessage="1" showErrorMessage="1" sqref="F4:O4" xr:uid="{DA0E3494-0B01-4C42-9254-98461E7CADAE}">
      <formula1>"integer, number, percent1"</formula1>
    </dataValidation>
    <dataValidation type="list" allowBlank="1" showInputMessage="1" showErrorMessage="1" sqref="B10" xr:uid="{DEEB7579-DCB9-487A-8373-A24C6403E747}">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E302E69-F234-415B-8BC8-3599D7A15341}">
          <x14:formula1>
            <xm:f>Master!$F$2:$F$293</xm:f>
          </x14:formula1>
          <xm:sqref>B1:O1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D0C2-C71D-4E95-8A77-EF08176B7028}">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361</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tbl-UC-impact-sdoh</v>
      </c>
    </row>
    <row r="4" spans="1:15" x14ac:dyDescent="0.2">
      <c r="A4" s="58" t="s">
        <v>6</v>
      </c>
      <c r="B4" t="str">
        <f>IF($B$1="","",_xlfn.XLOOKUP($B$1,Master!$F$2:$F$308,Master!$H$2:$H$308,""))</f>
        <v>fig-UC-impact-sdoh</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1021</v>
      </c>
      <c r="G5" s="55" t="s">
        <v>1022</v>
      </c>
      <c r="H5" s="55" t="s">
        <v>1023</v>
      </c>
      <c r="I5" s="55" t="s">
        <v>1024</v>
      </c>
      <c r="J5" s="55" t="s">
        <v>1025</v>
      </c>
      <c r="K5" s="55" t="s">
        <v>1026</v>
      </c>
      <c r="M5" s="55"/>
      <c r="N5" s="55"/>
    </row>
    <row r="6" spans="1:15" ht="15" customHeight="1" x14ac:dyDescent="0.2">
      <c r="A6" t="s">
        <v>891</v>
      </c>
      <c r="B6" t="b">
        <v>0</v>
      </c>
      <c r="E6" s="99"/>
      <c r="F6" s="55">
        <v>84.3</v>
      </c>
      <c r="G6" s="55">
        <v>78.599999999999994</v>
      </c>
      <c r="H6" s="59">
        <v>60</v>
      </c>
      <c r="I6" s="55">
        <v>47.1</v>
      </c>
      <c r="J6" s="55">
        <v>18.600000000000001</v>
      </c>
      <c r="K6" s="55">
        <v>11.4</v>
      </c>
      <c r="N6" s="14"/>
    </row>
    <row r="7" spans="1:15" ht="15.75" customHeight="1" x14ac:dyDescent="0.2">
      <c r="E7" s="99"/>
      <c r="F7" s="55"/>
      <c r="G7" s="55"/>
      <c r="H7" s="55"/>
      <c r="I7" s="55"/>
      <c r="J7" s="55"/>
      <c r="K7" s="55"/>
      <c r="N7" s="14"/>
    </row>
    <row r="8" spans="1:15" x14ac:dyDescent="0.2">
      <c r="E8" s="99"/>
      <c r="F8" s="59"/>
      <c r="H8" s="55"/>
      <c r="I8" s="55"/>
      <c r="J8" s="55"/>
      <c r="K8" s="55"/>
      <c r="N8" s="14"/>
    </row>
    <row r="9" spans="1:15" x14ac:dyDescent="0.2">
      <c r="A9" s="98" t="s">
        <v>893</v>
      </c>
      <c r="B9" s="99"/>
      <c r="E9" s="99"/>
      <c r="F9" s="55"/>
      <c r="H9" s="55"/>
      <c r="I9" s="55"/>
      <c r="J9" s="55"/>
      <c r="K9" s="55"/>
    </row>
    <row r="10" spans="1:15" x14ac:dyDescent="0.2">
      <c r="A10" t="s">
        <v>894</v>
      </c>
      <c r="B10" t="s">
        <v>983</v>
      </c>
      <c r="E10" s="99"/>
      <c r="F10" s="55"/>
      <c r="H10" s="59"/>
      <c r="I10" s="55"/>
      <c r="J10" s="55"/>
      <c r="K10" s="55"/>
    </row>
    <row r="11" spans="1:15" x14ac:dyDescent="0.2">
      <c r="A11" t="s">
        <v>895</v>
      </c>
      <c r="B11" t="s">
        <v>985</v>
      </c>
      <c r="E11" s="99"/>
      <c r="F11" s="55"/>
      <c r="H11" s="55"/>
      <c r="I11" s="55"/>
      <c r="J11" s="55"/>
      <c r="K11" s="55"/>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20F072A9-C822-4449-B323-FF4A97512BEF}">
      <formula1>"True,False"</formula1>
    </dataValidation>
    <dataValidation type="list" allowBlank="1" showInputMessage="1" showErrorMessage="1" sqref="B2" xr:uid="{F15B8481-A4A8-4BD2-AD4D-EF8BC388FBF6}">
      <formula1>"Table,Figure,Both"</formula1>
    </dataValidation>
    <dataValidation type="list" allowBlank="1" showInputMessage="1" showErrorMessage="1" sqref="F4:O4" xr:uid="{65D7BAF0-8BEE-44CE-9BD5-0853E256DB3B}">
      <formula1>"integer, number, percent1"</formula1>
    </dataValidation>
    <dataValidation type="list" allowBlank="1" showInputMessage="1" showErrorMessage="1" sqref="B10" xr:uid="{AFB0A2A5-7308-4BE6-AB8D-CFD9B7444D1F}">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BE24727-8A99-43E4-9B5C-DDD7131B9E08}">
          <x14:formula1>
            <xm:f>Master!$F$2:$F$293</xm:f>
          </x14:formula1>
          <xm:sqref>B1:O1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760C-3DC8-4CC9-96F1-63040C707A40}">
  <dimension ref="A1:O57"/>
  <sheetViews>
    <sheetView workbookViewId="0">
      <selection activeCell="B11" sqref="B11: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365</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tbl-UC-eco-wellbeing</v>
      </c>
    </row>
    <row r="4" spans="1:15" x14ac:dyDescent="0.2">
      <c r="A4" s="58" t="s">
        <v>6</v>
      </c>
      <c r="B4" t="str">
        <f>IF($B$1="","",_xlfn.XLOOKUP($B$1,Master!$F$2:$F$308,Master!$H$2:$H$308,""))</f>
        <v>fig-UC-eco-wellbeing</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s="55" t="s">
        <v>1027</v>
      </c>
      <c r="H5" s="55" t="s">
        <v>1028</v>
      </c>
      <c r="I5" s="55" t="s">
        <v>1029</v>
      </c>
      <c r="J5" s="55" t="s">
        <v>1030</v>
      </c>
      <c r="K5" s="55"/>
      <c r="L5" s="55"/>
      <c r="M5" s="55"/>
      <c r="N5" s="55"/>
    </row>
    <row r="6" spans="1:15" ht="15" customHeight="1" x14ac:dyDescent="0.2">
      <c r="A6" t="s">
        <v>891</v>
      </c>
      <c r="B6" t="b">
        <v>0</v>
      </c>
      <c r="E6" s="99"/>
      <c r="F6" s="61">
        <v>1</v>
      </c>
      <c r="G6" s="59">
        <v>1.5</v>
      </c>
      <c r="H6" s="59">
        <v>1.5</v>
      </c>
      <c r="I6" s="59">
        <v>3</v>
      </c>
      <c r="J6" s="59">
        <v>2.9</v>
      </c>
      <c r="K6" s="59"/>
      <c r="N6" s="14"/>
    </row>
    <row r="7" spans="1:15" ht="15.75" customHeight="1" x14ac:dyDescent="0.2">
      <c r="E7" s="99"/>
      <c r="F7" s="61">
        <v>2</v>
      </c>
      <c r="G7" s="59">
        <v>1.5</v>
      </c>
      <c r="H7" s="59">
        <v>7.4</v>
      </c>
      <c r="I7" s="59">
        <v>6</v>
      </c>
      <c r="J7" s="59">
        <v>2.9</v>
      </c>
      <c r="N7" s="14"/>
    </row>
    <row r="8" spans="1:15" x14ac:dyDescent="0.2">
      <c r="E8" s="99"/>
      <c r="F8" s="61">
        <v>3</v>
      </c>
      <c r="G8" s="59">
        <v>20.3</v>
      </c>
      <c r="H8" s="59">
        <v>22.1</v>
      </c>
      <c r="I8" s="59">
        <v>23.9</v>
      </c>
      <c r="J8" s="59">
        <v>20.3</v>
      </c>
      <c r="N8" s="14"/>
    </row>
    <row r="9" spans="1:15" x14ac:dyDescent="0.2">
      <c r="A9" s="98" t="s">
        <v>893</v>
      </c>
      <c r="B9" s="99"/>
      <c r="E9" s="99"/>
      <c r="F9" s="61">
        <v>4</v>
      </c>
      <c r="G9" s="59">
        <v>20.3</v>
      </c>
      <c r="H9" s="59">
        <v>38.200000000000003</v>
      </c>
      <c r="I9" s="59">
        <v>29.9</v>
      </c>
      <c r="J9" s="59">
        <v>20.3</v>
      </c>
    </row>
    <row r="10" spans="1:15" x14ac:dyDescent="0.2">
      <c r="A10" t="s">
        <v>894</v>
      </c>
      <c r="B10" t="s">
        <v>983</v>
      </c>
      <c r="E10" s="99"/>
      <c r="F10" s="61">
        <v>5</v>
      </c>
      <c r="G10" s="59">
        <v>56.5</v>
      </c>
      <c r="H10" s="59">
        <v>30.9</v>
      </c>
      <c r="I10" s="59">
        <v>37.299999999999997</v>
      </c>
      <c r="J10" s="59">
        <v>53.6</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8D15613A-8204-4CCE-B321-70E5418299DB}">
      <formula1>"integer, number, percent1"</formula1>
    </dataValidation>
    <dataValidation type="list" allowBlank="1" showInputMessage="1" showErrorMessage="1" sqref="B2" xr:uid="{5F514DC6-667B-4BF4-AC1C-66B7EEC5AF8D}">
      <formula1>"Table,Figure,Both"</formula1>
    </dataValidation>
    <dataValidation type="list" allowBlank="1" showInputMessage="1" showErrorMessage="1" sqref="B6 B15" xr:uid="{DB440B94-8862-4269-86AB-AD41BD5D89FE}">
      <formula1>"True,False"</formula1>
    </dataValidation>
    <dataValidation type="list" allowBlank="1" showInputMessage="1" showErrorMessage="1" sqref="B10" xr:uid="{46476BDF-4CC3-4F67-AEEB-1C134B847AB2}">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459CFAE-6E0D-4966-9AC8-483F2415C99D}">
          <x14:formula1>
            <xm:f>Master!$F$2:$F$293</xm:f>
          </x14:formula1>
          <xm:sqref>B1:O1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AEA3-660B-4378-8304-2AF302F51EF2}">
  <dimension ref="A1:O57"/>
  <sheetViews>
    <sheetView workbookViewId="0">
      <selection activeCell="N44" sqref="N44"/>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369</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tbl-UC-impact-mhsu</v>
      </c>
    </row>
    <row r="4" spans="1:15" x14ac:dyDescent="0.2">
      <c r="A4" s="58" t="s">
        <v>6</v>
      </c>
      <c r="B4" t="str">
        <f>IF($B$1="","",_xlfn.XLOOKUP($B$1,Master!$F$2:$F$308,Master!$H$2:$H$308,""))</f>
        <v>fig-UC-impact-mhsu</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1031</v>
      </c>
      <c r="H5" s="55" t="s">
        <v>1032</v>
      </c>
      <c r="I5" s="55" t="s">
        <v>1033</v>
      </c>
      <c r="J5" s="55" t="s">
        <v>1034</v>
      </c>
      <c r="K5" s="55" t="s">
        <v>1035</v>
      </c>
      <c r="L5" s="55" t="s">
        <v>1036</v>
      </c>
      <c r="M5" s="55"/>
      <c r="N5" s="55"/>
    </row>
    <row r="6" spans="1:15" ht="15" customHeight="1" x14ac:dyDescent="0.2">
      <c r="A6" t="s">
        <v>891</v>
      </c>
      <c r="B6" t="b">
        <v>0</v>
      </c>
      <c r="E6" s="99"/>
      <c r="F6" s="61">
        <v>1</v>
      </c>
      <c r="G6" s="51">
        <v>0</v>
      </c>
      <c r="H6" s="59">
        <v>12.3</v>
      </c>
      <c r="I6" s="51">
        <v>0</v>
      </c>
      <c r="J6" s="59">
        <v>3.1</v>
      </c>
      <c r="K6" s="59">
        <v>4.5999999999999996</v>
      </c>
      <c r="L6" s="59">
        <v>6</v>
      </c>
      <c r="N6" s="14"/>
    </row>
    <row r="7" spans="1:15" ht="15.75" customHeight="1" x14ac:dyDescent="0.2">
      <c r="E7" s="99"/>
      <c r="F7" s="61">
        <v>2</v>
      </c>
      <c r="G7" s="59">
        <v>1.5</v>
      </c>
      <c r="H7" s="59">
        <v>13.9</v>
      </c>
      <c r="I7" s="59">
        <v>4.5</v>
      </c>
      <c r="J7" s="59">
        <v>6.2</v>
      </c>
      <c r="K7" s="59">
        <v>9.1999999999999993</v>
      </c>
      <c r="L7" s="59">
        <v>9</v>
      </c>
      <c r="N7" s="14"/>
    </row>
    <row r="8" spans="1:15" x14ac:dyDescent="0.2">
      <c r="E8" s="99"/>
      <c r="F8" s="61">
        <v>3</v>
      </c>
      <c r="G8" s="59">
        <v>6</v>
      </c>
      <c r="H8" s="59">
        <v>29.2</v>
      </c>
      <c r="I8" s="59">
        <v>14.9</v>
      </c>
      <c r="J8" s="59">
        <v>26.2</v>
      </c>
      <c r="K8" s="59">
        <v>27.7</v>
      </c>
      <c r="L8" s="59">
        <v>22.4</v>
      </c>
      <c r="N8" s="14"/>
    </row>
    <row r="9" spans="1:15" x14ac:dyDescent="0.2">
      <c r="A9" s="98" t="s">
        <v>893</v>
      </c>
      <c r="B9" s="99"/>
      <c r="E9" s="99"/>
      <c r="F9" s="61">
        <v>4</v>
      </c>
      <c r="G9" s="59">
        <v>31.3</v>
      </c>
      <c r="H9" s="59">
        <v>30.8</v>
      </c>
      <c r="I9" s="59">
        <v>32.799999999999997</v>
      </c>
      <c r="J9" s="59">
        <v>23.1</v>
      </c>
      <c r="K9" s="59">
        <v>27.7</v>
      </c>
      <c r="L9" s="59">
        <v>30</v>
      </c>
    </row>
    <row r="10" spans="1:15" x14ac:dyDescent="0.2">
      <c r="A10" t="s">
        <v>894</v>
      </c>
      <c r="B10" t="s">
        <v>983</v>
      </c>
      <c r="E10" s="99"/>
      <c r="F10" s="61">
        <v>5</v>
      </c>
      <c r="G10" s="59">
        <v>61.2</v>
      </c>
      <c r="H10" s="59">
        <v>13.9</v>
      </c>
      <c r="I10" s="59">
        <v>47.8</v>
      </c>
      <c r="J10" s="59">
        <v>41.6</v>
      </c>
      <c r="K10" s="59">
        <v>30.8</v>
      </c>
      <c r="L10" s="59">
        <v>32.799999999999997</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B26E56EE-F131-47E9-B06F-C7D63D70AE24}">
      <formula1>"True,False"</formula1>
    </dataValidation>
    <dataValidation type="list" allowBlank="1" showInputMessage="1" showErrorMessage="1" sqref="B2" xr:uid="{05B6072C-39AB-4D99-B0B6-865927581FFC}">
      <formula1>"Table,Figure,Both"</formula1>
    </dataValidation>
    <dataValidation type="list" allowBlank="1" showInputMessage="1" showErrorMessage="1" sqref="F4:O4" xr:uid="{AB12A73D-260A-452F-8F13-35B3A1A1C1FE}">
      <formula1>"integer, number, percent1"</formula1>
    </dataValidation>
    <dataValidation type="list" allowBlank="1" showInputMessage="1" showErrorMessage="1" sqref="B10" xr:uid="{3D6B07D1-DED8-44B5-A52C-12AD8F668A68}">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6002F55-2D14-42C0-860D-B0EE2677E04E}">
          <x14:formula1>
            <xm:f>Master!$F$2:$F$293</xm:f>
          </x14:formula1>
          <xm:sqref>B1:O1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79A4-A599-43F9-A9F1-249CFD9B7151}">
  <dimension ref="A1:O57"/>
  <sheetViews>
    <sheetView workbookViewId="0">
      <selection activeCell="L24" sqref="L24"/>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373</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tbl-UC-impact-hlthinsur-access</v>
      </c>
    </row>
    <row r="4" spans="1:15" x14ac:dyDescent="0.2">
      <c r="A4" s="58" t="s">
        <v>6</v>
      </c>
      <c r="B4" t="str">
        <f>IF($B$1="","",_xlfn.XLOOKUP($B$1,Master!$F$2:$F$308,Master!$H$2:$H$308,""))</f>
        <v>fig-UC-impact-hlthinsur-access</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t="s">
        <v>1037</v>
      </c>
      <c r="H5" t="s">
        <v>1038</v>
      </c>
      <c r="I5" t="s">
        <v>1039</v>
      </c>
      <c r="J5" t="s">
        <v>1040</v>
      </c>
      <c r="K5" s="55"/>
      <c r="L5" s="55"/>
      <c r="M5" s="55"/>
      <c r="N5" s="55"/>
    </row>
    <row r="6" spans="1:15" ht="15" customHeight="1" x14ac:dyDescent="0.2">
      <c r="A6" t="s">
        <v>891</v>
      </c>
      <c r="B6" t="b">
        <v>0</v>
      </c>
      <c r="E6" s="99"/>
      <c r="F6" s="61">
        <v>1</v>
      </c>
      <c r="G6" s="14">
        <v>16.899999999999999</v>
      </c>
      <c r="H6" s="14">
        <v>20</v>
      </c>
      <c r="I6" s="14">
        <v>3</v>
      </c>
      <c r="J6" s="14">
        <v>10.6</v>
      </c>
      <c r="N6" s="14"/>
    </row>
    <row r="7" spans="1:15" ht="15.75" customHeight="1" x14ac:dyDescent="0.2">
      <c r="E7" s="99"/>
      <c r="F7" s="61">
        <v>2</v>
      </c>
      <c r="G7" s="14">
        <v>13.9</v>
      </c>
      <c r="H7" s="14">
        <v>13.9</v>
      </c>
      <c r="I7" s="14">
        <v>12.1</v>
      </c>
      <c r="J7" s="14">
        <v>6.1</v>
      </c>
      <c r="N7" s="14"/>
    </row>
    <row r="8" spans="1:15" x14ac:dyDescent="0.2">
      <c r="E8" s="99"/>
      <c r="F8" s="61">
        <v>3</v>
      </c>
      <c r="G8" s="14">
        <v>30.8</v>
      </c>
      <c r="H8" s="14">
        <v>30.8</v>
      </c>
      <c r="I8" s="14">
        <v>13.6</v>
      </c>
      <c r="J8" s="14">
        <v>19.7</v>
      </c>
      <c r="N8" s="14"/>
    </row>
    <row r="9" spans="1:15" x14ac:dyDescent="0.2">
      <c r="A9" s="98" t="s">
        <v>893</v>
      </c>
      <c r="B9" s="99"/>
      <c r="E9" s="99"/>
      <c r="F9" s="61">
        <v>4</v>
      </c>
      <c r="G9" s="14">
        <v>20</v>
      </c>
      <c r="H9" s="14">
        <v>20</v>
      </c>
      <c r="I9" s="14">
        <v>31.8</v>
      </c>
      <c r="J9" s="14">
        <v>31.8</v>
      </c>
    </row>
    <row r="10" spans="1:15" x14ac:dyDescent="0.2">
      <c r="A10" t="s">
        <v>894</v>
      </c>
      <c r="B10" t="s">
        <v>983</v>
      </c>
      <c r="E10" s="99"/>
      <c r="F10" s="61">
        <v>5</v>
      </c>
      <c r="G10" s="14">
        <v>18.5</v>
      </c>
      <c r="H10" s="14">
        <v>15.4</v>
      </c>
      <c r="I10" s="14">
        <v>39.4</v>
      </c>
      <c r="J10" s="14">
        <v>31.8</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A1BDF4E3-453F-4399-B508-F8B8AFD2CE27}">
      <formula1>"True,False"</formula1>
    </dataValidation>
    <dataValidation type="list" allowBlank="1" showInputMessage="1" showErrorMessage="1" sqref="B2" xr:uid="{5473FC68-FE4F-4389-B244-7E7E7CCE60B8}">
      <formula1>"Table,Figure,Both"</formula1>
    </dataValidation>
    <dataValidation type="list" allowBlank="1" showInputMessage="1" showErrorMessage="1" sqref="F4:O4" xr:uid="{A5FBA24E-456B-4745-9BB8-180FFD33AC36}">
      <formula1>"integer, number, percent1"</formula1>
    </dataValidation>
    <dataValidation type="list" allowBlank="1" showInputMessage="1" showErrorMessage="1" sqref="B10" xr:uid="{0BFAF587-D9BB-4DC1-AA92-DAD654950AE6}">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FD0BE2D-5327-4749-B801-ACE1D5C9FA2B}">
          <x14:formula1>
            <xm:f>Master!$F$2:$F$293</xm:f>
          </x14:formula1>
          <xm:sqref>B1:O1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8F9E-B3BB-484A-B041-9646761B7E25}">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377</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tbl-WC-affect-health</v>
      </c>
    </row>
    <row r="4" spans="1:15" x14ac:dyDescent="0.2">
      <c r="A4" s="58" t="s">
        <v>6</v>
      </c>
      <c r="B4" t="str">
        <f>IF($B$1="","",_xlfn.XLOOKUP($B$1,Master!$F$2:$F$308,Master!$H$2:$H$308,""))</f>
        <v>fig-WC-affect-health</v>
      </c>
      <c r="E4" s="13"/>
      <c r="F4" s="16" t="s">
        <v>679</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55" t="s">
        <v>993</v>
      </c>
      <c r="G5" s="55" t="s">
        <v>995</v>
      </c>
      <c r="H5" s="55" t="s">
        <v>994</v>
      </c>
      <c r="I5" s="55" t="s">
        <v>996</v>
      </c>
      <c r="J5" s="55" t="s">
        <v>992</v>
      </c>
      <c r="K5" s="55" t="s">
        <v>998</v>
      </c>
      <c r="L5" s="55" t="s">
        <v>997</v>
      </c>
      <c r="M5" s="55" t="s">
        <v>999</v>
      </c>
      <c r="N5" s="55" t="s">
        <v>1000</v>
      </c>
      <c r="O5" s="55" t="s">
        <v>1001</v>
      </c>
    </row>
    <row r="6" spans="1:15" ht="15" customHeight="1" x14ac:dyDescent="0.2">
      <c r="A6" t="s">
        <v>891</v>
      </c>
      <c r="B6" t="b">
        <v>0</v>
      </c>
      <c r="E6" s="99"/>
      <c r="F6" s="59">
        <v>57.5</v>
      </c>
      <c r="G6" s="59">
        <v>50</v>
      </c>
      <c r="H6" s="59">
        <v>42.5</v>
      </c>
      <c r="I6" s="59">
        <v>35</v>
      </c>
      <c r="J6" s="59">
        <v>32.5</v>
      </c>
      <c r="K6" s="59">
        <v>27.5</v>
      </c>
      <c r="L6" s="59">
        <v>22.5</v>
      </c>
      <c r="M6" s="59">
        <v>17.5</v>
      </c>
      <c r="N6" s="59">
        <v>15</v>
      </c>
      <c r="O6" s="59">
        <v>0</v>
      </c>
    </row>
    <row r="7" spans="1:15" ht="15.75" customHeight="1" x14ac:dyDescent="0.2">
      <c r="E7" s="99"/>
      <c r="N7" s="14"/>
    </row>
    <row r="8" spans="1:15" x14ac:dyDescent="0.2">
      <c r="E8" s="99"/>
      <c r="G8" s="14"/>
      <c r="N8" s="14"/>
    </row>
    <row r="9" spans="1:15" x14ac:dyDescent="0.2">
      <c r="A9" s="98" t="s">
        <v>893</v>
      </c>
      <c r="B9" s="99"/>
      <c r="E9" s="99"/>
    </row>
    <row r="10" spans="1:15" x14ac:dyDescent="0.2">
      <c r="A10" t="s">
        <v>894</v>
      </c>
      <c r="B10" t="s">
        <v>983</v>
      </c>
      <c r="E10" s="99"/>
      <c r="H10" s="14"/>
      <c r="I10" s="14"/>
    </row>
    <row r="11" spans="1:15" x14ac:dyDescent="0.2">
      <c r="A11" t="s">
        <v>895</v>
      </c>
      <c r="B11" t="s">
        <v>985</v>
      </c>
      <c r="E11" s="99"/>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D75CB698-0A8C-4B80-A5B2-34299F09BC12}">
      <formula1>"integer, number, percent1"</formula1>
    </dataValidation>
    <dataValidation type="list" allowBlank="1" showInputMessage="1" showErrorMessage="1" sqref="B2" xr:uid="{2FBE1D7F-E77F-43D7-B169-642737E282E9}">
      <formula1>"Table,Figure,Both"</formula1>
    </dataValidation>
    <dataValidation type="list" allowBlank="1" showInputMessage="1" showErrorMessage="1" sqref="B6 B15" xr:uid="{83D0BE1B-C3FC-468D-B994-E1097AA84C4F}">
      <formula1>"True,False"</formula1>
    </dataValidation>
    <dataValidation type="list" allowBlank="1" showInputMessage="1" showErrorMessage="1" sqref="B10" xr:uid="{45FAF361-5931-42D3-9EB4-105F3B3D2EFB}">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C652E4A-F508-4C5A-A56A-517EEB60BDCF}">
          <x14:formula1>
            <xm:f>Master!$F$2:$F$293</xm:f>
          </x14:formula1>
          <xm:sqref>B1:O1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A501-5BB2-4D99-8E2E-6FC811632011}">
  <dimension ref="A1:Q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7" x14ac:dyDescent="0.2">
      <c r="A1" s="58" t="s">
        <v>882</v>
      </c>
      <c r="B1" s="96" t="s">
        <v>381</v>
      </c>
      <c r="C1" s="97"/>
      <c r="D1" s="97"/>
      <c r="E1" s="97"/>
      <c r="F1" s="97"/>
      <c r="G1" s="97"/>
      <c r="H1" s="97"/>
      <c r="I1" s="97"/>
      <c r="J1" s="97"/>
      <c r="K1" s="97"/>
      <c r="L1" s="97"/>
      <c r="M1" s="97"/>
      <c r="N1" s="97"/>
      <c r="O1" s="97"/>
    </row>
    <row r="2" spans="1:17" x14ac:dyDescent="0.2">
      <c r="A2" s="58" t="s">
        <v>883</v>
      </c>
      <c r="B2" t="s">
        <v>56</v>
      </c>
    </row>
    <row r="3" spans="1:17" x14ac:dyDescent="0.2">
      <c r="A3" s="58" t="s">
        <v>884</v>
      </c>
      <c r="B3" t="str">
        <f>IF($B$1="","",_xlfn.XLOOKUP($B$1,Master!$F$2:$F$308,Master!$G$2:$G$308,""))</f>
        <v>tbl-WC-achieve-health</v>
      </c>
    </row>
    <row r="4" spans="1:17" x14ac:dyDescent="0.2">
      <c r="A4" s="58" t="s">
        <v>6</v>
      </c>
      <c r="B4" t="str">
        <f>IF($B$1="","",_xlfn.XLOOKUP($B$1,Master!$F$2:$F$308,Master!$H$2:$H$308,""))</f>
        <v>fig-WC-achieve-health</v>
      </c>
      <c r="E4" s="13"/>
      <c r="F4" s="16" t="s">
        <v>679</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1003</v>
      </c>
      <c r="G5" t="s">
        <v>1004</v>
      </c>
      <c r="H5" t="s">
        <v>1007</v>
      </c>
      <c r="I5" t="s">
        <v>1006</v>
      </c>
      <c r="J5" t="s">
        <v>1119</v>
      </c>
      <c r="K5" t="s">
        <v>1008</v>
      </c>
      <c r="L5" t="s">
        <v>728</v>
      </c>
      <c r="M5" t="s">
        <v>1012</v>
      </c>
      <c r="N5" t="s">
        <v>1013</v>
      </c>
      <c r="O5" t="s">
        <v>1011</v>
      </c>
      <c r="P5" t="s">
        <v>1009</v>
      </c>
      <c r="Q5" t="s">
        <v>1010</v>
      </c>
    </row>
    <row r="6" spans="1:17" ht="15" customHeight="1" x14ac:dyDescent="0.2">
      <c r="A6" t="s">
        <v>891</v>
      </c>
      <c r="B6" t="b">
        <v>0</v>
      </c>
      <c r="E6" s="99"/>
      <c r="F6" s="14">
        <v>62.5</v>
      </c>
      <c r="G6" s="14">
        <v>50</v>
      </c>
      <c r="H6" s="14">
        <v>35</v>
      </c>
      <c r="I6" s="14">
        <v>32.5</v>
      </c>
      <c r="J6" s="14">
        <v>30</v>
      </c>
      <c r="K6" s="14">
        <v>27.5</v>
      </c>
      <c r="L6" s="14">
        <v>25</v>
      </c>
      <c r="M6" s="14">
        <v>15</v>
      </c>
      <c r="N6" s="14">
        <v>10</v>
      </c>
      <c r="O6" s="14">
        <v>7.5</v>
      </c>
      <c r="P6" s="14">
        <v>5</v>
      </c>
      <c r="Q6" s="14">
        <v>0</v>
      </c>
    </row>
    <row r="7" spans="1:17" ht="15.75" customHeight="1" x14ac:dyDescent="0.2">
      <c r="E7" s="99"/>
      <c r="N7" s="14"/>
    </row>
    <row r="8" spans="1:17" x14ac:dyDescent="0.2">
      <c r="E8" s="99"/>
      <c r="G8" s="14"/>
      <c r="N8" s="14"/>
    </row>
    <row r="9" spans="1:17" x14ac:dyDescent="0.2">
      <c r="A9" s="98" t="s">
        <v>893</v>
      </c>
      <c r="B9" s="99"/>
      <c r="E9" s="99"/>
    </row>
    <row r="10" spans="1:17" x14ac:dyDescent="0.2">
      <c r="A10" t="s">
        <v>894</v>
      </c>
      <c r="B10" t="s">
        <v>983</v>
      </c>
      <c r="E10" s="99"/>
      <c r="H10" s="14"/>
      <c r="I10" s="14"/>
    </row>
    <row r="11" spans="1:17" x14ac:dyDescent="0.2">
      <c r="A11" t="s">
        <v>895</v>
      </c>
      <c r="B11" t="s">
        <v>985</v>
      </c>
      <c r="E11" s="99"/>
    </row>
    <row r="12" spans="1:17" x14ac:dyDescent="0.2">
      <c r="A12" t="s">
        <v>896</v>
      </c>
      <c r="B12" t="s">
        <v>694</v>
      </c>
      <c r="E12" s="99"/>
    </row>
    <row r="13" spans="1:17" x14ac:dyDescent="0.2">
      <c r="A13" t="s">
        <v>897</v>
      </c>
      <c r="E13" s="99"/>
    </row>
    <row r="14" spans="1:17" x14ac:dyDescent="0.2">
      <c r="A14" t="s">
        <v>899</v>
      </c>
      <c r="B14" t="s">
        <v>694</v>
      </c>
      <c r="E14" s="99"/>
    </row>
    <row r="15" spans="1:17" x14ac:dyDescent="0.2">
      <c r="A15" t="s">
        <v>901</v>
      </c>
      <c r="B15" t="b">
        <v>1</v>
      </c>
      <c r="E15" s="99"/>
    </row>
    <row r="16" spans="1:17"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3A4A5CFF-41AA-422C-8824-8FC6FCBC1312}">
      <formula1>"True,False"</formula1>
    </dataValidation>
    <dataValidation type="list" allowBlank="1" showInputMessage="1" showErrorMessage="1" sqref="B2" xr:uid="{A7C97927-D453-4BFB-BAE3-BA0222BFB9E9}">
      <formula1>"Table,Figure,Both"</formula1>
    </dataValidation>
    <dataValidation type="list" allowBlank="1" showInputMessage="1" showErrorMessage="1" sqref="F4:Q4" xr:uid="{4F0BA340-5389-4C9F-AD42-4527E6E005B2}">
      <formula1>"integer, number, percent1"</formula1>
    </dataValidation>
    <dataValidation type="list" allowBlank="1" showInputMessage="1" showErrorMessage="1" sqref="B10" xr:uid="{7A0A9EE2-A304-40ED-AA3F-F0303EA5ADD0}">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BCBCE20-D796-4292-8772-C3BB68BFB5BB}">
          <x14:formula1>
            <xm:f>Master!$F$2:$F$293</xm:f>
          </x14:formula1>
          <xm:sqref>B1:O1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25381-0E71-4482-9FA1-F9E3246D263D}">
  <dimension ref="A1:O57"/>
  <sheetViews>
    <sheetView workbookViewId="0">
      <selection activeCell="B11" sqref="B11: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385</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tbl-WC-impact-hlth-issue</v>
      </c>
    </row>
    <row r="4" spans="1:15" x14ac:dyDescent="0.2">
      <c r="A4" s="58" t="s">
        <v>6</v>
      </c>
      <c r="B4" t="str">
        <f>IF($B$1="","",_xlfn.XLOOKUP($B$1,Master!$F$2:$F$308,Master!$H$2:$H$308,""))</f>
        <v>fig-WC-impact-hlth-issue</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1014</v>
      </c>
      <c r="H5" s="55" t="s">
        <v>1015</v>
      </c>
      <c r="I5" s="55" t="s">
        <v>1016</v>
      </c>
      <c r="J5" s="55" t="s">
        <v>1017</v>
      </c>
      <c r="K5" s="55" t="s">
        <v>1018</v>
      </c>
      <c r="L5" s="55" t="s">
        <v>1019</v>
      </c>
      <c r="M5" s="55"/>
      <c r="N5" s="55"/>
    </row>
    <row r="6" spans="1:15" ht="15" customHeight="1" x14ac:dyDescent="0.2">
      <c r="A6" t="s">
        <v>891</v>
      </c>
      <c r="B6" t="b">
        <v>0</v>
      </c>
      <c r="E6" s="99"/>
      <c r="F6" s="61">
        <v>1</v>
      </c>
      <c r="G6" s="55">
        <v>5.3</v>
      </c>
      <c r="H6" s="55">
        <v>2.6</v>
      </c>
      <c r="I6" s="55">
        <v>2.6</v>
      </c>
      <c r="J6" s="55">
        <v>10.3</v>
      </c>
      <c r="K6" s="55">
        <v>15.8</v>
      </c>
      <c r="L6" s="55">
        <v>15.4</v>
      </c>
      <c r="N6" s="14"/>
    </row>
    <row r="7" spans="1:15" ht="15.75" customHeight="1" x14ac:dyDescent="0.2">
      <c r="E7" s="99"/>
      <c r="F7" s="61">
        <v>2</v>
      </c>
      <c r="G7" s="55">
        <v>2.6</v>
      </c>
      <c r="H7" s="55">
        <v>2.6</v>
      </c>
      <c r="I7" s="55">
        <v>7.9</v>
      </c>
      <c r="J7" s="55">
        <v>10.3</v>
      </c>
      <c r="K7" s="55">
        <v>13.2</v>
      </c>
      <c r="L7" s="59">
        <v>18</v>
      </c>
      <c r="N7" s="14"/>
    </row>
    <row r="8" spans="1:15" x14ac:dyDescent="0.2">
      <c r="E8" s="99"/>
      <c r="F8" s="61">
        <v>3</v>
      </c>
      <c r="G8" s="59">
        <v>18.399999999999999</v>
      </c>
      <c r="H8" s="55">
        <v>18.399999999999999</v>
      </c>
      <c r="I8" s="55">
        <v>7.9</v>
      </c>
      <c r="J8" s="55">
        <v>38.5</v>
      </c>
      <c r="K8" s="55">
        <v>34.200000000000003</v>
      </c>
      <c r="L8" s="55">
        <v>38.5</v>
      </c>
      <c r="N8" s="14"/>
    </row>
    <row r="9" spans="1:15" x14ac:dyDescent="0.2">
      <c r="A9" s="98" t="s">
        <v>893</v>
      </c>
      <c r="B9" s="99"/>
      <c r="E9" s="99"/>
      <c r="F9" s="61">
        <v>4</v>
      </c>
      <c r="G9" s="55">
        <v>18.399999999999999</v>
      </c>
      <c r="H9" s="55">
        <v>21.1</v>
      </c>
      <c r="I9" s="55">
        <v>21.1</v>
      </c>
      <c r="J9" s="55">
        <v>12.8</v>
      </c>
      <c r="K9" s="55">
        <v>23.7</v>
      </c>
      <c r="L9" s="55">
        <v>7.7</v>
      </c>
    </row>
    <row r="10" spans="1:15" x14ac:dyDescent="0.2">
      <c r="A10" t="s">
        <v>894</v>
      </c>
      <c r="B10" t="s">
        <v>983</v>
      </c>
      <c r="E10" s="99"/>
      <c r="F10" s="61">
        <v>5</v>
      </c>
      <c r="G10" s="55">
        <v>55.3</v>
      </c>
      <c r="H10" s="59">
        <v>55.3</v>
      </c>
      <c r="I10" s="59">
        <v>60.5</v>
      </c>
      <c r="J10" s="55">
        <v>28.2</v>
      </c>
      <c r="K10" s="55">
        <v>13.2</v>
      </c>
      <c r="L10" s="55">
        <v>20.5</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FD1F6678-2FAA-4A00-9681-B97FCA5022D7}">
      <formula1>"integer, number, percent1"</formula1>
    </dataValidation>
    <dataValidation type="list" allowBlank="1" showInputMessage="1" showErrorMessage="1" sqref="B2" xr:uid="{237DACEF-38D6-46E3-B952-84E0EB374039}">
      <formula1>"Table,Figure,Both"</formula1>
    </dataValidation>
    <dataValidation type="list" allowBlank="1" showInputMessage="1" showErrorMessage="1" sqref="B6 B15" xr:uid="{162BD662-690E-4BC5-B43E-7939F9FEC42C}">
      <formula1>"True,False"</formula1>
    </dataValidation>
    <dataValidation type="list" allowBlank="1" showInputMessage="1" showErrorMessage="1" sqref="B10" xr:uid="{B38CEF5A-EF51-4F81-97B8-43DA294E3AB6}">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92E953A-F740-4056-94BF-4378A374F836}">
          <x14:formula1>
            <xm:f>Master!$F$2:$F$293</xm:f>
          </x14:formula1>
          <xm:sqref>B1:O1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2783-123F-47FB-B433-8E921E4155EB}">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389</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tbl-WC-impact-sdoh</v>
      </c>
    </row>
    <row r="4" spans="1:15" x14ac:dyDescent="0.2">
      <c r="A4" s="58" t="s">
        <v>6</v>
      </c>
      <c r="B4" t="str">
        <f>IF($B$1="","",_xlfn.XLOOKUP($B$1,Master!$F$2:$F$308,Master!$H$2:$H$308,""))</f>
        <v>fig-WC-impact-sdoh</v>
      </c>
      <c r="E4" s="13"/>
      <c r="F4" s="16" t="s">
        <v>679</v>
      </c>
      <c r="G4" s="16" t="s">
        <v>679</v>
      </c>
      <c r="H4" s="16" t="s">
        <v>679</v>
      </c>
      <c r="I4" s="16" t="s">
        <v>679</v>
      </c>
      <c r="J4" s="16" t="s">
        <v>679</v>
      </c>
      <c r="K4" s="16" t="s">
        <v>679</v>
      </c>
      <c r="L4" s="16"/>
      <c r="M4" s="16"/>
      <c r="N4" s="16"/>
      <c r="O4" s="16"/>
    </row>
    <row r="5" spans="1:15" x14ac:dyDescent="0.2">
      <c r="A5" s="98" t="s">
        <v>885</v>
      </c>
      <c r="B5" s="99"/>
      <c r="E5" s="100" t="s">
        <v>886</v>
      </c>
      <c r="F5" s="55" t="s">
        <v>1022</v>
      </c>
      <c r="G5" s="55" t="s">
        <v>1021</v>
      </c>
      <c r="H5" s="55" t="s">
        <v>1023</v>
      </c>
      <c r="I5" s="55" t="s">
        <v>1024</v>
      </c>
      <c r="J5" s="55" t="s">
        <v>1025</v>
      </c>
      <c r="K5" s="55" t="s">
        <v>1026</v>
      </c>
      <c r="M5" s="55"/>
      <c r="N5" s="55"/>
    </row>
    <row r="6" spans="1:15" ht="15" customHeight="1" x14ac:dyDescent="0.2">
      <c r="A6" t="s">
        <v>891</v>
      </c>
      <c r="B6" t="b">
        <v>0</v>
      </c>
      <c r="E6" s="99"/>
      <c r="F6" s="55">
        <v>81.599999999999994</v>
      </c>
      <c r="G6" s="59">
        <v>79</v>
      </c>
      <c r="H6" s="59">
        <v>68.400000000000006</v>
      </c>
      <c r="I6" s="55">
        <v>36.799999999999997</v>
      </c>
      <c r="J6" s="55">
        <v>18.399999999999999</v>
      </c>
      <c r="K6" s="55">
        <v>15.8</v>
      </c>
      <c r="N6" s="14"/>
    </row>
    <row r="7" spans="1:15" ht="15.75" customHeight="1" x14ac:dyDescent="0.2">
      <c r="E7" s="99"/>
      <c r="G7" s="55"/>
      <c r="H7" s="55"/>
      <c r="I7" s="55"/>
      <c r="J7" s="55"/>
      <c r="K7" s="55"/>
      <c r="N7" s="14"/>
    </row>
    <row r="8" spans="1:15" x14ac:dyDescent="0.2">
      <c r="E8" s="99"/>
      <c r="G8" s="55"/>
      <c r="H8" s="55"/>
      <c r="I8" s="55"/>
      <c r="J8" s="55"/>
      <c r="K8" s="55"/>
      <c r="N8" s="14"/>
    </row>
    <row r="9" spans="1:15" x14ac:dyDescent="0.2">
      <c r="A9" s="98" t="s">
        <v>893</v>
      </c>
      <c r="B9" s="99"/>
      <c r="E9" s="99"/>
      <c r="F9" s="55"/>
      <c r="H9" s="55"/>
      <c r="I9" s="55"/>
      <c r="J9" s="55"/>
      <c r="K9" s="55"/>
    </row>
    <row r="10" spans="1:15" x14ac:dyDescent="0.2">
      <c r="A10" t="s">
        <v>894</v>
      </c>
      <c r="B10" t="s">
        <v>983</v>
      </c>
      <c r="E10" s="99"/>
      <c r="F10" s="55"/>
      <c r="H10" s="59"/>
      <c r="I10" s="55"/>
      <c r="J10" s="55"/>
      <c r="K10" s="55"/>
    </row>
    <row r="11" spans="1:15" x14ac:dyDescent="0.2">
      <c r="A11" t="s">
        <v>895</v>
      </c>
      <c r="B11" t="s">
        <v>985</v>
      </c>
      <c r="E11" s="99"/>
      <c r="F11" s="55"/>
      <c r="H11" s="55"/>
      <c r="I11" s="55"/>
      <c r="J11" s="55"/>
      <c r="K11" s="55"/>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18B14FBA-0D88-43B6-8BDF-97243A5FA084}">
      <formula1>"integer, number, percent1"</formula1>
    </dataValidation>
    <dataValidation type="list" allowBlank="1" showInputMessage="1" showErrorMessage="1" sqref="B2" xr:uid="{3FB390BA-7DD7-483D-A935-A7872283FB61}">
      <formula1>"Table,Figure,Both"</formula1>
    </dataValidation>
    <dataValidation type="list" allowBlank="1" showInputMessage="1" showErrorMessage="1" sqref="B6 B15" xr:uid="{0409FCB8-B7E6-42F1-AC07-6A3EFA39C7DF}">
      <formula1>"True,False"</formula1>
    </dataValidation>
    <dataValidation type="list" allowBlank="1" showInputMessage="1" showErrorMessage="1" sqref="B10" xr:uid="{D85DD676-BE71-49EE-9116-F17AFC70E7A6}">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87F612A-48F2-481F-8C0F-8A9177A64726}">
          <x14:formula1>
            <xm:f>Master!$F$2:$F$293</xm:f>
          </x14:formula1>
          <xm:sqref>B1:O1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76A5-B350-44B0-B05A-AB312792D5EB}">
  <dimension ref="A1:O57"/>
  <sheetViews>
    <sheetView workbookViewId="0">
      <selection activeCell="N34" sqref="N34"/>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393</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tbl-WC-eco-wellbeing</v>
      </c>
    </row>
    <row r="4" spans="1:15" x14ac:dyDescent="0.2">
      <c r="A4" s="58" t="s">
        <v>6</v>
      </c>
      <c r="B4" t="str">
        <f>IF($B$1="","",_xlfn.XLOOKUP($B$1,Master!$F$2:$F$308,Master!$H$2:$H$308,""))</f>
        <v>fig-WC-eco-wellbeing</v>
      </c>
      <c r="E4" s="13"/>
      <c r="F4" s="16" t="s">
        <v>671</v>
      </c>
      <c r="G4" s="16" t="s">
        <v>679</v>
      </c>
      <c r="H4" s="16" t="s">
        <v>679</v>
      </c>
      <c r="I4" s="16" t="s">
        <v>679</v>
      </c>
      <c r="J4" s="16" t="s">
        <v>679</v>
      </c>
      <c r="K4" s="16"/>
      <c r="L4" s="16"/>
      <c r="M4" s="16"/>
      <c r="N4" s="16"/>
      <c r="O4" s="16"/>
    </row>
    <row r="5" spans="1:15" x14ac:dyDescent="0.2">
      <c r="A5" s="98" t="s">
        <v>885</v>
      </c>
      <c r="B5" s="99"/>
      <c r="E5" s="100" t="s">
        <v>886</v>
      </c>
      <c r="F5" t="s">
        <v>2172</v>
      </c>
      <c r="G5" s="55" t="s">
        <v>1027</v>
      </c>
      <c r="H5" s="55" t="s">
        <v>1028</v>
      </c>
      <c r="I5" s="55" t="s">
        <v>1029</v>
      </c>
      <c r="J5" s="55" t="s">
        <v>1030</v>
      </c>
      <c r="K5" s="55"/>
      <c r="L5" s="55"/>
      <c r="M5" s="55"/>
      <c r="N5" s="55"/>
    </row>
    <row r="6" spans="1:15" ht="15" customHeight="1" x14ac:dyDescent="0.2">
      <c r="A6" t="s">
        <v>891</v>
      </c>
      <c r="B6" t="b">
        <v>0</v>
      </c>
      <c r="E6" s="99"/>
      <c r="F6" s="61">
        <v>1</v>
      </c>
      <c r="G6" s="51">
        <v>0</v>
      </c>
      <c r="H6" s="59">
        <v>2.8</v>
      </c>
      <c r="I6" s="51">
        <v>0</v>
      </c>
      <c r="J6" s="51">
        <v>0</v>
      </c>
      <c r="N6" s="14"/>
    </row>
    <row r="7" spans="1:15" ht="15.75" customHeight="1" x14ac:dyDescent="0.2">
      <c r="E7" s="99"/>
      <c r="F7" s="61">
        <v>2</v>
      </c>
      <c r="G7" s="59">
        <v>5.4</v>
      </c>
      <c r="H7" s="59">
        <v>2.8</v>
      </c>
      <c r="I7" s="59">
        <v>11.1</v>
      </c>
      <c r="J7" s="59">
        <v>2.7</v>
      </c>
      <c r="N7" s="14"/>
    </row>
    <row r="8" spans="1:15" x14ac:dyDescent="0.2">
      <c r="E8" s="99"/>
      <c r="F8" s="61">
        <v>3</v>
      </c>
      <c r="G8" s="59">
        <v>21.6</v>
      </c>
      <c r="H8" s="59">
        <v>22.2</v>
      </c>
      <c r="I8" s="59">
        <v>27.8</v>
      </c>
      <c r="J8" s="59">
        <v>24.3</v>
      </c>
      <c r="N8" s="14"/>
    </row>
    <row r="9" spans="1:15" x14ac:dyDescent="0.2">
      <c r="A9" s="98" t="s">
        <v>893</v>
      </c>
      <c r="B9" s="99"/>
      <c r="E9" s="99"/>
      <c r="F9" s="61">
        <v>4</v>
      </c>
      <c r="G9" s="59">
        <v>16.2</v>
      </c>
      <c r="H9" s="59">
        <v>50</v>
      </c>
      <c r="I9" s="59">
        <v>36.1</v>
      </c>
      <c r="J9" s="59">
        <v>13.5</v>
      </c>
    </row>
    <row r="10" spans="1:15" x14ac:dyDescent="0.2">
      <c r="A10" t="s">
        <v>894</v>
      </c>
      <c r="B10" t="s">
        <v>983</v>
      </c>
      <c r="E10" s="99"/>
      <c r="F10" s="61">
        <v>5</v>
      </c>
      <c r="G10" s="59">
        <v>56.8</v>
      </c>
      <c r="H10" s="59">
        <v>22.2</v>
      </c>
      <c r="I10" s="59">
        <v>25</v>
      </c>
      <c r="J10" s="59">
        <v>59.5</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977</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349B5297-1770-40DA-95FE-07433BCC9C1C}">
      <formula1>"True,False"</formula1>
    </dataValidation>
    <dataValidation type="list" allowBlank="1" showInputMessage="1" showErrorMessage="1" sqref="B2" xr:uid="{86916453-58AC-4660-B19D-F7AA76A6ABC0}">
      <formula1>"Table,Figure,Both"</formula1>
    </dataValidation>
    <dataValidation type="list" allowBlank="1" showInputMessage="1" showErrorMessage="1" sqref="F4:O4" xr:uid="{2D0829F2-9CA9-45C6-8A50-91A2E7ACE04B}">
      <formula1>"integer, number, percent1"</formula1>
    </dataValidation>
    <dataValidation type="list" allowBlank="1" showInputMessage="1" showErrorMessage="1" sqref="B10" xr:uid="{C9D26CA8-4FFD-45E0-8EC1-A97C043DC5C2}">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B5AE2B3-03EB-4B7E-AF95-F998B6CF0762}">
          <x14:formula1>
            <xm:f>Master!$F$2:$F$293</xm:f>
          </x14:formula1>
          <xm:sqref>B1:O1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259C-F782-49C6-BDE0-D08D820E1816}">
  <dimension ref="A1:O57"/>
  <sheetViews>
    <sheetView workbookViewId="0">
      <selection activeCell="H23" sqref="H2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397</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tbl-WC-impact-mhsu</v>
      </c>
    </row>
    <row r="4" spans="1:15" x14ac:dyDescent="0.2">
      <c r="A4" s="58" t="s">
        <v>6</v>
      </c>
      <c r="B4" t="str">
        <f>IF($B$1="","",_xlfn.XLOOKUP($B$1,Master!$F$2:$F$308,Master!$H$2:$H$308,""))</f>
        <v>fig-WC-impact-mhsu</v>
      </c>
      <c r="E4" s="13"/>
      <c r="F4" s="16" t="s">
        <v>671</v>
      </c>
      <c r="G4" s="16" t="s">
        <v>679</v>
      </c>
      <c r="H4" s="16" t="s">
        <v>679</v>
      </c>
      <c r="I4" s="16" t="s">
        <v>679</v>
      </c>
      <c r="J4" s="16" t="s">
        <v>679</v>
      </c>
      <c r="K4" s="16" t="s">
        <v>679</v>
      </c>
      <c r="L4" s="16" t="s">
        <v>679</v>
      </c>
      <c r="M4" s="16"/>
      <c r="N4" s="16"/>
      <c r="O4" s="16"/>
    </row>
    <row r="5" spans="1:15" x14ac:dyDescent="0.2">
      <c r="A5" s="98" t="s">
        <v>885</v>
      </c>
      <c r="B5" s="99"/>
      <c r="E5" s="100" t="s">
        <v>886</v>
      </c>
      <c r="F5" t="s">
        <v>2172</v>
      </c>
      <c r="G5" s="55" t="s">
        <v>1031</v>
      </c>
      <c r="H5" s="55" t="s">
        <v>1032</v>
      </c>
      <c r="I5" s="55" t="s">
        <v>1033</v>
      </c>
      <c r="J5" s="55" t="s">
        <v>1034</v>
      </c>
      <c r="K5" s="55" t="s">
        <v>1035</v>
      </c>
      <c r="L5" s="55" t="s">
        <v>1036</v>
      </c>
      <c r="M5" s="55"/>
      <c r="N5" s="55"/>
    </row>
    <row r="6" spans="1:15" ht="15" customHeight="1" x14ac:dyDescent="0.2">
      <c r="A6" t="s">
        <v>891</v>
      </c>
      <c r="B6" t="b">
        <v>0</v>
      </c>
      <c r="E6" s="99"/>
      <c r="F6" s="61">
        <v>1</v>
      </c>
      <c r="G6" s="51">
        <v>0</v>
      </c>
      <c r="H6" s="59">
        <v>14.3</v>
      </c>
      <c r="I6" s="51">
        <v>0</v>
      </c>
      <c r="J6" s="59">
        <v>11.8</v>
      </c>
      <c r="K6" s="59">
        <v>8.6</v>
      </c>
      <c r="L6" s="59">
        <v>2.9</v>
      </c>
      <c r="N6" s="14"/>
    </row>
    <row r="7" spans="1:15" ht="15.75" customHeight="1" x14ac:dyDescent="0.2">
      <c r="E7" s="99"/>
      <c r="F7" s="61">
        <v>2</v>
      </c>
      <c r="G7" s="59">
        <v>2.9</v>
      </c>
      <c r="H7" s="59">
        <v>20</v>
      </c>
      <c r="I7" s="59">
        <v>5.7</v>
      </c>
      <c r="J7" s="59">
        <v>5.9</v>
      </c>
      <c r="K7" s="59">
        <v>11.4</v>
      </c>
      <c r="L7" s="59">
        <v>11.4</v>
      </c>
      <c r="N7" s="14"/>
    </row>
    <row r="8" spans="1:15" x14ac:dyDescent="0.2">
      <c r="E8" s="99"/>
      <c r="F8" s="61">
        <v>3</v>
      </c>
      <c r="G8" s="59">
        <v>2.9</v>
      </c>
      <c r="H8" s="59">
        <v>25.7</v>
      </c>
      <c r="I8" s="59">
        <v>11.4</v>
      </c>
      <c r="J8" s="59">
        <v>17.7</v>
      </c>
      <c r="K8" s="59">
        <v>17.100000000000001</v>
      </c>
      <c r="L8" s="59">
        <v>22.9</v>
      </c>
      <c r="N8" s="14"/>
    </row>
    <row r="9" spans="1:15" x14ac:dyDescent="0.2">
      <c r="A9" s="98" t="s">
        <v>893</v>
      </c>
      <c r="B9" s="99"/>
      <c r="E9" s="99"/>
      <c r="F9" s="61">
        <v>4</v>
      </c>
      <c r="G9" s="59">
        <v>28.6</v>
      </c>
      <c r="H9" s="59">
        <v>22.9</v>
      </c>
      <c r="I9" s="59">
        <v>37.1</v>
      </c>
      <c r="J9" s="59">
        <v>32.4</v>
      </c>
      <c r="K9" s="59">
        <v>31.4</v>
      </c>
      <c r="L9" s="59">
        <v>25.7</v>
      </c>
    </row>
    <row r="10" spans="1:15" x14ac:dyDescent="0.2">
      <c r="A10" t="s">
        <v>894</v>
      </c>
      <c r="B10" t="s">
        <v>983</v>
      </c>
      <c r="E10" s="99"/>
      <c r="F10" s="61">
        <v>5</v>
      </c>
      <c r="G10" s="59">
        <v>65.7</v>
      </c>
      <c r="H10" s="59">
        <v>17.100000000000001</v>
      </c>
      <c r="I10" s="59">
        <v>45.7</v>
      </c>
      <c r="J10" s="59">
        <v>32.4</v>
      </c>
      <c r="K10" s="59">
        <v>31.4</v>
      </c>
      <c r="L10" s="59">
        <v>37.1</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6F992EB1-661E-4BCF-8311-306D26C0A12F}">
      <formula1>"integer, number, percent1"</formula1>
    </dataValidation>
    <dataValidation type="list" allowBlank="1" showInputMessage="1" showErrorMessage="1" sqref="B2" xr:uid="{15082F87-D372-4A96-A3A7-0A5AB9B6DC2C}">
      <formula1>"Table,Figure,Both"</formula1>
    </dataValidation>
    <dataValidation type="list" allowBlank="1" showInputMessage="1" showErrorMessage="1" sqref="B6 B15" xr:uid="{D66987CF-0F2A-4D56-AB5F-75FE51739041}">
      <formula1>"True,False"</formula1>
    </dataValidation>
    <dataValidation type="list" allowBlank="1" showInputMessage="1" showErrorMessage="1" sqref="B10" xr:uid="{3612C8E6-5E61-487A-AA20-2865CE177BDA}">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6E277D2-7555-49AF-82F1-D11C65D256D4}">
          <x14:formula1>
            <xm:f>Master!$F$2:$F$293</xm:f>
          </x14:formula1>
          <xm:sqref>B1:O1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B508-A94D-4622-AC78-6890AAD5AFAB}">
  <dimension ref="A1:O57"/>
  <sheetViews>
    <sheetView workbookViewId="0">
      <selection activeCell="V52" sqref="V52"/>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401</v>
      </c>
      <c r="C1" s="97"/>
      <c r="D1" s="97"/>
      <c r="E1" s="97"/>
      <c r="F1" s="97"/>
      <c r="G1" s="97"/>
      <c r="H1" s="97"/>
      <c r="I1" s="97"/>
      <c r="J1" s="97"/>
      <c r="K1" s="97"/>
      <c r="L1" s="97"/>
      <c r="M1" s="97"/>
      <c r="N1" s="97"/>
      <c r="O1" s="97"/>
    </row>
    <row r="2" spans="1:15" x14ac:dyDescent="0.2">
      <c r="A2" s="58" t="s">
        <v>883</v>
      </c>
      <c r="B2" t="s">
        <v>56</v>
      </c>
    </row>
    <row r="3" spans="1:15" x14ac:dyDescent="0.2">
      <c r="A3" s="58" t="s">
        <v>884</v>
      </c>
      <c r="B3" t="str">
        <f>IF($B$1="","",_xlfn.XLOOKUP($B$1,Master!$F$2:$F$308,Master!$G$2:$G$308,""))</f>
        <v>tbl-WC-impact-hlthinsur-access</v>
      </c>
    </row>
    <row r="4" spans="1:15" x14ac:dyDescent="0.2">
      <c r="A4" s="58" t="s">
        <v>6</v>
      </c>
      <c r="B4" t="str">
        <f>IF($B$1="","",_xlfn.XLOOKUP($B$1,Master!$F$2:$F$308,Master!$H$2:$H$308,""))</f>
        <v>fig-WC-impact-hlthinsur-access</v>
      </c>
      <c r="E4" s="13"/>
      <c r="F4" s="81" t="s">
        <v>671</v>
      </c>
      <c r="G4" s="16" t="s">
        <v>679</v>
      </c>
      <c r="H4" s="16" t="s">
        <v>679</v>
      </c>
      <c r="I4" s="16" t="s">
        <v>679</v>
      </c>
      <c r="J4" s="16" t="s">
        <v>679</v>
      </c>
      <c r="K4" s="16"/>
      <c r="L4" s="16"/>
      <c r="M4" s="16"/>
      <c r="N4" s="16"/>
      <c r="O4" s="16"/>
    </row>
    <row r="5" spans="1:15" x14ac:dyDescent="0.2">
      <c r="A5" s="98" t="s">
        <v>885</v>
      </c>
      <c r="B5" s="99"/>
      <c r="E5" s="100" t="s">
        <v>886</v>
      </c>
      <c r="F5" s="82" t="s">
        <v>2172</v>
      </c>
      <c r="G5" t="s">
        <v>1037</v>
      </c>
      <c r="H5" t="s">
        <v>1038</v>
      </c>
      <c r="I5" t="s">
        <v>1039</v>
      </c>
      <c r="J5" t="s">
        <v>1040</v>
      </c>
      <c r="K5" s="55"/>
      <c r="L5" s="55"/>
      <c r="M5" s="55"/>
      <c r="N5" s="55"/>
    </row>
    <row r="6" spans="1:15" ht="15" customHeight="1" x14ac:dyDescent="0.2">
      <c r="A6" t="s">
        <v>891</v>
      </c>
      <c r="B6" t="b">
        <v>0</v>
      </c>
      <c r="E6" s="99"/>
      <c r="F6" s="83">
        <v>1</v>
      </c>
      <c r="G6" s="14">
        <v>11.4</v>
      </c>
      <c r="H6" s="14">
        <v>17.100000000000001</v>
      </c>
      <c r="I6" s="14">
        <v>5.9</v>
      </c>
      <c r="J6" s="14">
        <v>8.6</v>
      </c>
      <c r="N6" s="14"/>
    </row>
    <row r="7" spans="1:15" ht="15.75" customHeight="1" x14ac:dyDescent="0.2">
      <c r="E7" s="99"/>
      <c r="F7" s="83">
        <v>2</v>
      </c>
      <c r="G7" s="14">
        <v>20</v>
      </c>
      <c r="H7" s="14">
        <v>20</v>
      </c>
      <c r="I7" s="14">
        <v>8.8000000000000007</v>
      </c>
      <c r="J7" s="14">
        <v>5.7</v>
      </c>
      <c r="N7" s="14"/>
    </row>
    <row r="8" spans="1:15" x14ac:dyDescent="0.2">
      <c r="E8" s="99"/>
      <c r="F8" s="83">
        <v>3</v>
      </c>
      <c r="G8" s="14">
        <v>28.6</v>
      </c>
      <c r="H8" s="14">
        <v>28.6</v>
      </c>
      <c r="I8" s="14">
        <v>14.7</v>
      </c>
      <c r="J8" s="14">
        <v>20</v>
      </c>
      <c r="N8" s="14"/>
    </row>
    <row r="9" spans="1:15" x14ac:dyDescent="0.2">
      <c r="A9" s="98" t="s">
        <v>893</v>
      </c>
      <c r="B9" s="99"/>
      <c r="E9" s="99"/>
      <c r="F9" s="83">
        <v>4</v>
      </c>
      <c r="G9" s="14">
        <v>17.100000000000001</v>
      </c>
      <c r="H9" s="14">
        <v>14.3</v>
      </c>
      <c r="I9" s="14">
        <v>29.4</v>
      </c>
      <c r="J9" s="14">
        <v>34.299999999999997</v>
      </c>
    </row>
    <row r="10" spans="1:15" x14ac:dyDescent="0.2">
      <c r="A10" t="s">
        <v>894</v>
      </c>
      <c r="B10" t="s">
        <v>983</v>
      </c>
      <c r="E10" s="99"/>
      <c r="F10" s="83">
        <v>5</v>
      </c>
      <c r="G10" s="14">
        <v>22.9</v>
      </c>
      <c r="H10" s="14">
        <v>20</v>
      </c>
      <c r="I10" s="14">
        <v>41.2</v>
      </c>
      <c r="J10" s="14">
        <v>31.4</v>
      </c>
    </row>
    <row r="11" spans="1:15" x14ac:dyDescent="0.2">
      <c r="A11" t="s">
        <v>895</v>
      </c>
      <c r="B11" s="82" t="s">
        <v>2173</v>
      </c>
      <c r="E11" s="99"/>
    </row>
    <row r="12" spans="1:15" x14ac:dyDescent="0.2">
      <c r="A12" t="s">
        <v>896</v>
      </c>
      <c r="B12" s="82" t="s">
        <v>694</v>
      </c>
      <c r="E12" s="99"/>
    </row>
    <row r="13" spans="1:15" x14ac:dyDescent="0.2">
      <c r="A13" t="s">
        <v>897</v>
      </c>
      <c r="B13" s="82" t="s">
        <v>2173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A28" s="50"/>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88C0881F-5D9F-4A6F-8E78-408DA427831B}">
      <formula1>"True,False"</formula1>
    </dataValidation>
    <dataValidation type="list" allowBlank="1" showInputMessage="1" showErrorMessage="1" sqref="B2" xr:uid="{B396AA42-F261-4F06-9C62-AAC8EB828CC2}">
      <formula1>"Table,Figure,Both"</formula1>
    </dataValidation>
    <dataValidation type="list" allowBlank="1" showInputMessage="1" showErrorMessage="1" sqref="G4:O4" xr:uid="{8F26F512-BB96-4BCA-AAD2-64A0FBEA3217}">
      <formula1>"integer, number, percent1"</formula1>
    </dataValidation>
    <dataValidation type="list" allowBlank="1" showInputMessage="1" showErrorMessage="1" sqref="B10" xr:uid="{179ED949-B206-49AD-B05C-3F7272C37414}">
      <formula1>"Line, Bar, Clustered Bar, Stacked Bar, Horizontal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72D1A57-6BB7-46EC-ABBD-550B62F2532A}">
          <x14:formula1>
            <xm:f>Master!$F$2:$F$293</xm:f>
          </x14:formula1>
          <xm:sqref>B1:O1</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590D5-EECC-4AAD-88FB-CF88E520A222}">
  <sheetPr>
    <tabColor rgb="FF0070C0"/>
  </sheetPr>
  <dimension ref="A1"/>
  <sheetViews>
    <sheetView workbookViewId="0"/>
  </sheetViews>
  <sheetFormatPr baseColWidth="10" defaultColWidth="8.83203125" defaultRowHeight="15" x14ac:dyDescent="0.2"/>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058F-FA1B-4BE5-9B85-2C919787B3F3}">
  <dimension ref="A1:O57"/>
  <sheetViews>
    <sheetView workbookViewId="0">
      <selection activeCell="B11" sqref="B11"/>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405</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tbl-BRFSS-adult-leisure-PA</v>
      </c>
    </row>
    <row r="4" spans="1:15" x14ac:dyDescent="0.2">
      <c r="A4" s="58" t="s">
        <v>6</v>
      </c>
      <c r="B4" t="str">
        <f>IF($B$1="","",_xlfn.XLOOKUP($B$1,Master!$F$2:$F$308,Master!$H$2:$H$308,""))</f>
        <v>fig-BRFSS-leisure-PA</v>
      </c>
      <c r="E4" s="13"/>
      <c r="F4" s="16" t="s">
        <v>671</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t="s">
        <v>1123</v>
      </c>
      <c r="G5" t="s">
        <v>220</v>
      </c>
      <c r="H5" t="s">
        <v>18</v>
      </c>
      <c r="I5" t="s">
        <v>537</v>
      </c>
      <c r="J5" t="s">
        <v>449</v>
      </c>
      <c r="K5" s="55" t="s">
        <v>409</v>
      </c>
      <c r="L5" s="55" t="s">
        <v>421</v>
      </c>
      <c r="M5" s="55" t="s">
        <v>470</v>
      </c>
      <c r="N5" s="55" t="s">
        <v>914</v>
      </c>
      <c r="O5" t="s">
        <v>915</v>
      </c>
    </row>
    <row r="6" spans="1:15" ht="15" customHeight="1" x14ac:dyDescent="0.2">
      <c r="A6" t="s">
        <v>891</v>
      </c>
      <c r="B6" t="b">
        <v>0</v>
      </c>
      <c r="E6" s="99"/>
      <c r="F6">
        <v>2016</v>
      </c>
      <c r="G6" s="14">
        <v>74.7</v>
      </c>
      <c r="H6" s="14">
        <v>70.7</v>
      </c>
      <c r="I6" s="14">
        <v>75</v>
      </c>
      <c r="J6" s="14">
        <v>73.5</v>
      </c>
      <c r="K6">
        <v>72.400000000000006</v>
      </c>
      <c r="L6">
        <v>81.900000000000006</v>
      </c>
      <c r="M6">
        <v>77.099999999999994</v>
      </c>
      <c r="N6" s="14">
        <v>75</v>
      </c>
      <c r="O6">
        <v>74</v>
      </c>
    </row>
    <row r="7" spans="1:15" ht="15.75" customHeight="1" x14ac:dyDescent="0.2">
      <c r="E7" s="99"/>
      <c r="F7">
        <v>2018</v>
      </c>
      <c r="G7" s="14">
        <v>80.2</v>
      </c>
      <c r="H7" s="14">
        <v>70.5</v>
      </c>
      <c r="I7" s="14">
        <v>83.4</v>
      </c>
      <c r="J7" s="14">
        <v>76.900000000000006</v>
      </c>
      <c r="K7">
        <v>67.900000000000006</v>
      </c>
      <c r="L7">
        <v>79.900000000000006</v>
      </c>
      <c r="M7">
        <v>81.599999999999994</v>
      </c>
      <c r="N7" s="14">
        <v>78.3</v>
      </c>
      <c r="O7">
        <v>76.400000000000006</v>
      </c>
    </row>
    <row r="8" spans="1:15" x14ac:dyDescent="0.2">
      <c r="E8" s="99"/>
      <c r="F8">
        <v>2021</v>
      </c>
      <c r="G8" s="14">
        <v>76.8</v>
      </c>
      <c r="H8" s="14">
        <v>75.5</v>
      </c>
      <c r="I8" s="14">
        <v>78.7</v>
      </c>
      <c r="J8" s="14">
        <v>70.599999999999994</v>
      </c>
      <c r="K8">
        <v>75.7</v>
      </c>
      <c r="L8">
        <v>82.6</v>
      </c>
      <c r="M8">
        <v>78.400000000000006</v>
      </c>
      <c r="N8" s="14">
        <v>76.3</v>
      </c>
      <c r="O8">
        <v>74.599999999999994</v>
      </c>
    </row>
    <row r="9" spans="1:15" x14ac:dyDescent="0.2">
      <c r="A9" s="98" t="s">
        <v>893</v>
      </c>
      <c r="B9" s="99"/>
      <c r="E9" s="99"/>
      <c r="G9" s="14"/>
      <c r="H9" s="14"/>
      <c r="I9" s="14"/>
      <c r="J9" s="14"/>
    </row>
    <row r="10" spans="1:15" x14ac:dyDescent="0.2">
      <c r="A10" t="s">
        <v>894</v>
      </c>
      <c r="B10" t="s">
        <v>972</v>
      </c>
      <c r="E10" s="99"/>
      <c r="G10" s="14"/>
      <c r="H10" s="14"/>
      <c r="I10" s="14"/>
      <c r="J10" s="14"/>
    </row>
    <row r="11" spans="1:15" x14ac:dyDescent="0.2">
      <c r="A11" t="s">
        <v>895</v>
      </c>
      <c r="B11" t="s">
        <v>1123</v>
      </c>
      <c r="E11" s="99"/>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B20" t="s">
        <v>676</v>
      </c>
      <c r="E20" s="99"/>
    </row>
    <row r="21" spans="1:5" x14ac:dyDescent="0.2">
      <c r="A21" t="s">
        <v>905</v>
      </c>
      <c r="E21" s="99"/>
    </row>
    <row r="22" spans="1:5" x14ac:dyDescent="0.2">
      <c r="A22" t="s">
        <v>906</v>
      </c>
      <c r="E22" s="99"/>
    </row>
    <row r="23" spans="1:5" x14ac:dyDescent="0.2">
      <c r="A23" t="s">
        <v>907</v>
      </c>
      <c r="B23" t="s">
        <v>1121</v>
      </c>
      <c r="E23" s="99"/>
    </row>
    <row r="24" spans="1:5" x14ac:dyDescent="0.2">
      <c r="A24" t="s">
        <v>908</v>
      </c>
      <c r="B24">
        <v>2025</v>
      </c>
      <c r="E24" s="99"/>
    </row>
    <row r="25" spans="1:5" x14ac:dyDescent="0.2">
      <c r="A25" t="s">
        <v>909</v>
      </c>
      <c r="E25" s="99"/>
    </row>
    <row r="26" spans="1:5" x14ac:dyDescent="0.2">
      <c r="E26" s="99"/>
    </row>
    <row r="27" spans="1:5" x14ac:dyDescent="0.2">
      <c r="A27" s="101" t="s">
        <v>910</v>
      </c>
      <c r="B27" s="99"/>
      <c r="E27" s="99"/>
    </row>
    <row r="28" spans="1:5" x14ac:dyDescent="0.2">
      <c r="A28" t="s">
        <v>1122</v>
      </c>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2CF2468D-1A72-4943-B21C-4DC11D839933}">
      <formula1>"integer, number, percent1"</formula1>
    </dataValidation>
    <dataValidation type="list" allowBlank="1" showInputMessage="1" showErrorMessage="1" sqref="B10" xr:uid="{680A5AD5-80E7-4F9A-976B-72BB3F1A7EE7}">
      <formula1>"Line,Clustered Bar,Stacked Bar"</formula1>
    </dataValidation>
    <dataValidation type="list" allowBlank="1" showInputMessage="1" showErrorMessage="1" sqref="B2" xr:uid="{5550EE40-D00E-43F9-963C-A15C9069D2F4}">
      <formula1>"Table,Figure,Both"</formula1>
    </dataValidation>
    <dataValidation type="list" allowBlank="1" showInputMessage="1" showErrorMessage="1" sqref="B6 B15" xr:uid="{5D073846-DD5A-4D4B-B4DF-EE10C5EBC68F}">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34E4F98-E217-46E4-905F-1968B8CBA713}">
          <x14:formula1>
            <xm:f>Master!$F$2:$F$293</xm:f>
          </x14:formula1>
          <xm:sqref>B1:O1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DB75-F9DC-4515-B229-8E499A2E1961}">
  <dimension ref="A1:O57"/>
  <sheetViews>
    <sheetView workbookViewId="0">
      <selection activeCell="A28" sqref="A28:B28"/>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411</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tbl-BRFSS-adult-fruit-veg</v>
      </c>
    </row>
    <row r="4" spans="1:15" x14ac:dyDescent="0.2">
      <c r="A4" s="58" t="s">
        <v>6</v>
      </c>
      <c r="B4" t="str">
        <f>IF($B$1="","",_xlfn.XLOOKUP($B$1,Master!$F$2:$F$308,Master!$H$2:$H$308,""))</f>
        <v>fig-BRFSS-fruit-veg</v>
      </c>
      <c r="E4" s="13"/>
      <c r="F4" s="16" t="s">
        <v>671</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t="s">
        <v>1123</v>
      </c>
      <c r="G5" t="s">
        <v>220</v>
      </c>
      <c r="H5" t="s">
        <v>18</v>
      </c>
      <c r="I5" t="s">
        <v>537</v>
      </c>
      <c r="J5" t="s">
        <v>449</v>
      </c>
      <c r="K5" s="55" t="s">
        <v>409</v>
      </c>
      <c r="L5" s="55" t="s">
        <v>421</v>
      </c>
      <c r="M5" s="55" t="s">
        <v>470</v>
      </c>
      <c r="N5" s="55" t="s">
        <v>914</v>
      </c>
      <c r="O5" t="s">
        <v>915</v>
      </c>
    </row>
    <row r="6" spans="1:15" ht="15" customHeight="1" x14ac:dyDescent="0.2">
      <c r="A6" t="s">
        <v>891</v>
      </c>
      <c r="B6" t="b">
        <v>0</v>
      </c>
      <c r="E6" s="99"/>
      <c r="F6">
        <v>2016</v>
      </c>
      <c r="G6" s="14">
        <v>24.2</v>
      </c>
      <c r="H6" s="14">
        <v>24.5</v>
      </c>
      <c r="I6" s="14">
        <v>27</v>
      </c>
      <c r="J6" s="14">
        <v>25.9</v>
      </c>
      <c r="K6">
        <v>28.7</v>
      </c>
      <c r="L6">
        <v>22.9</v>
      </c>
      <c r="M6">
        <v>28.6</v>
      </c>
      <c r="N6" s="14">
        <v>29</v>
      </c>
      <c r="O6">
        <v>31.5</v>
      </c>
    </row>
    <row r="7" spans="1:15" ht="15.75" customHeight="1" x14ac:dyDescent="0.2">
      <c r="E7" s="99"/>
      <c r="F7">
        <v>2018</v>
      </c>
      <c r="G7" s="14">
        <v>25.4</v>
      </c>
      <c r="H7" s="14">
        <v>23.3</v>
      </c>
      <c r="I7" s="14">
        <v>22.9</v>
      </c>
      <c r="J7" s="14">
        <v>28.5</v>
      </c>
      <c r="K7">
        <v>23.5</v>
      </c>
      <c r="L7">
        <v>25.5</v>
      </c>
      <c r="M7" s="14">
        <v>25</v>
      </c>
      <c r="N7" s="14">
        <v>26.1</v>
      </c>
      <c r="O7">
        <v>28.1</v>
      </c>
    </row>
    <row r="8" spans="1:15" x14ac:dyDescent="0.2">
      <c r="E8" s="99"/>
      <c r="F8">
        <v>2021</v>
      </c>
      <c r="G8" s="14" t="s">
        <v>1124</v>
      </c>
      <c r="H8" s="14">
        <v>31.9</v>
      </c>
      <c r="I8" s="14">
        <v>30.1</v>
      </c>
      <c r="J8" s="14">
        <v>35.1</v>
      </c>
      <c r="K8">
        <v>30.5</v>
      </c>
      <c r="L8">
        <v>30.4</v>
      </c>
      <c r="M8">
        <v>30.5</v>
      </c>
      <c r="N8" s="14">
        <v>32.6</v>
      </c>
      <c r="O8">
        <v>34.200000000000003</v>
      </c>
    </row>
    <row r="9" spans="1:15" x14ac:dyDescent="0.2">
      <c r="A9" s="98" t="s">
        <v>893</v>
      </c>
      <c r="B9" s="99"/>
      <c r="E9" s="99"/>
      <c r="G9" s="14"/>
      <c r="H9" s="14"/>
      <c r="I9" s="14"/>
      <c r="J9" s="14"/>
    </row>
    <row r="10" spans="1:15" x14ac:dyDescent="0.2">
      <c r="A10" t="s">
        <v>894</v>
      </c>
      <c r="B10" t="s">
        <v>972</v>
      </c>
      <c r="E10" s="99"/>
      <c r="G10" s="14"/>
      <c r="H10" s="14"/>
      <c r="I10" s="14"/>
      <c r="J10" s="14"/>
    </row>
    <row r="11" spans="1:15" x14ac:dyDescent="0.2">
      <c r="A11" t="s">
        <v>895</v>
      </c>
      <c r="B11" t="s">
        <v>1123</v>
      </c>
      <c r="E11" s="99"/>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B20" t="s">
        <v>1125</v>
      </c>
      <c r="E20" s="99"/>
    </row>
    <row r="21" spans="1:5" x14ac:dyDescent="0.2">
      <c r="A21" t="s">
        <v>905</v>
      </c>
      <c r="E21" s="99"/>
    </row>
    <row r="22" spans="1:5" x14ac:dyDescent="0.2">
      <c r="A22" t="s">
        <v>906</v>
      </c>
      <c r="E22" s="99"/>
    </row>
    <row r="23" spans="1:5" x14ac:dyDescent="0.2">
      <c r="A23" t="s">
        <v>907</v>
      </c>
      <c r="B23" t="s">
        <v>1121</v>
      </c>
      <c r="E23" s="99"/>
    </row>
    <row r="24" spans="1:5" x14ac:dyDescent="0.2">
      <c r="A24" t="s">
        <v>908</v>
      </c>
      <c r="B24">
        <v>2025</v>
      </c>
      <c r="E24" s="99"/>
    </row>
    <row r="25" spans="1:5" x14ac:dyDescent="0.2">
      <c r="A25" t="s">
        <v>909</v>
      </c>
      <c r="E25" s="99"/>
    </row>
    <row r="26" spans="1:5" x14ac:dyDescent="0.2">
      <c r="E26" s="99"/>
    </row>
    <row r="27" spans="1:5" x14ac:dyDescent="0.2">
      <c r="A27" s="101" t="s">
        <v>910</v>
      </c>
      <c r="B27" s="99"/>
      <c r="E27" s="99"/>
    </row>
    <row r="28" spans="1:5" ht="300" customHeight="1" x14ac:dyDescent="0.2">
      <c r="A28" s="114" t="s">
        <v>1126</v>
      </c>
      <c r="B28" s="114"/>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7">
    <mergeCell ref="B1:O1"/>
    <mergeCell ref="A5:B5"/>
    <mergeCell ref="E5:E57"/>
    <mergeCell ref="A9:B9"/>
    <mergeCell ref="A18:B18"/>
    <mergeCell ref="A27:B27"/>
    <mergeCell ref="A28:B28"/>
  </mergeCells>
  <dataValidations count="4">
    <dataValidation type="list" allowBlank="1" showInputMessage="1" showErrorMessage="1" sqref="B6 B15" xr:uid="{46DC2866-C7D5-431E-B8F6-B294EA802643}">
      <formula1>"True,False"</formula1>
    </dataValidation>
    <dataValidation type="list" allowBlank="1" showInputMessage="1" showErrorMessage="1" sqref="B2" xr:uid="{14DE18BB-987C-4A10-9F85-6944182E2722}">
      <formula1>"Table,Figure,Both"</formula1>
    </dataValidation>
    <dataValidation type="list" allowBlank="1" showInputMessage="1" showErrorMessage="1" sqref="B10" xr:uid="{DF49AE5B-7384-4FA6-A4D7-938857151E38}">
      <formula1>"Line,Clustered Bar,Stacked Bar"</formula1>
    </dataValidation>
    <dataValidation type="list" allowBlank="1" showInputMessage="1" showErrorMessage="1" sqref="F4:O4" xr:uid="{45A384B0-B9DF-4860-A01A-8F29D5DD295B}">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79B5FF4-29F9-49E1-A2B6-51A9B58E0FF8}">
          <x14:formula1>
            <xm:f>Master!$F$2:$F$293</xm:f>
          </x14:formula1>
          <xm:sqref>B1:O1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91AF-B8DB-4F1E-AA6A-090AEA7DFA85}">
  <dimension ref="A1:O57"/>
  <sheetViews>
    <sheetView workbookViewId="0">
      <selection activeCell="J28" sqref="J28"/>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414</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tbl-BRFSS-adult-sug-bev</v>
      </c>
    </row>
    <row r="4" spans="1:15" x14ac:dyDescent="0.2">
      <c r="A4" s="58" t="s">
        <v>6</v>
      </c>
      <c r="B4" t="str">
        <f>IF($B$1="","",_xlfn.XLOOKUP($B$1,Master!$F$2:$F$308,Master!$H$2:$H$308,""))</f>
        <v>fig-BRFSS-sug-bev</v>
      </c>
      <c r="E4" s="13"/>
      <c r="F4" s="16" t="s">
        <v>671</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t="s">
        <v>1123</v>
      </c>
      <c r="G5" t="s">
        <v>220</v>
      </c>
      <c r="H5" t="s">
        <v>18</v>
      </c>
      <c r="I5" t="s">
        <v>537</v>
      </c>
      <c r="J5" t="s">
        <v>449</v>
      </c>
      <c r="K5" s="55" t="s">
        <v>409</v>
      </c>
      <c r="L5" s="55" t="s">
        <v>421</v>
      </c>
      <c r="M5" s="55" t="s">
        <v>470</v>
      </c>
      <c r="N5" s="55" t="s">
        <v>914</v>
      </c>
      <c r="O5" t="s">
        <v>915</v>
      </c>
    </row>
    <row r="6" spans="1:15" ht="15" customHeight="1" x14ac:dyDescent="0.2">
      <c r="A6" t="s">
        <v>891</v>
      </c>
      <c r="B6" t="b">
        <v>0</v>
      </c>
      <c r="E6" s="99"/>
      <c r="F6">
        <v>2016</v>
      </c>
      <c r="G6" s="14">
        <v>21.9</v>
      </c>
      <c r="H6" s="14">
        <v>25.5</v>
      </c>
      <c r="I6" s="14">
        <v>22.9</v>
      </c>
      <c r="J6" s="14">
        <v>23.1</v>
      </c>
      <c r="K6" s="14">
        <v>27</v>
      </c>
      <c r="L6">
        <v>23.6</v>
      </c>
      <c r="M6">
        <v>18.5</v>
      </c>
      <c r="N6" s="14">
        <v>24.6</v>
      </c>
      <c r="O6">
        <v>24.2</v>
      </c>
    </row>
    <row r="7" spans="1:15" ht="15.75" customHeight="1" x14ac:dyDescent="0.2">
      <c r="E7" s="99"/>
      <c r="F7">
        <v>2018</v>
      </c>
      <c r="G7" s="14">
        <v>23.5</v>
      </c>
      <c r="H7" s="14">
        <v>22.5</v>
      </c>
      <c r="I7" s="14">
        <v>25.6</v>
      </c>
      <c r="J7" s="14">
        <v>18.100000000000001</v>
      </c>
      <c r="K7">
        <v>31.5</v>
      </c>
      <c r="L7">
        <v>23.5</v>
      </c>
      <c r="M7" s="14">
        <v>20.3</v>
      </c>
      <c r="N7" s="14">
        <v>25.5</v>
      </c>
      <c r="O7">
        <v>24.7</v>
      </c>
    </row>
    <row r="8" spans="1:15" x14ac:dyDescent="0.2">
      <c r="E8" s="99"/>
      <c r="F8">
        <v>2021</v>
      </c>
      <c r="G8" s="14">
        <v>24.9</v>
      </c>
      <c r="H8" s="14">
        <v>21.3</v>
      </c>
      <c r="I8" s="14">
        <v>17.8</v>
      </c>
      <c r="J8" s="14">
        <v>21.7</v>
      </c>
      <c r="K8">
        <v>19.899999999999999</v>
      </c>
      <c r="L8">
        <v>19.399999999999999</v>
      </c>
      <c r="M8">
        <v>11.4</v>
      </c>
      <c r="N8" s="14">
        <v>20.2</v>
      </c>
      <c r="O8">
        <v>19.600000000000001</v>
      </c>
    </row>
    <row r="9" spans="1:15" x14ac:dyDescent="0.2">
      <c r="A9" s="98" t="s">
        <v>893</v>
      </c>
      <c r="B9" s="99"/>
      <c r="E9" s="99"/>
      <c r="G9" s="14"/>
      <c r="H9" s="14"/>
      <c r="I9" s="14"/>
      <c r="J9" s="14"/>
    </row>
    <row r="10" spans="1:15" x14ac:dyDescent="0.2">
      <c r="A10" t="s">
        <v>894</v>
      </c>
      <c r="B10" t="s">
        <v>972</v>
      </c>
      <c r="E10" s="99"/>
      <c r="G10" s="14"/>
      <c r="H10" s="14"/>
      <c r="I10" s="14"/>
      <c r="J10" s="14"/>
    </row>
    <row r="11" spans="1:15" x14ac:dyDescent="0.2">
      <c r="A11" t="s">
        <v>895</v>
      </c>
      <c r="B11" t="s">
        <v>1123</v>
      </c>
      <c r="E11" s="99"/>
    </row>
    <row r="12" spans="1:15" x14ac:dyDescent="0.2">
      <c r="A12" t="s">
        <v>896</v>
      </c>
      <c r="B12" t="s">
        <v>694</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B20" t="s">
        <v>1125</v>
      </c>
      <c r="E20" s="99"/>
    </row>
    <row r="21" spans="1:5" x14ac:dyDescent="0.2">
      <c r="A21" t="s">
        <v>905</v>
      </c>
      <c r="E21" s="99"/>
    </row>
    <row r="22" spans="1:5" x14ac:dyDescent="0.2">
      <c r="A22" t="s">
        <v>906</v>
      </c>
      <c r="E22" s="99"/>
    </row>
    <row r="23" spans="1:5" x14ac:dyDescent="0.2">
      <c r="A23" t="s">
        <v>907</v>
      </c>
      <c r="B23" t="s">
        <v>1121</v>
      </c>
      <c r="E23" s="99"/>
    </row>
    <row r="24" spans="1:5" x14ac:dyDescent="0.2">
      <c r="A24" t="s">
        <v>908</v>
      </c>
      <c r="B24">
        <v>2025</v>
      </c>
      <c r="E24" s="99"/>
    </row>
    <row r="25" spans="1:5" x14ac:dyDescent="0.2">
      <c r="A25" t="s">
        <v>909</v>
      </c>
      <c r="E25" s="99"/>
    </row>
    <row r="26" spans="1:5" x14ac:dyDescent="0.2">
      <c r="E26" s="99"/>
    </row>
    <row r="27" spans="1:5" x14ac:dyDescent="0.2">
      <c r="A27" s="101" t="s">
        <v>910</v>
      </c>
      <c r="B27" s="99"/>
      <c r="E27" s="99"/>
    </row>
    <row r="28" spans="1:5" ht="300" customHeight="1" x14ac:dyDescent="0.2">
      <c r="A28" s="114" t="s">
        <v>1127</v>
      </c>
      <c r="B28" s="114"/>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7">
    <mergeCell ref="B1:O1"/>
    <mergeCell ref="A5:B5"/>
    <mergeCell ref="E5:E57"/>
    <mergeCell ref="A9:B9"/>
    <mergeCell ref="A18:B18"/>
    <mergeCell ref="A27:B27"/>
    <mergeCell ref="A28:B28"/>
  </mergeCells>
  <dataValidations count="4">
    <dataValidation type="list" allowBlank="1" showInputMessage="1" showErrorMessage="1" sqref="F4:O4" xr:uid="{377C217A-9E55-4E97-8AFA-07438A3811F9}">
      <formula1>"integer, number, percent1"</formula1>
    </dataValidation>
    <dataValidation type="list" allowBlank="1" showInputMessage="1" showErrorMessage="1" sqref="B10" xr:uid="{4FBDA438-488F-496B-97B3-E5EDD56FF0D1}">
      <formula1>"Line,Clustered Bar,Stacked Bar"</formula1>
    </dataValidation>
    <dataValidation type="list" allowBlank="1" showInputMessage="1" showErrorMessage="1" sqref="B2" xr:uid="{823A84CF-2F45-4943-8CEF-ED4457C8F329}">
      <formula1>"Table,Figure,Both"</formula1>
    </dataValidation>
    <dataValidation type="list" allowBlank="1" showInputMessage="1" showErrorMessage="1" sqref="B6 B15" xr:uid="{11CC8C65-631A-47EA-B5A6-2CEB1F61A5C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284D6AF-26B7-4E23-B4A6-1508BAFB714A}">
          <x14:formula1>
            <xm:f>Master!$F$2:$F$293</xm:f>
          </x14:formula1>
          <xm:sqref>B1:O1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AB99-0353-42F1-A08F-D21CA9D5587A}">
  <sheetPr>
    <tabColor rgb="FF0070C0"/>
  </sheetPr>
  <dimension ref="A1"/>
  <sheetViews>
    <sheetView workbookViewId="0"/>
  </sheetViews>
  <sheetFormatPr baseColWidth="10" defaultColWidth="8.83203125" defaultRowHeight="15" x14ac:dyDescent="0.2"/>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571B-4553-4C67-9440-9197F99DC7BE}">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23" bestFit="1" customWidth="1"/>
    <col min="12" max="12" width="12.33203125" bestFit="1" customWidth="1"/>
    <col min="14" max="14" width="12.33203125" bestFit="1" customWidth="1"/>
    <col min="15" max="15" width="11" bestFit="1" customWidth="1"/>
  </cols>
  <sheetData>
    <row r="1" spans="1:15" x14ac:dyDescent="0.2">
      <c r="A1" s="58" t="s">
        <v>882</v>
      </c>
      <c r="B1" s="96" t="s">
        <v>417</v>
      </c>
      <c r="C1" s="97"/>
      <c r="D1" s="97"/>
      <c r="E1" s="97"/>
      <c r="F1" s="97"/>
      <c r="G1" s="97"/>
      <c r="H1" s="97"/>
      <c r="I1" s="97"/>
      <c r="J1" s="97"/>
      <c r="K1" s="97"/>
      <c r="L1" s="97"/>
      <c r="M1" s="97"/>
      <c r="N1" s="97"/>
      <c r="O1" s="97"/>
    </row>
    <row r="2" spans="1:15" x14ac:dyDescent="0.2">
      <c r="A2" s="58" t="s">
        <v>883</v>
      </c>
      <c r="B2" t="s">
        <v>12</v>
      </c>
    </row>
    <row r="3" spans="1:15" x14ac:dyDescent="0.2">
      <c r="A3" s="58" t="s">
        <v>884</v>
      </c>
      <c r="B3" t="str">
        <f>IF($B$1="","",_xlfn.XLOOKUP($B$1,Master!$F$2:$F$308,Master!$G$2:$G$308,""))</f>
        <v>tbl-five-lead-death-aar</v>
      </c>
    </row>
    <row r="4" spans="1:15" x14ac:dyDescent="0.2">
      <c r="A4" s="58" t="s">
        <v>6</v>
      </c>
      <c r="B4" t="str">
        <f>IF($B$1="","",_xlfn.XLOOKUP($B$1,Master!$F$2:$F$308,Master!$H$2:$H$308,""))</f>
        <v>fig-five-lead-death</v>
      </c>
      <c r="E4" s="13"/>
      <c r="F4" s="16" t="s">
        <v>671</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t="s">
        <v>887</v>
      </c>
      <c r="G5" t="s">
        <v>1128</v>
      </c>
      <c r="H5" t="s">
        <v>1129</v>
      </c>
      <c r="I5" t="s">
        <v>1130</v>
      </c>
      <c r="J5" t="s">
        <v>1131</v>
      </c>
      <c r="K5" s="55" t="s">
        <v>1132</v>
      </c>
      <c r="L5" s="55" t="s">
        <v>1133</v>
      </c>
      <c r="M5" s="55"/>
      <c r="N5" s="55"/>
    </row>
    <row r="6" spans="1:15" ht="15" customHeight="1" x14ac:dyDescent="0.2">
      <c r="A6" t="s">
        <v>891</v>
      </c>
      <c r="B6" t="b">
        <v>1</v>
      </c>
      <c r="E6" s="99"/>
      <c r="F6" s="101" t="s">
        <v>220</v>
      </c>
      <c r="G6" s="101"/>
      <c r="H6" s="14" t="s">
        <v>1134</v>
      </c>
      <c r="I6" s="14" t="s">
        <v>1049</v>
      </c>
      <c r="J6" s="14" t="s">
        <v>1135</v>
      </c>
      <c r="K6" s="14" t="s">
        <v>1136</v>
      </c>
      <c r="L6" t="s">
        <v>1137</v>
      </c>
      <c r="N6" s="14"/>
    </row>
    <row r="7" spans="1:15" ht="15.75" customHeight="1" x14ac:dyDescent="0.2">
      <c r="E7" s="99"/>
      <c r="F7" s="14" t="s">
        <v>1138</v>
      </c>
      <c r="G7" s="14">
        <v>2912</v>
      </c>
      <c r="H7" s="14">
        <v>771</v>
      </c>
      <c r="I7" s="14">
        <v>554</v>
      </c>
      <c r="J7" s="14">
        <v>204</v>
      </c>
      <c r="K7" s="14">
        <v>183</v>
      </c>
      <c r="L7" s="14">
        <v>109</v>
      </c>
      <c r="M7" s="14"/>
      <c r="N7" s="14"/>
    </row>
    <row r="8" spans="1:15" x14ac:dyDescent="0.2">
      <c r="E8" s="99"/>
      <c r="F8" s="14" t="s">
        <v>1139</v>
      </c>
      <c r="G8" s="14">
        <v>718.7</v>
      </c>
      <c r="H8" s="14">
        <v>183.8</v>
      </c>
      <c r="I8" s="14">
        <v>131.6</v>
      </c>
      <c r="J8" s="14">
        <v>65</v>
      </c>
      <c r="K8" s="14">
        <v>42.8</v>
      </c>
      <c r="L8" s="14">
        <v>26.3</v>
      </c>
      <c r="N8" s="14"/>
    </row>
    <row r="9" spans="1:15" x14ac:dyDescent="0.2">
      <c r="A9" s="98" t="s">
        <v>893</v>
      </c>
      <c r="B9" s="99"/>
      <c r="E9" s="99"/>
      <c r="F9" s="115" t="s">
        <v>18</v>
      </c>
      <c r="G9" s="115"/>
      <c r="H9" s="14" t="s">
        <v>1134</v>
      </c>
      <c r="I9" s="14" t="s">
        <v>1049</v>
      </c>
      <c r="J9" s="14" t="s">
        <v>1135</v>
      </c>
      <c r="K9" s="14" t="s">
        <v>1136</v>
      </c>
      <c r="L9" s="14" t="s">
        <v>1137</v>
      </c>
    </row>
    <row r="10" spans="1:15" x14ac:dyDescent="0.2">
      <c r="A10" t="s">
        <v>894</v>
      </c>
      <c r="E10" s="99"/>
      <c r="F10" s="14" t="s">
        <v>1138</v>
      </c>
      <c r="G10" s="14">
        <v>3220</v>
      </c>
      <c r="H10" s="14">
        <v>650</v>
      </c>
      <c r="I10" s="14">
        <v>609</v>
      </c>
      <c r="J10" s="14">
        <v>251</v>
      </c>
      <c r="K10" s="14">
        <v>230</v>
      </c>
      <c r="L10" s="14">
        <v>124</v>
      </c>
    </row>
    <row r="11" spans="1:15" x14ac:dyDescent="0.2">
      <c r="A11" t="s">
        <v>895</v>
      </c>
      <c r="E11" s="99"/>
      <c r="F11" s="14" t="s">
        <v>1139</v>
      </c>
      <c r="G11" s="14">
        <v>744.8</v>
      </c>
      <c r="H11" s="14">
        <v>150</v>
      </c>
      <c r="I11" s="14">
        <v>132.5</v>
      </c>
      <c r="J11" s="14">
        <v>61.7</v>
      </c>
      <c r="K11" s="14">
        <v>53.2</v>
      </c>
      <c r="L11" s="14">
        <v>29.3</v>
      </c>
    </row>
    <row r="12" spans="1:15" x14ac:dyDescent="0.2">
      <c r="A12" t="s">
        <v>896</v>
      </c>
      <c r="E12" s="99"/>
      <c r="F12" s="115" t="s">
        <v>537</v>
      </c>
      <c r="G12" s="115"/>
      <c r="H12" s="14" t="s">
        <v>1134</v>
      </c>
      <c r="I12" s="14" t="s">
        <v>1049</v>
      </c>
      <c r="J12" s="14" t="s">
        <v>1135</v>
      </c>
      <c r="K12" s="14" t="s">
        <v>1136</v>
      </c>
      <c r="L12" s="14" t="s">
        <v>1140</v>
      </c>
    </row>
    <row r="13" spans="1:15" x14ac:dyDescent="0.2">
      <c r="A13" t="s">
        <v>897</v>
      </c>
      <c r="E13" s="99"/>
      <c r="F13" s="14" t="s">
        <v>1138</v>
      </c>
      <c r="G13" s="14">
        <v>846</v>
      </c>
      <c r="H13" s="14">
        <v>194</v>
      </c>
      <c r="I13" s="14">
        <v>169</v>
      </c>
      <c r="J13" s="14">
        <v>49</v>
      </c>
      <c r="K13" s="14">
        <v>37</v>
      </c>
      <c r="L13" s="14">
        <v>31</v>
      </c>
    </row>
    <row r="14" spans="1:15" x14ac:dyDescent="0.2">
      <c r="A14" t="s">
        <v>899</v>
      </c>
      <c r="E14" s="99"/>
      <c r="F14" s="14" t="s">
        <v>1139</v>
      </c>
      <c r="G14" s="14">
        <v>637.1</v>
      </c>
      <c r="H14" s="14">
        <v>144.69999999999999</v>
      </c>
      <c r="I14" s="14">
        <v>118.6</v>
      </c>
      <c r="J14" s="14">
        <v>46.2</v>
      </c>
      <c r="K14" s="14">
        <v>28.9</v>
      </c>
      <c r="L14" s="14">
        <v>22.7</v>
      </c>
    </row>
    <row r="15" spans="1:15" x14ac:dyDescent="0.2">
      <c r="A15" t="s">
        <v>901</v>
      </c>
      <c r="E15" s="99"/>
      <c r="F15" s="115" t="s">
        <v>449</v>
      </c>
      <c r="G15" s="115"/>
      <c r="H15" s="14" t="s">
        <v>1134</v>
      </c>
      <c r="I15" s="14" t="s">
        <v>1049</v>
      </c>
      <c r="J15" s="14" t="s">
        <v>1136</v>
      </c>
      <c r="K15" s="14" t="s">
        <v>1135</v>
      </c>
      <c r="L15" s="14" t="s">
        <v>1140</v>
      </c>
    </row>
    <row r="16" spans="1:15" x14ac:dyDescent="0.2">
      <c r="E16" s="99"/>
      <c r="F16" s="14" t="s">
        <v>1138</v>
      </c>
      <c r="G16" s="14">
        <v>2347</v>
      </c>
      <c r="H16" s="14">
        <v>542</v>
      </c>
      <c r="I16" s="14">
        <v>456</v>
      </c>
      <c r="J16" s="14">
        <v>194</v>
      </c>
      <c r="K16" s="14">
        <v>123</v>
      </c>
      <c r="L16" s="14">
        <v>83</v>
      </c>
    </row>
    <row r="17" spans="1:12" x14ac:dyDescent="0.2">
      <c r="E17" s="99"/>
      <c r="F17" s="14" t="s">
        <v>1139</v>
      </c>
      <c r="G17" s="14">
        <v>562.4</v>
      </c>
      <c r="H17" s="14">
        <v>125.1</v>
      </c>
      <c r="I17" s="14">
        <v>110.9</v>
      </c>
      <c r="J17" s="14">
        <v>45.5</v>
      </c>
      <c r="K17" s="14">
        <v>35.1</v>
      </c>
      <c r="L17" s="14">
        <v>19.3</v>
      </c>
    </row>
    <row r="18" spans="1:12" x14ac:dyDescent="0.2">
      <c r="A18" s="98" t="s">
        <v>902</v>
      </c>
      <c r="B18" s="99"/>
      <c r="E18" s="99"/>
      <c r="F18" s="115" t="s">
        <v>409</v>
      </c>
      <c r="G18" s="115"/>
      <c r="H18" s="14" t="s">
        <v>1134</v>
      </c>
      <c r="I18" s="14" t="s">
        <v>1049</v>
      </c>
      <c r="J18" s="14" t="s">
        <v>1135</v>
      </c>
      <c r="K18" s="14" t="s">
        <v>1136</v>
      </c>
      <c r="L18" s="14" t="s">
        <v>1137</v>
      </c>
    </row>
    <row r="19" spans="1:12" x14ac:dyDescent="0.2">
      <c r="A19" t="s">
        <v>903</v>
      </c>
      <c r="E19" s="99"/>
      <c r="F19" s="14" t="s">
        <v>1138</v>
      </c>
      <c r="G19" s="14">
        <v>888</v>
      </c>
      <c r="H19" s="14">
        <v>195</v>
      </c>
      <c r="I19" s="14">
        <v>165</v>
      </c>
      <c r="J19" s="14">
        <v>75</v>
      </c>
      <c r="K19" s="14">
        <v>62</v>
      </c>
      <c r="L19" s="14">
        <v>44</v>
      </c>
    </row>
    <row r="20" spans="1:12" x14ac:dyDescent="0.2">
      <c r="A20" t="s">
        <v>904</v>
      </c>
      <c r="E20" s="99"/>
      <c r="F20" s="14" t="s">
        <v>1139</v>
      </c>
      <c r="G20" s="14">
        <v>908.5</v>
      </c>
      <c r="H20" s="14">
        <v>199.1</v>
      </c>
      <c r="I20" s="14">
        <v>153.19999999999999</v>
      </c>
      <c r="J20" s="14">
        <v>94.6</v>
      </c>
      <c r="K20" s="14">
        <v>60</v>
      </c>
      <c r="L20" s="14">
        <v>41.5</v>
      </c>
    </row>
    <row r="21" spans="1:12" x14ac:dyDescent="0.2">
      <c r="A21" t="s">
        <v>905</v>
      </c>
      <c r="E21" s="99"/>
      <c r="F21" s="115" t="s">
        <v>421</v>
      </c>
      <c r="G21" s="115"/>
      <c r="H21" s="14" t="s">
        <v>1134</v>
      </c>
      <c r="I21" s="14" t="s">
        <v>1049</v>
      </c>
      <c r="J21" s="14" t="s">
        <v>1135</v>
      </c>
      <c r="K21" s="14" t="s">
        <v>1136</v>
      </c>
      <c r="L21" s="14" t="s">
        <v>1137</v>
      </c>
    </row>
    <row r="22" spans="1:12" x14ac:dyDescent="0.2">
      <c r="A22" t="s">
        <v>906</v>
      </c>
      <c r="E22" s="99"/>
      <c r="F22" s="14" t="s">
        <v>1138</v>
      </c>
      <c r="G22" s="14">
        <v>1977</v>
      </c>
      <c r="H22" s="14">
        <v>512</v>
      </c>
      <c r="I22" s="14">
        <v>396</v>
      </c>
      <c r="J22" s="14">
        <v>128</v>
      </c>
      <c r="K22" s="14">
        <v>93</v>
      </c>
      <c r="L22" s="14">
        <v>92</v>
      </c>
    </row>
    <row r="23" spans="1:12" x14ac:dyDescent="0.2">
      <c r="A23" t="s">
        <v>907</v>
      </c>
      <c r="E23" s="99"/>
      <c r="F23" s="14" t="s">
        <v>1139</v>
      </c>
      <c r="G23" s="14">
        <v>745</v>
      </c>
      <c r="H23" s="14">
        <v>187.6</v>
      </c>
      <c r="I23" s="14">
        <v>140.5</v>
      </c>
      <c r="J23" s="14">
        <v>61.6</v>
      </c>
      <c r="K23" s="14">
        <v>34</v>
      </c>
      <c r="L23" s="14">
        <v>32</v>
      </c>
    </row>
    <row r="24" spans="1:12" x14ac:dyDescent="0.2">
      <c r="A24" t="s">
        <v>908</v>
      </c>
      <c r="E24" s="99"/>
      <c r="F24" s="115" t="s">
        <v>470</v>
      </c>
      <c r="G24" s="115"/>
      <c r="H24" s="14" t="s">
        <v>1134</v>
      </c>
      <c r="I24" s="14" t="s">
        <v>1049</v>
      </c>
      <c r="J24" s="14" t="s">
        <v>1136</v>
      </c>
      <c r="K24" s="14" t="s">
        <v>1140</v>
      </c>
      <c r="L24" s="14" t="s">
        <v>1135</v>
      </c>
    </row>
    <row r="25" spans="1:12" x14ac:dyDescent="0.2">
      <c r="A25" t="s">
        <v>909</v>
      </c>
      <c r="E25" s="99"/>
      <c r="F25" s="14" t="s">
        <v>1138</v>
      </c>
      <c r="G25" s="14">
        <v>7666</v>
      </c>
      <c r="H25" s="14">
        <v>1915</v>
      </c>
      <c r="I25" s="14">
        <v>1402</v>
      </c>
      <c r="J25" s="14">
        <v>511</v>
      </c>
      <c r="K25" s="14">
        <v>340</v>
      </c>
      <c r="L25" s="14">
        <v>339</v>
      </c>
    </row>
    <row r="26" spans="1:12" x14ac:dyDescent="0.2">
      <c r="E26" s="99"/>
      <c r="F26" s="14" t="s">
        <v>1139</v>
      </c>
      <c r="G26" s="14">
        <v>548</v>
      </c>
      <c r="H26" s="14">
        <v>130.30000000000001</v>
      </c>
      <c r="I26" s="14">
        <v>100.2</v>
      </c>
      <c r="J26" s="14">
        <v>35.5</v>
      </c>
      <c r="K26" s="14">
        <v>23.6</v>
      </c>
      <c r="L26" s="14">
        <v>30.4</v>
      </c>
    </row>
    <row r="27" spans="1:12" x14ac:dyDescent="0.2">
      <c r="A27" s="101" t="s">
        <v>910</v>
      </c>
      <c r="B27" s="99"/>
      <c r="E27" s="99"/>
      <c r="F27" s="115" t="s">
        <v>914</v>
      </c>
      <c r="G27" s="115"/>
      <c r="H27" s="14" t="s">
        <v>1134</v>
      </c>
      <c r="I27" s="14" t="s">
        <v>1049</v>
      </c>
      <c r="J27" s="14" t="s">
        <v>1136</v>
      </c>
      <c r="K27" s="14" t="s">
        <v>1135</v>
      </c>
      <c r="L27" s="14" t="s">
        <v>1137</v>
      </c>
    </row>
    <row r="28" spans="1:12" x14ac:dyDescent="0.2">
      <c r="A28" s="114"/>
      <c r="B28" s="114"/>
      <c r="E28" s="99"/>
      <c r="F28" s="14" t="s">
        <v>1138</v>
      </c>
      <c r="G28" s="14">
        <v>113504</v>
      </c>
      <c r="H28" s="14">
        <v>26138</v>
      </c>
      <c r="I28" s="14">
        <v>21715</v>
      </c>
      <c r="J28" s="14">
        <v>6607</v>
      </c>
      <c r="K28" s="14">
        <v>6596</v>
      </c>
      <c r="L28" s="14">
        <v>4595</v>
      </c>
    </row>
    <row r="29" spans="1:12" x14ac:dyDescent="0.2">
      <c r="E29" s="99"/>
      <c r="F29" s="14" t="s">
        <v>1139</v>
      </c>
      <c r="G29" s="14">
        <v>744.2</v>
      </c>
      <c r="H29" s="14">
        <v>165.9</v>
      </c>
      <c r="I29" s="14">
        <v>137</v>
      </c>
      <c r="J29" s="14">
        <v>42.3</v>
      </c>
      <c r="K29" s="14">
        <v>54.1</v>
      </c>
      <c r="L29" s="14">
        <v>28.7</v>
      </c>
    </row>
    <row r="30" spans="1:12" x14ac:dyDescent="0.2">
      <c r="E30" s="99"/>
      <c r="F30" s="115" t="s">
        <v>915</v>
      </c>
      <c r="G30" s="115"/>
      <c r="H30" s="14" t="s">
        <v>1134</v>
      </c>
      <c r="I30" s="14" t="s">
        <v>1049</v>
      </c>
      <c r="J30" s="14" t="s">
        <v>1136</v>
      </c>
      <c r="K30" s="14" t="s">
        <v>1135</v>
      </c>
      <c r="L30" s="14" t="s">
        <v>1140</v>
      </c>
    </row>
    <row r="31" spans="1:12" x14ac:dyDescent="0.2">
      <c r="E31" s="99"/>
      <c r="F31" s="14" t="s">
        <v>1138</v>
      </c>
      <c r="G31" s="14">
        <v>173958</v>
      </c>
      <c r="H31" s="14">
        <v>43029</v>
      </c>
      <c r="I31" s="14">
        <v>32517</v>
      </c>
      <c r="J31" s="14">
        <v>11167</v>
      </c>
      <c r="K31" s="14">
        <v>10811</v>
      </c>
      <c r="L31" s="14">
        <v>6556</v>
      </c>
    </row>
    <row r="32" spans="1:12" x14ac:dyDescent="0.2">
      <c r="E32" s="99"/>
      <c r="F32" s="14" t="s">
        <v>1139</v>
      </c>
      <c r="G32" s="14">
        <v>679.5</v>
      </c>
      <c r="H32" s="14">
        <v>163.1</v>
      </c>
      <c r="I32" s="14">
        <v>123.4</v>
      </c>
      <c r="J32" s="14">
        <v>42.6</v>
      </c>
      <c r="K32" s="14">
        <v>50</v>
      </c>
      <c r="L32" s="14">
        <v>25.1</v>
      </c>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6">
    <mergeCell ref="F30:G30"/>
    <mergeCell ref="B1:O1"/>
    <mergeCell ref="A5:B5"/>
    <mergeCell ref="E5:E57"/>
    <mergeCell ref="A9:B9"/>
    <mergeCell ref="A18:B18"/>
    <mergeCell ref="A27:B27"/>
    <mergeCell ref="A28:B28"/>
    <mergeCell ref="F6:G6"/>
    <mergeCell ref="F9:G9"/>
    <mergeCell ref="F12:G12"/>
    <mergeCell ref="F15:G15"/>
    <mergeCell ref="F18:G18"/>
    <mergeCell ref="F21:G21"/>
    <mergeCell ref="F24:G24"/>
    <mergeCell ref="F27:G27"/>
  </mergeCells>
  <dataValidations count="4">
    <dataValidation type="list" allowBlank="1" showInputMessage="1" showErrorMessage="1" sqref="B6 B15" xr:uid="{5DC2BD33-6E1F-479A-B478-A980B07C7592}">
      <formula1>"True,False"</formula1>
    </dataValidation>
    <dataValidation type="list" allowBlank="1" showInputMessage="1" showErrorMessage="1" sqref="B2" xr:uid="{E1494CCD-A395-4AD7-A65B-BD1441FD8DC1}">
      <formula1>"Table,Figure,Both"</formula1>
    </dataValidation>
    <dataValidation type="list" allowBlank="1" showInputMessage="1" showErrorMessage="1" sqref="B10" xr:uid="{48648B9A-164D-4402-A7B4-CA446D856480}">
      <formula1>"Line,Clustered Bar,Stacked Bar"</formula1>
    </dataValidation>
    <dataValidation type="list" allowBlank="1" showInputMessage="1" showErrorMessage="1" sqref="F4:O4" xr:uid="{FDBDB4A2-B037-4520-B0DF-7BE317D0C2C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C8054C7-8C6C-40FB-A741-BCC9D0B90761}">
          <x14:formula1>
            <xm:f>Master!$F$2:$F$293</xm:f>
          </x14:formula1>
          <xm:sqref>B1:O1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F792-6A4D-4B19-BF66-BE464AF755F5}">
  <dimension ref="A1:P57"/>
  <sheetViews>
    <sheetView workbookViewId="0">
      <selection activeCell="B12" sqref="B12"/>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423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tbl-premature-death-percent</v>
      </c>
    </row>
    <row r="4" spans="1:16" x14ac:dyDescent="0.2">
      <c r="A4" s="58" t="s">
        <v>6</v>
      </c>
      <c r="B4" t="str">
        <f>IF($B$1="","",_xlfn.XLOOKUP($B$1,Master!$F$2:$F$308,Master!$H$2:$H$308,""))</f>
        <v>fig-premature-death-percent</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t="s">
        <v>220</v>
      </c>
      <c r="H5" t="s">
        <v>18</v>
      </c>
      <c r="I5" t="s">
        <v>537</v>
      </c>
      <c r="J5" t="s">
        <v>449</v>
      </c>
      <c r="K5" s="55" t="s">
        <v>409</v>
      </c>
      <c r="L5" s="55" t="s">
        <v>421</v>
      </c>
      <c r="M5" s="55" t="s">
        <v>470</v>
      </c>
      <c r="N5" s="55" t="s">
        <v>898</v>
      </c>
      <c r="O5" t="s">
        <v>914</v>
      </c>
      <c r="P5" t="s">
        <v>915</v>
      </c>
    </row>
    <row r="6" spans="1:16" ht="15" customHeight="1" x14ac:dyDescent="0.2">
      <c r="A6" t="s">
        <v>891</v>
      </c>
      <c r="B6" t="b">
        <v>0</v>
      </c>
      <c r="E6" s="99"/>
      <c r="F6">
        <v>2019</v>
      </c>
      <c r="G6">
        <v>21.1</v>
      </c>
      <c r="H6" s="14">
        <v>25.3</v>
      </c>
      <c r="I6" s="14">
        <v>18.899999999999999</v>
      </c>
      <c r="J6" s="14">
        <v>19.399999999999999</v>
      </c>
      <c r="K6" s="14">
        <v>26.8</v>
      </c>
      <c r="L6">
        <v>20.5</v>
      </c>
      <c r="M6">
        <v>18</v>
      </c>
      <c r="N6" s="14">
        <v>20.399999999999999</v>
      </c>
      <c r="O6">
        <v>21</v>
      </c>
      <c r="P6">
        <v>22.7</v>
      </c>
    </row>
    <row r="7" spans="1:16" ht="15.75" customHeight="1" x14ac:dyDescent="0.2">
      <c r="E7" s="99"/>
      <c r="F7">
        <v>2020</v>
      </c>
      <c r="G7">
        <v>23.5</v>
      </c>
      <c r="H7" s="14">
        <v>24.5</v>
      </c>
      <c r="I7" s="14">
        <v>19.7</v>
      </c>
      <c r="J7" s="14">
        <v>21.4</v>
      </c>
      <c r="K7">
        <v>27.3</v>
      </c>
      <c r="L7">
        <v>23</v>
      </c>
      <c r="M7" s="14">
        <v>19.2</v>
      </c>
      <c r="N7" s="14">
        <v>21.5</v>
      </c>
      <c r="O7">
        <v>21.5</v>
      </c>
      <c r="P7">
        <v>23.3</v>
      </c>
    </row>
    <row r="8" spans="1:16" x14ac:dyDescent="0.2">
      <c r="E8" s="99"/>
      <c r="F8">
        <v>2021</v>
      </c>
      <c r="G8">
        <v>22.3</v>
      </c>
      <c r="H8" s="14">
        <v>27.3</v>
      </c>
      <c r="I8" s="14">
        <v>17.399999999999999</v>
      </c>
      <c r="J8" s="14">
        <v>21.1</v>
      </c>
      <c r="K8">
        <v>29.7</v>
      </c>
      <c r="L8">
        <v>22.8</v>
      </c>
      <c r="M8">
        <v>19.7</v>
      </c>
      <c r="N8" s="14">
        <v>22.1</v>
      </c>
      <c r="O8">
        <v>22.7</v>
      </c>
      <c r="P8">
        <v>24.4</v>
      </c>
    </row>
    <row r="9" spans="1:16" x14ac:dyDescent="0.2">
      <c r="A9" s="98" t="s">
        <v>893</v>
      </c>
      <c r="B9" s="99"/>
      <c r="E9" s="99"/>
      <c r="F9">
        <v>2022</v>
      </c>
      <c r="G9">
        <v>22.7</v>
      </c>
      <c r="H9" s="14">
        <v>25.1</v>
      </c>
      <c r="I9" s="14">
        <v>20.6</v>
      </c>
      <c r="J9" s="14">
        <v>18.5</v>
      </c>
      <c r="K9">
        <v>28.8</v>
      </c>
      <c r="L9">
        <v>21.9</v>
      </c>
      <c r="M9">
        <v>18.399999999999999</v>
      </c>
      <c r="N9">
        <v>21</v>
      </c>
      <c r="O9">
        <v>22</v>
      </c>
      <c r="P9">
        <v>23.6</v>
      </c>
    </row>
    <row r="10" spans="1:16" x14ac:dyDescent="0.2">
      <c r="A10" t="s">
        <v>894</v>
      </c>
      <c r="B10" t="s">
        <v>972</v>
      </c>
      <c r="E10" s="99"/>
      <c r="H10" s="14"/>
      <c r="I10" s="14"/>
      <c r="J10" s="14"/>
    </row>
    <row r="11" spans="1:16" x14ac:dyDescent="0.2">
      <c r="A11" t="s">
        <v>895</v>
      </c>
      <c r="B11" t="s">
        <v>1123</v>
      </c>
      <c r="E11" s="99"/>
    </row>
    <row r="12" spans="1:16" x14ac:dyDescent="0.2">
      <c r="A12" t="s">
        <v>896</v>
      </c>
      <c r="B12" t="s">
        <v>694</v>
      </c>
      <c r="E12" s="99"/>
    </row>
    <row r="13" spans="1:16" x14ac:dyDescent="0.2">
      <c r="A13" t="s">
        <v>897</v>
      </c>
      <c r="B13" t="s">
        <v>1123</v>
      </c>
      <c r="E13" s="99"/>
    </row>
    <row r="14" spans="1:16" x14ac:dyDescent="0.2">
      <c r="A14" t="s">
        <v>899</v>
      </c>
      <c r="B14" t="s">
        <v>694</v>
      </c>
      <c r="E14" s="99"/>
    </row>
    <row r="15" spans="1:16" x14ac:dyDescent="0.2">
      <c r="A15" t="s">
        <v>901</v>
      </c>
      <c r="B15" t="b">
        <v>0</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1398</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A27:B27"/>
    <mergeCell ref="A28:B28"/>
    <mergeCell ref="B1:O1"/>
    <mergeCell ref="A5:B5"/>
    <mergeCell ref="E5:E57"/>
    <mergeCell ref="A9:B9"/>
    <mergeCell ref="A18:B18"/>
    <mergeCell ref="A29:D40"/>
  </mergeCells>
  <dataValidations count="4">
    <dataValidation type="list" allowBlank="1" showInputMessage="1" showErrorMessage="1" sqref="F4:P4" xr:uid="{C9C0D39F-3AC4-4ECA-B917-534FAE019C5E}">
      <formula1>"integer, number, percent1"</formula1>
    </dataValidation>
    <dataValidation type="list" allowBlank="1" showInputMessage="1" showErrorMessage="1" sqref="B10" xr:uid="{ED68FD89-C0C2-46F6-9066-415F24641B7D}">
      <formula1>"Line,Clustered Bar,Stacked Bar"</formula1>
    </dataValidation>
    <dataValidation type="list" allowBlank="1" showInputMessage="1" showErrorMessage="1" sqref="B2" xr:uid="{94185FAA-6E99-4904-AF13-4067D0C8405A}">
      <formula1>"Table,Figure,Both"</formula1>
    </dataValidation>
    <dataValidation type="list" allowBlank="1" showInputMessage="1" showErrorMessage="1" sqref="B6 B15" xr:uid="{DE8F3BB0-3EC6-4169-AE86-C2B331AF193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25C6547-FF00-4721-A87D-2CF4F59EDB2A}">
          <x14:formula1>
            <xm:f>Master!$F$2:$F$293</xm:f>
          </x14:formula1>
          <xm:sqref>B1:O1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33FAD-DE90-4843-A4ED-A29ED16BD637}">
  <dimension ref="A1:P57"/>
  <sheetViews>
    <sheetView workbookViewId="0">
      <selection activeCell="I23" sqref="I2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425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tbl-premature-death-percent-diff-BNHvsWNH</v>
      </c>
    </row>
    <row r="4" spans="1:16" x14ac:dyDescent="0.2">
      <c r="A4" s="58" t="s">
        <v>6</v>
      </c>
      <c r="B4" t="str">
        <f>IF($B$1="","",_xlfn.XLOOKUP($B$1,Master!$F$2:$F$308,Master!$H$2:$H$308,""))</f>
        <v>fig-premature-death-percent-diff-BNHvsWNH</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t="s">
        <v>220</v>
      </c>
      <c r="H5" t="s">
        <v>18</v>
      </c>
      <c r="I5" t="s">
        <v>537</v>
      </c>
      <c r="J5" t="s">
        <v>449</v>
      </c>
      <c r="K5" s="55" t="s">
        <v>409</v>
      </c>
      <c r="L5" s="55" t="s">
        <v>421</v>
      </c>
      <c r="M5" s="55" t="s">
        <v>470</v>
      </c>
      <c r="N5" s="55" t="s">
        <v>898</v>
      </c>
      <c r="O5" t="s">
        <v>914</v>
      </c>
      <c r="P5" t="s">
        <v>915</v>
      </c>
    </row>
    <row r="6" spans="1:16" ht="15" customHeight="1" x14ac:dyDescent="0.2">
      <c r="A6" t="s">
        <v>891</v>
      </c>
      <c r="B6" t="b">
        <v>0</v>
      </c>
      <c r="E6" s="99"/>
      <c r="F6">
        <v>2019</v>
      </c>
      <c r="G6">
        <v>13.7</v>
      </c>
      <c r="H6" s="14">
        <v>19.3</v>
      </c>
      <c r="I6" s="14" t="s">
        <v>1539</v>
      </c>
      <c r="J6" s="14">
        <v>10.1</v>
      </c>
      <c r="K6" s="14">
        <v>4.2</v>
      </c>
      <c r="L6">
        <v>19.8</v>
      </c>
      <c r="M6">
        <v>19.3</v>
      </c>
      <c r="N6" s="14">
        <v>15.9</v>
      </c>
      <c r="O6">
        <v>20.2</v>
      </c>
      <c r="P6">
        <v>17.7</v>
      </c>
    </row>
    <row r="7" spans="1:16" ht="15.75" customHeight="1" x14ac:dyDescent="0.2">
      <c r="E7" s="99"/>
      <c r="F7">
        <v>2020</v>
      </c>
      <c r="G7">
        <v>19.8</v>
      </c>
      <c r="H7" s="14">
        <v>23.3</v>
      </c>
      <c r="I7" s="14" t="s">
        <v>1540</v>
      </c>
      <c r="J7" s="14">
        <v>9.3000000000000007</v>
      </c>
      <c r="K7">
        <v>10.1</v>
      </c>
      <c r="L7">
        <v>25.7</v>
      </c>
      <c r="M7" s="14">
        <v>18.899999999999999</v>
      </c>
      <c r="N7" s="14">
        <v>16.8</v>
      </c>
      <c r="O7">
        <v>19.7</v>
      </c>
      <c r="P7">
        <v>16.5</v>
      </c>
    </row>
    <row r="8" spans="1:16" x14ac:dyDescent="0.2">
      <c r="E8" s="99"/>
      <c r="F8">
        <v>2021</v>
      </c>
      <c r="G8">
        <v>21.9</v>
      </c>
      <c r="H8" s="14">
        <v>15.8</v>
      </c>
      <c r="I8" s="14" t="s">
        <v>1541</v>
      </c>
      <c r="J8" s="14">
        <v>16.600000000000001</v>
      </c>
      <c r="K8">
        <v>15.4</v>
      </c>
      <c r="L8">
        <v>23.4</v>
      </c>
      <c r="M8">
        <v>21</v>
      </c>
      <c r="N8" s="14">
        <v>18.5</v>
      </c>
      <c r="O8">
        <v>22.2</v>
      </c>
      <c r="P8">
        <v>19.5</v>
      </c>
    </row>
    <row r="9" spans="1:16" x14ac:dyDescent="0.2">
      <c r="A9" s="98" t="s">
        <v>893</v>
      </c>
      <c r="B9" s="99"/>
      <c r="E9" s="99"/>
      <c r="F9">
        <v>2022</v>
      </c>
      <c r="G9">
        <v>18.5</v>
      </c>
      <c r="H9" s="14">
        <v>20.6</v>
      </c>
      <c r="I9" s="14" t="s">
        <v>1542</v>
      </c>
      <c r="J9" s="14">
        <v>16.2</v>
      </c>
      <c r="K9">
        <v>8</v>
      </c>
      <c r="L9">
        <v>25.3</v>
      </c>
      <c r="M9">
        <v>20.5</v>
      </c>
      <c r="N9">
        <v>18.2</v>
      </c>
      <c r="O9">
        <v>21.7</v>
      </c>
      <c r="P9">
        <v>19.399999999999999</v>
      </c>
    </row>
    <row r="10" spans="1:16" x14ac:dyDescent="0.2">
      <c r="A10" t="s">
        <v>894</v>
      </c>
      <c r="B10" t="s">
        <v>972</v>
      </c>
      <c r="E10" s="99"/>
      <c r="H10" s="14"/>
      <c r="I10" s="14"/>
      <c r="J10" s="14"/>
    </row>
    <row r="11" spans="1:16" x14ac:dyDescent="0.2">
      <c r="A11" t="s">
        <v>895</v>
      </c>
      <c r="B11" t="s">
        <v>1123</v>
      </c>
      <c r="E11" s="99"/>
    </row>
    <row r="12" spans="1:16" x14ac:dyDescent="0.2">
      <c r="A12" t="s">
        <v>896</v>
      </c>
      <c r="B12" t="s">
        <v>694</v>
      </c>
      <c r="E12" s="99"/>
    </row>
    <row r="13" spans="1:16" x14ac:dyDescent="0.2">
      <c r="A13" t="s">
        <v>897</v>
      </c>
      <c r="B13" t="s">
        <v>1123</v>
      </c>
      <c r="E13" s="99"/>
    </row>
    <row r="14" spans="1:16" x14ac:dyDescent="0.2">
      <c r="A14" t="s">
        <v>899</v>
      </c>
      <c r="B14" t="s">
        <v>694</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1538</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1537</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659136D3-4DDF-4442-8528-3F9B07F1A095}">
      <formula1>"True,False"</formula1>
    </dataValidation>
    <dataValidation type="list" allowBlank="1" showInputMessage="1" showErrorMessage="1" sqref="B2" xr:uid="{BFB80D06-0CE1-46E0-BB05-18991FAD4CD9}">
      <formula1>"Table,Figure,Both"</formula1>
    </dataValidation>
    <dataValidation type="list" allowBlank="1" showInputMessage="1" showErrorMessage="1" sqref="B10" xr:uid="{520DA672-D99F-40F9-BE74-09BE88CC0ABE}">
      <formula1>"Line,Clustered Bar,Stacked Bar"</formula1>
    </dataValidation>
    <dataValidation type="list" allowBlank="1" showInputMessage="1" showErrorMessage="1" sqref="F4:P4" xr:uid="{FAFB5113-BB05-4B93-A418-9F9703F5BF48}">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8D93B25-965B-43D9-80DF-F033FCD3EC51}">
          <x14:formula1>
            <xm:f>Master!$F$2:$F$293</xm:f>
          </x14:formula1>
          <xm:sqref>B1:O1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339F-A5D2-439C-8687-994050D653F1}">
  <dimension ref="A1:P57"/>
  <sheetViews>
    <sheetView workbookViewId="0">
      <selection activeCell="G20" sqref="G20"/>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427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tbl-premature-death-percent-diff-HvsWNH</v>
      </c>
    </row>
    <row r="4" spans="1:16" x14ac:dyDescent="0.2">
      <c r="A4" s="58" t="s">
        <v>6</v>
      </c>
      <c r="B4" t="str">
        <f>IF($B$1="","",_xlfn.XLOOKUP($B$1,Master!$F$2:$F$308,Master!$H$2:$H$308,""))</f>
        <v>fig-premature-death-percent-diff-HvsWNH</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t="s">
        <v>220</v>
      </c>
      <c r="H5" t="s">
        <v>18</v>
      </c>
      <c r="I5" t="s">
        <v>537</v>
      </c>
      <c r="J5" t="s">
        <v>449</v>
      </c>
      <c r="K5" s="55" t="s">
        <v>409</v>
      </c>
      <c r="L5" s="55" t="s">
        <v>421</v>
      </c>
      <c r="M5" s="55" t="s">
        <v>470</v>
      </c>
      <c r="N5" s="55" t="s">
        <v>898</v>
      </c>
      <c r="O5" t="s">
        <v>914</v>
      </c>
      <c r="P5" t="s">
        <v>915</v>
      </c>
    </row>
    <row r="6" spans="1:16" ht="15" customHeight="1" x14ac:dyDescent="0.2">
      <c r="A6" t="s">
        <v>891</v>
      </c>
      <c r="B6" t="b">
        <v>0</v>
      </c>
      <c r="E6" s="99"/>
      <c r="F6" s="63">
        <v>2019</v>
      </c>
      <c r="G6" s="14">
        <v>18</v>
      </c>
      <c r="H6" s="14">
        <v>16.600000000000001</v>
      </c>
      <c r="I6" s="14">
        <v>9.6999999999999993</v>
      </c>
      <c r="J6" s="14">
        <v>22.8</v>
      </c>
      <c r="K6" s="14">
        <v>14</v>
      </c>
      <c r="L6" s="14">
        <v>8.9</v>
      </c>
      <c r="M6" s="14">
        <v>23.4</v>
      </c>
      <c r="N6" s="14">
        <v>19.3</v>
      </c>
      <c r="O6" s="14">
        <v>21.1</v>
      </c>
      <c r="P6" s="14">
        <v>16.399999999999999</v>
      </c>
    </row>
    <row r="7" spans="1:16" ht="15.75" customHeight="1" x14ac:dyDescent="0.2">
      <c r="E7" s="99"/>
      <c r="F7" s="63">
        <v>2020</v>
      </c>
      <c r="G7" s="14">
        <v>22</v>
      </c>
      <c r="H7" s="14">
        <v>15.5</v>
      </c>
      <c r="I7" s="14">
        <v>19.100000000000001</v>
      </c>
      <c r="J7" s="14">
        <v>28.4</v>
      </c>
      <c r="K7" s="14">
        <v>14.9</v>
      </c>
      <c r="L7" s="14">
        <v>14.7</v>
      </c>
      <c r="M7" s="14">
        <v>25.5</v>
      </c>
      <c r="N7" s="14">
        <v>21.9</v>
      </c>
      <c r="O7" s="14">
        <v>23.9</v>
      </c>
      <c r="P7" s="14">
        <v>17.2</v>
      </c>
    </row>
    <row r="8" spans="1:16" x14ac:dyDescent="0.2">
      <c r="E8" s="99"/>
      <c r="F8" s="63">
        <v>2021</v>
      </c>
      <c r="G8" s="14">
        <v>18.899999999999999</v>
      </c>
      <c r="H8" s="14">
        <v>16.2</v>
      </c>
      <c r="I8" s="14">
        <v>11.2</v>
      </c>
      <c r="J8" s="14">
        <v>24.4</v>
      </c>
      <c r="K8" s="14">
        <v>19.600000000000001</v>
      </c>
      <c r="L8" s="14">
        <v>18.3</v>
      </c>
      <c r="M8" s="14">
        <v>25.7</v>
      </c>
      <c r="N8" s="14">
        <v>21.4</v>
      </c>
      <c r="O8" s="14">
        <v>23.7</v>
      </c>
      <c r="P8" s="14">
        <v>18</v>
      </c>
    </row>
    <row r="9" spans="1:16" x14ac:dyDescent="0.2">
      <c r="A9" s="98" t="s">
        <v>893</v>
      </c>
      <c r="B9" s="99"/>
      <c r="E9" s="99"/>
      <c r="F9" s="63">
        <v>2022</v>
      </c>
      <c r="G9" s="14">
        <v>23.6</v>
      </c>
      <c r="H9" s="14">
        <v>17.2</v>
      </c>
      <c r="I9" s="14">
        <v>28.9</v>
      </c>
      <c r="J9" s="14">
        <v>26.3</v>
      </c>
      <c r="K9" s="14">
        <v>29.6</v>
      </c>
      <c r="L9" s="14">
        <v>23.7</v>
      </c>
      <c r="M9" s="14">
        <v>25.8</v>
      </c>
      <c r="N9" s="14">
        <v>23.1</v>
      </c>
      <c r="O9" s="14">
        <v>24.6</v>
      </c>
      <c r="P9" s="14">
        <v>17.899999999999999</v>
      </c>
    </row>
    <row r="10" spans="1:16" x14ac:dyDescent="0.2">
      <c r="A10" t="s">
        <v>894</v>
      </c>
      <c r="B10" t="s">
        <v>972</v>
      </c>
      <c r="E10" s="99"/>
      <c r="F10" s="63"/>
      <c r="H10" s="14"/>
      <c r="I10" s="14"/>
      <c r="J10" s="14"/>
    </row>
    <row r="11" spans="1:16" x14ac:dyDescent="0.2">
      <c r="A11" t="s">
        <v>895</v>
      </c>
      <c r="B11" t="s">
        <v>1123</v>
      </c>
      <c r="E11" s="99"/>
      <c r="F11" s="63"/>
    </row>
    <row r="12" spans="1:16" x14ac:dyDescent="0.2">
      <c r="A12" t="s">
        <v>896</v>
      </c>
      <c r="B12" t="s">
        <v>694</v>
      </c>
      <c r="E12" s="99"/>
      <c r="F12" s="63"/>
    </row>
    <row r="13" spans="1:16" x14ac:dyDescent="0.2">
      <c r="A13" t="s">
        <v>897</v>
      </c>
      <c r="B13" t="s">
        <v>1123</v>
      </c>
      <c r="E13" s="99"/>
    </row>
    <row r="14" spans="1:16" x14ac:dyDescent="0.2">
      <c r="A14" t="s">
        <v>899</v>
      </c>
      <c r="B14" t="s">
        <v>694</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1538</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1543</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AF1CC729-6FAC-402C-A4EA-A44964E61274}">
      <formula1>"integer, number, percent1"</formula1>
    </dataValidation>
    <dataValidation type="list" allowBlank="1" showInputMessage="1" showErrorMessage="1" sqref="B10" xr:uid="{397CF6CB-8D86-407A-B07B-51F855E482DD}">
      <formula1>"Line,Clustered Bar,Stacked Bar"</formula1>
    </dataValidation>
    <dataValidation type="list" allowBlank="1" showInputMessage="1" showErrorMessage="1" sqref="B2" xr:uid="{5221A38E-C0F7-485E-A11A-793B37C97D3D}">
      <formula1>"Table,Figure,Both"</formula1>
    </dataValidation>
    <dataValidation type="list" allowBlank="1" showInputMessage="1" showErrorMessage="1" sqref="B6 B15" xr:uid="{B84BAE50-9AC2-4B71-B643-8A939B5988B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4E228FF-F20A-477F-BC95-9822316DC801}">
          <x14:formula1>
            <xm:f>Master!$F$2:$F$293</xm:f>
          </x14:formula1>
          <xm:sqref>B1:O1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C2D5-6BD7-4560-9F78-C94E51FDFAB4}">
  <dimension ref="A1:P57"/>
  <sheetViews>
    <sheetView workbookViewId="0">
      <selection activeCell="H13" sqref="H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430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tbl-clrd-hospital-aar</v>
      </c>
    </row>
    <row r="4" spans="1:16" x14ac:dyDescent="0.2">
      <c r="A4" s="58" t="s">
        <v>6</v>
      </c>
      <c r="B4" t="str">
        <f>IF($B$1="","",_xlfn.XLOOKUP($B$1,Master!$F$2:$F$308,Master!$H$2:$H$308,""))</f>
        <v>fig-clrd-hospital-aar</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t="s">
        <v>220</v>
      </c>
      <c r="H5" t="s">
        <v>18</v>
      </c>
      <c r="I5" t="s">
        <v>537</v>
      </c>
      <c r="J5" t="s">
        <v>449</v>
      </c>
      <c r="K5" s="55" t="s">
        <v>409</v>
      </c>
      <c r="L5" s="55" t="s">
        <v>421</v>
      </c>
      <c r="M5" s="55" t="s">
        <v>470</v>
      </c>
      <c r="N5" s="55" t="s">
        <v>898</v>
      </c>
      <c r="O5" t="s">
        <v>914</v>
      </c>
      <c r="P5" t="s">
        <v>915</v>
      </c>
    </row>
    <row r="6" spans="1:16" ht="15" customHeight="1" x14ac:dyDescent="0.2">
      <c r="A6" t="s">
        <v>891</v>
      </c>
      <c r="B6" t="b">
        <v>0</v>
      </c>
      <c r="E6" s="99"/>
      <c r="F6" s="14" t="s">
        <v>1391</v>
      </c>
      <c r="G6" s="14">
        <v>12</v>
      </c>
      <c r="H6" s="14">
        <v>13.8</v>
      </c>
      <c r="I6" s="14">
        <v>8.1</v>
      </c>
      <c r="J6" s="14">
        <v>8.9</v>
      </c>
      <c r="K6" s="14">
        <v>11.8</v>
      </c>
      <c r="L6" s="14">
        <v>11.6</v>
      </c>
      <c r="M6" s="14">
        <v>11.1</v>
      </c>
      <c r="N6" s="14">
        <v>11.2</v>
      </c>
      <c r="O6" s="14">
        <v>12</v>
      </c>
      <c r="P6" s="14">
        <v>14.3</v>
      </c>
    </row>
    <row r="7" spans="1:16" ht="15.75" customHeight="1" x14ac:dyDescent="0.2">
      <c r="E7" s="99"/>
      <c r="F7" s="14"/>
      <c r="G7" s="14"/>
      <c r="H7" s="14"/>
      <c r="I7" s="14"/>
      <c r="J7" s="14"/>
      <c r="K7" s="14"/>
      <c r="L7" s="14"/>
      <c r="M7" s="14"/>
      <c r="N7" s="14"/>
      <c r="O7" s="14"/>
      <c r="P7" s="14"/>
    </row>
    <row r="8" spans="1:16" x14ac:dyDescent="0.2">
      <c r="E8" s="99"/>
      <c r="F8" s="14"/>
      <c r="G8" s="14"/>
      <c r="H8" s="14"/>
      <c r="I8" s="14"/>
      <c r="J8" s="14"/>
      <c r="K8" s="14"/>
      <c r="L8" s="14"/>
      <c r="M8" s="14"/>
      <c r="N8" s="14"/>
      <c r="O8" s="14"/>
      <c r="P8" s="14"/>
    </row>
    <row r="9" spans="1:16" x14ac:dyDescent="0.2">
      <c r="A9" s="98" t="s">
        <v>893</v>
      </c>
      <c r="B9" s="99"/>
      <c r="E9" s="99"/>
      <c r="F9" s="14"/>
      <c r="G9" s="14"/>
      <c r="H9" s="14"/>
      <c r="I9" s="14"/>
      <c r="J9" s="14"/>
      <c r="K9" s="14"/>
      <c r="L9" s="14"/>
      <c r="M9" s="14"/>
      <c r="N9" s="14"/>
      <c r="O9" s="14"/>
      <c r="P9" s="14"/>
    </row>
    <row r="10" spans="1:16" x14ac:dyDescent="0.2">
      <c r="A10" t="s">
        <v>894</v>
      </c>
      <c r="B10" t="s">
        <v>1002</v>
      </c>
      <c r="E10" s="99"/>
      <c r="H10" s="14"/>
      <c r="I10" s="14"/>
      <c r="J10" s="14"/>
    </row>
    <row r="11" spans="1:16" x14ac:dyDescent="0.2">
      <c r="A11" t="s">
        <v>895</v>
      </c>
      <c r="B11" t="s">
        <v>1123</v>
      </c>
      <c r="E11" s="99"/>
    </row>
    <row r="12" spans="1:16" x14ac:dyDescent="0.2">
      <c r="A12" t="s">
        <v>896</v>
      </c>
      <c r="B12" t="s">
        <v>708</v>
      </c>
      <c r="E12" s="99"/>
    </row>
    <row r="13" spans="1:16" x14ac:dyDescent="0.2">
      <c r="A13" t="s">
        <v>897</v>
      </c>
      <c r="B13" t="s">
        <v>1123</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1548</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1547</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AD51E15E-CA49-42F5-B870-3FF73B094814}">
      <formula1>"True,False"</formula1>
    </dataValidation>
    <dataValidation type="list" allowBlank="1" showInputMessage="1" showErrorMessage="1" sqref="B2" xr:uid="{A22BBD34-824F-4733-8252-A3D1E8E5251E}">
      <formula1>"Table,Figure,Both"</formula1>
    </dataValidation>
    <dataValidation type="list" allowBlank="1" showInputMessage="1" showErrorMessage="1" sqref="B10" xr:uid="{3EECCCE1-852C-4A6D-AFC0-69C80717FDE5}">
      <formula1>"Line,Clustered Bar,Stacked Bar,Bar"</formula1>
    </dataValidation>
    <dataValidation type="list" allowBlank="1" showInputMessage="1" showErrorMessage="1" sqref="F4:P4" xr:uid="{73B3CC8A-643F-4CB0-838D-22ADFD9E64C1}">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D9FB4F0-EA8C-4E10-A06A-200DBCC1D2FC}">
          <x14:formula1>
            <xm:f>Master!$F$2:$F$293</xm:f>
          </x14:formula1>
          <xm:sqref>B1:O1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772F-CEF8-441F-847B-D5477738F460}">
  <dimension ref="A1:P57"/>
  <sheetViews>
    <sheetView workbookViewId="0">
      <selection activeCell="F45" sqref="F45"/>
    </sheetView>
  </sheetViews>
  <sheetFormatPr baseColWidth="10" defaultColWidth="8.6640625" defaultRowHeight="15" x14ac:dyDescent="0.2"/>
  <cols>
    <col min="1" max="1" width="20" bestFit="1" customWidth="1"/>
    <col min="2" max="2" width="16.6640625" customWidth="1"/>
    <col min="5" max="5" width="6.6640625" customWidth="1"/>
    <col min="6" max="6" width="28.1640625"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434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tbl-clrd-hospital-rande-aar</v>
      </c>
    </row>
    <row r="4" spans="1:16" x14ac:dyDescent="0.2">
      <c r="A4" s="58" t="s">
        <v>6</v>
      </c>
      <c r="B4" t="str">
        <f>IF($B$1="","",_xlfn.XLOOKUP($B$1,Master!$F$2:$F$308,Master!$H$2:$H$308,""))</f>
        <v>fig-clrd-hospital-rande-aar</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2167</v>
      </c>
      <c r="G5" s="55" t="s">
        <v>220</v>
      </c>
      <c r="H5" s="55" t="s">
        <v>18</v>
      </c>
      <c r="I5" s="55" t="s">
        <v>537</v>
      </c>
      <c r="J5" s="55" t="s">
        <v>449</v>
      </c>
      <c r="K5" s="55" t="s">
        <v>409</v>
      </c>
      <c r="L5" s="55" t="s">
        <v>421</v>
      </c>
      <c r="M5" s="55" t="s">
        <v>470</v>
      </c>
      <c r="N5" s="55" t="s">
        <v>914</v>
      </c>
      <c r="O5" s="55" t="s">
        <v>915</v>
      </c>
    </row>
    <row r="6" spans="1:16" ht="15" customHeight="1" x14ac:dyDescent="0.2">
      <c r="A6" t="s">
        <v>891</v>
      </c>
      <c r="B6" t="b">
        <v>0</v>
      </c>
      <c r="E6" s="99"/>
      <c r="F6" s="14" t="s">
        <v>929</v>
      </c>
      <c r="G6" s="59">
        <v>10.4</v>
      </c>
      <c r="H6" s="59">
        <v>11.7</v>
      </c>
      <c r="I6" s="59">
        <v>7.4</v>
      </c>
      <c r="J6" s="59">
        <v>7.4</v>
      </c>
      <c r="K6" s="59">
        <v>10.8</v>
      </c>
      <c r="L6" s="59">
        <v>11</v>
      </c>
      <c r="M6" s="59">
        <v>6.1</v>
      </c>
      <c r="N6" s="59">
        <v>9.8000000000000007</v>
      </c>
      <c r="O6" s="59">
        <v>9.1</v>
      </c>
      <c r="P6" s="14"/>
    </row>
    <row r="7" spans="1:16" ht="15.75" customHeight="1" x14ac:dyDescent="0.2">
      <c r="E7" s="99"/>
      <c r="F7" s="14" t="s">
        <v>1552</v>
      </c>
      <c r="G7" s="59">
        <v>9</v>
      </c>
      <c r="H7" s="59">
        <v>22.5</v>
      </c>
      <c r="I7" s="59">
        <v>10.8</v>
      </c>
      <c r="J7" s="59">
        <v>13</v>
      </c>
      <c r="K7" s="59">
        <v>25.7</v>
      </c>
      <c r="L7" s="59">
        <v>17.3</v>
      </c>
      <c r="M7" s="59">
        <v>19</v>
      </c>
      <c r="N7" s="59">
        <v>24</v>
      </c>
      <c r="O7" s="59">
        <v>24.5</v>
      </c>
      <c r="P7" s="14"/>
    </row>
    <row r="8" spans="1:16" x14ac:dyDescent="0.2">
      <c r="E8" s="99"/>
      <c r="F8" s="14" t="s">
        <v>1553</v>
      </c>
      <c r="G8" s="59" t="s">
        <v>754</v>
      </c>
      <c r="H8" s="59">
        <v>2.9</v>
      </c>
      <c r="I8" s="59" t="s">
        <v>754</v>
      </c>
      <c r="J8" s="59">
        <v>3.4</v>
      </c>
      <c r="K8" s="59" t="s">
        <v>754</v>
      </c>
      <c r="L8" s="59" t="s">
        <v>754</v>
      </c>
      <c r="M8" s="59">
        <v>2.6</v>
      </c>
      <c r="N8" s="59">
        <v>4.0999999999999996</v>
      </c>
      <c r="O8" s="59">
        <v>4.4000000000000004</v>
      </c>
      <c r="P8" s="14"/>
    </row>
    <row r="9" spans="1:16" x14ac:dyDescent="0.2">
      <c r="A9" s="98" t="s">
        <v>893</v>
      </c>
      <c r="B9" s="99"/>
      <c r="E9" s="99"/>
      <c r="F9" s="14" t="s">
        <v>927</v>
      </c>
      <c r="G9" s="59">
        <v>6.2</v>
      </c>
      <c r="H9" s="59">
        <v>10.8</v>
      </c>
      <c r="I9" s="59">
        <v>7.2</v>
      </c>
      <c r="J9" s="59">
        <v>8.4</v>
      </c>
      <c r="K9" s="59">
        <v>6.8</v>
      </c>
      <c r="L9" s="59">
        <v>10.6</v>
      </c>
      <c r="M9" s="59">
        <v>8.3000000000000007</v>
      </c>
      <c r="N9" s="59">
        <v>9.9</v>
      </c>
      <c r="O9" s="59">
        <v>16.600000000000001</v>
      </c>
      <c r="P9" s="14"/>
    </row>
    <row r="10" spans="1:16" x14ac:dyDescent="0.2">
      <c r="A10" t="s">
        <v>894</v>
      </c>
      <c r="B10" t="s">
        <v>983</v>
      </c>
      <c r="E10" s="99"/>
      <c r="H10" s="14"/>
      <c r="I10" s="14"/>
      <c r="J10" s="14"/>
    </row>
    <row r="11" spans="1:16" x14ac:dyDescent="0.2">
      <c r="A11" t="s">
        <v>895</v>
      </c>
      <c r="B11" t="s">
        <v>2167</v>
      </c>
      <c r="E11" s="99"/>
    </row>
    <row r="12" spans="1:16" x14ac:dyDescent="0.2">
      <c r="A12" t="s">
        <v>896</v>
      </c>
      <c r="B12" t="s">
        <v>708</v>
      </c>
      <c r="E12" s="99"/>
    </row>
    <row r="13" spans="1:16" x14ac:dyDescent="0.2">
      <c r="A13" t="s">
        <v>897</v>
      </c>
      <c r="B13" t="s">
        <v>2167</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1558</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4" t="s">
        <v>1557</v>
      </c>
      <c r="B29" s="114"/>
      <c r="C29" s="114"/>
      <c r="D29" s="114"/>
      <c r="E29" s="99"/>
    </row>
    <row r="30" spans="1:12" x14ac:dyDescent="0.2">
      <c r="A30" s="114"/>
      <c r="B30" s="114"/>
      <c r="C30" s="114"/>
      <c r="D30" s="114"/>
      <c r="E30" s="99"/>
    </row>
    <row r="31" spans="1:12" x14ac:dyDescent="0.2">
      <c r="A31" s="114"/>
      <c r="B31" s="114"/>
      <c r="C31" s="114"/>
      <c r="D31" s="114"/>
      <c r="E31" s="99"/>
      <c r="H31" s="52"/>
      <c r="I31" s="52"/>
      <c r="J31" s="52"/>
      <c r="K31" s="52"/>
      <c r="L31" s="52"/>
    </row>
    <row r="32" spans="1:12" x14ac:dyDescent="0.2">
      <c r="A32" s="114"/>
      <c r="B32" s="114"/>
      <c r="C32" s="114"/>
      <c r="D32" s="114"/>
      <c r="E32" s="99"/>
    </row>
    <row r="33" spans="1:5" x14ac:dyDescent="0.2">
      <c r="A33" s="114"/>
      <c r="B33" s="114"/>
      <c r="C33" s="114"/>
      <c r="D33" s="114"/>
      <c r="E33" s="99"/>
    </row>
    <row r="34" spans="1:5" x14ac:dyDescent="0.2">
      <c r="A34" s="114"/>
      <c r="B34" s="114"/>
      <c r="C34" s="114"/>
      <c r="D34" s="114"/>
      <c r="E34" s="99"/>
    </row>
    <row r="35" spans="1:5" x14ac:dyDescent="0.2">
      <c r="A35" s="114"/>
      <c r="B35" s="114"/>
      <c r="C35" s="114"/>
      <c r="D35" s="114"/>
      <c r="E35" s="99"/>
    </row>
    <row r="36" spans="1:5" x14ac:dyDescent="0.2">
      <c r="A36" s="114"/>
      <c r="B36" s="114"/>
      <c r="C36" s="114"/>
      <c r="D36" s="114"/>
      <c r="E36" s="99"/>
    </row>
    <row r="37" spans="1:5" x14ac:dyDescent="0.2">
      <c r="A37" s="114"/>
      <c r="B37" s="114"/>
      <c r="C37" s="114"/>
      <c r="D37" s="114"/>
      <c r="E37" s="99"/>
    </row>
    <row r="38" spans="1:5" x14ac:dyDescent="0.2">
      <c r="A38" s="114"/>
      <c r="B38" s="114"/>
      <c r="C38" s="114"/>
      <c r="D38" s="114"/>
      <c r="E38" s="99"/>
    </row>
    <row r="39" spans="1:5" x14ac:dyDescent="0.2">
      <c r="A39" s="114"/>
      <c r="B39" s="114"/>
      <c r="C39" s="114"/>
      <c r="D39" s="114"/>
      <c r="E39" s="99"/>
    </row>
    <row r="40" spans="1:5" x14ac:dyDescent="0.2">
      <c r="A40" s="114"/>
      <c r="B40" s="114"/>
      <c r="C40" s="114"/>
      <c r="D40" s="114"/>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D9A6BEEA-2FC3-4885-9996-A04D3612FFB7}">
      <formula1>"integer, number, percent1"</formula1>
    </dataValidation>
    <dataValidation type="list" allowBlank="1" showInputMessage="1" showErrorMessage="1" sqref="B10" xr:uid="{DAD2381E-BBA1-406B-84FB-89563BE4808B}">
      <formula1>"Line,Clustered Bar,Stacked Bar"</formula1>
    </dataValidation>
    <dataValidation type="list" allowBlank="1" showInputMessage="1" showErrorMessage="1" sqref="B2" xr:uid="{C06FDD67-B701-4D89-9E61-49A99A3019B9}">
      <formula1>"Table,Figure,Both"</formula1>
    </dataValidation>
    <dataValidation type="list" allowBlank="1" showInputMessage="1" showErrorMessage="1" sqref="B6 B15" xr:uid="{32C4BDCF-4F19-4622-8C96-A6C519B1C63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5347743-9199-4975-BF17-01E3C4467530}">
          <x14:formula1>
            <xm:f>Master!$F$2:$F$293</xm:f>
          </x14:formula1>
          <xm:sqref>B1:O1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3DEB-DFE3-46C8-A622-8AE23891C71C}">
  <dimension ref="A1:P57"/>
  <sheetViews>
    <sheetView workbookViewId="0">
      <selection activeCell="B15" sqref="B15"/>
    </sheetView>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438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tbl-brfss-adult-asthma</v>
      </c>
    </row>
    <row r="4" spans="1:16" x14ac:dyDescent="0.2">
      <c r="A4" s="58" t="s">
        <v>6</v>
      </c>
      <c r="B4" t="str">
        <f>IF($B$1="","",_xlfn.XLOOKUP($B$1,Master!$F$2:$F$308,Master!$H$2:$H$308,""))</f>
        <v>fig-brfss-adult-asthma</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55" t="s">
        <v>1123</v>
      </c>
      <c r="G5" s="55" t="s">
        <v>220</v>
      </c>
      <c r="H5" s="55" t="s">
        <v>18</v>
      </c>
      <c r="I5" s="55" t="s">
        <v>537</v>
      </c>
      <c r="J5" s="55" t="s">
        <v>449</v>
      </c>
      <c r="K5" s="55" t="s">
        <v>409</v>
      </c>
      <c r="L5" s="55" t="s">
        <v>421</v>
      </c>
      <c r="M5" s="55" t="s">
        <v>470</v>
      </c>
      <c r="N5" s="55" t="s">
        <v>898</v>
      </c>
      <c r="O5" s="55" t="s">
        <v>914</v>
      </c>
      <c r="P5" t="s">
        <v>915</v>
      </c>
    </row>
    <row r="6" spans="1:16" ht="15" customHeight="1" x14ac:dyDescent="0.2">
      <c r="A6" t="s">
        <v>891</v>
      </c>
      <c r="B6" t="b">
        <v>0</v>
      </c>
      <c r="E6" s="99"/>
      <c r="F6" s="51">
        <v>2016</v>
      </c>
      <c r="G6" s="59">
        <v>10.6</v>
      </c>
      <c r="H6" s="59">
        <v>9</v>
      </c>
      <c r="I6" s="59">
        <v>13.2</v>
      </c>
      <c r="J6" s="59">
        <v>4.5999999999999996</v>
      </c>
      <c r="K6" s="59">
        <v>12.3</v>
      </c>
      <c r="L6" s="59">
        <v>5.7</v>
      </c>
      <c r="M6" s="59">
        <v>9.6</v>
      </c>
      <c r="N6" s="59">
        <v>8.8000000000000007</v>
      </c>
      <c r="O6" s="59">
        <v>10.4</v>
      </c>
      <c r="P6" s="14">
        <v>9.6</v>
      </c>
    </row>
    <row r="7" spans="1:16" ht="15.75" customHeight="1" x14ac:dyDescent="0.2">
      <c r="E7" s="99"/>
      <c r="F7" s="51">
        <v>2018</v>
      </c>
      <c r="G7" s="59">
        <v>9.9</v>
      </c>
      <c r="H7" s="59">
        <v>8.9</v>
      </c>
      <c r="I7" s="59">
        <v>8.9</v>
      </c>
      <c r="J7" s="59">
        <v>7.3</v>
      </c>
      <c r="K7" s="59">
        <v>12.7</v>
      </c>
      <c r="L7" s="59">
        <v>12.3</v>
      </c>
      <c r="M7" s="59">
        <v>11.5</v>
      </c>
      <c r="N7" s="59">
        <v>9.6999999999999993</v>
      </c>
      <c r="O7" s="59">
        <v>10.8</v>
      </c>
      <c r="P7" s="14">
        <v>10.1</v>
      </c>
    </row>
    <row r="8" spans="1:16" x14ac:dyDescent="0.2">
      <c r="E8" s="99"/>
      <c r="F8" s="51">
        <v>2021</v>
      </c>
      <c r="G8" s="59">
        <v>11.3</v>
      </c>
      <c r="H8" s="59">
        <v>9.6</v>
      </c>
      <c r="I8" s="59">
        <v>10.1</v>
      </c>
      <c r="J8" s="59">
        <v>7.4</v>
      </c>
      <c r="K8" s="59">
        <v>12.3</v>
      </c>
      <c r="L8" s="59">
        <v>11.8</v>
      </c>
      <c r="M8" s="59">
        <v>7.9</v>
      </c>
      <c r="N8" s="59">
        <v>8.9</v>
      </c>
      <c r="O8" s="59">
        <v>10.8</v>
      </c>
      <c r="P8" s="14">
        <v>10.1</v>
      </c>
    </row>
    <row r="9" spans="1:16" x14ac:dyDescent="0.2">
      <c r="A9" s="98" t="s">
        <v>893</v>
      </c>
      <c r="B9" s="99"/>
      <c r="E9" s="99"/>
      <c r="F9" s="59"/>
      <c r="G9" s="59"/>
      <c r="H9" s="59"/>
      <c r="I9" s="59"/>
      <c r="J9" s="59"/>
      <c r="K9" s="59"/>
      <c r="L9" s="59"/>
      <c r="M9" s="59"/>
      <c r="N9" s="59"/>
      <c r="O9" s="59"/>
      <c r="P9" s="14"/>
    </row>
    <row r="10" spans="1:16" x14ac:dyDescent="0.2">
      <c r="A10" t="s">
        <v>894</v>
      </c>
      <c r="B10" t="s">
        <v>972</v>
      </c>
      <c r="E10" s="99"/>
      <c r="H10" s="14"/>
      <c r="I10" s="14"/>
      <c r="J10" s="14"/>
    </row>
    <row r="11" spans="1:16" x14ac:dyDescent="0.2">
      <c r="A11" t="s">
        <v>895</v>
      </c>
      <c r="B11" t="s">
        <v>1123</v>
      </c>
      <c r="E11" s="99"/>
    </row>
    <row r="12" spans="1:16" x14ac:dyDescent="0.2">
      <c r="A12" t="s">
        <v>896</v>
      </c>
      <c r="B12" t="s">
        <v>694</v>
      </c>
      <c r="E12" s="99"/>
    </row>
    <row r="13" spans="1:16" x14ac:dyDescent="0.2">
      <c r="A13" t="s">
        <v>897</v>
      </c>
      <c r="B13" t="s">
        <v>1123</v>
      </c>
      <c r="E13" s="99"/>
    </row>
    <row r="14" spans="1:16" x14ac:dyDescent="0.2">
      <c r="A14" t="s">
        <v>899</v>
      </c>
      <c r="B14" t="s">
        <v>694</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1566</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1567</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E4C1D741-9426-48D9-92B3-70C0D253526A}">
      <formula1>"integer, number, percent1"</formula1>
    </dataValidation>
    <dataValidation type="list" allowBlank="1" showInputMessage="1" showErrorMessage="1" sqref="B10" xr:uid="{BF83C550-B072-4A5E-81DC-B60698F67D80}">
      <formula1>"Line,Clustered Bar,Stacked Bar"</formula1>
    </dataValidation>
    <dataValidation type="list" allowBlank="1" showInputMessage="1" showErrorMessage="1" sqref="B2" xr:uid="{2B4343C7-1FBB-4DCB-AF17-B6C7A63D8860}">
      <formula1>"Table,Figure,Both"</formula1>
    </dataValidation>
    <dataValidation type="list" allowBlank="1" showInputMessage="1" showErrorMessage="1" sqref="B6 B15" xr:uid="{735B0962-A24C-4E87-8056-5ED9F6B52F5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C102BE1-B6E5-40AC-BBFF-A38704F5B214}">
          <x14:formula1>
            <xm:f>Master!$F$2:$F$293</xm:f>
          </x14:formula1>
          <xm:sqref>B1:O1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0AEC-A025-43F8-804B-D35C8301A730}">
  <dimension ref="A1:P57"/>
  <sheetViews>
    <sheetView workbookViewId="0">
      <selection activeCell="L17" sqref="L17"/>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440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tbl-asthma-hopsital-aar</v>
      </c>
    </row>
    <row r="4" spans="1:16" x14ac:dyDescent="0.2">
      <c r="A4" s="58" t="s">
        <v>6</v>
      </c>
      <c r="B4" t="str">
        <f>IF($B$1="","",_xlfn.XLOOKUP($B$1,Master!$F$2:$F$308,Master!$H$2:$H$308,""))</f>
        <v>fig-asthma-hopsital-aar</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973</v>
      </c>
      <c r="G5" t="s">
        <v>220</v>
      </c>
      <c r="H5" t="s">
        <v>18</v>
      </c>
      <c r="I5" t="s">
        <v>537</v>
      </c>
      <c r="J5" t="s">
        <v>449</v>
      </c>
      <c r="K5" s="55" t="s">
        <v>409</v>
      </c>
      <c r="L5" s="55" t="s">
        <v>421</v>
      </c>
      <c r="M5" s="55" t="s">
        <v>470</v>
      </c>
      <c r="N5" s="55" t="s">
        <v>898</v>
      </c>
      <c r="O5" t="s">
        <v>914</v>
      </c>
      <c r="P5" t="s">
        <v>915</v>
      </c>
    </row>
    <row r="6" spans="1:16" ht="15" customHeight="1" x14ac:dyDescent="0.2">
      <c r="A6" t="s">
        <v>891</v>
      </c>
      <c r="B6" t="b">
        <v>0</v>
      </c>
      <c r="E6" s="99"/>
      <c r="F6" s="14" t="s">
        <v>1391</v>
      </c>
      <c r="G6" s="14">
        <v>4.7</v>
      </c>
      <c r="H6" s="14">
        <v>5.0999999999999996</v>
      </c>
      <c r="I6" s="14">
        <v>3.5</v>
      </c>
      <c r="J6" s="14">
        <v>3.2</v>
      </c>
      <c r="K6" s="14">
        <v>4.3</v>
      </c>
      <c r="L6" s="14">
        <v>3.8</v>
      </c>
      <c r="M6" s="14">
        <v>5.9</v>
      </c>
      <c r="N6" s="14">
        <v>4.9000000000000004</v>
      </c>
      <c r="O6" s="14">
        <v>4.2</v>
      </c>
      <c r="P6" s="14">
        <v>6.6</v>
      </c>
    </row>
    <row r="7" spans="1:16" ht="15.75" customHeight="1" x14ac:dyDescent="0.2">
      <c r="E7" s="99"/>
      <c r="F7" s="14"/>
      <c r="G7" s="14"/>
      <c r="H7" s="14"/>
      <c r="I7" s="14"/>
      <c r="J7" s="14"/>
      <c r="K7" s="14"/>
      <c r="L7" s="14"/>
      <c r="M7" s="14"/>
      <c r="N7" s="14"/>
      <c r="O7" s="14"/>
      <c r="P7" s="14"/>
    </row>
    <row r="8" spans="1:16" x14ac:dyDescent="0.2">
      <c r="E8" s="99"/>
      <c r="F8" s="14"/>
      <c r="G8" s="14"/>
      <c r="H8" s="14"/>
      <c r="I8" s="14"/>
      <c r="J8" s="14"/>
      <c r="K8" s="14"/>
      <c r="L8" s="14"/>
      <c r="M8" s="14"/>
      <c r="N8" s="14"/>
      <c r="O8" s="14"/>
      <c r="P8" s="14"/>
    </row>
    <row r="9" spans="1:16" x14ac:dyDescent="0.2">
      <c r="A9" s="98" t="s">
        <v>893</v>
      </c>
      <c r="B9" s="99"/>
      <c r="E9" s="99"/>
      <c r="F9" s="14"/>
      <c r="G9" s="14"/>
      <c r="H9" s="14"/>
      <c r="I9" s="14"/>
      <c r="J9" s="14"/>
      <c r="K9" s="14"/>
      <c r="L9" s="14"/>
      <c r="M9" s="14"/>
      <c r="N9" s="14"/>
      <c r="O9" s="14"/>
      <c r="P9" s="14"/>
    </row>
    <row r="10" spans="1:16" x14ac:dyDescent="0.2">
      <c r="A10" t="s">
        <v>894</v>
      </c>
      <c r="B10" t="s">
        <v>1002</v>
      </c>
      <c r="E10" s="99"/>
      <c r="H10" s="14"/>
      <c r="I10" s="14"/>
      <c r="J10" s="14"/>
    </row>
    <row r="11" spans="1:16" x14ac:dyDescent="0.2">
      <c r="A11" t="s">
        <v>895</v>
      </c>
      <c r="B11" t="s">
        <v>1123</v>
      </c>
      <c r="E11" s="99"/>
    </row>
    <row r="12" spans="1:16" x14ac:dyDescent="0.2">
      <c r="A12" t="s">
        <v>896</v>
      </c>
      <c r="E12" s="99"/>
    </row>
    <row r="13" spans="1:16" x14ac:dyDescent="0.2">
      <c r="A13" t="s">
        <v>897</v>
      </c>
      <c r="E13" s="99"/>
    </row>
    <row r="14" spans="1:16" x14ac:dyDescent="0.2">
      <c r="A14" t="s">
        <v>899</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1583</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1581</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E192E39F-712D-4E97-846F-6440625C2F75}">
      <formula1>"True,False"</formula1>
    </dataValidation>
    <dataValidation type="list" allowBlank="1" showInputMessage="1" showErrorMessage="1" sqref="B2" xr:uid="{A2C6C1B0-2CA4-40C8-9CC4-113CECD33FEE}">
      <formula1>"Table,Figure,Both"</formula1>
    </dataValidation>
    <dataValidation type="list" allowBlank="1" showInputMessage="1" showErrorMessage="1" sqref="B10" xr:uid="{651E5686-4486-4FE2-BC7F-41722BB5E5A1}">
      <formula1>"Line,Clustered Bar,Stacked Bar,Bar"</formula1>
    </dataValidation>
    <dataValidation type="list" allowBlank="1" showInputMessage="1" showErrorMessage="1" sqref="F4:P4" xr:uid="{D4CCC509-996B-4FC7-9AF4-2D9C314770F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EA04907-7100-4308-BE92-ABB89AC20D22}">
          <x14:formula1>
            <xm:f>Master!$F$2:$F$293</xm:f>
          </x14:formula1>
          <xm:sqref>B1:O1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FD4A9-79DA-4FA6-A7BB-2238FE5C1BD7}">
  <dimension ref="A1:P57"/>
  <sheetViews>
    <sheetView workbookViewId="0">
      <selection activeCell="L19" sqref="L19"/>
    </sheetView>
  </sheetViews>
  <sheetFormatPr baseColWidth="10" defaultColWidth="8.6640625" defaultRowHeight="15" x14ac:dyDescent="0.2"/>
  <cols>
    <col min="1" max="1" width="20" bestFit="1" customWidth="1"/>
    <col min="2" max="2" width="16.6640625" customWidth="1"/>
    <col min="5" max="5" width="6.6640625" customWidth="1"/>
    <col min="6" max="6" width="28.1640625"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442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tbl-asthma-hopsital-rande-aar</v>
      </c>
    </row>
    <row r="4" spans="1:16" x14ac:dyDescent="0.2">
      <c r="A4" s="58" t="s">
        <v>6</v>
      </c>
      <c r="B4" t="str">
        <f>IF($B$1="","",_xlfn.XLOOKUP($B$1,Master!$F$2:$F$308,Master!$H$2:$H$308,""))</f>
        <v>fig-asthma-hopsital-rande-aar</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55" t="s">
        <v>2167</v>
      </c>
      <c r="G5" s="55" t="s">
        <v>220</v>
      </c>
      <c r="H5" s="55" t="s">
        <v>18</v>
      </c>
      <c r="I5" s="55" t="s">
        <v>537</v>
      </c>
      <c r="J5" s="55" t="s">
        <v>449</v>
      </c>
      <c r="K5" s="55" t="s">
        <v>409</v>
      </c>
      <c r="L5" s="55" t="s">
        <v>421</v>
      </c>
      <c r="M5" s="55" t="s">
        <v>470</v>
      </c>
      <c r="N5" s="55" t="s">
        <v>914</v>
      </c>
      <c r="O5" s="55" t="s">
        <v>915</v>
      </c>
    </row>
    <row r="6" spans="1:16" ht="15" customHeight="1" x14ac:dyDescent="0.2">
      <c r="A6" t="s">
        <v>891</v>
      </c>
      <c r="B6" t="b">
        <v>0</v>
      </c>
      <c r="E6" s="99"/>
      <c r="F6" s="51" t="s">
        <v>929</v>
      </c>
      <c r="G6" s="59">
        <v>3</v>
      </c>
      <c r="H6" s="59">
        <v>3.4</v>
      </c>
      <c r="I6" s="59">
        <v>2.9</v>
      </c>
      <c r="J6" s="59">
        <v>2.2999999999999998</v>
      </c>
      <c r="K6" s="59">
        <v>3</v>
      </c>
      <c r="L6" s="59">
        <v>3.4</v>
      </c>
      <c r="M6" s="59">
        <v>2.6</v>
      </c>
      <c r="N6" s="59">
        <v>2.4</v>
      </c>
      <c r="O6" s="59">
        <v>2.2999999999999998</v>
      </c>
      <c r="P6" s="14"/>
    </row>
    <row r="7" spans="1:16" ht="15.75" customHeight="1" x14ac:dyDescent="0.2">
      <c r="E7" s="99"/>
      <c r="F7" s="51" t="s">
        <v>1552</v>
      </c>
      <c r="G7" s="59">
        <v>5.4</v>
      </c>
      <c r="H7" s="59">
        <v>10.8</v>
      </c>
      <c r="I7" s="59">
        <v>10.8</v>
      </c>
      <c r="J7" s="59">
        <v>6.9</v>
      </c>
      <c r="K7" s="59">
        <v>17.100000000000001</v>
      </c>
      <c r="L7" s="59">
        <v>7.3</v>
      </c>
      <c r="M7" s="59">
        <v>11.4</v>
      </c>
      <c r="N7" s="59">
        <v>11.9</v>
      </c>
      <c r="O7" s="59">
        <v>13.8</v>
      </c>
      <c r="P7" s="14"/>
    </row>
    <row r="8" spans="1:16" x14ac:dyDescent="0.2">
      <c r="E8" s="99"/>
      <c r="F8" s="51" t="s">
        <v>1553</v>
      </c>
      <c r="G8" s="59" t="s">
        <v>754</v>
      </c>
      <c r="H8" s="59" t="s">
        <v>1244</v>
      </c>
      <c r="I8" s="59" t="s">
        <v>754</v>
      </c>
      <c r="J8" s="59">
        <v>1.3</v>
      </c>
      <c r="K8" s="59" t="s">
        <v>1590</v>
      </c>
      <c r="L8" s="59" t="s">
        <v>754</v>
      </c>
      <c r="M8" s="59">
        <v>1.8</v>
      </c>
      <c r="N8" s="59">
        <v>2.4</v>
      </c>
      <c r="O8" s="59">
        <v>2.4</v>
      </c>
      <c r="P8" s="14"/>
    </row>
    <row r="9" spans="1:16" x14ac:dyDescent="0.2">
      <c r="A9" s="98" t="s">
        <v>893</v>
      </c>
      <c r="B9" s="99"/>
      <c r="E9" s="99"/>
      <c r="F9" s="59" t="s">
        <v>927</v>
      </c>
      <c r="G9" s="59">
        <v>3.9</v>
      </c>
      <c r="H9" s="59">
        <v>5.0999999999999996</v>
      </c>
      <c r="I9" s="59">
        <v>3.5</v>
      </c>
      <c r="J9" s="59">
        <v>3.3</v>
      </c>
      <c r="K9" s="59">
        <v>3</v>
      </c>
      <c r="L9" s="59">
        <v>3.2</v>
      </c>
      <c r="M9" s="59">
        <v>4.4000000000000004</v>
      </c>
      <c r="N9" s="59">
        <v>5.4</v>
      </c>
      <c r="O9" s="59">
        <v>9.9</v>
      </c>
      <c r="P9" s="14"/>
    </row>
    <row r="10" spans="1:16" x14ac:dyDescent="0.2">
      <c r="A10" t="s">
        <v>894</v>
      </c>
      <c r="B10" t="s">
        <v>983</v>
      </c>
      <c r="E10" s="99"/>
      <c r="H10" s="14"/>
      <c r="I10" s="14"/>
      <c r="J10" s="14"/>
    </row>
    <row r="11" spans="1:16" x14ac:dyDescent="0.2">
      <c r="A11" t="s">
        <v>895</v>
      </c>
      <c r="B11" s="55" t="s">
        <v>2167</v>
      </c>
      <c r="E11" s="99"/>
    </row>
    <row r="12" spans="1:16" x14ac:dyDescent="0.2">
      <c r="A12" t="s">
        <v>896</v>
      </c>
      <c r="B12" t="s">
        <v>708</v>
      </c>
      <c r="E12" s="99"/>
    </row>
    <row r="13" spans="1:16" x14ac:dyDescent="0.2">
      <c r="A13" t="s">
        <v>897</v>
      </c>
      <c r="B13" s="55" t="s">
        <v>2167</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1559</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1588</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2928B9DF-47BF-4B23-BF21-3D5109557369}">
      <formula1>"True,False"</formula1>
    </dataValidation>
    <dataValidation type="list" allowBlank="1" showInputMessage="1" showErrorMessage="1" sqref="B2" xr:uid="{41432F3B-5C1F-4476-9B14-414890BA9E9B}">
      <formula1>"Table,Figure,Both"</formula1>
    </dataValidation>
    <dataValidation type="list" allowBlank="1" showInputMessage="1" showErrorMessage="1" sqref="B10" xr:uid="{5C775DC0-B9B8-4E54-BD50-4FE9128FB5AD}">
      <formula1>"Line,Clustered Bar,Stacked Bar"</formula1>
    </dataValidation>
    <dataValidation type="list" allowBlank="1" showInputMessage="1" showErrorMessage="1" sqref="F4:P4" xr:uid="{F26E9A69-DBC5-48EC-B53A-09B40B930B5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32789EF-F4F2-4A2A-A966-73D2B167FA9C}">
          <x14:formula1>
            <xm:f>Master!$F$2:$F$293</xm:f>
          </x14:formula1>
          <xm:sqref>B1:O1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65B0-1F19-42BB-82F8-1C79DF803B13}">
  <dimension ref="A1:P57"/>
  <sheetViews>
    <sheetView workbookViewId="0">
      <selection activeCell="J28" sqref="J28"/>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444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tbl-0to17-asthma-ed-rate</v>
      </c>
    </row>
    <row r="4" spans="1:16" x14ac:dyDescent="0.2">
      <c r="A4" s="58" t="s">
        <v>6</v>
      </c>
      <c r="B4" t="str">
        <f>IF($B$1="","",_xlfn.XLOOKUP($B$1,Master!$F$2:$F$308,Master!$H$2:$H$308,""))</f>
        <v>fig-0to17-asthma-ed-rate</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t="s">
        <v>220</v>
      </c>
      <c r="H5" t="s">
        <v>18</v>
      </c>
      <c r="I5" t="s">
        <v>537</v>
      </c>
      <c r="J5" t="s">
        <v>449</v>
      </c>
      <c r="K5" s="55" t="s">
        <v>409</v>
      </c>
      <c r="L5" s="55" t="s">
        <v>421</v>
      </c>
      <c r="M5" s="55" t="s">
        <v>470</v>
      </c>
      <c r="N5" s="55" t="s">
        <v>898</v>
      </c>
      <c r="O5" t="s">
        <v>915</v>
      </c>
      <c r="P5" t="s">
        <v>1597</v>
      </c>
    </row>
    <row r="6" spans="1:16" ht="15" customHeight="1" x14ac:dyDescent="0.2">
      <c r="A6" t="s">
        <v>891</v>
      </c>
      <c r="B6" t="b">
        <v>0</v>
      </c>
      <c r="E6" s="99"/>
      <c r="F6" s="63">
        <v>2017</v>
      </c>
      <c r="G6" s="14">
        <v>56.1</v>
      </c>
      <c r="H6" s="14">
        <v>55.4</v>
      </c>
      <c r="I6" s="14">
        <v>47.3</v>
      </c>
      <c r="J6" s="14">
        <v>40.700000000000003</v>
      </c>
      <c r="K6" s="14">
        <v>83.9</v>
      </c>
      <c r="L6" s="14">
        <v>76</v>
      </c>
      <c r="M6" s="14">
        <v>89.9</v>
      </c>
      <c r="N6" s="14">
        <v>68.900000000000006</v>
      </c>
      <c r="O6" s="14">
        <v>124.1</v>
      </c>
      <c r="P6" s="14">
        <v>131.1</v>
      </c>
    </row>
    <row r="7" spans="1:16" ht="15.75" customHeight="1" x14ac:dyDescent="0.2">
      <c r="E7" s="99"/>
      <c r="F7" s="63">
        <v>2018</v>
      </c>
      <c r="G7" s="14">
        <v>70.8</v>
      </c>
      <c r="H7" s="14">
        <v>64.400000000000006</v>
      </c>
      <c r="I7" s="14">
        <v>54.1</v>
      </c>
      <c r="J7" s="14">
        <v>42.8</v>
      </c>
      <c r="K7" s="14">
        <v>87.8</v>
      </c>
      <c r="L7" s="14">
        <v>72.7</v>
      </c>
      <c r="M7" s="14">
        <v>87.1</v>
      </c>
      <c r="N7" s="14">
        <v>71.2</v>
      </c>
      <c r="O7" s="14">
        <v>124.1</v>
      </c>
      <c r="P7" s="14">
        <v>131.1</v>
      </c>
    </row>
    <row r="8" spans="1:16" x14ac:dyDescent="0.2">
      <c r="E8" s="99"/>
      <c r="F8" s="63">
        <v>2019</v>
      </c>
      <c r="G8" s="14">
        <v>62.8</v>
      </c>
      <c r="H8" s="14">
        <v>64</v>
      </c>
      <c r="I8" s="14">
        <v>34.1</v>
      </c>
      <c r="J8" s="14">
        <v>33.9</v>
      </c>
      <c r="K8" s="14">
        <v>89.1</v>
      </c>
      <c r="L8" s="14">
        <v>60.7</v>
      </c>
      <c r="M8" s="14">
        <v>82.1</v>
      </c>
      <c r="N8" s="14">
        <v>65.099999999999994</v>
      </c>
      <c r="O8" s="14">
        <v>107.5</v>
      </c>
      <c r="P8" s="14">
        <v>131.1</v>
      </c>
    </row>
    <row r="9" spans="1:16" x14ac:dyDescent="0.2">
      <c r="A9" s="98" t="s">
        <v>893</v>
      </c>
      <c r="B9" s="99"/>
      <c r="E9" s="99"/>
      <c r="F9" s="63">
        <v>2020</v>
      </c>
      <c r="G9" s="14">
        <v>27.7</v>
      </c>
      <c r="H9" s="14">
        <v>25</v>
      </c>
      <c r="I9" s="14">
        <v>11.2</v>
      </c>
      <c r="J9" s="14">
        <v>15.3</v>
      </c>
      <c r="K9" s="14">
        <v>30.1</v>
      </c>
      <c r="L9" s="14">
        <v>27.6</v>
      </c>
      <c r="M9" s="14">
        <v>26.8</v>
      </c>
      <c r="N9" s="14">
        <v>24.1</v>
      </c>
      <c r="O9" s="14">
        <v>39</v>
      </c>
      <c r="P9" s="14">
        <v>131.1</v>
      </c>
    </row>
    <row r="10" spans="1:16" x14ac:dyDescent="0.2">
      <c r="A10" t="s">
        <v>894</v>
      </c>
      <c r="B10" t="s">
        <v>972</v>
      </c>
      <c r="E10" s="99"/>
      <c r="F10" s="63">
        <v>2021</v>
      </c>
      <c r="G10" s="14">
        <v>41</v>
      </c>
      <c r="H10" s="14">
        <v>40.799999999999997</v>
      </c>
      <c r="I10" s="14">
        <v>21.4</v>
      </c>
      <c r="J10" s="14">
        <v>24.5</v>
      </c>
      <c r="K10" s="14">
        <v>40.5</v>
      </c>
      <c r="L10" s="14">
        <v>54.3</v>
      </c>
      <c r="M10" s="14">
        <v>50</v>
      </c>
      <c r="N10" s="14">
        <v>41.6</v>
      </c>
      <c r="O10" s="14">
        <v>59.9</v>
      </c>
      <c r="P10" s="14">
        <v>131.1</v>
      </c>
    </row>
    <row r="11" spans="1:16" x14ac:dyDescent="0.2">
      <c r="A11" t="s">
        <v>895</v>
      </c>
      <c r="B11" t="s">
        <v>1123</v>
      </c>
      <c r="E11" s="99"/>
      <c r="F11" s="63">
        <v>2022</v>
      </c>
      <c r="G11" s="14">
        <v>60.8</v>
      </c>
      <c r="H11" s="14">
        <v>63.5</v>
      </c>
      <c r="I11" s="14">
        <v>39.299999999999997</v>
      </c>
      <c r="J11" s="14">
        <v>32</v>
      </c>
      <c r="K11" s="14">
        <v>104.1</v>
      </c>
      <c r="L11" s="14">
        <v>55.6</v>
      </c>
      <c r="M11" s="14">
        <v>74.2</v>
      </c>
      <c r="N11" s="14">
        <v>61.5</v>
      </c>
      <c r="O11" s="14">
        <v>93.8</v>
      </c>
      <c r="P11" s="14">
        <v>131.1</v>
      </c>
    </row>
    <row r="12" spans="1:16" x14ac:dyDescent="0.2">
      <c r="A12" t="s">
        <v>896</v>
      </c>
      <c r="E12" s="99"/>
      <c r="F12" s="63">
        <v>2023</v>
      </c>
      <c r="G12" s="14">
        <v>61.9</v>
      </c>
      <c r="H12" s="14">
        <v>61.5</v>
      </c>
      <c r="I12" s="14">
        <v>39</v>
      </c>
      <c r="J12" s="14">
        <v>36.700000000000003</v>
      </c>
      <c r="K12" s="14">
        <v>102.2</v>
      </c>
      <c r="L12" s="14">
        <v>64.8</v>
      </c>
      <c r="M12" s="14">
        <v>73.8</v>
      </c>
      <c r="N12" s="14" t="s">
        <v>1599</v>
      </c>
      <c r="O12" s="14">
        <v>94.8</v>
      </c>
      <c r="P12" s="14">
        <v>131.1</v>
      </c>
    </row>
    <row r="13" spans="1:16" x14ac:dyDescent="0.2">
      <c r="A13" t="s">
        <v>897</v>
      </c>
      <c r="B13" t="s">
        <v>1123</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1596</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1594</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7C71AB34-1ADB-436D-80E4-80618EDF2C51}">
      <formula1>"integer, number, percent1"</formula1>
    </dataValidation>
    <dataValidation type="list" allowBlank="1" showInputMessage="1" showErrorMessage="1" sqref="B10" xr:uid="{6D879F64-8A5D-49A6-99AA-70D29F3AA8D6}">
      <formula1>"Line,Clustered Bar,Stacked Bar,Bar"</formula1>
    </dataValidation>
    <dataValidation type="list" allowBlank="1" showInputMessage="1" showErrorMessage="1" sqref="B2" xr:uid="{D5B0D23D-AA84-4E19-B740-6FCA0406DBBA}">
      <formula1>"Table,Figure,Both"</formula1>
    </dataValidation>
    <dataValidation type="list" allowBlank="1" showInputMessage="1" showErrorMessage="1" sqref="B6 B15" xr:uid="{801BAA86-4642-401F-8163-EDF6F9C67E0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DA2F8E2-9BE2-4B01-BD50-09670FD9B80A}">
          <x14:formula1>
            <xm:f>Master!$F$2:$F$293</xm:f>
          </x14:formula1>
          <xm:sqref>B1:O1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1000-8A32-4B9F-9990-165107FBD2FD}">
  <dimension ref="A1:P57"/>
  <sheetViews>
    <sheetView workbookViewId="0">
      <selection activeCell="I15" sqref="I15"/>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447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tbl-adult-cardiovasdz-percent</v>
      </c>
    </row>
    <row r="4" spans="1:16" x14ac:dyDescent="0.2">
      <c r="A4" s="58" t="s">
        <v>6</v>
      </c>
      <c r="B4" t="str">
        <f>IF($B$1="","",_xlfn.XLOOKUP($B$1,Master!$F$2:$F$308,Master!$H$2:$H$308,""))</f>
        <v>fig-adult-cardiovasdz-percent</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t="s">
        <v>220</v>
      </c>
      <c r="H5" t="s">
        <v>18</v>
      </c>
      <c r="I5" t="s">
        <v>537</v>
      </c>
      <c r="J5" t="s">
        <v>449</v>
      </c>
      <c r="K5" s="55" t="s">
        <v>409</v>
      </c>
      <c r="L5" s="55" t="s">
        <v>421</v>
      </c>
      <c r="M5" s="55" t="s">
        <v>470</v>
      </c>
      <c r="N5" s="55" t="s">
        <v>914</v>
      </c>
      <c r="O5" t="s">
        <v>915</v>
      </c>
    </row>
    <row r="6" spans="1:16" ht="15" customHeight="1" x14ac:dyDescent="0.2">
      <c r="A6" t="s">
        <v>891</v>
      </c>
      <c r="B6" t="b">
        <v>0</v>
      </c>
      <c r="E6" s="99"/>
      <c r="F6" s="63">
        <v>2016</v>
      </c>
      <c r="G6" s="14">
        <v>6.1</v>
      </c>
      <c r="H6" s="14">
        <v>6.4</v>
      </c>
      <c r="I6" s="14">
        <v>4.4000000000000004</v>
      </c>
      <c r="J6" s="14">
        <v>6.2</v>
      </c>
      <c r="K6" s="14">
        <v>7.3</v>
      </c>
      <c r="L6" s="14">
        <v>7.3</v>
      </c>
      <c r="M6" s="14">
        <v>6.1</v>
      </c>
      <c r="N6" s="14">
        <v>7.2</v>
      </c>
      <c r="O6" s="14">
        <v>7</v>
      </c>
      <c r="P6" s="14"/>
    </row>
    <row r="7" spans="1:16" ht="15.75" customHeight="1" x14ac:dyDescent="0.2">
      <c r="E7" s="99"/>
      <c r="F7" s="63">
        <v>2018</v>
      </c>
      <c r="G7" s="14">
        <v>7</v>
      </c>
      <c r="H7" s="14">
        <v>7.8</v>
      </c>
      <c r="I7" s="14">
        <v>4.5</v>
      </c>
      <c r="J7" s="14">
        <v>8</v>
      </c>
      <c r="K7" s="14">
        <v>8.6</v>
      </c>
      <c r="L7" s="14">
        <v>4.5</v>
      </c>
      <c r="M7" s="14">
        <v>5.4</v>
      </c>
      <c r="N7" s="14">
        <v>7.4</v>
      </c>
      <c r="O7" s="14">
        <v>7</v>
      </c>
      <c r="P7" s="14"/>
    </row>
    <row r="8" spans="1:16" x14ac:dyDescent="0.2">
      <c r="E8" s="99"/>
      <c r="F8" s="63">
        <v>2021</v>
      </c>
      <c r="G8" s="14">
        <v>7.2</v>
      </c>
      <c r="H8" s="14">
        <v>6.6</v>
      </c>
      <c r="I8" s="14">
        <v>6.8</v>
      </c>
      <c r="J8" s="14">
        <v>5.7</v>
      </c>
      <c r="K8" s="14">
        <v>7.4</v>
      </c>
      <c r="L8" s="14">
        <v>6.7</v>
      </c>
      <c r="M8" s="14">
        <v>5.4</v>
      </c>
      <c r="N8" s="14">
        <v>6.7</v>
      </c>
      <c r="O8" s="14">
        <v>6.4</v>
      </c>
      <c r="P8" s="14"/>
    </row>
    <row r="9" spans="1:16" x14ac:dyDescent="0.2">
      <c r="A9" s="98" t="s">
        <v>893</v>
      </c>
      <c r="B9" s="99"/>
      <c r="E9" s="99"/>
      <c r="F9" s="63"/>
      <c r="G9" s="14"/>
      <c r="H9" s="14"/>
      <c r="I9" s="14"/>
      <c r="J9" s="14"/>
      <c r="K9" s="14"/>
      <c r="L9" s="14"/>
      <c r="M9" s="14"/>
      <c r="N9" s="14"/>
      <c r="O9" s="14"/>
      <c r="P9" s="14"/>
    </row>
    <row r="10" spans="1:16" x14ac:dyDescent="0.2">
      <c r="A10" t="s">
        <v>894</v>
      </c>
      <c r="B10" t="s">
        <v>1020</v>
      </c>
      <c r="E10" s="99"/>
      <c r="F10" s="63"/>
      <c r="G10" s="14"/>
      <c r="H10" s="14"/>
      <c r="I10" s="14"/>
      <c r="J10" s="14"/>
      <c r="K10" s="14"/>
      <c r="L10" s="14"/>
      <c r="M10" s="14"/>
      <c r="N10" s="14"/>
      <c r="O10" s="14"/>
      <c r="P10" s="14"/>
    </row>
    <row r="11" spans="1:16" x14ac:dyDescent="0.2">
      <c r="A11" t="s">
        <v>895</v>
      </c>
      <c r="B11" t="s">
        <v>1123</v>
      </c>
      <c r="E11" s="99"/>
      <c r="F11" s="63"/>
      <c r="G11" s="14"/>
      <c r="H11" s="14"/>
      <c r="I11" s="14"/>
      <c r="J11" s="14"/>
      <c r="K11" s="14"/>
      <c r="L11" s="14"/>
      <c r="M11" s="14"/>
      <c r="N11" s="14"/>
      <c r="O11" s="14"/>
      <c r="P11" s="14"/>
    </row>
    <row r="12" spans="1:16" x14ac:dyDescent="0.2">
      <c r="A12" t="s">
        <v>896</v>
      </c>
      <c r="E12" s="99"/>
      <c r="F12" s="63"/>
      <c r="G12" s="14"/>
      <c r="H12" s="14"/>
      <c r="I12" s="14"/>
      <c r="J12" s="14"/>
      <c r="K12" s="14"/>
      <c r="L12" s="14"/>
      <c r="M12" s="14"/>
      <c r="N12" s="14"/>
      <c r="O12" s="14"/>
      <c r="P12" s="14"/>
    </row>
    <row r="13" spans="1:16" x14ac:dyDescent="0.2">
      <c r="A13" t="s">
        <v>897</v>
      </c>
      <c r="B13" t="s">
        <v>1123</v>
      </c>
      <c r="E13" s="99"/>
    </row>
    <row r="14" spans="1:16" x14ac:dyDescent="0.2">
      <c r="A14" t="s">
        <v>899</v>
      </c>
      <c r="B14" t="s">
        <v>694</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1605</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1604</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62FA4B7F-2965-4067-914D-78173F98ADDF}">
      <formula1>"True,False"</formula1>
    </dataValidation>
    <dataValidation type="list" allowBlank="1" showInputMessage="1" showErrorMessage="1" sqref="B2" xr:uid="{19C2052B-FC1C-495E-922E-E74304E564AC}">
      <formula1>"Table,Figure,Both"</formula1>
    </dataValidation>
    <dataValidation type="list" allowBlank="1" showInputMessage="1" showErrorMessage="1" sqref="B10" xr:uid="{48160C77-858E-4ED6-9D28-4492A67B4BA9}">
      <formula1>"Line,Clustered Bar,Stacked Bar,Bar"</formula1>
    </dataValidation>
    <dataValidation type="list" allowBlank="1" showInputMessage="1" showErrorMessage="1" sqref="F4:P4" xr:uid="{390F0D88-1EFD-4CCF-A59C-7EA0DE625D7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4FD0C7F-7BC2-4B4D-9E8B-FEB897E069A7}">
          <x14:formula1>
            <xm:f>Master!$F$2:$F$293</xm:f>
          </x14:formula1>
          <xm:sqref>B1:O1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EE26-E3EE-4BBE-A9B7-3B41D0127EED}">
  <dimension ref="A1:P57"/>
  <sheetViews>
    <sheetView workbookViewId="0">
      <selection activeCell="B13" sqref="B13"/>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447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tbl-adult-cardiovasdz-percent</v>
      </c>
    </row>
    <row r="4" spans="1:16" x14ac:dyDescent="0.2">
      <c r="A4" s="58" t="s">
        <v>6</v>
      </c>
      <c r="B4" t="str">
        <f>IF($B$1="","",_xlfn.XLOOKUP($B$1,Master!$F$2:$F$308,Master!$H$2:$H$308,""))</f>
        <v>fig-adult-cardiovasdz-percent</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t="s">
        <v>220</v>
      </c>
      <c r="H5" t="s">
        <v>18</v>
      </c>
      <c r="I5" t="s">
        <v>537</v>
      </c>
      <c r="J5" t="s">
        <v>449</v>
      </c>
      <c r="K5" s="55" t="s">
        <v>409</v>
      </c>
      <c r="L5" s="55" t="s">
        <v>421</v>
      </c>
      <c r="M5" s="55" t="s">
        <v>470</v>
      </c>
      <c r="N5" s="55" t="s">
        <v>898</v>
      </c>
      <c r="O5" t="s">
        <v>915</v>
      </c>
    </row>
    <row r="6" spans="1:16" ht="15" customHeight="1" x14ac:dyDescent="0.2">
      <c r="A6" t="s">
        <v>891</v>
      </c>
      <c r="B6" t="b">
        <v>0</v>
      </c>
      <c r="E6" s="99"/>
      <c r="F6" s="63" t="s">
        <v>1618</v>
      </c>
      <c r="G6" s="14">
        <v>102.3</v>
      </c>
      <c r="H6" s="14">
        <v>116.1</v>
      </c>
      <c r="I6" s="14">
        <v>76.900000000000006</v>
      </c>
      <c r="J6" s="14">
        <v>81.099999999999994</v>
      </c>
      <c r="K6" s="14">
        <v>129.9</v>
      </c>
      <c r="L6" s="14">
        <v>109.6</v>
      </c>
      <c r="M6" s="14">
        <v>90.9</v>
      </c>
      <c r="N6" s="14">
        <v>99.3</v>
      </c>
      <c r="O6" s="14">
        <v>111.2</v>
      </c>
      <c r="P6" s="14"/>
    </row>
    <row r="7" spans="1:16" ht="15.75" customHeight="1" x14ac:dyDescent="0.2">
      <c r="E7" s="99"/>
      <c r="F7" s="63"/>
      <c r="G7" s="14"/>
      <c r="H7" s="14"/>
      <c r="I7" s="14"/>
      <c r="J7" s="14"/>
      <c r="K7" s="14"/>
      <c r="L7" s="14"/>
      <c r="M7" s="14"/>
      <c r="N7" s="14"/>
      <c r="O7" s="14"/>
      <c r="P7" s="14"/>
    </row>
    <row r="8" spans="1:16" x14ac:dyDescent="0.2">
      <c r="E8" s="99"/>
      <c r="F8" s="63"/>
      <c r="G8" s="14"/>
      <c r="H8" s="14"/>
      <c r="I8" s="14"/>
      <c r="J8" s="14"/>
      <c r="K8" s="14"/>
      <c r="L8" s="14"/>
      <c r="M8" s="14"/>
      <c r="N8" s="14"/>
      <c r="O8" s="14"/>
      <c r="P8" s="14"/>
    </row>
    <row r="9" spans="1:16" x14ac:dyDescent="0.2">
      <c r="A9" s="98" t="s">
        <v>893</v>
      </c>
      <c r="B9" s="99"/>
      <c r="E9" s="99"/>
      <c r="F9" s="63"/>
      <c r="G9" s="14"/>
      <c r="H9" s="14"/>
      <c r="I9" s="14"/>
      <c r="J9" s="14"/>
      <c r="K9" s="14"/>
      <c r="L9" s="14"/>
      <c r="M9" s="14"/>
      <c r="N9" s="14"/>
      <c r="O9" s="14"/>
      <c r="P9" s="14"/>
    </row>
    <row r="10" spans="1:16" x14ac:dyDescent="0.2">
      <c r="A10" t="s">
        <v>894</v>
      </c>
      <c r="B10" t="s">
        <v>1002</v>
      </c>
      <c r="E10" s="99"/>
      <c r="F10" s="63"/>
      <c r="G10" s="14"/>
      <c r="H10" s="14"/>
      <c r="I10" s="14"/>
      <c r="J10" s="14"/>
      <c r="K10" s="14"/>
      <c r="L10" s="14"/>
      <c r="M10" s="14"/>
      <c r="N10" s="14"/>
      <c r="O10" s="14"/>
      <c r="P10" s="14"/>
    </row>
    <row r="11" spans="1:16" x14ac:dyDescent="0.2">
      <c r="A11" t="s">
        <v>895</v>
      </c>
      <c r="B11" t="s">
        <v>1123</v>
      </c>
      <c r="E11" s="99"/>
      <c r="F11" s="63"/>
      <c r="G11" s="14"/>
      <c r="H11" s="14"/>
      <c r="I11" s="14"/>
      <c r="J11" s="14"/>
      <c r="K11" s="14"/>
      <c r="L11" s="14"/>
      <c r="M11" s="14"/>
      <c r="N11" s="14"/>
      <c r="O11" s="14"/>
      <c r="P11" s="14"/>
    </row>
    <row r="12" spans="1:16" x14ac:dyDescent="0.2">
      <c r="A12" t="s">
        <v>896</v>
      </c>
      <c r="E12" s="99"/>
      <c r="F12" s="63"/>
      <c r="G12" s="14"/>
      <c r="H12" s="14"/>
      <c r="I12" s="14"/>
      <c r="J12" s="14"/>
      <c r="K12" s="14"/>
      <c r="L12" s="14"/>
      <c r="M12" s="14"/>
      <c r="N12" s="14"/>
      <c r="O12" s="14"/>
      <c r="P12" s="14"/>
    </row>
    <row r="13" spans="1:16" x14ac:dyDescent="0.2">
      <c r="A13" t="s">
        <v>897</v>
      </c>
      <c r="B13" t="s">
        <v>1123</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1620</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1619</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5F0C5493-3157-4C95-AED7-FBB8CA0B65B5}">
      <formula1>"integer, number, percent1"</formula1>
    </dataValidation>
    <dataValidation type="list" allowBlank="1" showInputMessage="1" showErrorMessage="1" sqref="B10" xr:uid="{AFEA4D9A-664C-4611-A27D-E8603A564C03}">
      <formula1>"Line,Clustered Bar,Stacked Bar,Bar"</formula1>
    </dataValidation>
    <dataValidation type="list" allowBlank="1" showInputMessage="1" showErrorMessage="1" sqref="B2" xr:uid="{4646F2ED-54A9-43EF-A81F-38A69F88910D}">
      <formula1>"Table,Figure,Both"</formula1>
    </dataValidation>
    <dataValidation type="list" allowBlank="1" showInputMessage="1" showErrorMessage="1" sqref="B6 B15" xr:uid="{CB2A4ADB-525A-4FE5-843B-5A6AE4E1548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700693F-1101-42A7-ABCA-0ED24B8312D0}">
          <x14:formula1>
            <xm:f>Master!$F$2:$F$293</xm:f>
          </x14:formula1>
          <xm:sqref>B1:O1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FB0C-B39E-42F0-B957-58ACB24EBEB6}">
  <dimension ref="A1:P57"/>
  <sheetViews>
    <sheetView workbookViewId="0">
      <selection activeCell="I18" sqref="I18"/>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451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tbl-cardiovasdz-mortal-aar</v>
      </c>
    </row>
    <row r="4" spans="1:16" x14ac:dyDescent="0.2">
      <c r="A4" s="58" t="s">
        <v>6</v>
      </c>
      <c r="B4" t="str">
        <f>IF($B$1="","",_xlfn.XLOOKUP($B$1,Master!$F$2:$F$308,Master!$H$2:$H$308,""))</f>
        <v>fig-cardiovasdz-mortal-aar</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1623</v>
      </c>
      <c r="O5" s="101"/>
    </row>
    <row r="6" spans="1:16" ht="15" customHeight="1" x14ac:dyDescent="0.2">
      <c r="A6" t="s">
        <v>891</v>
      </c>
      <c r="B6" t="b">
        <v>1</v>
      </c>
      <c r="E6" s="99"/>
      <c r="F6" s="63" t="s">
        <v>1123</v>
      </c>
      <c r="G6" s="14" t="s">
        <v>220</v>
      </c>
      <c r="H6" s="14" t="s">
        <v>18</v>
      </c>
      <c r="I6" s="14" t="s">
        <v>537</v>
      </c>
      <c r="J6" s="14" t="s">
        <v>449</v>
      </c>
      <c r="K6" s="14" t="s">
        <v>409</v>
      </c>
      <c r="L6" s="14" t="s">
        <v>421</v>
      </c>
      <c r="M6" s="14" t="s">
        <v>470</v>
      </c>
      <c r="N6" s="14" t="s">
        <v>914</v>
      </c>
      <c r="O6" s="14" t="s">
        <v>915</v>
      </c>
      <c r="P6" s="14"/>
    </row>
    <row r="7" spans="1:16" ht="15.75" customHeight="1" x14ac:dyDescent="0.2">
      <c r="E7" s="99"/>
      <c r="F7" s="63">
        <v>2018</v>
      </c>
      <c r="G7" s="14">
        <v>202.5</v>
      </c>
      <c r="H7" s="14">
        <v>197.7</v>
      </c>
      <c r="I7" s="14">
        <v>188.1</v>
      </c>
      <c r="J7" s="14">
        <v>174.5</v>
      </c>
      <c r="K7" s="14">
        <v>206</v>
      </c>
      <c r="L7" s="14">
        <v>207</v>
      </c>
      <c r="M7" s="14">
        <v>175.9</v>
      </c>
      <c r="N7" s="14">
        <v>210.3</v>
      </c>
      <c r="O7" s="14">
        <v>211.1</v>
      </c>
      <c r="P7" s="14"/>
    </row>
    <row r="8" spans="1:16" x14ac:dyDescent="0.2">
      <c r="E8" s="99"/>
      <c r="F8" s="63">
        <v>2019</v>
      </c>
      <c r="G8" s="14">
        <v>205.8</v>
      </c>
      <c r="H8" s="14">
        <v>201.8</v>
      </c>
      <c r="I8" s="14">
        <v>194.8</v>
      </c>
      <c r="J8" s="14">
        <v>180.6</v>
      </c>
      <c r="K8" s="14">
        <v>215.8</v>
      </c>
      <c r="L8" s="14">
        <v>208.5</v>
      </c>
      <c r="M8" s="14">
        <v>181.2</v>
      </c>
      <c r="N8" s="14">
        <v>205.5</v>
      </c>
      <c r="O8" s="14">
        <v>208.6</v>
      </c>
      <c r="P8" s="14"/>
    </row>
    <row r="9" spans="1:16" x14ac:dyDescent="0.2">
      <c r="A9" s="98" t="s">
        <v>893</v>
      </c>
      <c r="B9" s="99"/>
      <c r="E9" s="99"/>
      <c r="F9" s="63">
        <v>2020</v>
      </c>
      <c r="G9" s="14">
        <v>213.6</v>
      </c>
      <c r="H9" s="14">
        <v>199.5</v>
      </c>
      <c r="I9" s="14">
        <v>184.2</v>
      </c>
      <c r="J9" s="14">
        <v>180.7</v>
      </c>
      <c r="K9" s="14">
        <v>226.6</v>
      </c>
      <c r="L9" s="14">
        <v>218.6</v>
      </c>
      <c r="M9" s="14">
        <v>178</v>
      </c>
      <c r="N9" s="14">
        <v>214.2</v>
      </c>
      <c r="O9" s="14">
        <v>230.8</v>
      </c>
      <c r="P9" s="14"/>
    </row>
    <row r="10" spans="1:16" x14ac:dyDescent="0.2">
      <c r="A10" t="s">
        <v>894</v>
      </c>
      <c r="B10" t="s">
        <v>972</v>
      </c>
      <c r="E10" s="99"/>
      <c r="F10" s="63">
        <v>2021</v>
      </c>
      <c r="G10" s="14">
        <v>220.2</v>
      </c>
      <c r="H10" s="14">
        <v>198.4</v>
      </c>
      <c r="I10" s="14">
        <v>177.9</v>
      </c>
      <c r="J10" s="14">
        <v>176</v>
      </c>
      <c r="K10" s="14">
        <v>235.5</v>
      </c>
      <c r="L10" s="14">
        <v>224.5</v>
      </c>
      <c r="M10" s="14">
        <v>177.2</v>
      </c>
      <c r="N10" s="14">
        <v>211.1</v>
      </c>
      <c r="O10" s="14">
        <v>206.2</v>
      </c>
      <c r="P10" s="14"/>
    </row>
    <row r="11" spans="1:16" x14ac:dyDescent="0.2">
      <c r="A11" t="s">
        <v>895</v>
      </c>
      <c r="B11" t="s">
        <v>1123</v>
      </c>
      <c r="E11" s="99"/>
      <c r="F11" s="63"/>
      <c r="G11" s="14"/>
      <c r="H11" s="14"/>
      <c r="I11" s="14"/>
      <c r="J11" s="14"/>
      <c r="K11" s="14"/>
      <c r="L11" s="14"/>
      <c r="M11" s="14"/>
      <c r="N11" s="14"/>
      <c r="O11" s="14"/>
      <c r="P11" s="14"/>
    </row>
    <row r="12" spans="1:16" x14ac:dyDescent="0.2">
      <c r="A12" t="s">
        <v>896</v>
      </c>
      <c r="E12" s="99"/>
      <c r="F12" s="63"/>
      <c r="G12" s="14"/>
      <c r="H12" s="14"/>
      <c r="I12" s="14"/>
      <c r="J12" s="14"/>
      <c r="K12" s="14"/>
      <c r="L12" s="14"/>
      <c r="M12" s="14"/>
      <c r="N12" s="14"/>
      <c r="O12" s="14"/>
      <c r="P12" s="14"/>
    </row>
    <row r="13" spans="1:16" x14ac:dyDescent="0.2">
      <c r="A13" t="s">
        <v>897</v>
      </c>
      <c r="B13" t="s">
        <v>1123</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E19" s="99"/>
    </row>
    <row r="20" spans="1:12" x14ac:dyDescent="0.2">
      <c r="A20" t="s">
        <v>904</v>
      </c>
      <c r="E20" s="99"/>
    </row>
    <row r="21" spans="1:12" x14ac:dyDescent="0.2">
      <c r="A21" t="s">
        <v>905</v>
      </c>
      <c r="E21" s="99"/>
    </row>
    <row r="22" spans="1:12" x14ac:dyDescent="0.2">
      <c r="A22" t="s">
        <v>906</v>
      </c>
      <c r="E22" s="99"/>
    </row>
    <row r="23" spans="1:12" x14ac:dyDescent="0.2">
      <c r="A23" t="s">
        <v>907</v>
      </c>
      <c r="E23" s="99"/>
    </row>
    <row r="24" spans="1:12" x14ac:dyDescent="0.2">
      <c r="A24" t="s">
        <v>908</v>
      </c>
      <c r="E24" s="99"/>
    </row>
    <row r="25" spans="1:12" x14ac:dyDescent="0.2">
      <c r="A25" t="s">
        <v>909</v>
      </c>
      <c r="B25" t="s">
        <v>1621</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1624</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A9:B9"/>
    <mergeCell ref="A18:B18"/>
    <mergeCell ref="A27:B27"/>
    <mergeCell ref="A28:B28"/>
    <mergeCell ref="A29:D40"/>
    <mergeCell ref="N5:O5"/>
    <mergeCell ref="G5:M5"/>
  </mergeCells>
  <dataValidations count="4">
    <dataValidation type="list" allowBlank="1" showInputMessage="1" showErrorMessage="1" sqref="B6 B15" xr:uid="{F0446E0E-1438-472B-9547-982718C95433}">
      <formula1>"True,False"</formula1>
    </dataValidation>
    <dataValidation type="list" allowBlank="1" showInputMessage="1" showErrorMessage="1" sqref="B2" xr:uid="{62668C46-0EC6-4D4D-9AE5-7286E1EE0666}">
      <formula1>"Table,Figure,Both"</formula1>
    </dataValidation>
    <dataValidation type="list" allowBlank="1" showInputMessage="1" showErrorMessage="1" sqref="B10" xr:uid="{3B4393F6-BF76-4BE7-AA71-9D00DB933541}">
      <formula1>"Line,Clustered Bar,Stacked Bar,Bar"</formula1>
    </dataValidation>
    <dataValidation type="list" allowBlank="1" showInputMessage="1" showErrorMessage="1" sqref="F4:P4" xr:uid="{DF79E321-519F-491D-9177-841183C4AE4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F6DA71D-F99F-4768-9A4C-A51ACB372F9A}">
          <x14:formula1>
            <xm:f>Master!$F$2:$F$293</xm:f>
          </x14:formula1>
          <xm:sqref>B1:O1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23EF-34C0-483C-A787-237BEA7DD7E7}">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641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tbl-0to4-hosp-asthma-gastor-om-pnu-rate</v>
      </c>
    </row>
    <row r="4" spans="1:16" x14ac:dyDescent="0.2">
      <c r="A4" s="58" t="s">
        <v>6</v>
      </c>
      <c r="B4" t="str">
        <f>IF($B$1="","",_xlfn.XLOOKUP($B$1,Master!$F$2:$F$308,Master!$H$2:$H$308,""))</f>
        <v>fig-0to4-hosp-asthma-gastor-om-pnu-rate</v>
      </c>
      <c r="E4" s="13"/>
      <c r="F4" s="16"/>
      <c r="G4" s="16" t="s">
        <v>671</v>
      </c>
      <c r="H4" s="16" t="s">
        <v>671</v>
      </c>
      <c r="I4" s="16" t="s">
        <v>671</v>
      </c>
      <c r="J4" s="16" t="s">
        <v>671</v>
      </c>
      <c r="K4" s="16"/>
      <c r="L4" s="16"/>
      <c r="M4" s="16"/>
      <c r="N4" s="16"/>
      <c r="O4" s="16"/>
      <c r="P4" s="16"/>
    </row>
    <row r="5" spans="1:16" x14ac:dyDescent="0.2">
      <c r="A5" s="98" t="s">
        <v>885</v>
      </c>
      <c r="B5" s="99"/>
      <c r="E5" s="100" t="s">
        <v>886</v>
      </c>
      <c r="F5" s="55"/>
      <c r="G5" s="55" t="s">
        <v>1631</v>
      </c>
      <c r="H5" s="55" t="s">
        <v>1632</v>
      </c>
      <c r="I5" s="55" t="s">
        <v>1633</v>
      </c>
      <c r="J5" s="55" t="s">
        <v>1634</v>
      </c>
      <c r="K5" s="55"/>
      <c r="L5" s="55"/>
      <c r="M5" s="55"/>
      <c r="N5" s="55"/>
      <c r="O5" s="55"/>
    </row>
    <row r="6" spans="1:16" ht="15" customHeight="1" x14ac:dyDescent="0.2">
      <c r="A6" t="s">
        <v>891</v>
      </c>
      <c r="B6" t="b">
        <v>0</v>
      </c>
      <c r="E6" s="99"/>
      <c r="F6" s="51" t="s">
        <v>915</v>
      </c>
      <c r="G6" s="59">
        <v>24.9</v>
      </c>
      <c r="H6" s="59">
        <v>7.7</v>
      </c>
      <c r="I6" s="59">
        <v>1</v>
      </c>
      <c r="J6" s="59">
        <v>13.4</v>
      </c>
      <c r="K6" s="59"/>
      <c r="L6" s="59"/>
      <c r="M6" s="59"/>
      <c r="N6" s="59"/>
      <c r="O6" s="59"/>
      <c r="P6" s="14"/>
    </row>
    <row r="7" spans="1:16" ht="15.75" customHeight="1" x14ac:dyDescent="0.2">
      <c r="E7" s="99"/>
      <c r="F7" s="51" t="s">
        <v>914</v>
      </c>
      <c r="G7" s="59">
        <v>17.2</v>
      </c>
      <c r="H7" s="59">
        <v>5.3</v>
      </c>
      <c r="I7" s="59">
        <v>0.8</v>
      </c>
      <c r="J7" s="59">
        <v>11.5</v>
      </c>
      <c r="K7" s="59"/>
      <c r="L7" s="59"/>
      <c r="M7" s="59"/>
      <c r="N7" s="59"/>
      <c r="O7" s="59"/>
      <c r="P7" s="14"/>
    </row>
    <row r="8" spans="1:16" x14ac:dyDescent="0.2">
      <c r="E8" s="99"/>
      <c r="F8" s="51" t="s">
        <v>898</v>
      </c>
      <c r="G8" s="59">
        <v>18.8</v>
      </c>
      <c r="H8" s="59">
        <v>6.8</v>
      </c>
      <c r="I8" s="59">
        <v>1</v>
      </c>
      <c r="J8" s="59">
        <v>15.2</v>
      </c>
      <c r="K8" s="59"/>
      <c r="L8" s="59"/>
      <c r="M8" s="59"/>
      <c r="N8" s="59"/>
      <c r="O8" s="59"/>
      <c r="P8" s="14"/>
    </row>
    <row r="9" spans="1:16" x14ac:dyDescent="0.2">
      <c r="A9" s="98" t="s">
        <v>893</v>
      </c>
      <c r="B9" s="99"/>
      <c r="E9" s="99"/>
      <c r="F9" s="59"/>
      <c r="G9" s="59"/>
      <c r="H9" s="59"/>
      <c r="I9" s="59"/>
      <c r="J9" s="59"/>
      <c r="K9" s="59"/>
      <c r="L9" s="59"/>
      <c r="M9" s="59"/>
      <c r="N9" s="59"/>
      <c r="O9" s="59"/>
      <c r="P9" s="14"/>
    </row>
    <row r="10" spans="1:16" x14ac:dyDescent="0.2">
      <c r="A10" t="s">
        <v>894</v>
      </c>
      <c r="B10" t="s">
        <v>983</v>
      </c>
      <c r="E10" s="99"/>
      <c r="H10" s="14"/>
      <c r="I10" s="14"/>
      <c r="J10" s="14"/>
    </row>
    <row r="11" spans="1:16" x14ac:dyDescent="0.2">
      <c r="A11" t="s">
        <v>895</v>
      </c>
      <c r="B11" t="s">
        <v>887</v>
      </c>
      <c r="E11" s="99"/>
    </row>
    <row r="12" spans="1:16" x14ac:dyDescent="0.2">
      <c r="A12" t="s">
        <v>896</v>
      </c>
      <c r="B12" t="s">
        <v>1625</v>
      </c>
      <c r="E12" s="99"/>
    </row>
    <row r="13" spans="1:16" x14ac:dyDescent="0.2">
      <c r="A13" t="s">
        <v>897</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1629</v>
      </c>
      <c r="E19" s="99"/>
    </row>
    <row r="20" spans="1:12" x14ac:dyDescent="0.2">
      <c r="A20" t="s">
        <v>904</v>
      </c>
      <c r="B20" t="s">
        <v>1627</v>
      </c>
      <c r="E20" s="99"/>
    </row>
    <row r="21" spans="1:12" x14ac:dyDescent="0.2">
      <c r="A21" t="s">
        <v>905</v>
      </c>
      <c r="B21" t="s">
        <v>1628</v>
      </c>
      <c r="E21" s="99"/>
    </row>
    <row r="22" spans="1:12" x14ac:dyDescent="0.2">
      <c r="A22" t="s">
        <v>906</v>
      </c>
      <c r="E22" s="99"/>
    </row>
    <row r="23" spans="1:12" x14ac:dyDescent="0.2">
      <c r="A23" t="s">
        <v>907</v>
      </c>
      <c r="B23" t="s">
        <v>976</v>
      </c>
      <c r="E23" s="99"/>
    </row>
    <row r="24" spans="1:12" x14ac:dyDescent="0.2">
      <c r="A24" t="s">
        <v>908</v>
      </c>
      <c r="B24">
        <v>2025</v>
      </c>
      <c r="E24" s="99"/>
    </row>
    <row r="25" spans="1:12" x14ac:dyDescent="0.2">
      <c r="A25" t="s">
        <v>909</v>
      </c>
      <c r="B25" t="s">
        <v>1630</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1626</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27F33764-EE13-4E6D-B29F-8A91ECC947C7}">
      <formula1>"integer, number, percent1"</formula1>
    </dataValidation>
    <dataValidation type="list" allowBlank="1" showInputMessage="1" showErrorMessage="1" sqref="B10" xr:uid="{B347DE3D-22C5-4C11-BD3D-D2462EC9D957}">
      <formula1>"Line,Clustered Bar,Stacked Bar"</formula1>
    </dataValidation>
    <dataValidation type="list" allowBlank="1" showInputMessage="1" showErrorMessage="1" sqref="B2" xr:uid="{8FB789A1-BEBA-4AEB-B155-F00CD0C8DBF9}">
      <formula1>"Table,Figure,Both"</formula1>
    </dataValidation>
    <dataValidation type="list" allowBlank="1" showInputMessage="1" showErrorMessage="1" sqref="B6 B15" xr:uid="{427D612E-7E1E-40E5-9BFF-D819AF4A850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EE43B26-349A-4DFB-9C26-E10B5FD1424F}">
          <x14:formula1>
            <xm:f>Master!$F$2:$F$293</xm:f>
          </x14:formula1>
          <xm:sqref>B1:O1</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8BC6-88CE-4086-AED8-1E6C31820F1F}">
  <dimension ref="A1:P57"/>
  <sheetViews>
    <sheetView workbookViewId="0">
      <selection activeCell="I20" sqref="I20"/>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644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tbl-unint-injury-mortal-aar</v>
      </c>
    </row>
    <row r="4" spans="1:16" x14ac:dyDescent="0.2">
      <c r="A4" s="58" t="s">
        <v>6</v>
      </c>
      <c r="B4" t="str">
        <f>IF($B$1="","",_xlfn.XLOOKUP($B$1,Master!$F$2:$F$308,Master!$H$2:$H$308,""))</f>
        <v>fig-unint-injury-mortal-aar</v>
      </c>
      <c r="E4" s="13"/>
      <c r="F4" s="16" t="s">
        <v>671</v>
      </c>
      <c r="G4" s="16" t="s">
        <v>671</v>
      </c>
      <c r="H4" s="16" t="s">
        <v>671</v>
      </c>
      <c r="I4" s="16" t="s">
        <v>671</v>
      </c>
      <c r="J4" s="16" t="s">
        <v>671</v>
      </c>
      <c r="K4" s="16" t="s">
        <v>671</v>
      </c>
      <c r="L4" s="16" t="s">
        <v>671</v>
      </c>
      <c r="M4" s="16" t="s">
        <v>671</v>
      </c>
      <c r="N4" s="16" t="s">
        <v>671</v>
      </c>
      <c r="O4" s="16" t="s">
        <v>671</v>
      </c>
      <c r="P4" s="16"/>
    </row>
    <row r="5" spans="1:16" x14ac:dyDescent="0.2">
      <c r="A5" s="98" t="s">
        <v>885</v>
      </c>
      <c r="B5" s="99"/>
      <c r="E5" s="100" t="s">
        <v>886</v>
      </c>
      <c r="G5" s="101" t="s">
        <v>1622</v>
      </c>
      <c r="H5" s="101"/>
      <c r="I5" s="101"/>
      <c r="J5" s="101"/>
      <c r="K5" s="101"/>
      <c r="L5" s="101"/>
      <c r="M5" s="101"/>
      <c r="N5" s="101" t="s">
        <v>1623</v>
      </c>
      <c r="O5" s="101"/>
    </row>
    <row r="6" spans="1:16" ht="15" customHeight="1" x14ac:dyDescent="0.2">
      <c r="A6" t="s">
        <v>891</v>
      </c>
      <c r="B6" t="b">
        <v>1</v>
      </c>
      <c r="E6" s="99"/>
      <c r="F6" s="63" t="s">
        <v>1123</v>
      </c>
      <c r="G6" s="59" t="s">
        <v>220</v>
      </c>
      <c r="H6" s="59" t="s">
        <v>18</v>
      </c>
      <c r="I6" s="59" t="s">
        <v>537</v>
      </c>
      <c r="J6" s="59" t="s">
        <v>449</v>
      </c>
      <c r="K6" s="59" t="s">
        <v>409</v>
      </c>
      <c r="L6" s="59" t="s">
        <v>421</v>
      </c>
      <c r="M6" s="59" t="s">
        <v>470</v>
      </c>
      <c r="N6" s="59" t="s">
        <v>914</v>
      </c>
      <c r="O6" s="59" t="s">
        <v>915</v>
      </c>
      <c r="P6" s="14"/>
    </row>
    <row r="7" spans="1:16" ht="15.75" customHeight="1" x14ac:dyDescent="0.2">
      <c r="E7" s="99"/>
      <c r="F7" s="63">
        <v>2018</v>
      </c>
      <c r="G7" s="59">
        <v>49</v>
      </c>
      <c r="H7" s="59">
        <v>49</v>
      </c>
      <c r="I7" s="59">
        <v>38</v>
      </c>
      <c r="J7" s="59">
        <v>32</v>
      </c>
      <c r="K7" s="59">
        <v>75</v>
      </c>
      <c r="L7" s="59">
        <v>50</v>
      </c>
      <c r="M7" s="59">
        <v>27</v>
      </c>
      <c r="N7" s="59">
        <v>41</v>
      </c>
      <c r="O7" s="59">
        <v>34</v>
      </c>
      <c r="P7" s="14"/>
    </row>
    <row r="8" spans="1:16" x14ac:dyDescent="0.2">
      <c r="E8" s="99"/>
      <c r="F8" s="63">
        <v>2019</v>
      </c>
      <c r="G8" s="59">
        <v>52</v>
      </c>
      <c r="H8" s="59">
        <v>49</v>
      </c>
      <c r="I8" s="59">
        <v>34</v>
      </c>
      <c r="J8" s="59">
        <v>36</v>
      </c>
      <c r="K8" s="59">
        <v>82</v>
      </c>
      <c r="L8" s="59">
        <v>57</v>
      </c>
      <c r="M8" s="59">
        <v>28</v>
      </c>
      <c r="N8" s="59">
        <v>40</v>
      </c>
      <c r="O8" s="59">
        <v>34</v>
      </c>
      <c r="P8" s="14"/>
    </row>
    <row r="9" spans="1:16" x14ac:dyDescent="0.2">
      <c r="A9" s="98" t="s">
        <v>893</v>
      </c>
      <c r="B9" s="99"/>
      <c r="E9" s="99"/>
      <c r="F9" s="63">
        <v>2020</v>
      </c>
      <c r="G9" s="59">
        <v>52</v>
      </c>
      <c r="H9" s="59">
        <v>50</v>
      </c>
      <c r="I9" s="59">
        <v>36</v>
      </c>
      <c r="J9" s="59">
        <v>39</v>
      </c>
      <c r="K9" s="59">
        <v>85</v>
      </c>
      <c r="L9" s="59">
        <v>59</v>
      </c>
      <c r="M9" s="59">
        <v>30</v>
      </c>
      <c r="N9" s="59">
        <v>47</v>
      </c>
      <c r="O9" s="59">
        <v>41</v>
      </c>
      <c r="P9" s="14"/>
    </row>
    <row r="10" spans="1:16" x14ac:dyDescent="0.2">
      <c r="A10" t="s">
        <v>894</v>
      </c>
      <c r="B10" t="s">
        <v>972</v>
      </c>
      <c r="E10" s="99"/>
      <c r="F10" s="63">
        <v>2021</v>
      </c>
      <c r="G10" s="59">
        <v>59</v>
      </c>
      <c r="H10" s="59">
        <v>56</v>
      </c>
      <c r="I10" s="59">
        <v>41</v>
      </c>
      <c r="J10" s="59">
        <v>38</v>
      </c>
      <c r="K10" s="59">
        <v>92</v>
      </c>
      <c r="L10" s="59">
        <v>64</v>
      </c>
      <c r="M10" s="59">
        <v>32</v>
      </c>
      <c r="N10" s="59">
        <v>52</v>
      </c>
      <c r="O10" s="59">
        <v>47</v>
      </c>
      <c r="P10" s="14"/>
    </row>
    <row r="11" spans="1:16" x14ac:dyDescent="0.2">
      <c r="A11" t="s">
        <v>895</v>
      </c>
      <c r="B11" t="s">
        <v>1123</v>
      </c>
      <c r="E11" s="99"/>
      <c r="F11" s="63"/>
      <c r="G11" s="14"/>
      <c r="H11" s="14"/>
      <c r="I11" s="14"/>
      <c r="J11" s="14"/>
      <c r="K11" s="14"/>
      <c r="L11" s="14"/>
      <c r="M11" s="14"/>
      <c r="N11" s="14"/>
      <c r="O11" s="14"/>
      <c r="P11" s="14"/>
    </row>
    <row r="12" spans="1:16" x14ac:dyDescent="0.2">
      <c r="A12" t="s">
        <v>896</v>
      </c>
      <c r="B12" t="s">
        <v>715</v>
      </c>
      <c r="E12" s="99"/>
      <c r="F12" s="63"/>
      <c r="G12" s="14"/>
      <c r="H12" s="14"/>
      <c r="I12" s="14"/>
      <c r="J12" s="14"/>
      <c r="K12" s="14"/>
      <c r="L12" s="14"/>
      <c r="M12" s="14"/>
      <c r="N12" s="14"/>
      <c r="O12" s="14"/>
      <c r="P12" s="14"/>
    </row>
    <row r="13" spans="1:16" x14ac:dyDescent="0.2">
      <c r="A13" t="s">
        <v>897</v>
      </c>
      <c r="B13" t="s">
        <v>1123</v>
      </c>
      <c r="E13" s="99"/>
    </row>
    <row r="14" spans="1:16" x14ac:dyDescent="0.2">
      <c r="A14" t="s">
        <v>899</v>
      </c>
      <c r="B14" t="s">
        <v>715</v>
      </c>
      <c r="E14" s="99"/>
    </row>
    <row r="15" spans="1:16" x14ac:dyDescent="0.2">
      <c r="A15" t="s">
        <v>901</v>
      </c>
      <c r="B15" t="b">
        <v>0</v>
      </c>
      <c r="E15" s="99"/>
    </row>
    <row r="16" spans="1:16" x14ac:dyDescent="0.2">
      <c r="E16" s="99"/>
    </row>
    <row r="17" spans="1:12" x14ac:dyDescent="0.2">
      <c r="E17" s="99"/>
    </row>
    <row r="18" spans="1:12" x14ac:dyDescent="0.2">
      <c r="A18" s="98" t="s">
        <v>902</v>
      </c>
      <c r="B18" s="99"/>
      <c r="E18" s="99"/>
    </row>
    <row r="19" spans="1:12" x14ac:dyDescent="0.2">
      <c r="A19" t="s">
        <v>903</v>
      </c>
      <c r="B19" t="s">
        <v>1629</v>
      </c>
      <c r="E19" s="99"/>
    </row>
    <row r="20" spans="1:12" x14ac:dyDescent="0.2">
      <c r="A20" t="s">
        <v>904</v>
      </c>
      <c r="B20" t="s">
        <v>1627</v>
      </c>
      <c r="E20" s="99"/>
    </row>
    <row r="21" spans="1:12" x14ac:dyDescent="0.2">
      <c r="A21" t="s">
        <v>905</v>
      </c>
      <c r="B21">
        <v>2021</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1637</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1638</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dataValidations count="4">
    <dataValidation type="list" allowBlank="1" showInputMessage="1" showErrorMessage="1" sqref="F4:P4" xr:uid="{EE696A7B-56A3-4242-8A22-C5928BF6D3F6}">
      <formula1>"integer, number, percent1"</formula1>
    </dataValidation>
    <dataValidation type="list" allowBlank="1" showInputMessage="1" showErrorMessage="1" sqref="B10" xr:uid="{ECC864C7-B1BB-4D3C-93AD-93193AABCA96}">
      <formula1>"Line,Clustered Bar,Stacked Bar,Bar"</formula1>
    </dataValidation>
    <dataValidation type="list" allowBlank="1" showInputMessage="1" showErrorMessage="1" sqref="B2" xr:uid="{B74F0C42-DEC7-4409-810E-F8A18CEC6224}">
      <formula1>"Table,Figure,Both"</formula1>
    </dataValidation>
    <dataValidation type="list" allowBlank="1" showInputMessage="1" showErrorMessage="1" sqref="B6 B15" xr:uid="{DB56E2FB-F280-4626-9929-9E541FAB518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6E2B4D5-D935-425C-A318-281DC44DA672}">
          <x14:formula1>
            <xm:f>Master!$F$2:$F$293</xm:f>
          </x14:formula1>
          <xm:sqref>B1:O1</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7AAF6-4DEA-40EA-B86B-95BC38556FDB}">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645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
      </c>
    </row>
    <row r="4" spans="1:16" x14ac:dyDescent="0.2">
      <c r="A4" s="58" t="s">
        <v>6</v>
      </c>
      <c r="B4" t="str">
        <f>IF($B$1="","",_xlfn.XLOOKUP($B$1,Master!$F$2:$F$308,Master!$H$2:$H$308,""))</f>
        <v/>
      </c>
      <c r="E4" s="13"/>
      <c r="F4" s="16" t="s">
        <v>671</v>
      </c>
      <c r="G4" s="16" t="s">
        <v>671</v>
      </c>
      <c r="H4" s="16" t="s">
        <v>671</v>
      </c>
      <c r="I4" s="16" t="s">
        <v>671</v>
      </c>
      <c r="J4" s="16" t="s">
        <v>671</v>
      </c>
      <c r="K4" s="16" t="s">
        <v>671</v>
      </c>
      <c r="L4" s="16" t="s">
        <v>671</v>
      </c>
      <c r="M4" s="16" t="s">
        <v>671</v>
      </c>
      <c r="N4" s="16"/>
      <c r="O4" s="16"/>
      <c r="P4" s="16"/>
    </row>
    <row r="5" spans="1:16" x14ac:dyDescent="0.2">
      <c r="A5" s="98" t="s">
        <v>885</v>
      </c>
      <c r="B5" s="99"/>
      <c r="E5" s="100" t="s">
        <v>886</v>
      </c>
      <c r="F5" s="55"/>
      <c r="G5" s="59" t="s">
        <v>220</v>
      </c>
      <c r="H5" s="59" t="s">
        <v>18</v>
      </c>
      <c r="I5" s="59" t="s">
        <v>537</v>
      </c>
      <c r="J5" s="59" t="s">
        <v>449</v>
      </c>
      <c r="K5" s="59" t="s">
        <v>409</v>
      </c>
      <c r="L5" s="59" t="s">
        <v>421</v>
      </c>
      <c r="M5" s="59" t="s">
        <v>470</v>
      </c>
      <c r="N5" s="55"/>
      <c r="O5" s="55"/>
    </row>
    <row r="6" spans="1:16" ht="15" customHeight="1" x14ac:dyDescent="0.2">
      <c r="A6" t="s">
        <v>891</v>
      </c>
      <c r="B6" t="b">
        <v>0</v>
      </c>
      <c r="E6" s="99"/>
      <c r="F6" s="69">
        <v>2020</v>
      </c>
      <c r="G6" s="51">
        <v>541</v>
      </c>
      <c r="H6" s="51">
        <v>604</v>
      </c>
      <c r="I6" s="51">
        <v>237</v>
      </c>
      <c r="J6" s="51">
        <v>431</v>
      </c>
      <c r="K6" s="51">
        <v>583</v>
      </c>
      <c r="L6" s="51">
        <v>609</v>
      </c>
      <c r="M6" s="51">
        <v>497</v>
      </c>
      <c r="N6" s="59"/>
      <c r="O6" s="59"/>
      <c r="P6" s="14"/>
    </row>
    <row r="7" spans="1:16" ht="15.75" customHeight="1" x14ac:dyDescent="0.2">
      <c r="E7" s="99"/>
      <c r="F7" s="69">
        <v>2021</v>
      </c>
      <c r="G7" s="51">
        <v>421</v>
      </c>
      <c r="H7" s="51">
        <v>593</v>
      </c>
      <c r="I7" s="51">
        <v>220</v>
      </c>
      <c r="J7" s="51">
        <v>456</v>
      </c>
      <c r="K7" s="51">
        <v>589</v>
      </c>
      <c r="L7" s="51">
        <v>494</v>
      </c>
      <c r="M7" s="51">
        <v>441</v>
      </c>
      <c r="N7" s="59"/>
      <c r="O7" s="59"/>
      <c r="P7" s="14"/>
    </row>
    <row r="8" spans="1:16" x14ac:dyDescent="0.2">
      <c r="E8" s="99"/>
      <c r="F8" s="69">
        <v>2022</v>
      </c>
      <c r="G8" s="51">
        <v>436</v>
      </c>
      <c r="H8" s="51">
        <v>613</v>
      </c>
      <c r="I8" s="51">
        <v>222</v>
      </c>
      <c r="J8" s="51">
        <v>470</v>
      </c>
      <c r="K8" s="51">
        <v>542</v>
      </c>
      <c r="L8" s="51">
        <v>446</v>
      </c>
      <c r="M8" s="51">
        <v>408</v>
      </c>
      <c r="N8" s="59"/>
      <c r="O8" s="59"/>
      <c r="P8" s="14"/>
    </row>
    <row r="9" spans="1:16" x14ac:dyDescent="0.2">
      <c r="A9" s="98" t="s">
        <v>893</v>
      </c>
      <c r="B9" s="99"/>
      <c r="E9" s="99"/>
      <c r="F9" s="69">
        <v>2023</v>
      </c>
      <c r="G9" s="51">
        <v>443</v>
      </c>
      <c r="H9" s="51">
        <v>573</v>
      </c>
      <c r="I9" s="51">
        <v>230</v>
      </c>
      <c r="J9" s="51">
        <v>399</v>
      </c>
      <c r="K9" s="51">
        <v>642</v>
      </c>
      <c r="L9" s="51">
        <v>444</v>
      </c>
      <c r="M9" s="51">
        <v>404</v>
      </c>
      <c r="N9" s="59"/>
      <c r="O9" s="59"/>
      <c r="P9" s="14"/>
    </row>
    <row r="10" spans="1:16" x14ac:dyDescent="0.2">
      <c r="A10" t="s">
        <v>894</v>
      </c>
      <c r="B10" t="s">
        <v>983</v>
      </c>
      <c r="E10" s="99"/>
      <c r="F10" s="69">
        <v>2024</v>
      </c>
      <c r="G10" s="51">
        <v>464</v>
      </c>
      <c r="H10" s="51">
        <v>570</v>
      </c>
      <c r="I10" s="51">
        <v>226</v>
      </c>
      <c r="J10" s="51">
        <v>366</v>
      </c>
      <c r="K10" s="51">
        <v>636</v>
      </c>
      <c r="L10" s="51">
        <v>530</v>
      </c>
      <c r="M10" s="51">
        <v>388</v>
      </c>
    </row>
    <row r="11" spans="1:16" x14ac:dyDescent="0.2">
      <c r="A11" t="s">
        <v>895</v>
      </c>
      <c r="B11" t="s">
        <v>887</v>
      </c>
      <c r="E11" s="99"/>
    </row>
    <row r="12" spans="1:16" x14ac:dyDescent="0.2">
      <c r="A12" t="s">
        <v>896</v>
      </c>
      <c r="B12" t="s">
        <v>1625</v>
      </c>
      <c r="E12" s="99"/>
    </row>
    <row r="13" spans="1:16" x14ac:dyDescent="0.2">
      <c r="A13" t="s">
        <v>897</v>
      </c>
      <c r="E13" s="99"/>
    </row>
    <row r="14" spans="1:16" x14ac:dyDescent="0.2">
      <c r="A14" t="s">
        <v>899</v>
      </c>
      <c r="B14" t="s">
        <v>715</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1690</v>
      </c>
      <c r="E19" s="99"/>
    </row>
    <row r="20" spans="1:12" x14ac:dyDescent="0.2">
      <c r="A20" t="s">
        <v>904</v>
      </c>
      <c r="E20" s="99"/>
    </row>
    <row r="21" spans="1:12" x14ac:dyDescent="0.2">
      <c r="A21" t="s">
        <v>905</v>
      </c>
      <c r="B21" t="s">
        <v>1691</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1692</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1689</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6F76D347-EF0A-46EA-BD37-D724B888397D}">
      <formula1>"True,False"</formula1>
    </dataValidation>
    <dataValidation type="list" allowBlank="1" showInputMessage="1" showErrorMessage="1" sqref="B2" xr:uid="{A80B7F6B-F5EB-486F-A988-A263C7D763B1}">
      <formula1>"Table,Figure,Both"</formula1>
    </dataValidation>
    <dataValidation type="list" allowBlank="1" showInputMessage="1" showErrorMessage="1" sqref="B10" xr:uid="{3D35CB3C-3DDC-4907-9295-13CC48122F02}">
      <formula1>"Line,Clustered Bar,Stacked Bar"</formula1>
    </dataValidation>
    <dataValidation type="list" allowBlank="1" showInputMessage="1" showErrorMessage="1" sqref="F4:P4" xr:uid="{21E2C54D-EDF5-4328-B0A9-436DF6158460}">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1B9B339-BB77-4DB3-BD5A-6A88E1E9E9F3}">
          <x14:formula1>
            <xm:f>Master!$F$2:$F$293</xm:f>
          </x14:formula1>
          <xm:sqref>B1:O1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E9CB-4679-4579-9EDA-17D8832FF7B1}">
  <dimension ref="A1:P57"/>
  <sheetViews>
    <sheetView workbookViewId="0">
      <selection activeCell="N18" sqref="N18"/>
    </sheetView>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648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
      </c>
    </row>
    <row r="4" spans="1:16" x14ac:dyDescent="0.2">
      <c r="A4" s="58" t="s">
        <v>6</v>
      </c>
      <c r="B4" t="str">
        <f>IF($B$1="","",_xlfn.XLOOKUP($B$1,Master!$F$2:$F$308,Master!$H$2:$H$308,""))</f>
        <v/>
      </c>
      <c r="E4" s="13"/>
      <c r="F4" s="16" t="s">
        <v>671</v>
      </c>
      <c r="G4" s="16" t="s">
        <v>679</v>
      </c>
      <c r="H4" s="16" t="s">
        <v>679</v>
      </c>
      <c r="I4" s="16" t="s">
        <v>679</v>
      </c>
      <c r="J4" s="16" t="s">
        <v>679</v>
      </c>
      <c r="K4" s="16" t="s">
        <v>679</v>
      </c>
      <c r="L4" s="16" t="s">
        <v>679</v>
      </c>
      <c r="M4" s="16" t="s">
        <v>679</v>
      </c>
      <c r="N4" s="16"/>
      <c r="O4" s="16"/>
      <c r="P4" s="16"/>
    </row>
    <row r="5" spans="1:16" x14ac:dyDescent="0.2">
      <c r="A5" s="98" t="s">
        <v>885</v>
      </c>
      <c r="B5" s="99"/>
      <c r="E5" s="100" t="s">
        <v>886</v>
      </c>
      <c r="F5" s="55"/>
      <c r="G5" s="59" t="s">
        <v>220</v>
      </c>
      <c r="H5" s="59" t="s">
        <v>18</v>
      </c>
      <c r="I5" s="59" t="s">
        <v>537</v>
      </c>
      <c r="J5" s="59" t="s">
        <v>449</v>
      </c>
      <c r="K5" s="59" t="s">
        <v>409</v>
      </c>
      <c r="L5" s="59" t="s">
        <v>421</v>
      </c>
      <c r="M5" s="59" t="s">
        <v>470</v>
      </c>
      <c r="N5" s="55"/>
      <c r="O5" s="55"/>
    </row>
    <row r="6" spans="1:16" ht="15" customHeight="1" x14ac:dyDescent="0.2">
      <c r="A6" t="s">
        <v>891</v>
      </c>
      <c r="B6" t="b">
        <v>0</v>
      </c>
      <c r="E6" s="99"/>
      <c r="F6" s="69">
        <v>2020</v>
      </c>
      <c r="G6" s="59">
        <v>29.7</v>
      </c>
      <c r="H6" s="59">
        <v>30.9</v>
      </c>
      <c r="I6" s="59">
        <v>20.100000000000001</v>
      </c>
      <c r="J6" s="59">
        <v>32.700000000000003</v>
      </c>
      <c r="K6" s="59">
        <v>34.6</v>
      </c>
      <c r="L6" s="59">
        <v>31.1</v>
      </c>
      <c r="M6" s="59">
        <v>34.6</v>
      </c>
      <c r="N6" s="59"/>
      <c r="O6" s="59"/>
      <c r="P6" s="14"/>
    </row>
    <row r="7" spans="1:16" ht="15.75" customHeight="1" x14ac:dyDescent="0.2">
      <c r="E7" s="99"/>
      <c r="F7" s="69">
        <v>2021</v>
      </c>
      <c r="G7" s="59">
        <v>30.9</v>
      </c>
      <c r="H7" s="59">
        <v>33.4</v>
      </c>
      <c r="I7" s="59">
        <v>26.4</v>
      </c>
      <c r="J7" s="59">
        <v>36.1</v>
      </c>
      <c r="K7" s="59">
        <v>30.4</v>
      </c>
      <c r="L7" s="59">
        <v>30.2</v>
      </c>
      <c r="M7" s="59">
        <v>34.200000000000003</v>
      </c>
      <c r="N7" s="59"/>
      <c r="O7" s="59"/>
      <c r="P7" s="14"/>
    </row>
    <row r="8" spans="1:16" x14ac:dyDescent="0.2">
      <c r="E8" s="99"/>
      <c r="F8" s="69">
        <v>2022</v>
      </c>
      <c r="G8" s="59">
        <v>31.9</v>
      </c>
      <c r="H8" s="59">
        <v>35.799999999999997</v>
      </c>
      <c r="I8" s="59">
        <v>26.7</v>
      </c>
      <c r="J8" s="59">
        <v>36.799999999999997</v>
      </c>
      <c r="K8" s="59">
        <v>34</v>
      </c>
      <c r="L8" s="59">
        <v>30.3</v>
      </c>
      <c r="M8" s="59">
        <v>33.799999999999997</v>
      </c>
      <c r="N8" s="59"/>
      <c r="O8" s="59"/>
      <c r="P8" s="14"/>
    </row>
    <row r="9" spans="1:16" x14ac:dyDescent="0.2">
      <c r="A9" s="98" t="s">
        <v>893</v>
      </c>
      <c r="B9" s="99"/>
      <c r="E9" s="99"/>
      <c r="F9" s="69">
        <v>2023</v>
      </c>
      <c r="G9" s="59">
        <v>32.6</v>
      </c>
      <c r="H9" s="59">
        <v>40.5</v>
      </c>
      <c r="I9" s="59">
        <v>26.7</v>
      </c>
      <c r="J9" s="59">
        <v>41.3</v>
      </c>
      <c r="K9" s="59">
        <v>32.700000000000003</v>
      </c>
      <c r="L9" s="59">
        <v>28.8</v>
      </c>
      <c r="M9" s="59">
        <v>33.799999999999997</v>
      </c>
      <c r="N9" s="59"/>
      <c r="O9" s="59"/>
      <c r="P9" s="14"/>
    </row>
    <row r="10" spans="1:16" x14ac:dyDescent="0.2">
      <c r="A10" t="s">
        <v>894</v>
      </c>
      <c r="B10" t="s">
        <v>983</v>
      </c>
      <c r="E10" s="99"/>
      <c r="F10" s="69">
        <v>2024</v>
      </c>
      <c r="G10" s="59">
        <v>30.6</v>
      </c>
      <c r="H10" s="59">
        <v>38.5</v>
      </c>
      <c r="I10" s="59">
        <v>28.5</v>
      </c>
      <c r="J10" s="59">
        <v>38.4</v>
      </c>
      <c r="K10" s="59">
        <v>30.8</v>
      </c>
      <c r="L10" s="59">
        <v>29</v>
      </c>
      <c r="M10" s="59">
        <v>31.6</v>
      </c>
    </row>
    <row r="11" spans="1:16" x14ac:dyDescent="0.2">
      <c r="A11" t="s">
        <v>895</v>
      </c>
      <c r="B11" t="s">
        <v>887</v>
      </c>
      <c r="E11" s="99"/>
    </row>
    <row r="12" spans="1:16" x14ac:dyDescent="0.2">
      <c r="A12" t="s">
        <v>896</v>
      </c>
      <c r="B12" t="s">
        <v>1694</v>
      </c>
      <c r="E12" s="99"/>
    </row>
    <row r="13" spans="1:16" x14ac:dyDescent="0.2">
      <c r="A13" t="s">
        <v>897</v>
      </c>
      <c r="E13" s="99"/>
    </row>
    <row r="14" spans="1:16" x14ac:dyDescent="0.2">
      <c r="A14" t="s">
        <v>899</v>
      </c>
      <c r="B14" t="s">
        <v>1694</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1690</v>
      </c>
      <c r="E19" s="99"/>
    </row>
    <row r="20" spans="1:12" x14ac:dyDescent="0.2">
      <c r="A20" t="s">
        <v>904</v>
      </c>
      <c r="E20" s="99"/>
    </row>
    <row r="21" spans="1:12" x14ac:dyDescent="0.2">
      <c r="A21" t="s">
        <v>905</v>
      </c>
      <c r="B21" t="s">
        <v>1691</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1692</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44300F64-109B-43D1-A809-71D7F2AB18F3}">
      <formula1>"integer, number, percent1"</formula1>
    </dataValidation>
    <dataValidation type="list" allowBlank="1" showInputMessage="1" showErrorMessage="1" sqref="B2" xr:uid="{C7A1D48B-9FEF-40CA-B0C4-EA658DE69D08}">
      <formula1>"Table,Figure,Both"</formula1>
    </dataValidation>
    <dataValidation type="list" allowBlank="1" showInputMessage="1" showErrorMessage="1" sqref="B6 B15" xr:uid="{4527CBF2-8305-4969-AA9D-5E226273665C}">
      <formula1>"True,False"</formula1>
    </dataValidation>
    <dataValidation type="list" allowBlank="1" showInputMessage="1" showErrorMessage="1" sqref="B10" xr:uid="{1487238B-7E0F-4C70-A94B-751C896D7CDA}">
      <formula1>"Line,Clustered Bar,Stacked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BFB667D-2D3B-41C2-B657-BBB803FD153C}">
          <x14:formula1>
            <xm:f>Master!$F$2:$F$293</xm:f>
          </x14:formula1>
          <xm:sqref>B1:O1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EE45-C55A-47DE-BF05-1CF972CFAB20}">
  <dimension ref="A1:P57"/>
  <sheetViews>
    <sheetView workbookViewId="0">
      <selection activeCell="B1" sqref="B1:O1"/>
    </sheetView>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647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tbl-poison-control-cannabis</v>
      </c>
    </row>
    <row r="4" spans="1:16" x14ac:dyDescent="0.2">
      <c r="A4" s="58" t="s">
        <v>6</v>
      </c>
      <c r="B4" t="str">
        <f>IF($B$1="","",_xlfn.XLOOKUP($B$1,Master!$F$2:$F$308,Master!$H$2:$H$308,""))</f>
        <v>fig-poison-control-cannabis</v>
      </c>
      <c r="E4" s="13"/>
      <c r="F4" s="16" t="s">
        <v>671</v>
      </c>
      <c r="G4" s="16" t="s">
        <v>671</v>
      </c>
      <c r="H4" s="16" t="s">
        <v>671</v>
      </c>
      <c r="I4" s="16" t="s">
        <v>671</v>
      </c>
      <c r="J4" s="16" t="s">
        <v>671</v>
      </c>
      <c r="K4" s="16" t="s">
        <v>671</v>
      </c>
      <c r="L4" s="16" t="s">
        <v>671</v>
      </c>
      <c r="M4" s="16" t="s">
        <v>671</v>
      </c>
      <c r="N4" s="16"/>
      <c r="O4" s="16"/>
      <c r="P4" s="16"/>
    </row>
    <row r="5" spans="1:16" x14ac:dyDescent="0.2">
      <c r="A5" s="98" t="s">
        <v>885</v>
      </c>
      <c r="B5" s="99"/>
      <c r="E5" s="100" t="s">
        <v>886</v>
      </c>
      <c r="F5" s="55"/>
      <c r="G5" s="59" t="s">
        <v>220</v>
      </c>
      <c r="H5" s="59" t="s">
        <v>18</v>
      </c>
      <c r="I5" s="59" t="s">
        <v>537</v>
      </c>
      <c r="J5" s="59" t="s">
        <v>449</v>
      </c>
      <c r="K5" s="59" t="s">
        <v>409</v>
      </c>
      <c r="L5" s="59" t="s">
        <v>421</v>
      </c>
      <c r="M5" s="59" t="s">
        <v>470</v>
      </c>
      <c r="N5" s="55"/>
      <c r="O5" s="55"/>
    </row>
    <row r="6" spans="1:16" ht="15" customHeight="1" x14ac:dyDescent="0.2">
      <c r="A6" t="s">
        <v>891</v>
      </c>
      <c r="B6" t="b">
        <v>0</v>
      </c>
      <c r="E6" s="99"/>
      <c r="F6" s="69">
        <v>2020</v>
      </c>
      <c r="G6" s="59">
        <v>1.4</v>
      </c>
      <c r="H6" s="59">
        <v>5.8</v>
      </c>
      <c r="I6" s="59">
        <v>2</v>
      </c>
      <c r="J6" s="59">
        <v>2.2000000000000002</v>
      </c>
      <c r="K6" s="51">
        <v>0</v>
      </c>
      <c r="L6" s="59">
        <v>1.7</v>
      </c>
      <c r="M6" s="59">
        <v>5.5</v>
      </c>
      <c r="N6" s="59"/>
      <c r="O6" s="59"/>
      <c r="P6" s="14"/>
    </row>
    <row r="7" spans="1:16" ht="15.75" customHeight="1" x14ac:dyDescent="0.2">
      <c r="E7" s="99"/>
      <c r="F7" s="69">
        <v>2021</v>
      </c>
      <c r="G7" s="59">
        <v>3</v>
      </c>
      <c r="H7" s="59">
        <v>5.3</v>
      </c>
      <c r="I7" s="59">
        <v>2</v>
      </c>
      <c r="J7" s="59">
        <v>1.8</v>
      </c>
      <c r="K7" s="59">
        <v>10.199999999999999</v>
      </c>
      <c r="L7" s="59">
        <v>3.3</v>
      </c>
      <c r="M7" s="59">
        <v>7.1</v>
      </c>
      <c r="N7" s="59"/>
      <c r="O7" s="59"/>
      <c r="P7" s="14"/>
    </row>
    <row r="8" spans="1:16" x14ac:dyDescent="0.2">
      <c r="E8" s="99"/>
      <c r="F8" s="69">
        <v>2022</v>
      </c>
      <c r="G8" s="59">
        <v>5.0999999999999996</v>
      </c>
      <c r="H8" s="59">
        <v>7.7</v>
      </c>
      <c r="I8" s="59">
        <v>3.1</v>
      </c>
      <c r="J8" s="59">
        <v>3.6</v>
      </c>
      <c r="K8" s="59">
        <v>7.6</v>
      </c>
      <c r="L8" s="59">
        <v>2.7</v>
      </c>
      <c r="M8" s="59">
        <v>6.4</v>
      </c>
      <c r="N8" s="59"/>
      <c r="O8" s="59"/>
      <c r="P8" s="14"/>
    </row>
    <row r="9" spans="1:16" x14ac:dyDescent="0.2">
      <c r="A9" s="98" t="s">
        <v>893</v>
      </c>
      <c r="B9" s="99"/>
      <c r="E9" s="99"/>
      <c r="F9" s="69">
        <v>2023</v>
      </c>
      <c r="G9" s="59">
        <v>5</v>
      </c>
      <c r="H9" s="59">
        <v>5.7</v>
      </c>
      <c r="I9" s="59">
        <v>3.14</v>
      </c>
      <c r="J9" s="59">
        <v>2.4</v>
      </c>
      <c r="K9" s="59">
        <v>8.8000000000000007</v>
      </c>
      <c r="L9" s="59">
        <v>1.1000000000000001</v>
      </c>
      <c r="M9" s="59">
        <v>6.7</v>
      </c>
      <c r="N9" s="59"/>
      <c r="O9" s="59"/>
      <c r="P9" s="14"/>
    </row>
    <row r="10" spans="1:16" x14ac:dyDescent="0.2">
      <c r="A10" t="s">
        <v>894</v>
      </c>
      <c r="B10" t="s">
        <v>983</v>
      </c>
      <c r="E10" s="99"/>
      <c r="F10" s="69">
        <v>2024</v>
      </c>
      <c r="G10" s="59">
        <v>5.7</v>
      </c>
      <c r="H10" s="59">
        <v>6.7</v>
      </c>
      <c r="I10" s="59">
        <v>2</v>
      </c>
      <c r="J10" s="59">
        <v>1.8</v>
      </c>
      <c r="K10" s="59">
        <v>8.8000000000000007</v>
      </c>
      <c r="L10" s="59">
        <v>3.3</v>
      </c>
      <c r="M10" s="59">
        <v>5.9</v>
      </c>
    </row>
    <row r="11" spans="1:16" x14ac:dyDescent="0.2">
      <c r="A11" t="s">
        <v>895</v>
      </c>
      <c r="B11" t="s">
        <v>887</v>
      </c>
      <c r="E11" s="99"/>
    </row>
    <row r="12" spans="1:16" x14ac:dyDescent="0.2">
      <c r="A12" t="s">
        <v>896</v>
      </c>
      <c r="B12" t="s">
        <v>1625</v>
      </c>
      <c r="E12" s="99"/>
    </row>
    <row r="13" spans="1:16" x14ac:dyDescent="0.2">
      <c r="A13" t="s">
        <v>897</v>
      </c>
      <c r="E13" s="99"/>
    </row>
    <row r="14" spans="1:16" x14ac:dyDescent="0.2">
      <c r="A14" t="s">
        <v>899</v>
      </c>
      <c r="B14" t="s">
        <v>715</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1690</v>
      </c>
      <c r="E19" s="99"/>
    </row>
    <row r="20" spans="1:12" x14ac:dyDescent="0.2">
      <c r="A20" t="s">
        <v>904</v>
      </c>
      <c r="E20" s="99"/>
    </row>
    <row r="21" spans="1:12" x14ac:dyDescent="0.2">
      <c r="A21" t="s">
        <v>905</v>
      </c>
      <c r="B21" t="s">
        <v>1691</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1692</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1697</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B6 B15" xr:uid="{160FCE2A-C1DC-4863-AA74-EEF76103862E}">
      <formula1>"True,False"</formula1>
    </dataValidation>
    <dataValidation type="list" allowBlank="1" showInputMessage="1" showErrorMessage="1" sqref="B2" xr:uid="{00CE151D-FB4A-4CD2-8B69-594265EBA81E}">
      <formula1>"Table,Figure,Both"</formula1>
    </dataValidation>
    <dataValidation type="list" allowBlank="1" showInputMessage="1" showErrorMessage="1" sqref="F4:P4" xr:uid="{6D1DD4F3-6B74-400A-914D-9644279FE7FD}">
      <formula1>"integer, number, percent1"</formula1>
    </dataValidation>
    <dataValidation type="list" allowBlank="1" showInputMessage="1" showErrorMessage="1" sqref="B10" xr:uid="{8A96F137-C09A-46CB-9041-193C8067259F}">
      <formula1>"Line,Clustered Bar,Stacked Bar"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84BAE9F-3BD1-4BA3-BB98-2C845DB37409}">
          <x14:formula1>
            <xm:f>Master!$F$2:$F$293</xm:f>
          </x14:formula1>
          <xm:sqref>B1:O1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689D-DDCB-43AB-B3DF-61D5E0234C3A}">
  <dimension ref="A1:P57"/>
  <sheetViews>
    <sheetView workbookViewId="0">
      <selection activeCell="B1" sqref="B1:O1"/>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651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tbl-mva-mortal-rate</v>
      </c>
    </row>
    <row r="4" spans="1:16" x14ac:dyDescent="0.2">
      <c r="A4" s="58" t="s">
        <v>6</v>
      </c>
      <c r="B4" t="str">
        <f>IF($B$1="","",_xlfn.XLOOKUP($B$1,Master!$F$2:$F$308,Master!$H$2:$H$308,""))</f>
        <v>fig-mva-mortal-rate</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1623</v>
      </c>
      <c r="O5" s="101"/>
    </row>
    <row r="6" spans="1:16" ht="15" customHeight="1" x14ac:dyDescent="0.2">
      <c r="A6" t="s">
        <v>891</v>
      </c>
      <c r="B6" t="b">
        <v>1</v>
      </c>
      <c r="E6" s="99"/>
      <c r="F6" s="63"/>
      <c r="G6" s="59" t="s">
        <v>220</v>
      </c>
      <c r="H6" s="59" t="s">
        <v>18</v>
      </c>
      <c r="I6" s="59" t="s">
        <v>537</v>
      </c>
      <c r="J6" s="59" t="s">
        <v>449</v>
      </c>
      <c r="K6" s="59" t="s">
        <v>409</v>
      </c>
      <c r="L6" s="59" t="s">
        <v>421</v>
      </c>
      <c r="M6" s="59" t="s">
        <v>470</v>
      </c>
      <c r="N6" s="59" t="s">
        <v>914</v>
      </c>
      <c r="O6" s="59" t="s">
        <v>915</v>
      </c>
      <c r="P6" s="14"/>
    </row>
    <row r="7" spans="1:16" ht="15.75" customHeight="1" x14ac:dyDescent="0.2">
      <c r="E7" s="99"/>
      <c r="F7" s="63">
        <v>2018</v>
      </c>
      <c r="G7" s="59">
        <v>8.1999999999999993</v>
      </c>
      <c r="H7" s="59">
        <v>9</v>
      </c>
      <c r="I7" s="59">
        <v>3.7</v>
      </c>
      <c r="J7" s="59">
        <v>4.7</v>
      </c>
      <c r="K7" s="59">
        <v>13.3</v>
      </c>
      <c r="L7" s="59">
        <v>8.4</v>
      </c>
      <c r="M7" s="59">
        <v>3.4</v>
      </c>
      <c r="N7" s="59">
        <v>7</v>
      </c>
      <c r="O7" s="59">
        <v>5.3</v>
      </c>
      <c r="P7" s="14"/>
    </row>
    <row r="8" spans="1:16" x14ac:dyDescent="0.2">
      <c r="E8" s="99"/>
      <c r="F8" s="63">
        <v>2019</v>
      </c>
      <c r="G8" s="59">
        <v>9.1999999999999993</v>
      </c>
      <c r="H8" s="59">
        <v>7.9</v>
      </c>
      <c r="I8" s="59">
        <v>4.7</v>
      </c>
      <c r="J8" s="59">
        <v>4.5</v>
      </c>
      <c r="K8" s="59">
        <v>12.4</v>
      </c>
      <c r="L8" s="59">
        <v>9.5</v>
      </c>
      <c r="M8" s="59">
        <v>3.7</v>
      </c>
      <c r="N8" s="59">
        <v>7.1</v>
      </c>
      <c r="O8" s="59">
        <v>5.5</v>
      </c>
      <c r="P8" s="14"/>
    </row>
    <row r="9" spans="1:16" x14ac:dyDescent="0.2">
      <c r="A9" s="98" t="s">
        <v>893</v>
      </c>
      <c r="B9" s="99"/>
      <c r="E9" s="99"/>
      <c r="F9" s="63">
        <v>2020</v>
      </c>
      <c r="G9" s="59">
        <v>8.8000000000000007</v>
      </c>
      <c r="H9" s="59">
        <v>8.1999999999999993</v>
      </c>
      <c r="I9" s="59">
        <v>5.4</v>
      </c>
      <c r="J9" s="59">
        <v>5.0999999999999996</v>
      </c>
      <c r="K9" s="59">
        <v>12.6</v>
      </c>
      <c r="L9" s="59">
        <v>10.9</v>
      </c>
      <c r="M9" s="59">
        <v>4.2</v>
      </c>
      <c r="N9" s="59">
        <v>7.6</v>
      </c>
      <c r="O9" s="59">
        <v>6</v>
      </c>
      <c r="P9" s="14"/>
    </row>
    <row r="10" spans="1:16" x14ac:dyDescent="0.2">
      <c r="A10" t="s">
        <v>894</v>
      </c>
      <c r="B10" t="s">
        <v>972</v>
      </c>
      <c r="E10" s="99"/>
      <c r="F10" s="63">
        <v>2021</v>
      </c>
      <c r="G10" s="59">
        <v>9.9</v>
      </c>
      <c r="H10" s="59">
        <v>8.3000000000000007</v>
      </c>
      <c r="I10" s="59">
        <v>7.8</v>
      </c>
      <c r="J10" s="59">
        <v>5.7</v>
      </c>
      <c r="K10" s="59">
        <v>14.9</v>
      </c>
      <c r="L10" s="59">
        <v>10.7</v>
      </c>
      <c r="M10" s="59">
        <v>4.5</v>
      </c>
      <c r="N10" s="59">
        <v>8.5</v>
      </c>
      <c r="O10" s="59">
        <v>6.7</v>
      </c>
      <c r="P10" s="14"/>
    </row>
    <row r="11" spans="1:16" x14ac:dyDescent="0.2">
      <c r="A11" t="s">
        <v>895</v>
      </c>
      <c r="B11" t="s">
        <v>973</v>
      </c>
      <c r="E11" s="99"/>
      <c r="F11" s="63"/>
      <c r="G11" s="14"/>
      <c r="H11" s="14"/>
      <c r="I11" s="14"/>
      <c r="J11" s="14"/>
      <c r="K11" s="14"/>
      <c r="L11" s="14"/>
      <c r="M11" s="14"/>
      <c r="N11" s="14"/>
      <c r="O11" s="14"/>
      <c r="P11" s="14"/>
    </row>
    <row r="12" spans="1:16" x14ac:dyDescent="0.2">
      <c r="A12" t="s">
        <v>896</v>
      </c>
      <c r="B12" t="s">
        <v>715</v>
      </c>
      <c r="E12" s="99"/>
      <c r="F12" s="63"/>
      <c r="G12" s="14"/>
      <c r="H12" s="14"/>
      <c r="I12" s="14"/>
      <c r="J12" s="14"/>
      <c r="K12" s="14"/>
      <c r="L12" s="14"/>
      <c r="M12" s="14"/>
      <c r="N12" s="14"/>
      <c r="O12" s="14"/>
      <c r="P12" s="14"/>
    </row>
    <row r="13" spans="1:16" x14ac:dyDescent="0.2">
      <c r="A13" t="s">
        <v>897</v>
      </c>
      <c r="E13" s="99"/>
    </row>
    <row r="14" spans="1:16" x14ac:dyDescent="0.2">
      <c r="A14" t="s">
        <v>899</v>
      </c>
      <c r="B14" t="s">
        <v>715</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1629</v>
      </c>
      <c r="E19" s="99"/>
    </row>
    <row r="20" spans="1:12" x14ac:dyDescent="0.2">
      <c r="A20" t="s">
        <v>904</v>
      </c>
      <c r="B20" t="s">
        <v>1627</v>
      </c>
      <c r="E20" s="99"/>
    </row>
    <row r="21" spans="1:12" x14ac:dyDescent="0.2">
      <c r="A21" t="s">
        <v>905</v>
      </c>
      <c r="B21" t="s">
        <v>1703</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1637</v>
      </c>
      <c r="E25" s="99"/>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1716</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dataValidations count="4">
    <dataValidation type="list" allowBlank="1" showInputMessage="1" showErrorMessage="1" sqref="B6 B15" xr:uid="{FF1F5A4E-2B3E-4669-8F31-92F22725020D}">
      <formula1>"True,False"</formula1>
    </dataValidation>
    <dataValidation type="list" allowBlank="1" showInputMessage="1" showErrorMessage="1" sqref="B2" xr:uid="{0D878493-8332-4CF1-839A-16F0D28B312A}">
      <formula1>"Table,Figure,Both"</formula1>
    </dataValidation>
    <dataValidation type="list" allowBlank="1" showInputMessage="1" showErrorMessage="1" sqref="B10" xr:uid="{192857B8-B3FB-49F6-924C-D41DCF9C6CB3}">
      <formula1>"Line,Clustered Bar,Stacked Bar,Bar"</formula1>
    </dataValidation>
    <dataValidation type="list" allowBlank="1" showInputMessage="1" showErrorMessage="1" sqref="F4:P4" xr:uid="{9F17DC42-8767-4D36-9AF8-CDC0789031BF}">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B4A1DD5-5520-4EFB-8949-E33C213D43A8}">
          <x14:formula1>
            <xm:f>Master!$F$2:$F$293</xm:f>
          </x14:formula1>
          <xm:sqref>B1:O1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2B5D-AC5E-4C98-AE9E-47198648B4DB}">
  <dimension ref="A1:P57"/>
  <sheetViews>
    <sheetView workbookViewId="0">
      <selection activeCell="B1" sqref="B1:O1"/>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650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tbl-mva-alcohol-injury-death-crude</v>
      </c>
    </row>
    <row r="4" spans="1:16" x14ac:dyDescent="0.2">
      <c r="A4" s="58" t="s">
        <v>6</v>
      </c>
      <c r="B4" t="str">
        <f>IF($B$1="","",_xlfn.XLOOKUP($B$1,Master!$F$2:$F$308,Master!$H$2:$H$308,""))</f>
        <v>fig-mva-alcohol-injury-death-crude</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1623</v>
      </c>
      <c r="O5" s="101"/>
    </row>
    <row r="6" spans="1:16" ht="15" customHeight="1" x14ac:dyDescent="0.2">
      <c r="A6" t="s">
        <v>891</v>
      </c>
      <c r="B6" t="b">
        <v>1</v>
      </c>
      <c r="E6" s="99"/>
      <c r="F6" s="63"/>
      <c r="G6" s="59" t="s">
        <v>220</v>
      </c>
      <c r="H6" s="59" t="s">
        <v>18</v>
      </c>
      <c r="I6" s="59" t="s">
        <v>537</v>
      </c>
      <c r="J6" s="59" t="s">
        <v>449</v>
      </c>
      <c r="K6" s="59" t="s">
        <v>409</v>
      </c>
      <c r="L6" s="59" t="s">
        <v>421</v>
      </c>
      <c r="M6" s="59" t="s">
        <v>470</v>
      </c>
      <c r="N6" s="59" t="s">
        <v>914</v>
      </c>
      <c r="O6" s="59" t="s">
        <v>915</v>
      </c>
      <c r="P6" s="14"/>
    </row>
    <row r="7" spans="1:16" ht="15.75" customHeight="1" x14ac:dyDescent="0.2">
      <c r="E7" s="99"/>
      <c r="F7" s="63">
        <v>2018</v>
      </c>
      <c r="G7" s="59">
        <v>35.200000000000003</v>
      </c>
      <c r="H7" s="59">
        <v>34.9</v>
      </c>
      <c r="I7" s="59">
        <v>44.2</v>
      </c>
      <c r="J7" s="59">
        <v>29.2</v>
      </c>
      <c r="K7" s="59">
        <v>50.1</v>
      </c>
      <c r="L7" s="59">
        <v>44.8</v>
      </c>
      <c r="M7" s="59">
        <v>28.9</v>
      </c>
      <c r="N7" s="59">
        <v>35.1</v>
      </c>
      <c r="O7" s="59">
        <v>28.8</v>
      </c>
      <c r="P7" s="14"/>
    </row>
    <row r="8" spans="1:16" x14ac:dyDescent="0.2">
      <c r="E8" s="99"/>
      <c r="F8" s="63">
        <v>2019</v>
      </c>
      <c r="G8" s="59">
        <v>33.9</v>
      </c>
      <c r="H8" s="59">
        <v>34.200000000000003</v>
      </c>
      <c r="I8" s="59">
        <v>37.1</v>
      </c>
      <c r="J8" s="59">
        <v>29</v>
      </c>
      <c r="K8" s="59">
        <v>39.799999999999997</v>
      </c>
      <c r="L8" s="59">
        <v>43.1</v>
      </c>
      <c r="M8" s="59">
        <v>26.6</v>
      </c>
      <c r="N8" s="59">
        <v>33.5</v>
      </c>
      <c r="O8" s="59">
        <v>27.6</v>
      </c>
      <c r="P8" s="14"/>
    </row>
    <row r="9" spans="1:16" x14ac:dyDescent="0.2">
      <c r="A9" s="98" t="s">
        <v>893</v>
      </c>
      <c r="B9" s="99"/>
      <c r="E9" s="99"/>
      <c r="F9" s="63">
        <v>2020</v>
      </c>
      <c r="G9" s="59">
        <v>32.5</v>
      </c>
      <c r="H9" s="59">
        <v>34.4</v>
      </c>
      <c r="I9" s="59">
        <v>33.1</v>
      </c>
      <c r="J9" s="59">
        <v>27.9</v>
      </c>
      <c r="K9" s="59">
        <v>31.2</v>
      </c>
      <c r="L9" s="59">
        <v>42</v>
      </c>
      <c r="M9" s="59">
        <v>24.1</v>
      </c>
      <c r="N9" s="59">
        <v>28.6</v>
      </c>
      <c r="O9" s="59">
        <v>23</v>
      </c>
      <c r="P9" s="14"/>
    </row>
    <row r="10" spans="1:16" x14ac:dyDescent="0.2">
      <c r="A10" t="s">
        <v>894</v>
      </c>
      <c r="B10" t="s">
        <v>972</v>
      </c>
      <c r="E10" s="99"/>
      <c r="F10" s="63">
        <v>2021</v>
      </c>
      <c r="G10" s="59">
        <v>31.7</v>
      </c>
      <c r="H10" s="59">
        <v>38.700000000000003</v>
      </c>
      <c r="I10" s="59">
        <v>28.1</v>
      </c>
      <c r="J10" s="59">
        <v>27.1</v>
      </c>
      <c r="K10" s="59">
        <v>36.6</v>
      </c>
      <c r="L10" s="59">
        <v>40.200000000000003</v>
      </c>
      <c r="M10" s="59">
        <v>22.5</v>
      </c>
      <c r="N10" s="59">
        <v>31.4</v>
      </c>
      <c r="O10" s="59">
        <v>25.4</v>
      </c>
      <c r="P10" s="14"/>
    </row>
    <row r="11" spans="1:16" x14ac:dyDescent="0.2">
      <c r="A11" t="s">
        <v>895</v>
      </c>
      <c r="B11" t="s">
        <v>973</v>
      </c>
      <c r="E11" s="99"/>
      <c r="F11" s="63"/>
      <c r="G11" s="14"/>
      <c r="H11" s="14"/>
      <c r="I11" s="14"/>
      <c r="J11" s="14"/>
      <c r="K11" s="14"/>
      <c r="L11" s="14"/>
      <c r="M11" s="14"/>
      <c r="N11" s="14"/>
      <c r="O11" s="14"/>
      <c r="P11" s="14"/>
    </row>
    <row r="12" spans="1:16" x14ac:dyDescent="0.2">
      <c r="A12" t="s">
        <v>896</v>
      </c>
      <c r="B12" t="s">
        <v>715</v>
      </c>
      <c r="E12" s="99"/>
      <c r="F12" s="63"/>
      <c r="G12" s="14"/>
      <c r="H12" s="14"/>
      <c r="I12" s="14"/>
      <c r="J12" s="14"/>
      <c r="K12" s="14"/>
      <c r="L12" s="14"/>
      <c r="M12" s="14"/>
      <c r="N12" s="14"/>
      <c r="O12" s="14"/>
      <c r="P12" s="14"/>
    </row>
    <row r="13" spans="1:16" x14ac:dyDescent="0.2">
      <c r="A13" t="s">
        <v>897</v>
      </c>
      <c r="E13" s="99"/>
    </row>
    <row r="14" spans="1:16" x14ac:dyDescent="0.2">
      <c r="A14" t="s">
        <v>899</v>
      </c>
      <c r="B14" t="s">
        <v>715</v>
      </c>
      <c r="E14" s="99"/>
    </row>
    <row r="15" spans="1:16" x14ac:dyDescent="0.2">
      <c r="A15" t="s">
        <v>901</v>
      </c>
      <c r="B15" t="b">
        <v>0</v>
      </c>
      <c r="E15" s="99"/>
    </row>
    <row r="16" spans="1:16" x14ac:dyDescent="0.2">
      <c r="E16" s="99"/>
    </row>
    <row r="17" spans="1:12" x14ac:dyDescent="0.2">
      <c r="E17" s="99"/>
    </row>
    <row r="18" spans="1:12" x14ac:dyDescent="0.2">
      <c r="A18" s="98" t="s">
        <v>902</v>
      </c>
      <c r="B18" s="99"/>
      <c r="E18" s="99"/>
    </row>
    <row r="19" spans="1:12" x14ac:dyDescent="0.2">
      <c r="A19" t="s">
        <v>903</v>
      </c>
      <c r="B19" t="s">
        <v>1629</v>
      </c>
      <c r="E19" s="99"/>
    </row>
    <row r="20" spans="1:12" x14ac:dyDescent="0.2">
      <c r="A20" t="s">
        <v>904</v>
      </c>
      <c r="B20" t="s">
        <v>1627</v>
      </c>
      <c r="E20" s="99"/>
    </row>
    <row r="21" spans="1:12" x14ac:dyDescent="0.2">
      <c r="A21" t="s">
        <v>905</v>
      </c>
      <c r="B21" t="s">
        <v>1703</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1637</v>
      </c>
      <c r="E25" s="99"/>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1712</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dataValidations count="4">
    <dataValidation type="list" allowBlank="1" showInputMessage="1" showErrorMessage="1" sqref="F4:P4" xr:uid="{7EC5423A-C3F4-49A8-B39D-18EF42D3B13D}">
      <formula1>"integer, number, percent1"</formula1>
    </dataValidation>
    <dataValidation type="list" allowBlank="1" showInputMessage="1" showErrorMessage="1" sqref="B10" xr:uid="{93637CEB-580E-4195-915E-33E5BBF1C980}">
      <formula1>"Line,Clustered Bar,Stacked Bar,Bar"</formula1>
    </dataValidation>
    <dataValidation type="list" allowBlank="1" showInputMessage="1" showErrorMessage="1" sqref="B2" xr:uid="{A3BB6625-692E-4D5E-9059-FD5D69F2E507}">
      <formula1>"Table,Figure,Both"</formula1>
    </dataValidation>
    <dataValidation type="list" allowBlank="1" showInputMessage="1" showErrorMessage="1" sqref="B6 B15" xr:uid="{FCD64CD7-C2D4-476B-9961-A3FBCFB403D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908A8DC-9763-4EE7-9936-997CA6008121}">
          <x14:formula1>
            <xm:f>Master!$F$2:$F$293</xm:f>
          </x14:formula1>
          <xm:sqref>B1:O1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93A3-BD88-4C69-9306-3D9B6EC1C6F8}">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3" max="13" width="12.1640625" bestFit="1" customWidth="1"/>
    <col min="14" max="14" width="12.33203125" bestFit="1" customWidth="1"/>
    <col min="15" max="15" width="11" bestFit="1" customWidth="1"/>
  </cols>
  <sheetData>
    <row r="1" spans="1:16" x14ac:dyDescent="0.2">
      <c r="A1" s="58" t="s">
        <v>882</v>
      </c>
      <c r="B1" s="96" t="s">
        <v>652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tbl-mva-mortal-rande-aar</v>
      </c>
    </row>
    <row r="4" spans="1:16" x14ac:dyDescent="0.2">
      <c r="A4" s="58" t="s">
        <v>6</v>
      </c>
      <c r="B4" t="str">
        <f>IF($B$1="","",_xlfn.XLOOKUP($B$1,Master!$F$2:$F$308,Master!$H$2:$H$308,""))</f>
        <v>fig-mva-mortal-rande-aar</v>
      </c>
      <c r="E4" s="13"/>
      <c r="F4" s="16"/>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1775</v>
      </c>
      <c r="H5" s="101"/>
      <c r="I5" s="101"/>
      <c r="J5" s="101"/>
      <c r="K5" s="101"/>
      <c r="L5" s="101"/>
      <c r="M5" s="101"/>
      <c r="N5" s="101" t="s">
        <v>1776</v>
      </c>
      <c r="O5" s="101"/>
    </row>
    <row r="6" spans="1:16" ht="15" customHeight="1" x14ac:dyDescent="0.2">
      <c r="A6" t="s">
        <v>891</v>
      </c>
      <c r="B6" t="b">
        <v>0</v>
      </c>
      <c r="E6" s="99"/>
      <c r="F6" s="55"/>
      <c r="G6" s="59" t="s">
        <v>220</v>
      </c>
      <c r="H6" s="59" t="s">
        <v>18</v>
      </c>
      <c r="I6" s="59" t="s">
        <v>537</v>
      </c>
      <c r="J6" s="59" t="s">
        <v>449</v>
      </c>
      <c r="K6" s="59" t="s">
        <v>409</v>
      </c>
      <c r="L6" s="59" t="s">
        <v>421</v>
      </c>
      <c r="M6" s="59" t="s">
        <v>470</v>
      </c>
      <c r="N6" s="55" t="s">
        <v>914</v>
      </c>
      <c r="O6" s="55" t="s">
        <v>915</v>
      </c>
      <c r="P6" s="14"/>
    </row>
    <row r="7" spans="1:16" ht="15.75" customHeight="1" x14ac:dyDescent="0.2">
      <c r="E7" s="99"/>
      <c r="F7" s="69" t="s">
        <v>929</v>
      </c>
      <c r="G7" s="59">
        <v>10.1</v>
      </c>
      <c r="H7" s="59">
        <v>5.8</v>
      </c>
      <c r="I7" s="59">
        <v>2</v>
      </c>
      <c r="J7" s="59">
        <v>2.2000000000000002</v>
      </c>
      <c r="K7" s="51">
        <v>0</v>
      </c>
      <c r="L7" s="59">
        <v>1.7</v>
      </c>
      <c r="M7" s="59">
        <v>5.5</v>
      </c>
      <c r="N7" s="59">
        <v>7.6</v>
      </c>
      <c r="O7" s="59">
        <v>6.3</v>
      </c>
      <c r="P7" s="14"/>
    </row>
    <row r="8" spans="1:16" x14ac:dyDescent="0.2">
      <c r="E8" s="99"/>
      <c r="F8" s="69" t="s">
        <v>1552</v>
      </c>
      <c r="G8" s="59" t="s">
        <v>1729</v>
      </c>
      <c r="H8" s="59">
        <v>5.3</v>
      </c>
      <c r="I8" s="59">
        <v>2</v>
      </c>
      <c r="J8" s="59">
        <v>1.8</v>
      </c>
      <c r="K8" s="59">
        <v>10.199999999999999</v>
      </c>
      <c r="L8" s="59">
        <v>3.3</v>
      </c>
      <c r="M8" s="59">
        <v>7.1</v>
      </c>
      <c r="N8" s="59">
        <v>9.6999999999999993</v>
      </c>
      <c r="O8" s="59">
        <v>6.6</v>
      </c>
      <c r="P8" s="14"/>
    </row>
    <row r="9" spans="1:16" x14ac:dyDescent="0.2">
      <c r="A9" s="98" t="s">
        <v>893</v>
      </c>
      <c r="B9" s="99"/>
      <c r="E9" s="99"/>
      <c r="F9" s="69" t="s">
        <v>1553</v>
      </c>
      <c r="G9" s="59" t="s">
        <v>1768</v>
      </c>
      <c r="H9" s="59">
        <v>7.7</v>
      </c>
      <c r="I9" s="59">
        <v>3.1</v>
      </c>
      <c r="J9" s="59">
        <v>3.6</v>
      </c>
      <c r="K9" s="59">
        <v>7.6</v>
      </c>
      <c r="L9" s="59">
        <v>2.7</v>
      </c>
      <c r="M9" s="59">
        <v>6.4</v>
      </c>
      <c r="N9" s="59">
        <v>3.4</v>
      </c>
      <c r="O9" s="59">
        <v>2.7</v>
      </c>
      <c r="P9" s="14"/>
    </row>
    <row r="10" spans="1:16" x14ac:dyDescent="0.2">
      <c r="A10" t="s">
        <v>894</v>
      </c>
      <c r="B10" t="s">
        <v>983</v>
      </c>
      <c r="E10" s="99"/>
      <c r="F10" s="53" t="s">
        <v>927</v>
      </c>
      <c r="G10" s="59">
        <v>8</v>
      </c>
      <c r="H10" s="59">
        <v>5.7</v>
      </c>
      <c r="I10" s="59">
        <v>3.14</v>
      </c>
      <c r="J10" s="59">
        <v>2.4</v>
      </c>
      <c r="K10" s="59">
        <v>8.8000000000000007</v>
      </c>
      <c r="L10" s="59">
        <v>1.1000000000000001</v>
      </c>
      <c r="M10" s="59">
        <v>6.7</v>
      </c>
      <c r="N10" s="59">
        <v>8.6999999999999993</v>
      </c>
      <c r="O10" s="59">
        <v>5.9</v>
      </c>
    </row>
    <row r="11" spans="1:16" x14ac:dyDescent="0.2">
      <c r="A11" t="s">
        <v>895</v>
      </c>
      <c r="B11" t="s">
        <v>1551</v>
      </c>
      <c r="E11" s="99"/>
      <c r="F11" s="69" t="s">
        <v>1248</v>
      </c>
      <c r="G11" s="59">
        <v>9.4</v>
      </c>
      <c r="H11" s="59">
        <v>6.7</v>
      </c>
      <c r="I11" s="59">
        <v>2</v>
      </c>
      <c r="J11" s="59">
        <v>1.8</v>
      </c>
      <c r="K11" s="59">
        <v>8.8000000000000007</v>
      </c>
      <c r="L11" s="59">
        <v>3.3</v>
      </c>
      <c r="M11" s="59">
        <v>5.9</v>
      </c>
      <c r="N11" s="59">
        <v>8</v>
      </c>
      <c r="O11" s="59">
        <v>6.2</v>
      </c>
    </row>
    <row r="12" spans="1:16" x14ac:dyDescent="0.2">
      <c r="A12" t="s">
        <v>896</v>
      </c>
      <c r="B12" t="s">
        <v>715</v>
      </c>
      <c r="E12" s="99"/>
    </row>
    <row r="13" spans="1:16" x14ac:dyDescent="0.2">
      <c r="A13" t="s">
        <v>897</v>
      </c>
      <c r="E13" s="99"/>
    </row>
    <row r="14" spans="1:16" x14ac:dyDescent="0.2">
      <c r="A14" t="s">
        <v>899</v>
      </c>
      <c r="B14" t="s">
        <v>715</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1723</v>
      </c>
      <c r="E19" s="99"/>
    </row>
    <row r="20" spans="1:12" x14ac:dyDescent="0.2">
      <c r="A20" t="s">
        <v>904</v>
      </c>
      <c r="B20" t="s">
        <v>1727</v>
      </c>
      <c r="E20" s="99"/>
    </row>
    <row r="21" spans="1:12" x14ac:dyDescent="0.2">
      <c r="A21" t="s">
        <v>905</v>
      </c>
      <c r="B21" t="s">
        <v>1628</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1726</v>
      </c>
      <c r="E25" s="99"/>
    </row>
    <row r="26" spans="1:12" x14ac:dyDescent="0.2">
      <c r="E26" s="99"/>
      <c r="H26" s="52"/>
      <c r="I26" s="52"/>
    </row>
    <row r="27" spans="1:12" x14ac:dyDescent="0.2">
      <c r="A27" s="101" t="s">
        <v>910</v>
      </c>
      <c r="B27" s="99"/>
      <c r="E27" s="99"/>
    </row>
    <row r="28" spans="1:12" x14ac:dyDescent="0.2">
      <c r="A28" s="114"/>
      <c r="B28" s="114"/>
      <c r="E28" s="99"/>
    </row>
    <row r="29" spans="1:12" x14ac:dyDescent="0.2">
      <c r="A29" s="116" t="s">
        <v>1725</v>
      </c>
      <c r="B29" s="116"/>
      <c r="C29" s="116"/>
      <c r="D29" s="116"/>
      <c r="E29" s="99"/>
      <c r="H29" s="52"/>
      <c r="I29" s="52"/>
      <c r="J29" s="52"/>
      <c r="K29" s="52"/>
      <c r="L29" s="52"/>
    </row>
    <row r="30" spans="1:12" x14ac:dyDescent="0.2">
      <c r="A30" s="116"/>
      <c r="B30" s="116"/>
      <c r="C30" s="116"/>
      <c r="D30" s="116"/>
      <c r="E30" s="99"/>
    </row>
    <row r="31" spans="1:12" x14ac:dyDescent="0.2">
      <c r="A31" s="116"/>
      <c r="B31" s="116"/>
      <c r="C31" s="116"/>
      <c r="D31" s="116"/>
      <c r="E31" s="99"/>
    </row>
    <row r="32" spans="1:12" x14ac:dyDescent="0.2">
      <c r="A32" s="116"/>
      <c r="B32" s="116"/>
      <c r="C32" s="116"/>
      <c r="D32" s="116"/>
      <c r="E32" s="99"/>
      <c r="H32" s="52"/>
      <c r="I32" s="52"/>
      <c r="J32" s="52"/>
      <c r="K32" s="52"/>
      <c r="L32" s="52"/>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A9:B9"/>
    <mergeCell ref="A18:B18"/>
    <mergeCell ref="A27:B27"/>
    <mergeCell ref="A28:B28"/>
    <mergeCell ref="A29:D40"/>
    <mergeCell ref="G5:M5"/>
    <mergeCell ref="N5:O5"/>
  </mergeCells>
  <dataValidations count="4">
    <dataValidation type="list" allowBlank="1" showInputMessage="1" showErrorMessage="1" sqref="F4:P4" xr:uid="{8BB0F3EF-23D9-40A0-91BD-CE83C4631B31}">
      <formula1>"integer, number, percent1"</formula1>
    </dataValidation>
    <dataValidation type="list" allowBlank="1" showInputMessage="1" showErrorMessage="1" sqref="B10" xr:uid="{D6B51B5F-C7A1-41D9-AE72-CFE5C5C30C77}">
      <formula1>"Line,Clustered Bar,Stacked Bar"</formula1>
    </dataValidation>
    <dataValidation type="list" allowBlank="1" showInputMessage="1" showErrorMessage="1" sqref="B2" xr:uid="{009BCEE3-9B24-4B71-975F-B85F2AD184D2}">
      <formula1>"Table,Figure,Both"</formula1>
    </dataValidation>
    <dataValidation type="list" allowBlank="1" showInputMessage="1" showErrorMessage="1" sqref="B6 B15" xr:uid="{E55B4E07-CFBB-450D-B1AE-2CFB9C30B21A}">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CF9E100-283F-4A54-BD72-E1B45FAA4924}">
          <x14:formula1>
            <xm:f>Master!$F$2:$F$293</xm:f>
          </x14:formula1>
          <xm:sqref>B1:O1</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F663-D2D9-4CFF-A1F1-6C16C2971327}">
  <dimension ref="A1:P57"/>
  <sheetViews>
    <sheetView workbookViewId="0">
      <selection activeCell="M11" sqref="L11:M12"/>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653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tbl-falls-hospital-aar</v>
      </c>
    </row>
    <row r="4" spans="1:16" x14ac:dyDescent="0.2">
      <c r="A4" s="58" t="s">
        <v>6</v>
      </c>
      <c r="B4" t="str">
        <f>IF($B$1="","",_xlfn.XLOOKUP($B$1,Master!$F$2:$F$308,Master!$H$2:$H$308,""))</f>
        <v>fig-falls-hospital-aar</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1623</v>
      </c>
      <c r="O5" s="101"/>
    </row>
    <row r="6" spans="1:16" ht="15" customHeight="1" x14ac:dyDescent="0.2">
      <c r="A6" t="s">
        <v>891</v>
      </c>
      <c r="B6" t="b">
        <v>1</v>
      </c>
      <c r="E6" s="99"/>
      <c r="F6" s="63"/>
      <c r="G6" s="59" t="s">
        <v>220</v>
      </c>
      <c r="H6" s="59" t="s">
        <v>18</v>
      </c>
      <c r="I6" s="59" t="s">
        <v>537</v>
      </c>
      <c r="J6" s="59" t="s">
        <v>449</v>
      </c>
      <c r="K6" s="59" t="s">
        <v>409</v>
      </c>
      <c r="L6" s="59" t="s">
        <v>421</v>
      </c>
      <c r="M6" s="59" t="s">
        <v>470</v>
      </c>
      <c r="N6" s="59" t="s">
        <v>914</v>
      </c>
      <c r="O6" s="59" t="s">
        <v>915</v>
      </c>
      <c r="P6" s="14"/>
    </row>
    <row r="7" spans="1:16" ht="15.75" customHeight="1" x14ac:dyDescent="0.2">
      <c r="E7" s="99"/>
      <c r="F7" s="63">
        <v>2018</v>
      </c>
      <c r="G7" s="59">
        <v>34.6</v>
      </c>
      <c r="H7" s="59">
        <v>39.799999999999997</v>
      </c>
      <c r="I7" s="59">
        <v>29.2</v>
      </c>
      <c r="J7" s="59">
        <v>30.9</v>
      </c>
      <c r="K7" s="59">
        <v>33.799999999999997</v>
      </c>
      <c r="L7" s="59">
        <v>39.6</v>
      </c>
      <c r="M7" s="59">
        <v>31.8</v>
      </c>
      <c r="N7" s="59">
        <v>37.6</v>
      </c>
      <c r="O7" s="59">
        <v>35.1</v>
      </c>
      <c r="P7" s="14"/>
    </row>
    <row r="8" spans="1:16" x14ac:dyDescent="0.2">
      <c r="E8" s="99"/>
      <c r="F8" s="63">
        <v>2019</v>
      </c>
      <c r="G8" s="59">
        <v>35.1</v>
      </c>
      <c r="H8" s="59">
        <v>39.799999999999997</v>
      </c>
      <c r="I8" s="59">
        <v>29.3</v>
      </c>
      <c r="J8" s="59">
        <v>30.4</v>
      </c>
      <c r="K8" s="59">
        <v>35.299999999999997</v>
      </c>
      <c r="L8" s="59">
        <v>40</v>
      </c>
      <c r="M8" s="59">
        <v>33</v>
      </c>
      <c r="N8" s="59">
        <v>38</v>
      </c>
      <c r="O8" s="59">
        <v>36.4</v>
      </c>
      <c r="P8" s="14"/>
    </row>
    <row r="9" spans="1:16" x14ac:dyDescent="0.2">
      <c r="A9" s="98" t="s">
        <v>893</v>
      </c>
      <c r="B9" s="99"/>
      <c r="E9" s="99"/>
      <c r="F9" s="63">
        <v>2020</v>
      </c>
      <c r="G9" s="59">
        <v>35.299999999999997</v>
      </c>
      <c r="H9" s="59">
        <v>39.4</v>
      </c>
      <c r="I9" s="59">
        <v>28.6</v>
      </c>
      <c r="J9" s="59">
        <v>29.4</v>
      </c>
      <c r="K9" s="59">
        <v>36.200000000000003</v>
      </c>
      <c r="L9" s="59">
        <v>39.700000000000003</v>
      </c>
      <c r="M9" s="59">
        <v>34.1</v>
      </c>
      <c r="N9" s="59">
        <v>35.200000000000003</v>
      </c>
      <c r="O9" s="59">
        <v>34.1</v>
      </c>
      <c r="P9" s="14"/>
    </row>
    <row r="10" spans="1:16" x14ac:dyDescent="0.2">
      <c r="A10" t="s">
        <v>894</v>
      </c>
      <c r="B10" t="s">
        <v>972</v>
      </c>
      <c r="E10" s="99"/>
      <c r="F10" s="63">
        <v>2021</v>
      </c>
      <c r="G10" s="59">
        <v>36.5</v>
      </c>
      <c r="H10" s="59">
        <v>39.9</v>
      </c>
      <c r="I10" s="59">
        <v>27.8</v>
      </c>
      <c r="J10" s="59">
        <v>29.6</v>
      </c>
      <c r="K10" s="59">
        <v>39.9</v>
      </c>
      <c r="L10" s="59">
        <v>39.299999999999997</v>
      </c>
      <c r="M10" s="59">
        <v>33.6</v>
      </c>
      <c r="N10" s="59">
        <v>38</v>
      </c>
      <c r="O10" s="59">
        <v>36.4</v>
      </c>
      <c r="P10" s="14"/>
    </row>
    <row r="11" spans="1:16" x14ac:dyDescent="0.2">
      <c r="A11" t="s">
        <v>895</v>
      </c>
      <c r="B11" t="s">
        <v>973</v>
      </c>
      <c r="E11" s="99"/>
      <c r="F11" s="63"/>
      <c r="G11" s="14"/>
      <c r="H11" s="14"/>
      <c r="I11" s="14"/>
      <c r="J11" s="14"/>
      <c r="K11" s="14"/>
      <c r="L11" s="14"/>
      <c r="M11" s="14"/>
      <c r="N11" s="14"/>
      <c r="O11" s="14"/>
      <c r="P11" s="14"/>
    </row>
    <row r="12" spans="1:16" x14ac:dyDescent="0.2">
      <c r="A12" t="s">
        <v>896</v>
      </c>
      <c r="B12" t="s">
        <v>708</v>
      </c>
      <c r="E12" s="99"/>
      <c r="F12" s="63"/>
      <c r="G12" s="14"/>
      <c r="H12" s="14"/>
      <c r="I12" s="14"/>
      <c r="J12" s="14"/>
      <c r="K12" s="14"/>
      <c r="L12" s="14"/>
      <c r="M12" s="14"/>
      <c r="N12" s="14"/>
      <c r="O12" s="14"/>
      <c r="P12" s="14"/>
    </row>
    <row r="13" spans="1:16" x14ac:dyDescent="0.2">
      <c r="A13" t="s">
        <v>897</v>
      </c>
      <c r="E13" s="99"/>
    </row>
    <row r="14" spans="1:16" x14ac:dyDescent="0.2">
      <c r="A14" t="s">
        <v>899</v>
      </c>
      <c r="B14" t="s">
        <v>708</v>
      </c>
      <c r="E14" s="99"/>
    </row>
    <row r="15" spans="1:16" x14ac:dyDescent="0.2">
      <c r="A15" t="s">
        <v>901</v>
      </c>
      <c r="B15" t="b">
        <v>0</v>
      </c>
      <c r="E15" s="99"/>
    </row>
    <row r="16" spans="1:16" x14ac:dyDescent="0.2">
      <c r="E16" s="99"/>
    </row>
    <row r="17" spans="1:12" x14ac:dyDescent="0.2">
      <c r="E17" s="99"/>
    </row>
    <row r="18" spans="1:12" x14ac:dyDescent="0.2">
      <c r="A18" s="98" t="s">
        <v>902</v>
      </c>
      <c r="B18" s="99"/>
      <c r="E18" s="99"/>
    </row>
    <row r="19" spans="1:12" x14ac:dyDescent="0.2">
      <c r="A19" t="s">
        <v>903</v>
      </c>
      <c r="B19" t="s">
        <v>1629</v>
      </c>
      <c r="E19" s="99"/>
    </row>
    <row r="20" spans="1:12" x14ac:dyDescent="0.2">
      <c r="A20" t="s">
        <v>904</v>
      </c>
      <c r="B20" t="s">
        <v>1727</v>
      </c>
      <c r="E20" s="99"/>
    </row>
    <row r="21" spans="1:12" x14ac:dyDescent="0.2">
      <c r="A21" t="s">
        <v>905</v>
      </c>
      <c r="B21" t="s">
        <v>1703</v>
      </c>
      <c r="E21" s="99"/>
    </row>
    <row r="22" spans="1:12" x14ac:dyDescent="0.2">
      <c r="A22" t="s">
        <v>906</v>
      </c>
      <c r="E22" s="99"/>
    </row>
    <row r="23" spans="1:12" x14ac:dyDescent="0.2">
      <c r="A23" t="s">
        <v>907</v>
      </c>
      <c r="B23" t="s">
        <v>1121</v>
      </c>
      <c r="E23" s="99"/>
    </row>
    <row r="24" spans="1:12" x14ac:dyDescent="0.2">
      <c r="A24" t="s">
        <v>908</v>
      </c>
      <c r="B24">
        <v>2025</v>
      </c>
      <c r="E24" s="99"/>
    </row>
    <row r="25" spans="1:12" ht="208" x14ac:dyDescent="0.2">
      <c r="A25" t="s">
        <v>909</v>
      </c>
      <c r="B25" s="50" t="s">
        <v>1769</v>
      </c>
      <c r="E25" s="99"/>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1770</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dataValidations count="4">
    <dataValidation type="list" allowBlank="1" showInputMessage="1" showErrorMessage="1" sqref="B6 B15" xr:uid="{D2180FA3-3AFA-4FB2-BC44-2B4B4766C779}">
      <formula1>"True,False"</formula1>
    </dataValidation>
    <dataValidation type="list" allowBlank="1" showInputMessage="1" showErrorMessage="1" sqref="B2" xr:uid="{4E6559B2-7F22-417B-A684-ADBEC168856E}">
      <formula1>"Table,Figure,Both"</formula1>
    </dataValidation>
    <dataValidation type="list" allowBlank="1" showInputMessage="1" showErrorMessage="1" sqref="B10" xr:uid="{706E4804-180E-4023-9151-72D66A6FE0EE}">
      <formula1>"Line,Clustered Bar,Stacked Bar,Bar"</formula1>
    </dataValidation>
    <dataValidation type="list" allowBlank="1" showInputMessage="1" showErrorMessage="1" sqref="F4:P4" xr:uid="{F8A4CB44-0577-4009-8E0F-6C373004A5E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B548302-4B7E-476C-A8A2-7D174D4168BD}">
          <x14:formula1>
            <xm:f>Master!$F$2:$F$293</xm:f>
          </x14:formula1>
          <xm:sqref>B1:O1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8ECD9-6DF2-44C5-A9F7-C59B0B2BF010}">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654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tbl-85+-falls-hospital</v>
      </c>
    </row>
    <row r="4" spans="1:16" x14ac:dyDescent="0.2">
      <c r="A4" s="58" t="s">
        <v>6</v>
      </c>
      <c r="B4" t="str">
        <f>IF($B$1="","",_xlfn.XLOOKUP($B$1,Master!$F$2:$F$308,Master!$H$2:$H$308,""))</f>
        <v>fig-85+-falls-hospital</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1623</v>
      </c>
      <c r="O5" s="101"/>
    </row>
    <row r="6" spans="1:16" ht="15" customHeight="1" x14ac:dyDescent="0.2">
      <c r="A6" t="s">
        <v>891</v>
      </c>
      <c r="B6" t="b">
        <v>1</v>
      </c>
      <c r="E6" s="99"/>
      <c r="F6" s="63"/>
      <c r="G6" s="59" t="s">
        <v>220</v>
      </c>
      <c r="H6" s="59" t="s">
        <v>18</v>
      </c>
      <c r="I6" s="59" t="s">
        <v>537</v>
      </c>
      <c r="J6" s="59" t="s">
        <v>449</v>
      </c>
      <c r="K6" s="59" t="s">
        <v>409</v>
      </c>
      <c r="L6" s="59" t="s">
        <v>421</v>
      </c>
      <c r="M6" s="59" t="s">
        <v>470</v>
      </c>
      <c r="N6" s="59" t="s">
        <v>914</v>
      </c>
      <c r="O6" s="59" t="s">
        <v>915</v>
      </c>
      <c r="P6" s="14"/>
    </row>
    <row r="7" spans="1:16" ht="15.75" customHeight="1" x14ac:dyDescent="0.2">
      <c r="E7" s="99"/>
      <c r="F7" s="63">
        <v>2018</v>
      </c>
      <c r="G7" s="59">
        <v>575</v>
      </c>
      <c r="H7" s="59">
        <v>690</v>
      </c>
      <c r="I7" s="59">
        <v>618</v>
      </c>
      <c r="J7" s="59">
        <v>523</v>
      </c>
      <c r="K7" s="59">
        <v>545</v>
      </c>
      <c r="L7" s="59">
        <v>682</v>
      </c>
      <c r="M7" s="59">
        <v>577</v>
      </c>
      <c r="N7" s="59">
        <v>650</v>
      </c>
      <c r="O7" s="59">
        <v>572</v>
      </c>
      <c r="P7" s="14"/>
    </row>
    <row r="8" spans="1:16" x14ac:dyDescent="0.2">
      <c r="E8" s="99"/>
      <c r="F8" s="63">
        <v>2019</v>
      </c>
      <c r="G8" s="59">
        <v>582</v>
      </c>
      <c r="H8" s="59">
        <v>707</v>
      </c>
      <c r="I8" s="59">
        <v>606</v>
      </c>
      <c r="J8" s="59">
        <v>494</v>
      </c>
      <c r="K8" s="59">
        <v>550</v>
      </c>
      <c r="L8" s="59">
        <v>691</v>
      </c>
      <c r="M8" s="59">
        <v>595</v>
      </c>
      <c r="N8" s="59">
        <v>644</v>
      </c>
      <c r="O8" s="59">
        <v>581</v>
      </c>
      <c r="P8" s="14"/>
    </row>
    <row r="9" spans="1:16" x14ac:dyDescent="0.2">
      <c r="A9" s="98" t="s">
        <v>893</v>
      </c>
      <c r="B9" s="99"/>
      <c r="E9" s="99"/>
      <c r="F9" s="63">
        <v>2020</v>
      </c>
      <c r="G9" s="59">
        <v>610</v>
      </c>
      <c r="H9" s="59">
        <v>690</v>
      </c>
      <c r="I9" s="59">
        <v>583</v>
      </c>
      <c r="J9" s="59">
        <v>495</v>
      </c>
      <c r="K9" s="59">
        <v>558</v>
      </c>
      <c r="L9" s="59">
        <v>688</v>
      </c>
      <c r="M9" s="59">
        <v>610</v>
      </c>
      <c r="N9" s="59">
        <v>577</v>
      </c>
      <c r="O9" s="59">
        <v>515</v>
      </c>
      <c r="P9" s="14"/>
    </row>
    <row r="10" spans="1:16" x14ac:dyDescent="0.2">
      <c r="A10" t="s">
        <v>894</v>
      </c>
      <c r="B10" t="s">
        <v>972</v>
      </c>
      <c r="E10" s="99"/>
      <c r="F10" s="63">
        <v>2021</v>
      </c>
      <c r="G10" s="59">
        <v>645</v>
      </c>
      <c r="H10" s="59">
        <v>695</v>
      </c>
      <c r="I10" s="59">
        <v>540</v>
      </c>
      <c r="J10" s="59">
        <v>520</v>
      </c>
      <c r="K10" s="59">
        <v>647</v>
      </c>
      <c r="L10" s="59">
        <v>680</v>
      </c>
      <c r="M10" s="59">
        <v>597</v>
      </c>
      <c r="N10" s="59">
        <v>679</v>
      </c>
      <c r="O10" s="59">
        <v>597</v>
      </c>
      <c r="P10" s="14"/>
    </row>
    <row r="11" spans="1:16" x14ac:dyDescent="0.2">
      <c r="A11" t="s">
        <v>895</v>
      </c>
      <c r="B11" t="s">
        <v>973</v>
      </c>
      <c r="E11" s="99"/>
      <c r="F11" s="63"/>
      <c r="G11" s="14"/>
      <c r="H11" s="14"/>
      <c r="I11" s="14"/>
      <c r="J11" s="14"/>
      <c r="K11" s="14"/>
      <c r="L11" s="14"/>
      <c r="M11" s="14"/>
      <c r="N11" s="14"/>
      <c r="O11" s="14"/>
      <c r="P11" s="14"/>
    </row>
    <row r="12" spans="1:16" x14ac:dyDescent="0.2">
      <c r="A12" t="s">
        <v>896</v>
      </c>
      <c r="B12" t="s">
        <v>708</v>
      </c>
      <c r="E12" s="99"/>
      <c r="F12" s="63"/>
      <c r="G12" s="14"/>
      <c r="H12" s="14"/>
      <c r="I12" s="14"/>
      <c r="J12" s="14"/>
      <c r="K12" s="14"/>
      <c r="L12" s="14"/>
      <c r="M12" s="14"/>
      <c r="N12" s="14"/>
      <c r="O12" s="14"/>
      <c r="P12" s="14"/>
    </row>
    <row r="13" spans="1:16" x14ac:dyDescent="0.2">
      <c r="A13" t="s">
        <v>897</v>
      </c>
      <c r="E13" s="99"/>
    </row>
    <row r="14" spans="1:16" x14ac:dyDescent="0.2">
      <c r="A14" t="s">
        <v>899</v>
      </c>
      <c r="B14" t="s">
        <v>708</v>
      </c>
      <c r="E14" s="99"/>
    </row>
    <row r="15" spans="1:16" x14ac:dyDescent="0.2">
      <c r="A15" t="s">
        <v>901</v>
      </c>
      <c r="B15" t="b">
        <v>0</v>
      </c>
      <c r="E15" s="99"/>
    </row>
    <row r="16" spans="1:16" x14ac:dyDescent="0.2">
      <c r="E16" s="99"/>
    </row>
    <row r="17" spans="1:12" x14ac:dyDescent="0.2">
      <c r="E17" s="99"/>
    </row>
    <row r="18" spans="1:12" x14ac:dyDescent="0.2">
      <c r="A18" s="98" t="s">
        <v>902</v>
      </c>
      <c r="B18" s="99"/>
      <c r="E18" s="99"/>
    </row>
    <row r="19" spans="1:12" x14ac:dyDescent="0.2">
      <c r="A19" t="s">
        <v>903</v>
      </c>
      <c r="B19" t="s">
        <v>1629</v>
      </c>
      <c r="E19" s="99"/>
    </row>
    <row r="20" spans="1:12" x14ac:dyDescent="0.2">
      <c r="A20" t="s">
        <v>904</v>
      </c>
      <c r="B20" t="s">
        <v>1727</v>
      </c>
      <c r="E20" s="99"/>
    </row>
    <row r="21" spans="1:12" x14ac:dyDescent="0.2">
      <c r="A21" t="s">
        <v>905</v>
      </c>
      <c r="B21" t="s">
        <v>1703</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1771</v>
      </c>
      <c r="E25" s="99"/>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1772</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dataValidations count="4">
    <dataValidation type="list" allowBlank="1" showInputMessage="1" showErrorMessage="1" sqref="F4:P4" xr:uid="{37098760-4F5E-44ED-BF5C-061064895E50}">
      <formula1>"integer, number, percent1"</formula1>
    </dataValidation>
    <dataValidation type="list" allowBlank="1" showInputMessage="1" showErrorMessage="1" sqref="B10" xr:uid="{C30276D9-AD93-488A-A938-B8DB0E881119}">
      <formula1>"Line,Clustered Bar,Stacked Bar,Bar"</formula1>
    </dataValidation>
    <dataValidation type="list" allowBlank="1" showInputMessage="1" showErrorMessage="1" sqref="B2" xr:uid="{15AE6558-D7AA-4EC1-BECF-5FAAD363B5B6}">
      <formula1>"Table,Figure,Both"</formula1>
    </dataValidation>
    <dataValidation type="list" allowBlank="1" showInputMessage="1" showErrorMessage="1" sqref="B6 B15" xr:uid="{0C06C6F6-E728-4500-B0AB-35A24E67A6C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D0AD61E-6AB6-4C97-A722-20C31FB46DF7}">
          <x14:formula1>
            <xm:f>Master!$F$2:$F$293</xm:f>
          </x14:formula1>
          <xm:sqref>B1:O1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E9EAC-2AC9-4D7A-B503-B6D04A269B4D}">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656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tbl-65+-falls-hospital-rande-rate</v>
      </c>
    </row>
    <row r="4" spans="1:16" x14ac:dyDescent="0.2">
      <c r="A4" s="58" t="s">
        <v>6</v>
      </c>
      <c r="B4" t="str">
        <f>IF($B$1="","",_xlfn.XLOOKUP($B$1,Master!$F$2:$F$308,Master!$H$2:$H$308,""))</f>
        <v>fig-65+-falls-hospital-rande-rate</v>
      </c>
      <c r="E4" s="13"/>
      <c r="F4" s="16"/>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1775</v>
      </c>
      <c r="H5" s="101"/>
      <c r="I5" s="101"/>
      <c r="J5" s="101"/>
      <c r="K5" s="101"/>
      <c r="L5" s="101"/>
      <c r="M5" s="101"/>
      <c r="N5" s="101" t="s">
        <v>1776</v>
      </c>
      <c r="O5" s="101"/>
    </row>
    <row r="6" spans="1:16" ht="15" customHeight="1" x14ac:dyDescent="0.2">
      <c r="A6" t="s">
        <v>891</v>
      </c>
      <c r="B6" t="b">
        <v>1</v>
      </c>
      <c r="E6" s="99"/>
      <c r="F6" s="55"/>
      <c r="G6" s="59" t="s">
        <v>220</v>
      </c>
      <c r="H6" s="59" t="s">
        <v>18</v>
      </c>
      <c r="I6" s="59" t="s">
        <v>537</v>
      </c>
      <c r="J6" s="59" t="s">
        <v>449</v>
      </c>
      <c r="K6" s="59" t="s">
        <v>409</v>
      </c>
      <c r="L6" s="59" t="s">
        <v>421</v>
      </c>
      <c r="M6" s="59" t="s">
        <v>470</v>
      </c>
      <c r="N6" s="55" t="s">
        <v>914</v>
      </c>
      <c r="O6" s="55" t="s">
        <v>915</v>
      </c>
      <c r="P6" s="14"/>
    </row>
    <row r="7" spans="1:16" ht="15.75" customHeight="1" x14ac:dyDescent="0.2">
      <c r="E7" s="99"/>
      <c r="F7" s="69" t="s">
        <v>929</v>
      </c>
      <c r="G7" s="59">
        <v>205.3</v>
      </c>
      <c r="H7" s="59">
        <v>22.8</v>
      </c>
      <c r="I7" s="59">
        <v>156</v>
      </c>
      <c r="J7" s="59">
        <v>191.7</v>
      </c>
      <c r="K7" s="59">
        <v>192.9</v>
      </c>
      <c r="L7" s="59">
        <v>210.6</v>
      </c>
      <c r="M7" s="59">
        <v>181.9</v>
      </c>
      <c r="N7" s="59">
        <v>202.9</v>
      </c>
      <c r="O7" s="59">
        <v>197.5</v>
      </c>
      <c r="P7" s="14"/>
    </row>
    <row r="8" spans="1:16" x14ac:dyDescent="0.2">
      <c r="E8" s="99"/>
      <c r="F8" s="69" t="s">
        <v>1552</v>
      </c>
      <c r="G8" s="59">
        <v>48.3</v>
      </c>
      <c r="H8" s="59">
        <v>112.7</v>
      </c>
      <c r="I8" s="59" t="s">
        <v>754</v>
      </c>
      <c r="J8" s="59">
        <v>71.099999999999994</v>
      </c>
      <c r="K8" s="59">
        <v>134.69999999999999</v>
      </c>
      <c r="L8" s="59">
        <v>129.9</v>
      </c>
      <c r="M8" s="59">
        <v>100.8</v>
      </c>
      <c r="N8" s="59">
        <v>114.7</v>
      </c>
      <c r="O8" s="59">
        <v>103.7</v>
      </c>
      <c r="P8" s="14"/>
    </row>
    <row r="9" spans="1:16" x14ac:dyDescent="0.2">
      <c r="A9" s="98" t="s">
        <v>893</v>
      </c>
      <c r="B9" s="99"/>
      <c r="E9" s="99"/>
      <c r="F9" s="69" t="s">
        <v>1553</v>
      </c>
      <c r="G9" s="59">
        <v>48.6</v>
      </c>
      <c r="H9" s="59">
        <v>78.099999999999994</v>
      </c>
      <c r="I9" s="59" t="s">
        <v>1777</v>
      </c>
      <c r="J9" s="59">
        <v>46.3</v>
      </c>
      <c r="K9" s="59" t="s">
        <v>754</v>
      </c>
      <c r="L9" s="59" t="s">
        <v>1778</v>
      </c>
      <c r="M9" s="59">
        <v>55</v>
      </c>
      <c r="N9" s="59">
        <v>76.400000000000006</v>
      </c>
      <c r="O9" s="59">
        <v>83.4</v>
      </c>
      <c r="P9" s="14"/>
    </row>
    <row r="10" spans="1:16" x14ac:dyDescent="0.2">
      <c r="A10" t="s">
        <v>894</v>
      </c>
      <c r="B10" t="s">
        <v>983</v>
      </c>
      <c r="E10" s="99"/>
      <c r="F10" s="53" t="s">
        <v>927</v>
      </c>
      <c r="G10" s="59">
        <v>82.6</v>
      </c>
      <c r="H10" s="59">
        <v>106.8</v>
      </c>
      <c r="I10" s="59">
        <v>54.2</v>
      </c>
      <c r="J10" s="59">
        <v>93.3</v>
      </c>
      <c r="K10" s="59">
        <v>97.6</v>
      </c>
      <c r="L10" s="59">
        <v>88.1</v>
      </c>
      <c r="M10" s="59">
        <v>73.5</v>
      </c>
      <c r="N10" s="59">
        <v>106.5</v>
      </c>
      <c r="O10" s="59">
        <v>120.5</v>
      </c>
    </row>
    <row r="11" spans="1:16" x14ac:dyDescent="0.2">
      <c r="A11" t="s">
        <v>895</v>
      </c>
      <c r="B11" t="s">
        <v>1551</v>
      </c>
      <c r="E11" s="99"/>
      <c r="F11" s="69" t="s">
        <v>1248</v>
      </c>
      <c r="G11" s="59">
        <v>205.8</v>
      </c>
      <c r="H11" s="59">
        <v>212.8</v>
      </c>
      <c r="I11" s="59">
        <v>155.9</v>
      </c>
      <c r="J11" s="59">
        <v>171.6</v>
      </c>
      <c r="K11" s="59">
        <v>188.1</v>
      </c>
      <c r="L11" s="59">
        <v>210.9</v>
      </c>
      <c r="M11" s="59">
        <v>196</v>
      </c>
      <c r="N11" s="59">
        <v>203.2</v>
      </c>
      <c r="O11" s="59">
        <v>188.7</v>
      </c>
    </row>
    <row r="12" spans="1:16" x14ac:dyDescent="0.2">
      <c r="A12" t="s">
        <v>896</v>
      </c>
      <c r="B12" t="s">
        <v>708</v>
      </c>
      <c r="E12" s="99"/>
    </row>
    <row r="13" spans="1:16" x14ac:dyDescent="0.2">
      <c r="A13" t="s">
        <v>897</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1723</v>
      </c>
      <c r="E19" s="99"/>
    </row>
    <row r="20" spans="1:12" x14ac:dyDescent="0.2">
      <c r="A20" t="s">
        <v>904</v>
      </c>
      <c r="B20" t="s">
        <v>1727</v>
      </c>
      <c r="E20" s="99"/>
    </row>
    <row r="21" spans="1:12" x14ac:dyDescent="0.2">
      <c r="A21" t="s">
        <v>905</v>
      </c>
      <c r="B21" t="s">
        <v>1628</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1774</v>
      </c>
      <c r="E25" s="99"/>
    </row>
    <row r="26" spans="1:12" x14ac:dyDescent="0.2">
      <c r="E26" s="99"/>
      <c r="H26" s="52"/>
      <c r="I26" s="52"/>
    </row>
    <row r="27" spans="1:12" x14ac:dyDescent="0.2">
      <c r="A27" s="101" t="s">
        <v>910</v>
      </c>
      <c r="B27" s="99"/>
      <c r="E27" s="99"/>
    </row>
    <row r="28" spans="1:12" x14ac:dyDescent="0.2">
      <c r="A28" s="114"/>
      <c r="B28" s="114"/>
      <c r="E28" s="99"/>
    </row>
    <row r="29" spans="1:12" x14ac:dyDescent="0.2">
      <c r="A29" s="116" t="s">
        <v>1773</v>
      </c>
      <c r="B29" s="116"/>
      <c r="C29" s="116"/>
      <c r="D29" s="116"/>
      <c r="E29" s="99"/>
      <c r="H29" s="52"/>
      <c r="I29" s="52"/>
      <c r="J29" s="52"/>
      <c r="K29" s="52"/>
      <c r="L29" s="52"/>
    </row>
    <row r="30" spans="1:12" x14ac:dyDescent="0.2">
      <c r="A30" s="116"/>
      <c r="B30" s="116"/>
      <c r="C30" s="116"/>
      <c r="D30" s="116"/>
      <c r="E30" s="99"/>
    </row>
    <row r="31" spans="1:12" x14ac:dyDescent="0.2">
      <c r="A31" s="116"/>
      <c r="B31" s="116"/>
      <c r="C31" s="116"/>
      <c r="D31" s="116"/>
      <c r="E31" s="99"/>
    </row>
    <row r="32" spans="1:12" x14ac:dyDescent="0.2">
      <c r="A32" s="116"/>
      <c r="B32" s="116"/>
      <c r="C32" s="116"/>
      <c r="D32" s="116"/>
      <c r="E32" s="99"/>
      <c r="H32" s="52"/>
      <c r="I32" s="52"/>
      <c r="J32" s="52"/>
      <c r="K32" s="52"/>
      <c r="L32" s="52"/>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A9:B9"/>
    <mergeCell ref="A18:B18"/>
    <mergeCell ref="A27:B27"/>
    <mergeCell ref="A28:B28"/>
    <mergeCell ref="A29:D40"/>
    <mergeCell ref="G5:M5"/>
    <mergeCell ref="N5:O5"/>
  </mergeCells>
  <dataValidations count="4">
    <dataValidation type="list" allowBlank="1" showInputMessage="1" showErrorMessage="1" sqref="B6 B15" xr:uid="{104ECA7B-B91C-4660-9B3D-930A9E9BA92E}">
      <formula1>"True,False"</formula1>
    </dataValidation>
    <dataValidation type="list" allowBlank="1" showInputMessage="1" showErrorMessage="1" sqref="B2" xr:uid="{EAF3A264-9CF5-4AF3-8596-050F8BCFC9B3}">
      <formula1>"Table,Figure,Both"</formula1>
    </dataValidation>
    <dataValidation type="list" allowBlank="1" showInputMessage="1" showErrorMessage="1" sqref="B10" xr:uid="{3E43C0CA-A2ED-493D-A44F-89553F21F67B}">
      <formula1>"Line,Clustered Bar,Stacked Bar"</formula1>
    </dataValidation>
    <dataValidation type="list" allowBlank="1" showInputMessage="1" showErrorMessage="1" sqref="F4:P4" xr:uid="{1B5AFF8E-8D6F-4795-A357-20343EFD9BB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9FD201C-4CE6-4E13-BC4E-286AE0F6C7B2}">
          <x14:formula1>
            <xm:f>Master!$F$2:$F$293</xm:f>
          </x14:formula1>
          <xm:sqref>B1:O1</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8C6B-520D-45FC-8A71-DE3B761B16C2}">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660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tbl-mortal-homicide-aar</v>
      </c>
    </row>
    <row r="4" spans="1:16" x14ac:dyDescent="0.2">
      <c r="A4" s="58" t="s">
        <v>6</v>
      </c>
      <c r="B4" t="str">
        <f>IF($B$1="","",_xlfn.XLOOKUP($B$1,Master!$F$2:$F$308,Master!$H$2:$H$308,""))</f>
        <v>fig-mortal-homicide-aar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1775</v>
      </c>
      <c r="H5" s="101"/>
      <c r="I5" s="101"/>
      <c r="J5" s="101"/>
      <c r="K5" s="101"/>
      <c r="L5" s="101"/>
      <c r="M5" s="101"/>
      <c r="N5" s="101" t="s">
        <v>1776</v>
      </c>
      <c r="O5" s="101"/>
    </row>
    <row r="6" spans="1:16" ht="15" customHeight="1" x14ac:dyDescent="0.2">
      <c r="A6" t="s">
        <v>891</v>
      </c>
      <c r="B6" t="b">
        <v>1</v>
      </c>
      <c r="E6" s="99"/>
      <c r="F6" s="55"/>
      <c r="G6" s="59" t="s">
        <v>220</v>
      </c>
      <c r="H6" s="59" t="s">
        <v>18</v>
      </c>
      <c r="I6" s="59" t="s">
        <v>537</v>
      </c>
      <c r="J6" s="59" t="s">
        <v>449</v>
      </c>
      <c r="K6" s="59" t="s">
        <v>409</v>
      </c>
      <c r="L6" s="59" t="s">
        <v>421</v>
      </c>
      <c r="M6" s="59" t="s">
        <v>470</v>
      </c>
      <c r="N6" s="55" t="s">
        <v>914</v>
      </c>
      <c r="O6" s="55" t="s">
        <v>915</v>
      </c>
      <c r="P6" s="14"/>
    </row>
    <row r="7" spans="1:16" ht="15.75" customHeight="1" x14ac:dyDescent="0.2">
      <c r="E7" s="99"/>
      <c r="F7" s="69">
        <v>2018</v>
      </c>
      <c r="G7" s="59">
        <v>1.9</v>
      </c>
      <c r="H7" s="59">
        <v>2.5</v>
      </c>
      <c r="I7" s="59" t="s">
        <v>1781</v>
      </c>
      <c r="J7" s="59">
        <v>1.7</v>
      </c>
      <c r="K7" s="59" t="s">
        <v>1784</v>
      </c>
      <c r="L7" s="59" t="s">
        <v>1786</v>
      </c>
      <c r="M7" s="59">
        <v>2.4</v>
      </c>
      <c r="N7" s="59">
        <v>2.9</v>
      </c>
      <c r="O7" s="59">
        <v>3.2</v>
      </c>
      <c r="P7" s="14"/>
    </row>
    <row r="8" spans="1:16" x14ac:dyDescent="0.2">
      <c r="E8" s="99"/>
      <c r="F8" s="69">
        <v>2019</v>
      </c>
      <c r="G8" s="59">
        <v>2.4</v>
      </c>
      <c r="H8" s="59">
        <v>2.7</v>
      </c>
      <c r="I8" s="59" t="s">
        <v>1782</v>
      </c>
      <c r="J8" s="59">
        <v>2.4</v>
      </c>
      <c r="K8" s="59" t="s">
        <v>1785</v>
      </c>
      <c r="L8" s="59">
        <v>2.1</v>
      </c>
      <c r="M8" s="59">
        <v>2.6</v>
      </c>
      <c r="N8" s="59">
        <v>2.7</v>
      </c>
      <c r="O8" s="59">
        <v>3.1</v>
      </c>
      <c r="P8" s="14"/>
    </row>
    <row r="9" spans="1:16" x14ac:dyDescent="0.2">
      <c r="A9" s="98" t="s">
        <v>893</v>
      </c>
      <c r="B9" s="99"/>
      <c r="E9" s="99"/>
      <c r="F9" s="69">
        <v>2020</v>
      </c>
      <c r="G9" s="59">
        <v>2.4</v>
      </c>
      <c r="H9" s="59">
        <v>2.8</v>
      </c>
      <c r="I9" s="59" t="s">
        <v>1782</v>
      </c>
      <c r="J9" s="59">
        <v>2.2999999999999998</v>
      </c>
      <c r="K9" s="59">
        <v>4.5999999999999996</v>
      </c>
      <c r="L9" s="59">
        <v>2.2000000000000002</v>
      </c>
      <c r="M9" s="59">
        <v>2.8</v>
      </c>
      <c r="N9" s="59">
        <v>3.8</v>
      </c>
      <c r="O9" s="59">
        <v>4.5</v>
      </c>
      <c r="P9" s="14"/>
    </row>
    <row r="10" spans="1:16" x14ac:dyDescent="0.2">
      <c r="A10" t="s">
        <v>894</v>
      </c>
      <c r="B10" t="s">
        <v>972</v>
      </c>
      <c r="E10" s="99"/>
      <c r="F10" s="53">
        <v>2021</v>
      </c>
      <c r="G10" s="59">
        <v>2.5</v>
      </c>
      <c r="H10" s="59">
        <v>2.6</v>
      </c>
      <c r="I10" s="59" t="s">
        <v>1783</v>
      </c>
      <c r="J10" s="59">
        <v>2.2000000000000002</v>
      </c>
      <c r="K10" s="59">
        <v>5.5</v>
      </c>
      <c r="L10" s="59">
        <v>2.6</v>
      </c>
      <c r="M10" s="59">
        <v>2.9</v>
      </c>
      <c r="N10" s="59">
        <v>4.0999999999999996</v>
      </c>
      <c r="O10" s="59">
        <v>4.8</v>
      </c>
    </row>
    <row r="11" spans="1:16" x14ac:dyDescent="0.2">
      <c r="A11" t="s">
        <v>895</v>
      </c>
      <c r="B11" t="s">
        <v>973</v>
      </c>
      <c r="E11" s="99"/>
      <c r="F11" s="69"/>
      <c r="G11" s="59"/>
      <c r="H11" s="59"/>
      <c r="I11" s="59"/>
      <c r="J11" s="59"/>
      <c r="K11" s="59"/>
      <c r="L11" s="59"/>
      <c r="M11" s="59"/>
      <c r="N11" s="59"/>
      <c r="O11" s="59"/>
    </row>
    <row r="12" spans="1:16" x14ac:dyDescent="0.2">
      <c r="A12" t="s">
        <v>896</v>
      </c>
      <c r="B12" t="s">
        <v>715</v>
      </c>
      <c r="E12" s="99"/>
    </row>
    <row r="13" spans="1:16" x14ac:dyDescent="0.2">
      <c r="A13" t="s">
        <v>897</v>
      </c>
      <c r="E13" s="99"/>
    </row>
    <row r="14" spans="1:16" x14ac:dyDescent="0.2">
      <c r="A14" t="s">
        <v>899</v>
      </c>
      <c r="B14" t="s">
        <v>715</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1723</v>
      </c>
      <c r="E19" s="99"/>
    </row>
    <row r="20" spans="1:12" x14ac:dyDescent="0.2">
      <c r="A20" t="s">
        <v>904</v>
      </c>
      <c r="B20" t="s">
        <v>1727</v>
      </c>
      <c r="E20" s="99"/>
    </row>
    <row r="21" spans="1:12" x14ac:dyDescent="0.2">
      <c r="A21" t="s">
        <v>905</v>
      </c>
      <c r="B21" t="s">
        <v>1703</v>
      </c>
      <c r="E21" s="99"/>
    </row>
    <row r="22" spans="1:12" x14ac:dyDescent="0.2">
      <c r="A22" t="s">
        <v>906</v>
      </c>
      <c r="E22" s="99"/>
    </row>
    <row r="23" spans="1:12" x14ac:dyDescent="0.2">
      <c r="A23" t="s">
        <v>907</v>
      </c>
      <c r="B23" t="s">
        <v>1121</v>
      </c>
      <c r="E23" s="99"/>
    </row>
    <row r="24" spans="1:12" x14ac:dyDescent="0.2">
      <c r="A24" t="s">
        <v>908</v>
      </c>
      <c r="B24">
        <v>2025</v>
      </c>
      <c r="E24" s="99"/>
    </row>
    <row r="25" spans="1:12" x14ac:dyDescent="0.2">
      <c r="A25" t="s">
        <v>909</v>
      </c>
      <c r="B25" t="s">
        <v>1780</v>
      </c>
      <c r="E25" s="99"/>
    </row>
    <row r="26" spans="1:12" x14ac:dyDescent="0.2">
      <c r="E26" s="99"/>
      <c r="H26" s="52"/>
      <c r="I26" s="52"/>
    </row>
    <row r="27" spans="1:12" x14ac:dyDescent="0.2">
      <c r="A27" s="101" t="s">
        <v>910</v>
      </c>
      <c r="B27" s="99"/>
      <c r="E27" s="99"/>
    </row>
    <row r="28" spans="1:12" x14ac:dyDescent="0.2">
      <c r="A28" s="114"/>
      <c r="B28" s="114"/>
      <c r="E28" s="99"/>
    </row>
    <row r="29" spans="1:12" x14ac:dyDescent="0.2">
      <c r="A29" s="116" t="s">
        <v>1779</v>
      </c>
      <c r="B29" s="116"/>
      <c r="C29" s="116"/>
      <c r="D29" s="116"/>
      <c r="E29" s="99"/>
      <c r="H29" s="52"/>
      <c r="I29" s="52"/>
      <c r="J29" s="52"/>
      <c r="K29" s="52"/>
      <c r="L29" s="52"/>
    </row>
    <row r="30" spans="1:12" x14ac:dyDescent="0.2">
      <c r="A30" s="116"/>
      <c r="B30" s="116"/>
      <c r="C30" s="116"/>
      <c r="D30" s="116"/>
      <c r="E30" s="99"/>
    </row>
    <row r="31" spans="1:12" x14ac:dyDescent="0.2">
      <c r="A31" s="116"/>
      <c r="B31" s="116"/>
      <c r="C31" s="116"/>
      <c r="D31" s="116"/>
      <c r="E31" s="99"/>
    </row>
    <row r="32" spans="1:12" x14ac:dyDescent="0.2">
      <c r="A32" s="116"/>
      <c r="B32" s="116"/>
      <c r="C32" s="116"/>
      <c r="D32" s="116"/>
      <c r="E32" s="99"/>
      <c r="H32" s="52"/>
      <c r="I32" s="52"/>
      <c r="J32" s="52"/>
      <c r="K32" s="52"/>
      <c r="L32" s="52"/>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dataValidations count="4">
    <dataValidation type="list" allowBlank="1" showInputMessage="1" showErrorMessage="1" sqref="F4:P4" xr:uid="{27490DBF-7B97-44CF-8189-90299F0E9B9C}">
      <formula1>"integer, number, percent1"</formula1>
    </dataValidation>
    <dataValidation type="list" allowBlank="1" showInputMessage="1" showErrorMessage="1" sqref="B10" xr:uid="{5C14F126-4965-4424-B2E3-C79E35923E42}">
      <formula1>"Line,Clustered Bar,Stacked Bar"</formula1>
    </dataValidation>
    <dataValidation type="list" allowBlank="1" showInputMessage="1" showErrorMessage="1" sqref="B2" xr:uid="{CD50AB2D-D058-44EA-ABA8-DA320134A20C}">
      <formula1>"Table,Figure,Both"</formula1>
    </dataValidation>
    <dataValidation type="list" allowBlank="1" showInputMessage="1" showErrorMessage="1" sqref="B6 B15" xr:uid="{235CCF69-2731-453F-B840-61107F667DC4}">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82FC52D-1B55-472D-B29A-64A1460DB86D}">
          <x14:formula1>
            <xm:f>Master!$F$2:$F$293</xm:f>
          </x14:formula1>
          <xm:sqref>B1:O1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5CBE-FD2C-4EA5-B3B5-CB334E5E5308}">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661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tbl-assault-hospital-aar</v>
      </c>
    </row>
    <row r="4" spans="1:16" x14ac:dyDescent="0.2">
      <c r="A4" s="58" t="s">
        <v>6</v>
      </c>
      <c r="B4" t="str">
        <f>IF($B$1="","",_xlfn.XLOOKUP($B$1,Master!$F$2:$F$308,Master!$H$2:$H$308,""))</f>
        <v>fig-assault-hospital-aar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1775</v>
      </c>
      <c r="H5" s="101"/>
      <c r="I5" s="101"/>
      <c r="J5" s="101"/>
      <c r="K5" s="101"/>
      <c r="L5" s="101"/>
      <c r="M5" s="101"/>
      <c r="N5" s="101" t="s">
        <v>1776</v>
      </c>
      <c r="O5" s="101"/>
    </row>
    <row r="6" spans="1:16" ht="15" customHeight="1" x14ac:dyDescent="0.2">
      <c r="A6" t="s">
        <v>891</v>
      </c>
      <c r="B6" t="b">
        <v>1</v>
      </c>
      <c r="E6" s="99"/>
      <c r="F6" s="55"/>
      <c r="G6" s="59" t="s">
        <v>220</v>
      </c>
      <c r="H6" s="59" t="s">
        <v>18</v>
      </c>
      <c r="I6" s="59" t="s">
        <v>537</v>
      </c>
      <c r="J6" s="59" t="s">
        <v>449</v>
      </c>
      <c r="K6" s="59" t="s">
        <v>409</v>
      </c>
      <c r="L6" s="59" t="s">
        <v>421</v>
      </c>
      <c r="M6" s="59" t="s">
        <v>470</v>
      </c>
      <c r="N6" s="55" t="s">
        <v>914</v>
      </c>
      <c r="O6" s="55" t="s">
        <v>915</v>
      </c>
      <c r="P6" s="14"/>
    </row>
    <row r="7" spans="1:16" ht="15.75" customHeight="1" x14ac:dyDescent="0.2">
      <c r="E7" s="99"/>
      <c r="F7" s="69">
        <v>2018</v>
      </c>
      <c r="G7" s="59">
        <v>2.2000000000000002</v>
      </c>
      <c r="H7" s="59">
        <v>1.9</v>
      </c>
      <c r="I7" s="59">
        <v>0.6</v>
      </c>
      <c r="J7" s="59">
        <v>1.2</v>
      </c>
      <c r="K7" s="59">
        <v>2.6</v>
      </c>
      <c r="L7" s="59">
        <v>1.6</v>
      </c>
      <c r="M7" s="59">
        <v>2.2000000000000002</v>
      </c>
      <c r="N7" s="59">
        <v>2.2999999999999998</v>
      </c>
      <c r="O7" s="59">
        <v>3.3</v>
      </c>
      <c r="P7" s="14"/>
    </row>
    <row r="8" spans="1:16" x14ac:dyDescent="0.2">
      <c r="E8" s="99"/>
      <c r="F8" s="69">
        <v>2019</v>
      </c>
      <c r="G8" s="59">
        <v>2.4</v>
      </c>
      <c r="H8" s="59">
        <v>2.1</v>
      </c>
      <c r="I8" s="59">
        <v>0.6</v>
      </c>
      <c r="J8" s="59">
        <v>1.3</v>
      </c>
      <c r="K8" s="59">
        <v>2.2999999999999998</v>
      </c>
      <c r="L8" s="59">
        <v>1.7</v>
      </c>
      <c r="M8" s="59">
        <v>2.1</v>
      </c>
      <c r="N8" s="59">
        <v>2.4</v>
      </c>
      <c r="O8" s="59">
        <v>3.3</v>
      </c>
      <c r="P8" s="14"/>
    </row>
    <row r="9" spans="1:16" x14ac:dyDescent="0.2">
      <c r="A9" s="98" t="s">
        <v>893</v>
      </c>
      <c r="B9" s="99"/>
      <c r="E9" s="99"/>
      <c r="F9" s="69">
        <v>2020</v>
      </c>
      <c r="G9" s="59">
        <v>2.6</v>
      </c>
      <c r="H9" s="59">
        <v>2.1</v>
      </c>
      <c r="I9" s="59">
        <v>0.7</v>
      </c>
      <c r="J9" s="59">
        <v>1.2</v>
      </c>
      <c r="K9" s="59">
        <v>1.8</v>
      </c>
      <c r="L9" s="59">
        <v>1.7</v>
      </c>
      <c r="M9" s="59">
        <v>2.2000000000000002</v>
      </c>
      <c r="N9" s="59">
        <v>2.7</v>
      </c>
      <c r="O9" s="59">
        <v>3.7</v>
      </c>
      <c r="P9" s="14"/>
    </row>
    <row r="10" spans="1:16" x14ac:dyDescent="0.2">
      <c r="A10" t="s">
        <v>894</v>
      </c>
      <c r="B10" t="s">
        <v>972</v>
      </c>
      <c r="E10" s="99"/>
      <c r="F10" s="69">
        <v>2021</v>
      </c>
      <c r="G10" s="59">
        <v>2.6</v>
      </c>
      <c r="H10" s="59">
        <v>2.1</v>
      </c>
      <c r="I10" s="59">
        <v>0.9</v>
      </c>
      <c r="J10" s="59">
        <v>1</v>
      </c>
      <c r="K10" s="59">
        <v>2</v>
      </c>
      <c r="L10" s="59">
        <v>1.8</v>
      </c>
      <c r="M10" s="59">
        <v>2</v>
      </c>
      <c r="N10" s="59">
        <v>2.5</v>
      </c>
      <c r="O10" s="59">
        <v>3.6</v>
      </c>
    </row>
    <row r="11" spans="1:16" x14ac:dyDescent="0.2">
      <c r="A11" t="s">
        <v>895</v>
      </c>
      <c r="B11" t="s">
        <v>973</v>
      </c>
      <c r="E11" s="99"/>
      <c r="F11" s="69"/>
      <c r="G11" s="59"/>
      <c r="H11" s="59"/>
      <c r="I11" s="59"/>
      <c r="J11" s="59"/>
      <c r="K11" s="59"/>
      <c r="L11" s="59"/>
      <c r="M11" s="59"/>
      <c r="N11" s="59"/>
      <c r="O11" s="59"/>
    </row>
    <row r="12" spans="1:16" x14ac:dyDescent="0.2">
      <c r="A12" t="s">
        <v>896</v>
      </c>
      <c r="B12" t="s">
        <v>708</v>
      </c>
      <c r="E12" s="99"/>
    </row>
    <row r="13" spans="1:16" x14ac:dyDescent="0.2">
      <c r="A13" t="s">
        <v>897</v>
      </c>
      <c r="E13" s="99"/>
    </row>
    <row r="14" spans="1:16" x14ac:dyDescent="0.2">
      <c r="A14" t="s">
        <v>899</v>
      </c>
      <c r="B14" t="s">
        <v>708</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1789</v>
      </c>
      <c r="E19" s="99"/>
    </row>
    <row r="20" spans="1:12" x14ac:dyDescent="0.2">
      <c r="A20" t="s">
        <v>904</v>
      </c>
      <c r="B20" t="s">
        <v>1627</v>
      </c>
      <c r="E20" s="99"/>
    </row>
    <row r="21" spans="1:12" x14ac:dyDescent="0.2">
      <c r="A21" t="s">
        <v>905</v>
      </c>
      <c r="B21" t="s">
        <v>1703</v>
      </c>
      <c r="E21" s="99"/>
    </row>
    <row r="22" spans="1:12" x14ac:dyDescent="0.2">
      <c r="A22" t="s">
        <v>906</v>
      </c>
      <c r="E22" s="99"/>
      <c r="G22" s="67"/>
    </row>
    <row r="23" spans="1:12" x14ac:dyDescent="0.2">
      <c r="A23" t="s">
        <v>907</v>
      </c>
      <c r="B23" t="s">
        <v>1121</v>
      </c>
      <c r="E23" s="99"/>
    </row>
    <row r="24" spans="1:12" x14ac:dyDescent="0.2">
      <c r="A24" t="s">
        <v>908</v>
      </c>
      <c r="B24">
        <v>2025</v>
      </c>
      <c r="E24" s="99"/>
    </row>
    <row r="25" spans="1:12" x14ac:dyDescent="0.2">
      <c r="A25" t="s">
        <v>909</v>
      </c>
      <c r="B25" t="s">
        <v>1788</v>
      </c>
      <c r="E25" s="99"/>
    </row>
    <row r="26" spans="1:12" x14ac:dyDescent="0.2">
      <c r="E26" s="99"/>
      <c r="H26" s="52"/>
      <c r="I26" s="52"/>
    </row>
    <row r="27" spans="1:12" x14ac:dyDescent="0.2">
      <c r="A27" s="101" t="s">
        <v>910</v>
      </c>
      <c r="B27" s="99"/>
      <c r="E27" s="99"/>
    </row>
    <row r="28" spans="1:12" x14ac:dyDescent="0.2">
      <c r="A28" s="114"/>
      <c r="B28" s="114"/>
      <c r="E28" s="99"/>
    </row>
    <row r="29" spans="1:12" x14ac:dyDescent="0.2">
      <c r="A29" s="116" t="s">
        <v>1787</v>
      </c>
      <c r="B29" s="116"/>
      <c r="C29" s="116"/>
      <c r="D29" s="116"/>
      <c r="E29" s="99"/>
      <c r="H29" s="52"/>
      <c r="I29" s="52"/>
      <c r="J29" s="52"/>
      <c r="K29" s="52"/>
      <c r="L29" s="52"/>
    </row>
    <row r="30" spans="1:12" x14ac:dyDescent="0.2">
      <c r="A30" s="116"/>
      <c r="B30" s="116"/>
      <c r="C30" s="116"/>
      <c r="D30" s="116"/>
      <c r="E30" s="99"/>
    </row>
    <row r="31" spans="1:12" x14ac:dyDescent="0.2">
      <c r="A31" s="116"/>
      <c r="B31" s="116"/>
      <c r="C31" s="116"/>
      <c r="D31" s="116"/>
      <c r="E31" s="99"/>
    </row>
    <row r="32" spans="1:12" x14ac:dyDescent="0.2">
      <c r="A32" s="116"/>
      <c r="B32" s="116"/>
      <c r="C32" s="116"/>
      <c r="D32" s="116"/>
      <c r="E32" s="99"/>
      <c r="H32" s="52"/>
      <c r="I32" s="52"/>
      <c r="J32" s="52"/>
      <c r="K32" s="52"/>
      <c r="L32" s="52"/>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G5:M5"/>
    <mergeCell ref="N5:O5"/>
    <mergeCell ref="A9:B9"/>
    <mergeCell ref="A18:B18"/>
    <mergeCell ref="A27:B27"/>
    <mergeCell ref="A28:B28"/>
    <mergeCell ref="A29:D40"/>
  </mergeCells>
  <conditionalFormatting sqref="G22">
    <cfRule type="duplicateValues" dxfId="0" priority="1"/>
  </conditionalFormatting>
  <dataValidations count="4">
    <dataValidation type="list" allowBlank="1" showInputMessage="1" showErrorMessage="1" sqref="B6 B15" xr:uid="{665811A0-F11B-47CC-AD0A-8652B24407A8}">
      <formula1>"True,False"</formula1>
    </dataValidation>
    <dataValidation type="list" allowBlank="1" showInputMessage="1" showErrorMessage="1" sqref="B2" xr:uid="{2DB020EF-2142-4729-9A74-E7C781FDA89F}">
      <formula1>"Table,Figure,Both"</formula1>
    </dataValidation>
    <dataValidation type="list" allowBlank="1" showInputMessage="1" showErrorMessage="1" sqref="B10" xr:uid="{B59AA7CE-99FB-4C73-9452-68A09303C507}">
      <formula1>"Line,Clustered Bar,Stacked Bar"</formula1>
    </dataValidation>
    <dataValidation type="list" allowBlank="1" showInputMessage="1" showErrorMessage="1" sqref="F4:P4" xr:uid="{C0C0E9E1-C863-41DD-90C0-01B39D577799}">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81F5E2D-86C5-4CF0-8AAF-9F7ED2299A38}">
          <x14:formula1>
            <xm:f>Master!$F$2:$F$293</xm:f>
          </x14:formula1>
          <xm:sqref>B1:O1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83E68-8F36-4DDA-90F9-83AF213AFDD9}">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5.1640625" customWidth="1"/>
    <col min="7" max="7" width="9.5" customWidth="1"/>
    <col min="8" max="8" width="13.5" customWidth="1"/>
    <col min="9" max="9" width="11" customWidth="1"/>
    <col min="11" max="11" width="8.83203125" bestFit="1" customWidth="1"/>
    <col min="12" max="12" width="12.33203125" bestFit="1" customWidth="1"/>
    <col min="14" max="14" width="12.33203125" bestFit="1" customWidth="1"/>
    <col min="15" max="15" width="11" bestFit="1" customWidth="1"/>
  </cols>
  <sheetData>
    <row r="1" spans="1:16" x14ac:dyDescent="0.2">
      <c r="A1" s="58" t="s">
        <v>882</v>
      </c>
      <c r="B1" s="96" t="s">
        <v>662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tbl-dv-victim-rate</v>
      </c>
    </row>
    <row r="4" spans="1:16" x14ac:dyDescent="0.2">
      <c r="A4" s="58" t="s">
        <v>6</v>
      </c>
      <c r="B4" t="str">
        <f>IF($B$1="","",_xlfn.XLOOKUP($B$1,Master!$F$2:$F$308,Master!$H$2:$H$308,""))</f>
        <v>fig-dv-victim-rate</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55"/>
      <c r="G5" s="59" t="s">
        <v>220</v>
      </c>
      <c r="H5" s="59" t="s">
        <v>18</v>
      </c>
      <c r="I5" s="59" t="s">
        <v>537</v>
      </c>
      <c r="J5" s="59" t="s">
        <v>449</v>
      </c>
      <c r="K5" s="59" t="s">
        <v>409</v>
      </c>
      <c r="L5" s="59" t="s">
        <v>421</v>
      </c>
      <c r="M5" s="59" t="s">
        <v>470</v>
      </c>
      <c r="N5" s="55" t="s">
        <v>914</v>
      </c>
      <c r="O5" s="55" t="s">
        <v>915</v>
      </c>
    </row>
    <row r="6" spans="1:16" ht="15" customHeight="1" x14ac:dyDescent="0.2">
      <c r="A6" t="s">
        <v>891</v>
      </c>
      <c r="B6" t="b">
        <v>0</v>
      </c>
      <c r="E6" s="99"/>
      <c r="F6" s="69">
        <v>2018</v>
      </c>
      <c r="G6" s="59">
        <v>292</v>
      </c>
      <c r="H6" s="59">
        <v>448</v>
      </c>
      <c r="I6" s="59">
        <v>108</v>
      </c>
      <c r="J6" s="59">
        <v>249</v>
      </c>
      <c r="K6" s="59">
        <v>162</v>
      </c>
      <c r="L6" s="59">
        <v>295</v>
      </c>
      <c r="M6" s="59">
        <v>178</v>
      </c>
      <c r="N6" s="59">
        <v>423</v>
      </c>
      <c r="O6" s="59">
        <v>402</v>
      </c>
      <c r="P6" s="14"/>
    </row>
    <row r="7" spans="1:16" ht="15.75" customHeight="1" x14ac:dyDescent="0.2">
      <c r="E7" s="99"/>
      <c r="F7" s="69">
        <v>2019</v>
      </c>
      <c r="G7" s="59">
        <v>285</v>
      </c>
      <c r="H7" s="59">
        <v>512</v>
      </c>
      <c r="I7" s="59">
        <v>53</v>
      </c>
      <c r="J7" s="59">
        <v>204</v>
      </c>
      <c r="K7" s="59">
        <v>180</v>
      </c>
      <c r="L7" s="59">
        <v>297</v>
      </c>
      <c r="M7" s="59">
        <v>181</v>
      </c>
      <c r="N7" s="59">
        <v>428</v>
      </c>
      <c r="O7" s="59">
        <v>422</v>
      </c>
      <c r="P7" s="14"/>
    </row>
    <row r="8" spans="1:16" x14ac:dyDescent="0.2">
      <c r="E8" s="99"/>
      <c r="F8" s="69">
        <v>2020</v>
      </c>
      <c r="G8" s="59">
        <v>305</v>
      </c>
      <c r="H8" s="59">
        <v>483</v>
      </c>
      <c r="I8" s="59">
        <v>48</v>
      </c>
      <c r="J8" s="59">
        <v>229</v>
      </c>
      <c r="K8" s="59">
        <v>182</v>
      </c>
      <c r="L8" s="59">
        <v>294</v>
      </c>
      <c r="M8" s="59">
        <v>173</v>
      </c>
      <c r="N8" s="59">
        <v>437</v>
      </c>
      <c r="O8" s="59">
        <v>451</v>
      </c>
      <c r="P8" s="14"/>
    </row>
    <row r="9" spans="1:16" x14ac:dyDescent="0.2">
      <c r="A9" s="98" t="s">
        <v>893</v>
      </c>
      <c r="B9" s="99"/>
      <c r="E9" s="99"/>
      <c r="F9" s="69">
        <v>2021</v>
      </c>
      <c r="G9" s="59">
        <v>363</v>
      </c>
      <c r="H9" s="59">
        <v>470</v>
      </c>
      <c r="I9" s="59">
        <v>93</v>
      </c>
      <c r="J9" s="59">
        <v>288</v>
      </c>
      <c r="K9" s="59">
        <v>256</v>
      </c>
      <c r="L9" s="59">
        <v>362</v>
      </c>
      <c r="M9" s="59">
        <v>230</v>
      </c>
      <c r="N9" s="59">
        <v>464</v>
      </c>
      <c r="O9" s="59">
        <v>484</v>
      </c>
      <c r="P9" s="14"/>
    </row>
    <row r="10" spans="1:16" x14ac:dyDescent="0.2">
      <c r="A10" t="s">
        <v>894</v>
      </c>
      <c r="B10" t="s">
        <v>972</v>
      </c>
      <c r="E10" s="99"/>
      <c r="F10" s="69"/>
      <c r="G10" s="59"/>
      <c r="H10" s="59"/>
      <c r="I10" s="59"/>
      <c r="J10" s="59"/>
      <c r="K10" s="59"/>
      <c r="L10" s="59"/>
      <c r="M10" s="59"/>
      <c r="N10" s="59"/>
      <c r="O10" s="59"/>
    </row>
    <row r="11" spans="1:16" x14ac:dyDescent="0.2">
      <c r="A11" t="s">
        <v>895</v>
      </c>
      <c r="B11" t="s">
        <v>973</v>
      </c>
      <c r="E11" s="99"/>
    </row>
    <row r="12" spans="1:16" x14ac:dyDescent="0.2">
      <c r="A12" t="s">
        <v>896</v>
      </c>
      <c r="B12" t="s">
        <v>715</v>
      </c>
      <c r="E12" s="99"/>
    </row>
    <row r="13" spans="1:16" x14ac:dyDescent="0.2">
      <c r="A13" t="s">
        <v>897</v>
      </c>
      <c r="E13" s="99"/>
    </row>
    <row r="14" spans="1:16" x14ac:dyDescent="0.2">
      <c r="A14" t="s">
        <v>899</v>
      </c>
      <c r="B14" t="s">
        <v>715</v>
      </c>
      <c r="E14" s="99"/>
    </row>
    <row r="15" spans="1:16" x14ac:dyDescent="0.2">
      <c r="A15" t="s">
        <v>901</v>
      </c>
      <c r="B15" t="b">
        <v>1</v>
      </c>
      <c r="E15" s="99"/>
    </row>
    <row r="16" spans="1:16" x14ac:dyDescent="0.2">
      <c r="E16" s="99"/>
    </row>
    <row r="17" spans="1:12" x14ac:dyDescent="0.2">
      <c r="E17" s="99"/>
    </row>
    <row r="18" spans="1:12" x14ac:dyDescent="0.2">
      <c r="A18" s="98" t="s">
        <v>902</v>
      </c>
      <c r="B18" s="99"/>
      <c r="E18" s="99"/>
    </row>
    <row r="19" spans="1:12" x14ac:dyDescent="0.2">
      <c r="A19" t="s">
        <v>903</v>
      </c>
      <c r="B19" t="s">
        <v>190</v>
      </c>
      <c r="E19" s="99"/>
    </row>
    <row r="20" spans="1:12" x14ac:dyDescent="0.2">
      <c r="A20" t="s">
        <v>904</v>
      </c>
      <c r="B20" t="s">
        <v>1792</v>
      </c>
      <c r="E20" s="99"/>
    </row>
    <row r="21" spans="1:12" x14ac:dyDescent="0.2">
      <c r="A21" t="s">
        <v>905</v>
      </c>
      <c r="B21" t="s">
        <v>1793</v>
      </c>
      <c r="E21" s="99"/>
    </row>
    <row r="22" spans="1:12" x14ac:dyDescent="0.2">
      <c r="A22" t="s">
        <v>906</v>
      </c>
      <c r="E22" s="99"/>
    </row>
    <row r="23" spans="1:12" x14ac:dyDescent="0.2">
      <c r="A23" t="s">
        <v>907</v>
      </c>
      <c r="B23" t="s">
        <v>1151</v>
      </c>
      <c r="E23" s="99"/>
    </row>
    <row r="24" spans="1:12" x14ac:dyDescent="0.2">
      <c r="A24" t="s">
        <v>908</v>
      </c>
      <c r="B24">
        <v>2025</v>
      </c>
      <c r="E24" s="99"/>
    </row>
    <row r="25" spans="1:12" x14ac:dyDescent="0.2">
      <c r="A25" t="s">
        <v>909</v>
      </c>
      <c r="B25" t="s">
        <v>1791</v>
      </c>
      <c r="E25" s="99"/>
      <c r="H25" s="52"/>
      <c r="I25" s="52"/>
    </row>
    <row r="26" spans="1:12" x14ac:dyDescent="0.2">
      <c r="E26" s="99"/>
    </row>
    <row r="27" spans="1:12" x14ac:dyDescent="0.2">
      <c r="A27" s="101" t="s">
        <v>910</v>
      </c>
      <c r="B27" s="99"/>
      <c r="E27" s="99"/>
    </row>
    <row r="28" spans="1:12" x14ac:dyDescent="0.2">
      <c r="A28" s="114"/>
      <c r="B28" s="114"/>
      <c r="E28" s="99"/>
      <c r="H28" s="52"/>
      <c r="I28" s="52"/>
      <c r="J28" s="52"/>
      <c r="K28" s="52"/>
      <c r="L28" s="52"/>
    </row>
    <row r="29" spans="1:12" x14ac:dyDescent="0.2">
      <c r="A29" s="116" t="s">
        <v>1790</v>
      </c>
      <c r="B29" s="116"/>
      <c r="C29" s="116"/>
      <c r="D29" s="116"/>
      <c r="E29" s="99"/>
    </row>
    <row r="30" spans="1:12" x14ac:dyDescent="0.2">
      <c r="A30" s="116"/>
      <c r="B30" s="116"/>
      <c r="C30" s="116"/>
      <c r="D30" s="116"/>
      <c r="E30" s="99"/>
    </row>
    <row r="31" spans="1:12" x14ac:dyDescent="0.2">
      <c r="A31" s="116"/>
      <c r="B31" s="116"/>
      <c r="C31" s="116"/>
      <c r="D31" s="116"/>
      <c r="E31" s="99"/>
      <c r="H31" s="52"/>
      <c r="I31" s="52"/>
      <c r="J31" s="52"/>
      <c r="K31" s="52"/>
      <c r="L31" s="52"/>
    </row>
    <row r="32" spans="1:12" x14ac:dyDescent="0.2">
      <c r="A32" s="116"/>
      <c r="B32" s="116"/>
      <c r="C32" s="116"/>
      <c r="D32" s="116"/>
      <c r="E32" s="99"/>
    </row>
    <row r="33" spans="1:5" x14ac:dyDescent="0.2">
      <c r="A33" s="116"/>
      <c r="B33" s="116"/>
      <c r="C33" s="116"/>
      <c r="D33" s="116"/>
      <c r="E33" s="99"/>
    </row>
    <row r="34" spans="1:5" x14ac:dyDescent="0.2">
      <c r="A34" s="116"/>
      <c r="B34" s="116"/>
      <c r="C34" s="116"/>
      <c r="D34" s="116"/>
      <c r="E34" s="99"/>
    </row>
    <row r="35" spans="1:5" x14ac:dyDescent="0.2">
      <c r="A35" s="116"/>
      <c r="B35" s="116"/>
      <c r="C35" s="116"/>
      <c r="D35" s="116"/>
      <c r="E35" s="99"/>
    </row>
    <row r="36" spans="1:5" x14ac:dyDescent="0.2">
      <c r="A36" s="116"/>
      <c r="B36" s="116"/>
      <c r="C36" s="116"/>
      <c r="D36" s="116"/>
      <c r="E36" s="99"/>
    </row>
    <row r="37" spans="1:5" x14ac:dyDescent="0.2">
      <c r="A37" s="116"/>
      <c r="B37" s="116"/>
      <c r="C37" s="116"/>
      <c r="D37" s="116"/>
      <c r="E37" s="99"/>
    </row>
    <row r="38" spans="1:5" x14ac:dyDescent="0.2">
      <c r="A38" s="116"/>
      <c r="B38" s="116"/>
      <c r="C38" s="116"/>
      <c r="D38" s="116"/>
      <c r="E38" s="99"/>
    </row>
    <row r="39" spans="1:5" x14ac:dyDescent="0.2">
      <c r="A39" s="116"/>
      <c r="B39" s="116"/>
      <c r="C39" s="116"/>
      <c r="D39" s="116"/>
      <c r="E39" s="99"/>
    </row>
    <row r="40" spans="1:5" x14ac:dyDescent="0.2">
      <c r="A40" s="116"/>
      <c r="B40" s="116"/>
      <c r="C40" s="116"/>
      <c r="D40" s="116"/>
      <c r="E40" s="99"/>
    </row>
    <row r="41" spans="1:5" x14ac:dyDescent="0.2">
      <c r="E41" s="99"/>
    </row>
    <row r="42" spans="1:5" x14ac:dyDescent="0.2">
      <c r="E42" s="99"/>
    </row>
    <row r="43" spans="1:5" x14ac:dyDescent="0.2">
      <c r="E43" s="99"/>
    </row>
    <row r="44" spans="1:5" x14ac:dyDescent="0.2">
      <c r="E44" s="99"/>
    </row>
    <row r="45" spans="1:5" x14ac:dyDescent="0.2">
      <c r="E45" s="99"/>
    </row>
    <row r="46" spans="1:5" x14ac:dyDescent="0.2">
      <c r="E46" s="99"/>
    </row>
    <row r="47" spans="1:5" x14ac:dyDescent="0.2">
      <c r="E47" s="99"/>
    </row>
    <row r="48" spans="1: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A28:B28"/>
    <mergeCell ref="A29:D40"/>
  </mergeCells>
  <dataValidations count="4">
    <dataValidation type="list" allowBlank="1" showInputMessage="1" showErrorMessage="1" sqref="F4:P4" xr:uid="{48A1DD6A-18F3-4938-916A-FCF16D7EB054}">
      <formula1>"integer, number, percent1"</formula1>
    </dataValidation>
    <dataValidation type="list" allowBlank="1" showInputMessage="1" showErrorMessage="1" sqref="B10" xr:uid="{6F2EC953-862B-4DC9-AB19-B30345F30128}">
      <formula1>"Line,Clustered Bar,Stacked Bar"</formula1>
    </dataValidation>
    <dataValidation type="list" allowBlank="1" showInputMessage="1" showErrorMessage="1" sqref="B2" xr:uid="{7C332693-49F9-4292-900A-E5DD47A3A37C}">
      <formula1>"Table,Figure,Both"</formula1>
    </dataValidation>
    <dataValidation type="list" allowBlank="1" showInputMessage="1" showErrorMessage="1" sqref="B6 B15" xr:uid="{1A6F6D2D-0E4E-468C-8588-E04F271107A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CE715E1-F5C9-41AC-9BFC-4C11ABC83338}">
          <x14:formula1>
            <xm:f>Master!$F$2:$F$293</xm:f>
          </x14:formula1>
          <xm:sqref>B1:O1</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CA83-04F3-CE4F-922B-EA4594D55C3E}">
  <sheetPr>
    <tabColor rgb="FF0070C0"/>
  </sheetPr>
  <dimension ref="A1"/>
  <sheetViews>
    <sheetView workbookViewId="0"/>
  </sheetViews>
  <sheetFormatPr baseColWidth="10" defaultColWidth="11.5" defaultRowHeight="15" x14ac:dyDescent="0.2"/>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A73C-A005-4246-855E-E6FF0F581B39}">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14</v>
      </c>
      <c r="C1" s="97"/>
      <c r="D1" s="97"/>
      <c r="E1" s="97"/>
      <c r="F1" s="97"/>
      <c r="G1" s="97"/>
      <c r="H1" s="97"/>
      <c r="I1" s="97"/>
      <c r="J1" s="97"/>
      <c r="K1" s="97"/>
      <c r="L1" s="97"/>
      <c r="M1" s="97"/>
      <c r="N1" s="97"/>
      <c r="O1" s="97"/>
    </row>
    <row r="2" spans="1:15" x14ac:dyDescent="0.2">
      <c r="A2" s="58" t="s">
        <v>883</v>
      </c>
    </row>
    <row r="3" spans="1:15" x14ac:dyDescent="0.2">
      <c r="A3" s="58" t="s">
        <v>884</v>
      </c>
      <c r="B3" t="str">
        <f>IF($B$1="","",_xlfn.XLOOKUP($B$1,Master!$F$2:$F$308,Master!$G$2:$G$308,""))</f>
        <v>tbl-population-demographics</v>
      </c>
    </row>
    <row r="4" spans="1:15" x14ac:dyDescent="0.2">
      <c r="A4" s="58" t="s">
        <v>6</v>
      </c>
      <c r="B4">
        <f>IF($B$1="","",_xlfn.XLOOKUP($B$1,Master!$F$2:$F$308,Master!$H$2:$H$308,""))</f>
        <v>0</v>
      </c>
      <c r="E4" s="13"/>
      <c r="F4" s="13"/>
      <c r="G4" s="16" t="s">
        <v>664</v>
      </c>
      <c r="H4" s="16" t="s">
        <v>679</v>
      </c>
      <c r="I4" s="16" t="s">
        <v>679</v>
      </c>
      <c r="J4" s="16"/>
      <c r="K4" s="16"/>
      <c r="L4" s="16"/>
      <c r="M4" s="16"/>
      <c r="N4" s="16"/>
      <c r="O4" s="16"/>
    </row>
    <row r="5" spans="1:15" x14ac:dyDescent="0.2">
      <c r="A5" s="98" t="s">
        <v>885</v>
      </c>
      <c r="B5" s="99"/>
      <c r="E5" s="100" t="s">
        <v>886</v>
      </c>
    </row>
    <row r="6" spans="1:15" ht="15" customHeight="1" x14ac:dyDescent="0.2">
      <c r="A6" t="s">
        <v>891</v>
      </c>
      <c r="E6" s="99"/>
    </row>
    <row r="7" spans="1:15" ht="15.75" customHeight="1" x14ac:dyDescent="0.2">
      <c r="E7" s="99"/>
    </row>
    <row r="8" spans="1:15" x14ac:dyDescent="0.2">
      <c r="E8" s="99"/>
    </row>
    <row r="9" spans="1:15" x14ac:dyDescent="0.2">
      <c r="A9" s="98" t="s">
        <v>893</v>
      </c>
      <c r="B9" s="99"/>
      <c r="E9" s="99"/>
    </row>
    <row r="10" spans="1:15" x14ac:dyDescent="0.2">
      <c r="A10" t="s">
        <v>894</v>
      </c>
      <c r="E10" s="99"/>
    </row>
    <row r="11" spans="1:15" x14ac:dyDescent="0.2">
      <c r="A11" t="s">
        <v>895</v>
      </c>
      <c r="E11" s="99"/>
    </row>
    <row r="12" spans="1:15" x14ac:dyDescent="0.2">
      <c r="A12" t="s">
        <v>896</v>
      </c>
      <c r="E12" s="99"/>
    </row>
    <row r="13" spans="1:15" x14ac:dyDescent="0.2">
      <c r="A13" t="s">
        <v>897</v>
      </c>
      <c r="E13" s="99"/>
    </row>
    <row r="14" spans="1:15" x14ac:dyDescent="0.2">
      <c r="A14" t="s">
        <v>899</v>
      </c>
      <c r="E14" s="99"/>
    </row>
    <row r="15" spans="1:15" x14ac:dyDescent="0.2">
      <c r="A15" t="s">
        <v>901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G4:O4" xr:uid="{E435A698-E8FF-FC4F-9F91-462A6C89A6A6}">
      <formula1>"integer, number, percent1"</formula1>
    </dataValidation>
    <dataValidation type="list" allowBlank="1" showInputMessage="1" showErrorMessage="1" sqref="B10" xr:uid="{7ED34D49-3D22-EB43-908C-E0CB201928B8}">
      <formula1>"Line,Clustered Bar,Stacked Bar"</formula1>
    </dataValidation>
    <dataValidation type="list" allowBlank="1" showInputMessage="1" showErrorMessage="1" sqref="B2" xr:uid="{76D29499-CB08-4345-8B5D-AE81644EF75B}">
      <formula1>"Table,Figure,Both"</formula1>
    </dataValidation>
    <dataValidation type="list" allowBlank="1" showInputMessage="1" showErrorMessage="1" sqref="B6 B15" xr:uid="{DAD78E09-3883-274E-B1CB-4108FFAA2841}">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4A5AA4E-A770-694D-9982-C391430AD512}">
          <x14:formula1>
            <xm:f>Master!$F$2:$F$293</xm:f>
          </x14:formula1>
          <xm:sqref>B1:O1</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
  <sheetViews>
    <sheetView workbookViewId="0">
      <selection activeCell="B1" sqref="B1:O1"/>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3" max="13" width="11" bestFit="1" customWidth="1"/>
    <col min="14" max="14" width="12.33203125" bestFit="1" customWidth="1"/>
    <col min="15" max="15" width="11" bestFit="1" customWidth="1"/>
  </cols>
  <sheetData>
    <row r="1" spans="1:15" x14ac:dyDescent="0.2">
      <c r="A1" s="58" t="s">
        <v>882</v>
      </c>
      <c r="B1" s="102" t="s">
        <v>58</v>
      </c>
      <c r="C1" s="99"/>
      <c r="D1" s="99"/>
      <c r="E1" s="99"/>
      <c r="F1" s="99"/>
      <c r="G1" s="99"/>
      <c r="H1" s="99"/>
      <c r="I1" s="99"/>
      <c r="J1" s="99"/>
      <c r="K1" s="99"/>
      <c r="L1" s="99"/>
      <c r="M1" s="99"/>
      <c r="N1" s="99"/>
      <c r="O1" s="99"/>
    </row>
    <row r="2" spans="1:15" x14ac:dyDescent="0.2">
      <c r="A2" s="58" t="s">
        <v>883</v>
      </c>
      <c r="B2" t="s">
        <v>1120</v>
      </c>
    </row>
    <row r="3" spans="1:15" x14ac:dyDescent="0.2">
      <c r="A3" s="58" t="s">
        <v>884</v>
      </c>
      <c r="B3" t="str">
        <f>IF($B$1="","",_xlfn.XLOOKUP($B$1,Master!$F$2:$F$308,Master!$G$2:$G$308,""))</f>
        <v>tbl-labor-force</v>
      </c>
    </row>
    <row r="4" spans="1:15" x14ac:dyDescent="0.2">
      <c r="A4" s="58" t="s">
        <v>6</v>
      </c>
      <c r="B4" t="str">
        <f>IF($B$1="","",_xlfn.XLOOKUP($B$1,Master!$F$2:$F$308,Master!$H$2:$H$308,""))</f>
        <v>fig-labor-force</v>
      </c>
      <c r="E4" s="13"/>
      <c r="F4" s="16" t="s">
        <v>664</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1"/>
      <c r="G5" s="1" t="s">
        <v>220</v>
      </c>
      <c r="H5" s="1" t="s">
        <v>18</v>
      </c>
      <c r="I5" s="1" t="s">
        <v>537</v>
      </c>
      <c r="J5" s="1" t="s">
        <v>449</v>
      </c>
      <c r="K5" s="1" t="s">
        <v>409</v>
      </c>
      <c r="L5" s="1" t="s">
        <v>421</v>
      </c>
      <c r="M5" s="1" t="s">
        <v>470</v>
      </c>
      <c r="N5" s="1" t="s">
        <v>915</v>
      </c>
      <c r="O5" s="1" t="s">
        <v>1141</v>
      </c>
    </row>
    <row r="6" spans="1:15" ht="15" customHeight="1" x14ac:dyDescent="0.2">
      <c r="A6" t="s">
        <v>891</v>
      </c>
      <c r="E6" s="99"/>
      <c r="F6" t="s">
        <v>1142</v>
      </c>
      <c r="G6">
        <v>63</v>
      </c>
      <c r="H6">
        <v>63.9</v>
      </c>
      <c r="I6">
        <v>65.2</v>
      </c>
      <c r="J6">
        <v>63.9</v>
      </c>
      <c r="K6">
        <v>56.1</v>
      </c>
      <c r="L6">
        <v>60.1</v>
      </c>
      <c r="M6">
        <v>65.5</v>
      </c>
      <c r="N6">
        <v>63.1</v>
      </c>
      <c r="O6">
        <v>63.6</v>
      </c>
    </row>
    <row r="7" spans="1:15" ht="15.75" customHeight="1" x14ac:dyDescent="0.2">
      <c r="E7" s="99"/>
      <c r="F7" t="s">
        <v>1143</v>
      </c>
      <c r="G7">
        <v>62.8</v>
      </c>
      <c r="H7">
        <v>63.4</v>
      </c>
      <c r="I7">
        <v>64.7</v>
      </c>
      <c r="J7">
        <v>63.2</v>
      </c>
      <c r="K7">
        <v>58.1</v>
      </c>
      <c r="L7">
        <v>58.9</v>
      </c>
      <c r="M7">
        <v>65.2</v>
      </c>
      <c r="N7">
        <v>62.9</v>
      </c>
      <c r="O7">
        <v>63.5</v>
      </c>
    </row>
    <row r="8" spans="1:15" x14ac:dyDescent="0.2">
      <c r="E8" s="99"/>
      <c r="F8" t="s">
        <v>1144</v>
      </c>
      <c r="G8">
        <v>63.3</v>
      </c>
      <c r="H8">
        <v>63.5</v>
      </c>
      <c r="I8">
        <v>64.7</v>
      </c>
      <c r="J8">
        <v>63.2</v>
      </c>
      <c r="K8">
        <v>59.1</v>
      </c>
      <c r="L8">
        <v>58.7</v>
      </c>
      <c r="M8">
        <v>65.400000000000006</v>
      </c>
      <c r="N8">
        <v>63</v>
      </c>
      <c r="O8">
        <v>63.5</v>
      </c>
    </row>
    <row r="9" spans="1:15" x14ac:dyDescent="0.2">
      <c r="A9" s="98" t="s">
        <v>893</v>
      </c>
      <c r="B9" s="99"/>
      <c r="E9" s="99"/>
    </row>
    <row r="10" spans="1:15" x14ac:dyDescent="0.2">
      <c r="A10" t="s">
        <v>894</v>
      </c>
      <c r="B10" t="s">
        <v>972</v>
      </c>
      <c r="E10" s="99"/>
    </row>
    <row r="11" spans="1:15" x14ac:dyDescent="0.2">
      <c r="A11" t="s">
        <v>895</v>
      </c>
      <c r="B11" t="s">
        <v>1123</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E15" s="99"/>
    </row>
    <row r="16" spans="1:15" x14ac:dyDescent="0.2">
      <c r="A16" t="s">
        <v>1145</v>
      </c>
      <c r="B16" t="s">
        <v>1146</v>
      </c>
      <c r="E16" s="99"/>
    </row>
    <row r="17" spans="1:5" x14ac:dyDescent="0.2">
      <c r="E17" s="99"/>
    </row>
    <row r="18" spans="1:5" x14ac:dyDescent="0.2">
      <c r="A18" s="98" t="s">
        <v>902</v>
      </c>
      <c r="B18" s="99"/>
      <c r="E18" s="99"/>
    </row>
    <row r="19" spans="1:5" x14ac:dyDescent="0.2">
      <c r="A19" t="s">
        <v>903</v>
      </c>
      <c r="B19" t="s">
        <v>1147</v>
      </c>
      <c r="E19" s="99"/>
    </row>
    <row r="20" spans="1:5" x14ac:dyDescent="0.2">
      <c r="A20" t="s">
        <v>904</v>
      </c>
      <c r="B20" t="s">
        <v>1148</v>
      </c>
      <c r="E20" s="99"/>
    </row>
    <row r="21" spans="1:5" x14ac:dyDescent="0.2">
      <c r="A21" t="s">
        <v>905</v>
      </c>
      <c r="B21">
        <v>2023</v>
      </c>
      <c r="E21" s="99"/>
    </row>
    <row r="22" spans="1:5" x14ac:dyDescent="0.2">
      <c r="A22" t="s">
        <v>906</v>
      </c>
      <c r="B22" t="s">
        <v>1149</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t="s">
        <v>910</v>
      </c>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5">
    <mergeCell ref="B1:O1"/>
    <mergeCell ref="A9:B9"/>
    <mergeCell ref="A5:B5"/>
    <mergeCell ref="A18:B18"/>
    <mergeCell ref="E5:E57"/>
  </mergeCells>
  <phoneticPr fontId="25" type="noConversion"/>
  <dataValidations count="4">
    <dataValidation type="list" allowBlank="1" showInputMessage="1" showErrorMessage="1" sqref="B6 B15" xr:uid="{00000000-0002-0000-0200-000000000000}">
      <formula1>"True,False"</formula1>
    </dataValidation>
    <dataValidation type="list" allowBlank="1" showInputMessage="1" showErrorMessage="1" sqref="B2" xr:uid="{00000000-0002-0000-0200-000001000000}">
      <formula1>"Table,Figure,Both"</formula1>
    </dataValidation>
    <dataValidation type="list" allowBlank="1" showInputMessage="1" showErrorMessage="1" sqref="B10" xr:uid="{00000000-0002-0000-0200-000002000000}">
      <formula1>"Line,Clustered Bar,Stacked Bar"</formula1>
    </dataValidation>
    <dataValidation type="list" allowBlank="1" showInputMessage="1" showErrorMessage="1" sqref="F4:O4" xr:uid="{99FE79E9-5434-4D45-9112-19199C3CD363}">
      <formula1>"integer, number, percent1"</formula1>
    </dataValidation>
  </dataValidation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7"/>
  <sheetViews>
    <sheetView workbookViewId="0">
      <selection activeCell="B12" sqref="B12"/>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3" max="13" width="11" bestFit="1" customWidth="1"/>
    <col min="14" max="14" width="12.33203125" bestFit="1" customWidth="1"/>
    <col min="15" max="15" width="11" bestFit="1" customWidth="1"/>
  </cols>
  <sheetData>
    <row r="1" spans="1:15" x14ac:dyDescent="0.2">
      <c r="A1" s="58" t="s">
        <v>882</v>
      </c>
      <c r="B1" s="102" t="s">
        <v>63</v>
      </c>
      <c r="C1" s="99"/>
      <c r="D1" s="99"/>
      <c r="E1" s="99"/>
      <c r="F1" s="99"/>
      <c r="G1" s="99"/>
      <c r="H1" s="99"/>
      <c r="I1" s="99"/>
      <c r="J1" s="99"/>
      <c r="K1" s="99"/>
      <c r="L1" s="99"/>
      <c r="M1" s="99"/>
      <c r="N1" s="99"/>
      <c r="O1" s="99"/>
    </row>
    <row r="2" spans="1:15" x14ac:dyDescent="0.2">
      <c r="A2" s="58" t="s">
        <v>883</v>
      </c>
      <c r="B2" t="s">
        <v>1120</v>
      </c>
    </row>
    <row r="3" spans="1:15" ht="16.25" customHeight="1" x14ac:dyDescent="0.2">
      <c r="A3" s="58" t="s">
        <v>884</v>
      </c>
      <c r="B3" t="str">
        <f>IF($B$1="","",_xlfn.XLOOKUP($B$1,Master!$F$2:$F$308,Master!$G$2:$G$308,""))</f>
        <v>tbl-unemployed</v>
      </c>
    </row>
    <row r="4" spans="1:15" x14ac:dyDescent="0.2">
      <c r="A4" s="58" t="s">
        <v>6</v>
      </c>
      <c r="B4" t="str">
        <f>IF($B$1="","",_xlfn.XLOOKUP($B$1,Master!$F$2:$F$308,Master!$H$2:$H$308,""))</f>
        <v>fig-unemployed</v>
      </c>
      <c r="E4" s="13"/>
      <c r="F4" s="16"/>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s="1" t="s">
        <v>1123</v>
      </c>
      <c r="G5" s="1" t="s">
        <v>220</v>
      </c>
      <c r="H5" s="1" t="s">
        <v>18</v>
      </c>
      <c r="I5" s="1" t="s">
        <v>537</v>
      </c>
      <c r="J5" s="1" t="s">
        <v>449</v>
      </c>
      <c r="K5" s="1" t="s">
        <v>409</v>
      </c>
      <c r="L5" s="1" t="s">
        <v>421</v>
      </c>
      <c r="M5" s="1" t="s">
        <v>470</v>
      </c>
      <c r="N5" s="1" t="s">
        <v>915</v>
      </c>
      <c r="O5" s="1" t="s">
        <v>1141</v>
      </c>
    </row>
    <row r="6" spans="1:15" ht="15" customHeight="1" x14ac:dyDescent="0.2">
      <c r="A6" t="s">
        <v>891</v>
      </c>
      <c r="E6" s="99"/>
      <c r="F6">
        <v>2021</v>
      </c>
      <c r="G6">
        <v>5.2</v>
      </c>
      <c r="H6">
        <v>5.4</v>
      </c>
      <c r="I6">
        <v>4.8</v>
      </c>
      <c r="J6" s="14">
        <v>6</v>
      </c>
      <c r="K6">
        <v>8</v>
      </c>
      <c r="L6">
        <v>5.0999999999999996</v>
      </c>
      <c r="M6">
        <v>6.1</v>
      </c>
      <c r="N6">
        <v>6.2</v>
      </c>
      <c r="O6">
        <v>5.5</v>
      </c>
    </row>
    <row r="7" spans="1:15" ht="15.75" customHeight="1" x14ac:dyDescent="0.2">
      <c r="E7" s="99"/>
      <c r="F7">
        <v>2022</v>
      </c>
      <c r="G7" s="14">
        <v>5</v>
      </c>
      <c r="H7">
        <v>5.3</v>
      </c>
      <c r="I7">
        <v>4.4000000000000004</v>
      </c>
      <c r="J7">
        <v>6.2</v>
      </c>
      <c r="K7">
        <v>7.2</v>
      </c>
      <c r="L7">
        <v>5.0999999999999996</v>
      </c>
      <c r="M7">
        <v>6</v>
      </c>
      <c r="N7">
        <v>6.2</v>
      </c>
      <c r="O7">
        <v>5.3</v>
      </c>
    </row>
    <row r="8" spans="1:15" x14ac:dyDescent="0.2">
      <c r="E8" s="99"/>
      <c r="F8">
        <v>2023</v>
      </c>
      <c r="G8">
        <v>4.8</v>
      </c>
      <c r="H8">
        <v>5.4</v>
      </c>
      <c r="I8">
        <v>4.0999999999999996</v>
      </c>
      <c r="J8">
        <v>5.9</v>
      </c>
      <c r="K8">
        <v>6.1</v>
      </c>
      <c r="L8">
        <v>5.0999999999999996</v>
      </c>
      <c r="M8">
        <v>6</v>
      </c>
      <c r="N8">
        <v>6.2</v>
      </c>
      <c r="O8">
        <v>5.2</v>
      </c>
    </row>
    <row r="9" spans="1:15" x14ac:dyDescent="0.2">
      <c r="A9" s="98" t="s">
        <v>893</v>
      </c>
      <c r="B9" s="99"/>
      <c r="E9" s="99"/>
    </row>
    <row r="10" spans="1:15" x14ac:dyDescent="0.2">
      <c r="A10" t="s">
        <v>894</v>
      </c>
      <c r="B10" t="s">
        <v>983</v>
      </c>
      <c r="E10" s="99"/>
    </row>
    <row r="11" spans="1:15" x14ac:dyDescent="0.2">
      <c r="A11" t="s">
        <v>895</v>
      </c>
      <c r="B11" t="s">
        <v>887</v>
      </c>
      <c r="E11" s="99"/>
    </row>
    <row r="12" spans="1:15" x14ac:dyDescent="0.2">
      <c r="A12" t="s">
        <v>896</v>
      </c>
      <c r="E12" s="99"/>
    </row>
    <row r="13" spans="1:15" x14ac:dyDescent="0.2">
      <c r="A13" t="s">
        <v>897</v>
      </c>
      <c r="B13" t="s">
        <v>1123</v>
      </c>
      <c r="E13" s="99"/>
    </row>
    <row r="14" spans="1:15" x14ac:dyDescent="0.2">
      <c r="A14" t="s">
        <v>899</v>
      </c>
      <c r="B14" t="s">
        <v>694</v>
      </c>
      <c r="E14" s="99"/>
    </row>
    <row r="15" spans="1:15" x14ac:dyDescent="0.2">
      <c r="A15" t="s">
        <v>901</v>
      </c>
      <c r="B15" t="b">
        <v>1</v>
      </c>
      <c r="E15" s="99"/>
    </row>
    <row r="16" spans="1:15" x14ac:dyDescent="0.2">
      <c r="A16" t="s">
        <v>1799</v>
      </c>
      <c r="B16" t="b">
        <v>1</v>
      </c>
      <c r="E16" s="99"/>
    </row>
    <row r="17" spans="1:5" x14ac:dyDescent="0.2">
      <c r="E17" s="99"/>
    </row>
    <row r="18" spans="1:5" x14ac:dyDescent="0.2">
      <c r="A18" s="98" t="s">
        <v>902</v>
      </c>
      <c r="B18" s="99"/>
      <c r="E18" s="99"/>
    </row>
    <row r="19" spans="1:5" x14ac:dyDescent="0.2">
      <c r="A19" t="s">
        <v>903</v>
      </c>
      <c r="B19" t="s">
        <v>1147</v>
      </c>
      <c r="E19" s="99"/>
    </row>
    <row r="20" spans="1:5" x14ac:dyDescent="0.2">
      <c r="A20" t="s">
        <v>904</v>
      </c>
      <c r="B20" t="s">
        <v>1148</v>
      </c>
      <c r="E20" s="99"/>
    </row>
    <row r="21" spans="1:5" x14ac:dyDescent="0.2">
      <c r="A21" t="s">
        <v>905</v>
      </c>
      <c r="B21">
        <v>2023</v>
      </c>
      <c r="E21" s="99"/>
    </row>
    <row r="22" spans="1:5" x14ac:dyDescent="0.2">
      <c r="A22" t="s">
        <v>906</v>
      </c>
      <c r="B22" t="s">
        <v>1149</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t="s">
        <v>910</v>
      </c>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5">
    <mergeCell ref="B1:O1"/>
    <mergeCell ref="A9:B9"/>
    <mergeCell ref="A5:B5"/>
    <mergeCell ref="A18:B18"/>
    <mergeCell ref="E5:E57"/>
  </mergeCells>
  <dataValidations count="4">
    <dataValidation type="list" allowBlank="1" showInputMessage="1" showErrorMessage="1" sqref="B10" xr:uid="{00000000-0002-0000-0300-000000000000}">
      <formula1>"Line,Clustered Bar,Stacked Bar"</formula1>
    </dataValidation>
    <dataValidation type="list" allowBlank="1" showInputMessage="1" showErrorMessage="1" sqref="B2" xr:uid="{00000000-0002-0000-0300-000001000000}">
      <formula1>"Table,Figure,Both"</formula1>
    </dataValidation>
    <dataValidation type="list" allowBlank="1" showInputMessage="1" showErrorMessage="1" sqref="B6 B15" xr:uid="{00000000-0002-0000-0300-000002000000}">
      <formula1>"True,False"</formula1>
    </dataValidation>
    <dataValidation type="list" allowBlank="1" showInputMessage="1" showErrorMessage="1" sqref="F4:O4" xr:uid="{52A99712-5A7F-4347-9C73-22C6E0D6AE5B}">
      <formula1>"integer, number, percent1"</formula1>
    </dataValidation>
  </dataValidation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BD37-6900-DE44-88A0-7D158D55B69E}">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67</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tbl-food-insecurity</v>
      </c>
    </row>
    <row r="4" spans="1:15" x14ac:dyDescent="0.2">
      <c r="A4" s="58" t="s">
        <v>6</v>
      </c>
      <c r="B4" t="str">
        <f>IF($B$1="","",_xlfn.XLOOKUP($B$1,Master!$F$2:$F$308,Master!$H$2:$H$308,""))</f>
        <v>fig-food-insecurity</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v>2020</v>
      </c>
      <c r="G6">
        <v>8.6999999999999993</v>
      </c>
      <c r="H6">
        <v>9.4</v>
      </c>
      <c r="I6">
        <v>6.3</v>
      </c>
      <c r="J6">
        <v>9.6999999999999993</v>
      </c>
      <c r="K6">
        <v>11.5</v>
      </c>
      <c r="L6">
        <v>11.3</v>
      </c>
      <c r="M6">
        <v>7.9</v>
      </c>
      <c r="N6">
        <v>9.6</v>
      </c>
    </row>
    <row r="7" spans="1:15" ht="15.75" customHeight="1" x14ac:dyDescent="0.2">
      <c r="E7" s="99"/>
      <c r="F7">
        <v>2021</v>
      </c>
      <c r="G7">
        <v>7.2</v>
      </c>
      <c r="H7">
        <v>7.8</v>
      </c>
      <c r="I7">
        <v>5.3</v>
      </c>
      <c r="J7">
        <v>8.1999999999999993</v>
      </c>
      <c r="K7">
        <v>9.9</v>
      </c>
      <c r="L7">
        <v>9.5</v>
      </c>
      <c r="M7">
        <v>6.6</v>
      </c>
      <c r="N7">
        <v>11.4</v>
      </c>
    </row>
    <row r="8" spans="1:15" x14ac:dyDescent="0.2">
      <c r="E8" s="99"/>
      <c r="F8">
        <v>2022</v>
      </c>
      <c r="G8">
        <v>10</v>
      </c>
      <c r="H8">
        <v>11.3</v>
      </c>
      <c r="I8">
        <v>8.4</v>
      </c>
      <c r="J8">
        <v>11</v>
      </c>
      <c r="K8">
        <v>13.1</v>
      </c>
      <c r="L8">
        <v>12.8</v>
      </c>
      <c r="M8">
        <v>9.4</v>
      </c>
      <c r="N8">
        <v>13.4</v>
      </c>
    </row>
    <row r="9" spans="1:15" x14ac:dyDescent="0.2">
      <c r="A9" s="98" t="s">
        <v>893</v>
      </c>
      <c r="B9" s="99"/>
      <c r="E9" s="99"/>
      <c r="F9">
        <v>2023</v>
      </c>
      <c r="G9">
        <v>10.8</v>
      </c>
      <c r="H9">
        <v>12.1</v>
      </c>
      <c r="I9">
        <v>8.9</v>
      </c>
      <c r="J9">
        <v>12</v>
      </c>
      <c r="K9">
        <v>14</v>
      </c>
      <c r="L9">
        <v>13.2</v>
      </c>
      <c r="M9">
        <v>10.7</v>
      </c>
      <c r="N9">
        <v>14.5</v>
      </c>
    </row>
    <row r="10" spans="1:15" x14ac:dyDescent="0.2">
      <c r="A10" t="s">
        <v>894</v>
      </c>
      <c r="B10" t="s">
        <v>972</v>
      </c>
      <c r="E10" s="99"/>
    </row>
    <row r="11" spans="1:15" x14ac:dyDescent="0.2">
      <c r="A11" t="s">
        <v>895</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B19" s="8"/>
      <c r="E19" s="99"/>
    </row>
    <row r="20" spans="1:5" x14ac:dyDescent="0.2">
      <c r="A20" t="s">
        <v>904</v>
      </c>
      <c r="B20" s="8" t="s">
        <v>1150</v>
      </c>
      <c r="E20" s="99"/>
    </row>
    <row r="21" spans="1:5" x14ac:dyDescent="0.2">
      <c r="A21" t="s">
        <v>905</v>
      </c>
      <c r="B21" s="8">
        <v>2023</v>
      </c>
      <c r="E21" s="99"/>
    </row>
    <row r="22" spans="1:5" x14ac:dyDescent="0.2">
      <c r="A22" t="s">
        <v>906</v>
      </c>
      <c r="B22" s="8"/>
      <c r="E22" s="99"/>
    </row>
    <row r="23" spans="1:5" x14ac:dyDescent="0.2">
      <c r="A23" t="s">
        <v>907</v>
      </c>
      <c r="B23" s="8" t="s">
        <v>1151</v>
      </c>
      <c r="E23" s="99"/>
    </row>
    <row r="24" spans="1:5" x14ac:dyDescent="0.2">
      <c r="A24" t="s">
        <v>908</v>
      </c>
      <c r="B24" s="8">
        <v>2025</v>
      </c>
      <c r="E24" s="99"/>
    </row>
    <row r="25" spans="1:5" x14ac:dyDescent="0.2">
      <c r="A25" t="s">
        <v>909</v>
      </c>
      <c r="B25" s="8" t="s">
        <v>1152</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9102AF57-D1E1-1340-9EA1-2C87144FFA7C}">
      <formula1>"True,False"</formula1>
    </dataValidation>
    <dataValidation type="list" allowBlank="1" showInputMessage="1" showErrorMessage="1" sqref="B2" xr:uid="{64AC1016-54CD-B14D-866B-FF4398F33059}">
      <formula1>"Table,Figure,Both"</formula1>
    </dataValidation>
    <dataValidation type="list" allowBlank="1" showInputMessage="1" showErrorMessage="1" sqref="B10" xr:uid="{802FA77A-A876-8D44-9724-5C4C49D26EC8}">
      <formula1>"Line,Clustered Bar,Stacked Bar"</formula1>
    </dataValidation>
    <dataValidation type="list" allowBlank="1" showInputMessage="1" showErrorMessage="1" sqref="F4:O4" xr:uid="{E01EBC03-4FDD-AA4B-B66E-5ACAA178EB1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43A0474-2320-5145-99DD-67B8F6D9951F}">
          <x14:formula1>
            <xm:f>Master!$F$2:$F$293</xm:f>
          </x14:formula1>
          <xm:sqref>B1:O1</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F1E6-0E8A-4541-9E04-38E1B3966F40}">
  <dimension ref="A1:O57"/>
  <sheetViews>
    <sheetView workbookViewId="0">
      <selection activeCell="M8" sqref="M8"/>
    </sheetView>
  </sheetViews>
  <sheetFormatPr baseColWidth="10" defaultColWidth="8.6640625" defaultRowHeight="15" x14ac:dyDescent="0.2"/>
  <cols>
    <col min="1" max="1" width="20" bestFit="1" customWidth="1"/>
    <col min="2" max="2" width="24" bestFit="1" customWidth="1"/>
    <col min="5" max="5" width="6.6640625" customWidth="1"/>
    <col min="7" max="7" width="9.5" customWidth="1"/>
    <col min="8" max="8" width="13.5" customWidth="1"/>
    <col min="9" max="9" width="11" customWidth="1"/>
    <col min="11" max="11" width="10.6640625" customWidth="1"/>
    <col min="12" max="12" width="11.5" customWidth="1"/>
    <col min="13" max="13" width="15.1640625" customWidth="1"/>
    <col min="14" max="14" width="12.33203125" bestFit="1" customWidth="1"/>
    <col min="15" max="15" width="11" bestFit="1" customWidth="1"/>
  </cols>
  <sheetData>
    <row r="1" spans="1:15" x14ac:dyDescent="0.2">
      <c r="A1" s="58" t="s">
        <v>882</v>
      </c>
      <c r="B1" s="96" t="s">
        <v>72</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tbl-childhood-food-insecurity</v>
      </c>
    </row>
    <row r="4" spans="1:15" x14ac:dyDescent="0.2">
      <c r="A4" s="58" t="s">
        <v>6</v>
      </c>
      <c r="B4" t="str">
        <f>IF($B$1="","",_xlfn.XLOOKUP($B$1,Master!$F$2:$F$308,Master!$H$2:$H$308,""))</f>
        <v>fig-childhood-food-insecurity</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s="55" t="s">
        <v>220</v>
      </c>
      <c r="H5" s="55" t="s">
        <v>18</v>
      </c>
      <c r="I5" s="55" t="s">
        <v>537</v>
      </c>
      <c r="J5" s="55" t="s">
        <v>449</v>
      </c>
      <c r="K5" s="55" t="s">
        <v>409</v>
      </c>
      <c r="L5" s="55" t="s">
        <v>421</v>
      </c>
      <c r="M5" s="55" t="s">
        <v>470</v>
      </c>
      <c r="N5" s="55" t="s">
        <v>915</v>
      </c>
    </row>
    <row r="6" spans="1:15" ht="15" customHeight="1" x14ac:dyDescent="0.2">
      <c r="A6" t="s">
        <v>891</v>
      </c>
      <c r="B6" t="b">
        <v>0</v>
      </c>
      <c r="E6" s="99"/>
      <c r="F6">
        <v>2020</v>
      </c>
      <c r="G6" s="59">
        <v>12</v>
      </c>
      <c r="H6" s="59">
        <v>14.8</v>
      </c>
      <c r="I6" s="59">
        <v>7.3</v>
      </c>
      <c r="J6" s="59">
        <v>15.8</v>
      </c>
      <c r="K6" s="59">
        <v>18.3</v>
      </c>
      <c r="L6" s="59">
        <v>15.1</v>
      </c>
      <c r="M6" s="59">
        <v>11.4</v>
      </c>
      <c r="N6" s="59">
        <v>14.6</v>
      </c>
    </row>
    <row r="7" spans="1:15" ht="15.75" customHeight="1" x14ac:dyDescent="0.2">
      <c r="E7" s="99"/>
      <c r="F7">
        <v>2021</v>
      </c>
      <c r="G7" s="59">
        <v>8.1999999999999993</v>
      </c>
      <c r="H7" s="59">
        <v>10.4</v>
      </c>
      <c r="I7" s="59">
        <v>3.6</v>
      </c>
      <c r="J7" s="59">
        <v>11.3</v>
      </c>
      <c r="K7" s="59">
        <v>15</v>
      </c>
      <c r="L7" s="59">
        <v>10.6</v>
      </c>
      <c r="M7" s="59">
        <v>7.2</v>
      </c>
      <c r="N7" s="59">
        <v>15.4</v>
      </c>
    </row>
    <row r="8" spans="1:15" x14ac:dyDescent="0.2">
      <c r="E8" s="99"/>
      <c r="F8">
        <v>2022</v>
      </c>
      <c r="G8" s="59">
        <v>12</v>
      </c>
      <c r="H8" s="59">
        <v>15.4</v>
      </c>
      <c r="I8" s="59">
        <v>6.7</v>
      </c>
      <c r="J8" s="59">
        <v>15.5</v>
      </c>
      <c r="K8" s="59">
        <v>19.899999999999999</v>
      </c>
      <c r="L8" s="59">
        <v>14.5</v>
      </c>
      <c r="M8" s="59">
        <v>10.5</v>
      </c>
      <c r="N8" s="59">
        <v>18.8</v>
      </c>
    </row>
    <row r="9" spans="1:15" x14ac:dyDescent="0.2">
      <c r="A9" s="98" t="s">
        <v>893</v>
      </c>
      <c r="B9" s="99"/>
      <c r="E9" s="99"/>
      <c r="F9">
        <v>2023</v>
      </c>
      <c r="G9" s="59">
        <v>11.9</v>
      </c>
      <c r="H9" s="59">
        <v>15.6</v>
      </c>
      <c r="I9" s="59">
        <v>6.6</v>
      </c>
      <c r="J9" s="59">
        <v>16.3</v>
      </c>
      <c r="K9" s="59">
        <v>19.899999999999999</v>
      </c>
      <c r="L9" s="59">
        <v>14.6</v>
      </c>
      <c r="M9" s="59">
        <v>10.6</v>
      </c>
      <c r="N9" s="59">
        <v>19</v>
      </c>
    </row>
    <row r="10" spans="1:15" x14ac:dyDescent="0.2">
      <c r="A10" t="s">
        <v>894</v>
      </c>
      <c r="B10" t="s">
        <v>972</v>
      </c>
      <c r="E10" s="99"/>
    </row>
    <row r="11" spans="1:15" x14ac:dyDescent="0.2">
      <c r="A11" t="s">
        <v>895</v>
      </c>
      <c r="B11" t="s">
        <v>887</v>
      </c>
      <c r="E11" s="99"/>
    </row>
    <row r="12" spans="1:15" x14ac:dyDescent="0.2">
      <c r="A12" t="s">
        <v>896</v>
      </c>
      <c r="E12" s="99"/>
    </row>
    <row r="13" spans="1:15" x14ac:dyDescent="0.2">
      <c r="A13" t="s">
        <v>897</v>
      </c>
      <c r="E13" s="99"/>
    </row>
    <row r="14" spans="1:15" x14ac:dyDescent="0.2">
      <c r="A14" t="s">
        <v>899</v>
      </c>
      <c r="B14"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B19" s="61"/>
      <c r="E19" s="99"/>
    </row>
    <row r="20" spans="1:5" x14ac:dyDescent="0.2">
      <c r="A20" t="s">
        <v>904</v>
      </c>
      <c r="B20" s="61" t="s">
        <v>1150</v>
      </c>
      <c r="E20" s="99"/>
    </row>
    <row r="21" spans="1:5" x14ac:dyDescent="0.2">
      <c r="A21" t="s">
        <v>905</v>
      </c>
      <c r="B21" s="61">
        <v>2023</v>
      </c>
      <c r="E21" s="99"/>
    </row>
    <row r="22" spans="1:5" x14ac:dyDescent="0.2">
      <c r="A22" t="s">
        <v>906</v>
      </c>
      <c r="B22" s="61"/>
      <c r="E22" s="99"/>
    </row>
    <row r="23" spans="1:5" x14ac:dyDescent="0.2">
      <c r="A23" t="s">
        <v>907</v>
      </c>
      <c r="B23" s="61" t="s">
        <v>1151</v>
      </c>
      <c r="E23" s="99"/>
    </row>
    <row r="24" spans="1:5" x14ac:dyDescent="0.2">
      <c r="A24" t="s">
        <v>908</v>
      </c>
      <c r="B24" s="61">
        <v>2025</v>
      </c>
      <c r="E24" s="99"/>
    </row>
    <row r="25" spans="1:5" x14ac:dyDescent="0.2">
      <c r="A25" t="s">
        <v>909</v>
      </c>
      <c r="B25" s="61" t="s">
        <v>1152</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 xr:uid="{4F368BD1-6FDB-6240-BF99-C4959D282934}">
      <formula1>"True,False"</formula1>
    </dataValidation>
    <dataValidation type="list" allowBlank="1" showInputMessage="1" showErrorMessage="1" sqref="B2" xr:uid="{A5ACE334-4525-124E-A77A-448D8A0D19E3}">
      <formula1>"Table,Figure,Both"</formula1>
    </dataValidation>
    <dataValidation type="list" allowBlank="1" showInputMessage="1" showErrorMessage="1" sqref="B10" xr:uid="{8F18882C-0404-8E4C-8307-1C7E05F9D510}">
      <formula1>"Line,Clustered Bar,Stacked Bar"</formula1>
    </dataValidation>
    <dataValidation type="list" allowBlank="1" showInputMessage="1" showErrorMessage="1" sqref="F4:O4" xr:uid="{7DB87E10-1223-AE49-B1A7-361B9478B83E}">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EDFA179-1D53-4841-935F-1E2E80A41A3B}">
          <x14:formula1>
            <xm:f>Master!$F$2:$F$293</xm:f>
          </x14:formula1>
          <xm:sqref>B1:O1</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6BF66-2B8C-45AC-BDEF-081894092B2F}">
  <dimension ref="A1:Q57"/>
  <sheetViews>
    <sheetView workbookViewId="0">
      <selection activeCell="B24" sqref="B24"/>
    </sheetView>
  </sheetViews>
  <sheetFormatPr baseColWidth="10" defaultColWidth="8.6640625" defaultRowHeight="15" x14ac:dyDescent="0.2"/>
  <cols>
    <col min="1" max="1" width="20" bestFit="1" customWidth="1"/>
    <col min="2" max="2" width="51.6640625" bestFit="1" customWidth="1"/>
    <col min="5" max="5" width="6.6640625" customWidth="1"/>
    <col min="6" max="6" width="7.5" bestFit="1" customWidth="1"/>
    <col min="7" max="9" width="8.6640625" bestFit="1" customWidth="1"/>
    <col min="11" max="12" width="8.6640625" bestFit="1" customWidth="1"/>
    <col min="14" max="14" width="8.6640625" bestFit="1" customWidth="1"/>
    <col min="15" max="15" width="11" bestFit="1" customWidth="1"/>
  </cols>
  <sheetData>
    <row r="1" spans="1:17" x14ac:dyDescent="0.2">
      <c r="A1" s="58" t="s">
        <v>882</v>
      </c>
      <c r="B1" s="96" t="s">
        <v>75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tbl-cost-burdened-renters</v>
      </c>
    </row>
    <row r="4" spans="1:17" x14ac:dyDescent="0.2">
      <c r="A4" s="58" t="s">
        <v>6</v>
      </c>
      <c r="B4" t="str">
        <f>IF($B$1="","",_xlfn.XLOOKUP($B$1,Master!$F$2:$F$308,Master!$H$2:$H$308,""))</f>
        <v>fig-cost-burdened-renters</v>
      </c>
      <c r="E4" s="13"/>
      <c r="F4" s="16" t="s">
        <v>664</v>
      </c>
      <c r="G4" s="16" t="s">
        <v>679</v>
      </c>
      <c r="H4" s="16" t="s">
        <v>679</v>
      </c>
      <c r="I4" s="16" t="s">
        <v>679</v>
      </c>
      <c r="J4" s="16" t="s">
        <v>679</v>
      </c>
      <c r="K4" s="16" t="s">
        <v>679</v>
      </c>
      <c r="L4" s="16" t="s">
        <v>679</v>
      </c>
      <c r="M4" s="16" t="s">
        <v>679</v>
      </c>
      <c r="N4" s="16" t="s">
        <v>679</v>
      </c>
      <c r="O4" s="16"/>
      <c r="P4" s="16"/>
      <c r="Q4" s="16"/>
    </row>
    <row r="5" spans="1:17" x14ac:dyDescent="0.2">
      <c r="A5" s="98" t="s">
        <v>885</v>
      </c>
      <c r="B5" s="99"/>
      <c r="E5" s="100" t="s">
        <v>886</v>
      </c>
      <c r="F5" t="s">
        <v>1123</v>
      </c>
      <c r="G5" s="55" t="s">
        <v>220</v>
      </c>
      <c r="H5" s="55" t="s">
        <v>18</v>
      </c>
      <c r="I5" s="55" t="s">
        <v>537</v>
      </c>
      <c r="J5" s="55" t="s">
        <v>449</v>
      </c>
      <c r="K5" s="55" t="s">
        <v>409</v>
      </c>
      <c r="L5" s="55" t="s">
        <v>421</v>
      </c>
      <c r="M5" s="55" t="s">
        <v>470</v>
      </c>
      <c r="N5" s="55" t="s">
        <v>915</v>
      </c>
    </row>
    <row r="6" spans="1:17" ht="15" customHeight="1" x14ac:dyDescent="0.2">
      <c r="A6" t="s">
        <v>891</v>
      </c>
      <c r="B6" t="b">
        <v>0</v>
      </c>
      <c r="E6" s="99"/>
      <c r="F6">
        <v>2021</v>
      </c>
      <c r="G6" s="14">
        <v>52.3</v>
      </c>
      <c r="H6" s="14">
        <v>56.5</v>
      </c>
      <c r="I6" s="14">
        <v>52.7</v>
      </c>
      <c r="J6" s="14">
        <v>58.3</v>
      </c>
      <c r="K6" s="14">
        <v>48</v>
      </c>
      <c r="L6" s="14">
        <v>55.3</v>
      </c>
      <c r="M6" s="14">
        <v>53.2</v>
      </c>
      <c r="N6" s="14">
        <v>51.6</v>
      </c>
    </row>
    <row r="7" spans="1:17" ht="15.75" customHeight="1" x14ac:dyDescent="0.2">
      <c r="E7" s="99"/>
      <c r="F7">
        <v>2022</v>
      </c>
      <c r="G7" s="14">
        <v>52.4</v>
      </c>
      <c r="H7" s="14">
        <v>56.1</v>
      </c>
      <c r="I7" s="14">
        <v>53.2</v>
      </c>
      <c r="J7" s="14">
        <v>58.9</v>
      </c>
      <c r="K7" s="14">
        <v>48.4</v>
      </c>
      <c r="L7" s="14">
        <v>55.3</v>
      </c>
      <c r="M7" s="14">
        <v>53.5</v>
      </c>
      <c r="N7" s="14">
        <v>51.7</v>
      </c>
    </row>
    <row r="8" spans="1:17" x14ac:dyDescent="0.2">
      <c r="E8" s="99"/>
      <c r="F8">
        <v>2023</v>
      </c>
      <c r="G8" s="14">
        <v>52</v>
      </c>
      <c r="H8" s="14">
        <v>56.2</v>
      </c>
      <c r="I8" s="14">
        <v>56.5</v>
      </c>
      <c r="J8" s="14">
        <v>59.6</v>
      </c>
      <c r="K8" s="14">
        <v>48.7</v>
      </c>
      <c r="L8" s="14">
        <v>56.6</v>
      </c>
      <c r="M8" s="14">
        <v>53</v>
      </c>
      <c r="N8" s="14">
        <v>51.5</v>
      </c>
    </row>
    <row r="9" spans="1:17" x14ac:dyDescent="0.2">
      <c r="A9" s="98" t="s">
        <v>893</v>
      </c>
      <c r="B9" s="99"/>
      <c r="E9" s="99"/>
    </row>
    <row r="10" spans="1:17" x14ac:dyDescent="0.2">
      <c r="A10" t="s">
        <v>894</v>
      </c>
      <c r="B10" t="s">
        <v>983</v>
      </c>
      <c r="E10" s="99"/>
    </row>
    <row r="11" spans="1:17" x14ac:dyDescent="0.2">
      <c r="A11" t="s">
        <v>895</v>
      </c>
      <c r="B11" t="s">
        <v>887</v>
      </c>
      <c r="E11" s="99"/>
    </row>
    <row r="12" spans="1:17" x14ac:dyDescent="0.2">
      <c r="A12" t="s">
        <v>896</v>
      </c>
      <c r="E12" s="99"/>
    </row>
    <row r="13" spans="1:17" x14ac:dyDescent="0.2">
      <c r="A13" t="s">
        <v>897</v>
      </c>
      <c r="B13" t="s">
        <v>1123</v>
      </c>
      <c r="E13" s="99"/>
    </row>
    <row r="14" spans="1:17" x14ac:dyDescent="0.2">
      <c r="A14" t="s">
        <v>899</v>
      </c>
      <c r="B14" s="82" t="s">
        <v>694</v>
      </c>
      <c r="E14" s="99"/>
    </row>
    <row r="15" spans="1:17" x14ac:dyDescent="0.2">
      <c r="A15" t="s">
        <v>901</v>
      </c>
      <c r="B15" t="b">
        <v>0</v>
      </c>
      <c r="E15" s="99"/>
    </row>
    <row r="16" spans="1:17" x14ac:dyDescent="0.2">
      <c r="A16" t="s">
        <v>1145</v>
      </c>
      <c r="B16" t="b">
        <v>1</v>
      </c>
      <c r="E16" s="99"/>
    </row>
    <row r="17" spans="1:5" x14ac:dyDescent="0.2">
      <c r="E17" s="99"/>
    </row>
    <row r="18" spans="1:5" x14ac:dyDescent="0.2">
      <c r="A18" s="98" t="s">
        <v>902</v>
      </c>
      <c r="B18" s="99"/>
      <c r="E18" s="99"/>
    </row>
    <row r="19" spans="1:5" x14ac:dyDescent="0.2">
      <c r="A19" t="s">
        <v>903</v>
      </c>
      <c r="B19" s="61" t="s">
        <v>1153</v>
      </c>
      <c r="E19" s="99"/>
    </row>
    <row r="20" spans="1:5" x14ac:dyDescent="0.2">
      <c r="A20" t="s">
        <v>904</v>
      </c>
      <c r="B20" s="61" t="s">
        <v>1154</v>
      </c>
      <c r="E20" s="99"/>
    </row>
    <row r="21" spans="1:5" x14ac:dyDescent="0.2">
      <c r="A21" t="s">
        <v>905</v>
      </c>
      <c r="B21" s="61">
        <v>2023</v>
      </c>
      <c r="E21" s="99"/>
    </row>
    <row r="22" spans="1:5" x14ac:dyDescent="0.2">
      <c r="A22" t="s">
        <v>906</v>
      </c>
      <c r="B22" s="61" t="s">
        <v>1149</v>
      </c>
      <c r="E22" s="99"/>
    </row>
    <row r="23" spans="1:5" x14ac:dyDescent="0.2">
      <c r="A23" t="s">
        <v>907</v>
      </c>
      <c r="B23" s="61" t="s">
        <v>976</v>
      </c>
      <c r="E23" s="99"/>
    </row>
    <row r="24" spans="1:5" x14ac:dyDescent="0.2">
      <c r="A24" t="s">
        <v>908</v>
      </c>
      <c r="B24" s="61">
        <v>2025</v>
      </c>
      <c r="E24" s="99"/>
    </row>
    <row r="25" spans="1:5" x14ac:dyDescent="0.2">
      <c r="A25" t="s">
        <v>909</v>
      </c>
      <c r="B25" s="61"/>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D91F2E38-DAB6-447F-8639-0EB0B3498B0D}">
      <formula1>"True,False"</formula1>
    </dataValidation>
    <dataValidation type="list" allowBlank="1" showInputMessage="1" showErrorMessage="1" sqref="B2" xr:uid="{BF9B4FFE-802F-4FA1-9F80-0FB7C0778339}">
      <formula1>"Table,Figure,Both"</formula1>
    </dataValidation>
    <dataValidation type="list" allowBlank="1" showInputMessage="1" showErrorMessage="1" sqref="B10" xr:uid="{7D28BEB7-9D71-454A-B04E-D5836FBD65FF}">
      <formula1>"Line,Clustered Bar,Stacked Bar"</formula1>
    </dataValidation>
    <dataValidation type="list" allowBlank="1" showInputMessage="1" showErrorMessage="1" sqref="F4:Q4" xr:uid="{14EE95D7-EEB0-41D9-9DBA-21DEC19E341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F0EAD2E-1F28-4F23-A97C-9045C6A3807A}">
          <x14:formula1>
            <xm:f>Master!$F$2:$F$293</xm:f>
          </x14:formula1>
          <xm:sqref>B1:O1</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FCA26-963B-4D10-8A12-A37F149CD938}">
  <dimension ref="A1:O57"/>
  <sheetViews>
    <sheetView workbookViewId="0">
      <selection activeCell="F16" sqref="F16"/>
    </sheetView>
  </sheetViews>
  <sheetFormatPr baseColWidth="10" defaultColWidth="8.6640625" defaultRowHeight="15" x14ac:dyDescent="0.2"/>
  <cols>
    <col min="1" max="1" width="20" bestFit="1" customWidth="1"/>
    <col min="2" max="2" width="16.6640625" customWidth="1"/>
    <col min="5" max="5" width="6.6640625" customWidth="1"/>
    <col min="6" max="6" width="10" bestFit="1" customWidth="1"/>
    <col min="7" max="7" width="9.5" customWidth="1"/>
    <col min="8" max="8" width="13.5" customWidth="1"/>
    <col min="9" max="9" width="11" customWidth="1"/>
    <col min="11" max="11" width="10.6640625" customWidth="1"/>
    <col min="12" max="12" width="12.33203125" bestFit="1" customWidth="1"/>
    <col min="13" max="13" width="12.1640625" bestFit="1" customWidth="1"/>
    <col min="14" max="14" width="12.33203125" bestFit="1" customWidth="1"/>
    <col min="15" max="15" width="11" bestFit="1" customWidth="1"/>
  </cols>
  <sheetData>
    <row r="1" spans="1:15" x14ac:dyDescent="0.2">
      <c r="A1" s="58" t="s">
        <v>882</v>
      </c>
      <c r="B1" s="96" t="s">
        <v>80</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tbl-severely-cost-burdened</v>
      </c>
    </row>
    <row r="4" spans="1:15" x14ac:dyDescent="0.2">
      <c r="A4" s="58" t="s">
        <v>6</v>
      </c>
      <c r="B4" t="str">
        <f>IF($B$1="","",_xlfn.XLOOKUP($B$1,Master!$F$2:$F$308,Master!$H$2:$H$308,""))</f>
        <v>fig-severely-cost-burdened</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t="s">
        <v>1155</v>
      </c>
      <c r="G6" s="14">
        <v>16</v>
      </c>
      <c r="H6" s="14">
        <v>19</v>
      </c>
      <c r="I6" s="14">
        <v>16</v>
      </c>
      <c r="J6" s="14">
        <v>22</v>
      </c>
      <c r="K6" s="14">
        <v>14</v>
      </c>
      <c r="L6" s="14">
        <v>18</v>
      </c>
      <c r="M6" s="14">
        <v>20</v>
      </c>
      <c r="N6" s="14">
        <v>19</v>
      </c>
    </row>
    <row r="7" spans="1:15" ht="15.75" customHeight="1" x14ac:dyDescent="0.2">
      <c r="E7" s="99"/>
      <c r="F7" t="s">
        <v>969</v>
      </c>
      <c r="G7" s="14">
        <v>16</v>
      </c>
      <c r="H7" s="14">
        <v>19</v>
      </c>
      <c r="I7" s="14">
        <v>16</v>
      </c>
      <c r="J7" s="14">
        <v>22</v>
      </c>
      <c r="K7" s="14">
        <v>15</v>
      </c>
      <c r="L7" s="14">
        <v>18</v>
      </c>
      <c r="M7" s="14">
        <v>19</v>
      </c>
      <c r="N7" s="14">
        <v>19</v>
      </c>
    </row>
    <row r="8" spans="1:15" x14ac:dyDescent="0.2">
      <c r="E8" s="99"/>
      <c r="F8" t="s">
        <v>970</v>
      </c>
      <c r="G8" s="14">
        <v>16</v>
      </c>
      <c r="H8" s="14">
        <v>20</v>
      </c>
      <c r="I8" s="14">
        <v>16</v>
      </c>
      <c r="J8" s="14">
        <v>22</v>
      </c>
      <c r="K8" s="14">
        <v>15</v>
      </c>
      <c r="L8" s="14">
        <v>18</v>
      </c>
      <c r="M8" s="14">
        <v>20</v>
      </c>
      <c r="N8" s="14">
        <v>19</v>
      </c>
    </row>
    <row r="9" spans="1:15" x14ac:dyDescent="0.2">
      <c r="A9" s="98" t="s">
        <v>893</v>
      </c>
      <c r="B9" s="99"/>
      <c r="E9" s="99"/>
      <c r="F9" t="s">
        <v>971</v>
      </c>
      <c r="G9" s="14">
        <v>16</v>
      </c>
      <c r="H9" s="14">
        <v>20</v>
      </c>
      <c r="I9" s="14">
        <v>17</v>
      </c>
      <c r="J9" s="14">
        <v>22</v>
      </c>
      <c r="K9" s="14">
        <v>15</v>
      </c>
      <c r="L9" s="14">
        <v>18</v>
      </c>
      <c r="M9" s="14">
        <v>19</v>
      </c>
      <c r="N9" s="14">
        <v>19</v>
      </c>
    </row>
    <row r="10" spans="1:15" x14ac:dyDescent="0.2">
      <c r="A10" t="s">
        <v>894</v>
      </c>
      <c r="B10" t="s">
        <v>983</v>
      </c>
      <c r="E10" s="99"/>
    </row>
    <row r="11" spans="1:15" x14ac:dyDescent="0.2">
      <c r="A11" t="s">
        <v>895</v>
      </c>
      <c r="B11" t="s">
        <v>887</v>
      </c>
      <c r="E11" s="99"/>
    </row>
    <row r="12" spans="1:15" x14ac:dyDescent="0.2">
      <c r="A12" t="s">
        <v>896</v>
      </c>
      <c r="E12" s="99"/>
    </row>
    <row r="13" spans="1:15" x14ac:dyDescent="0.2">
      <c r="A13" t="s">
        <v>897</v>
      </c>
      <c r="B13" t="s">
        <v>1123</v>
      </c>
      <c r="E13" s="99"/>
    </row>
    <row r="14" spans="1:15" x14ac:dyDescent="0.2">
      <c r="A14" t="s">
        <v>899</v>
      </c>
      <c r="B14" s="82" t="s">
        <v>694</v>
      </c>
      <c r="E14" s="99"/>
    </row>
    <row r="15" spans="1:15" x14ac:dyDescent="0.2">
      <c r="A15" t="s">
        <v>901</v>
      </c>
      <c r="B15" t="b">
        <v>1</v>
      </c>
      <c r="E15" s="99"/>
    </row>
    <row r="16" spans="1:15" x14ac:dyDescent="0.2">
      <c r="E16" s="99"/>
    </row>
    <row r="17" spans="1:5" x14ac:dyDescent="0.2">
      <c r="E17" s="99"/>
    </row>
    <row r="18" spans="1:5" x14ac:dyDescent="0.2">
      <c r="A18" s="98" t="s">
        <v>902</v>
      </c>
      <c r="B18" s="99"/>
      <c r="E18" s="99"/>
    </row>
    <row r="19" spans="1:5" x14ac:dyDescent="0.2">
      <c r="A19" t="s">
        <v>903</v>
      </c>
      <c r="E19" s="99"/>
    </row>
    <row r="20" spans="1:5" x14ac:dyDescent="0.2">
      <c r="A20" t="s">
        <v>904</v>
      </c>
      <c r="B20" t="s">
        <v>1156</v>
      </c>
      <c r="E20" s="99"/>
    </row>
    <row r="21" spans="1:5" x14ac:dyDescent="0.2">
      <c r="A21" t="s">
        <v>905</v>
      </c>
      <c r="B21">
        <v>2023</v>
      </c>
      <c r="E21" s="99"/>
    </row>
    <row r="22" spans="1:5" x14ac:dyDescent="0.2">
      <c r="A22" t="s">
        <v>906</v>
      </c>
      <c r="E22" s="99"/>
    </row>
    <row r="23" spans="1:5" x14ac:dyDescent="0.2">
      <c r="A23" t="s">
        <v>907</v>
      </c>
      <c r="B23" t="s">
        <v>976</v>
      </c>
      <c r="E23" s="99"/>
    </row>
    <row r="24" spans="1:5" x14ac:dyDescent="0.2">
      <c r="A24" t="s">
        <v>908</v>
      </c>
      <c r="B24">
        <v>2025</v>
      </c>
      <c r="E24" s="99"/>
    </row>
    <row r="25" spans="1:5" x14ac:dyDescent="0.2">
      <c r="A25" t="s">
        <v>909</v>
      </c>
      <c r="B25" t="s">
        <v>1157</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96758E06-05B2-4D8B-B8C3-55EB34688FC9}">
      <formula1>"integer, number, percent1"</formula1>
    </dataValidation>
    <dataValidation type="list" allowBlank="1" showInputMessage="1" showErrorMessage="1" sqref="B10" xr:uid="{9BF6E904-63D7-4A54-8BAC-4EC1590C93A5}">
      <formula1>"Line,Clustered Bar,Stacked Bar"</formula1>
    </dataValidation>
    <dataValidation type="list" allowBlank="1" showInputMessage="1" showErrorMessage="1" sqref="B2" xr:uid="{91EC706E-D810-4057-999F-FE2F72190440}">
      <formula1>"Table,Figure,Both"</formula1>
    </dataValidation>
    <dataValidation type="list" allowBlank="1" showInputMessage="1" showErrorMessage="1" sqref="B6 B15" xr:uid="{1126D9D6-580B-468F-9445-51B4ADBC9AF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6BE3ED6-5049-40B7-BA26-C38A6AAE5AE1}">
          <x14:formula1>
            <xm:f>Master!$F$2:$F$293</xm:f>
          </x14:formula1>
          <xm:sqref>B1:O1</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5A87-08DE-4C14-BB97-10A70D09B00D}">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3" max="13" width="12.1640625" bestFit="1" customWidth="1"/>
    <col min="14" max="14" width="12.33203125" bestFit="1" customWidth="1"/>
    <col min="15" max="15" width="11" bestFit="1" customWidth="1"/>
  </cols>
  <sheetData>
    <row r="1" spans="1:15" x14ac:dyDescent="0.2">
      <c r="A1" s="58" t="s">
        <v>882</v>
      </c>
      <c r="B1" s="96" t="s">
        <v>85</v>
      </c>
      <c r="C1" s="97"/>
      <c r="D1" s="97"/>
      <c r="E1" s="97"/>
      <c r="F1" s="97"/>
      <c r="G1" s="97"/>
      <c r="H1" s="97"/>
      <c r="I1" s="97"/>
      <c r="J1" s="97"/>
      <c r="K1" s="97"/>
      <c r="L1" s="97"/>
      <c r="M1" s="97"/>
      <c r="N1" s="97"/>
      <c r="O1" s="97"/>
    </row>
    <row r="2" spans="1:15" x14ac:dyDescent="0.2">
      <c r="A2" s="58" t="s">
        <v>883</v>
      </c>
      <c r="B2" t="s">
        <v>12</v>
      </c>
    </row>
    <row r="3" spans="1:15" x14ac:dyDescent="0.2">
      <c r="A3" s="58" t="s">
        <v>884</v>
      </c>
      <c r="B3" t="str">
        <f>IF($B$1="","",_xlfn.XLOOKUP($B$1,Master!$F$2:$F$308,Master!$G$2:$G$308,""))</f>
        <v>tbl-hud-housing</v>
      </c>
    </row>
    <row r="4" spans="1:15" x14ac:dyDescent="0.2">
      <c r="A4" s="58" t="s">
        <v>6</v>
      </c>
      <c r="B4" t="str">
        <f>IF($B$1="","",_xlfn.XLOOKUP($B$1,Master!$F$2:$F$308,Master!$H$2:$H$308,""))</f>
        <v xml:space="preserve"> </v>
      </c>
      <c r="E4" s="13"/>
      <c r="F4" s="40" t="s">
        <v>664</v>
      </c>
      <c r="G4" s="40" t="s">
        <v>664</v>
      </c>
      <c r="H4" s="40" t="s">
        <v>664</v>
      </c>
      <c r="I4" s="40" t="s">
        <v>664</v>
      </c>
      <c r="J4" s="40" t="s">
        <v>664</v>
      </c>
      <c r="K4" s="40" t="s">
        <v>664</v>
      </c>
      <c r="L4" s="40" t="s">
        <v>664</v>
      </c>
      <c r="M4" s="40" t="s">
        <v>664</v>
      </c>
      <c r="N4" s="40" t="s">
        <v>664</v>
      </c>
      <c r="O4" s="40"/>
    </row>
    <row r="5" spans="1:15" x14ac:dyDescent="0.2">
      <c r="A5" s="98" t="s">
        <v>885</v>
      </c>
      <c r="B5" s="99"/>
      <c r="E5" s="100" t="s">
        <v>886</v>
      </c>
      <c r="F5" t="s">
        <v>1123</v>
      </c>
      <c r="G5" s="60" t="s">
        <v>220</v>
      </c>
      <c r="H5" s="60" t="s">
        <v>18</v>
      </c>
      <c r="I5" s="60" t="s">
        <v>537</v>
      </c>
      <c r="J5" s="60" t="s">
        <v>449</v>
      </c>
      <c r="K5" s="60" t="s">
        <v>409</v>
      </c>
      <c r="L5" s="60" t="s">
        <v>421</v>
      </c>
      <c r="M5" s="60" t="s">
        <v>470</v>
      </c>
      <c r="N5" s="60" t="s">
        <v>915</v>
      </c>
      <c r="O5" s="60"/>
    </row>
    <row r="6" spans="1:15" ht="15" customHeight="1" x14ac:dyDescent="0.2">
      <c r="A6" t="s">
        <v>891</v>
      </c>
      <c r="B6" t="b">
        <v>0</v>
      </c>
      <c r="E6" s="99"/>
      <c r="F6" s="60">
        <v>2021</v>
      </c>
      <c r="G6" s="60">
        <v>7442</v>
      </c>
      <c r="H6" s="60">
        <v>18258</v>
      </c>
      <c r="I6" s="60">
        <v>945</v>
      </c>
      <c r="J6" s="60">
        <v>21732</v>
      </c>
      <c r="K6" s="60">
        <v>5018</v>
      </c>
      <c r="L6" s="60">
        <v>5484</v>
      </c>
      <c r="M6" s="60">
        <v>40230</v>
      </c>
      <c r="N6" s="60">
        <v>1025652</v>
      </c>
      <c r="O6" s="60"/>
    </row>
    <row r="7" spans="1:15" ht="15.75" customHeight="1" x14ac:dyDescent="0.2">
      <c r="E7" s="99"/>
      <c r="F7" s="60">
        <v>2022</v>
      </c>
      <c r="G7" s="60">
        <v>7641</v>
      </c>
      <c r="H7" s="60">
        <v>18745</v>
      </c>
      <c r="I7" s="60">
        <v>929</v>
      </c>
      <c r="J7" s="60">
        <v>22170</v>
      </c>
      <c r="K7" s="60">
        <v>5228</v>
      </c>
      <c r="L7" s="60">
        <v>5479</v>
      </c>
      <c r="M7" s="60">
        <v>40412</v>
      </c>
      <c r="N7" s="60">
        <v>985104</v>
      </c>
      <c r="O7" s="60"/>
    </row>
    <row r="8" spans="1:15" x14ac:dyDescent="0.2">
      <c r="E8" s="99"/>
      <c r="F8" s="60">
        <v>2023</v>
      </c>
      <c r="G8" s="60">
        <v>7630</v>
      </c>
      <c r="H8" s="60">
        <v>19000</v>
      </c>
      <c r="I8" s="60">
        <v>992</v>
      </c>
      <c r="J8" s="60">
        <v>23411</v>
      </c>
      <c r="K8" s="60">
        <v>4846</v>
      </c>
      <c r="L8" s="60">
        <v>5418</v>
      </c>
      <c r="M8" s="60">
        <v>40415</v>
      </c>
      <c r="N8" s="60">
        <v>987957</v>
      </c>
      <c r="O8" s="60"/>
    </row>
    <row r="9" spans="1:15" x14ac:dyDescent="0.2">
      <c r="A9" s="98" t="s">
        <v>893</v>
      </c>
      <c r="B9" s="99"/>
      <c r="E9" s="99"/>
      <c r="F9" s="60">
        <v>2024</v>
      </c>
      <c r="G9" s="60">
        <v>7484</v>
      </c>
      <c r="H9" s="60">
        <v>19129</v>
      </c>
      <c r="I9" s="60">
        <v>1012</v>
      </c>
      <c r="J9" s="60">
        <v>23735</v>
      </c>
      <c r="K9" s="60">
        <v>4445</v>
      </c>
      <c r="L9" s="60">
        <v>4980</v>
      </c>
      <c r="M9" s="60">
        <v>40137</v>
      </c>
      <c r="N9" s="60">
        <v>1000730</v>
      </c>
      <c r="O9" s="60"/>
    </row>
    <row r="10" spans="1:15" x14ac:dyDescent="0.2">
      <c r="A10" t="s">
        <v>894</v>
      </c>
      <c r="B10" t="s">
        <v>983</v>
      </c>
      <c r="E10" s="99"/>
    </row>
    <row r="11" spans="1:15" x14ac:dyDescent="0.2">
      <c r="A11" t="s">
        <v>895</v>
      </c>
      <c r="B11" t="s">
        <v>1123</v>
      </c>
      <c r="E11" s="99"/>
    </row>
    <row r="12" spans="1:15" x14ac:dyDescent="0.2">
      <c r="A12" t="s">
        <v>896</v>
      </c>
      <c r="E12" s="99"/>
    </row>
    <row r="13" spans="1:15" x14ac:dyDescent="0.2">
      <c r="A13" t="s">
        <v>897</v>
      </c>
      <c r="B13" t="s">
        <v>1158</v>
      </c>
      <c r="E13" s="99"/>
    </row>
    <row r="14" spans="1:15" x14ac:dyDescent="0.2">
      <c r="A14" t="s">
        <v>899</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B19" s="61"/>
      <c r="E19" s="99"/>
    </row>
    <row r="20" spans="1:5" x14ac:dyDescent="0.2">
      <c r="A20" t="s">
        <v>904</v>
      </c>
      <c r="B20" s="61" t="s">
        <v>1159</v>
      </c>
      <c r="E20" s="99"/>
    </row>
    <row r="21" spans="1:5" x14ac:dyDescent="0.2">
      <c r="A21" t="s">
        <v>905</v>
      </c>
      <c r="B21" s="61">
        <v>2024</v>
      </c>
      <c r="E21" s="99"/>
    </row>
    <row r="22" spans="1:5" x14ac:dyDescent="0.2">
      <c r="A22" t="s">
        <v>906</v>
      </c>
      <c r="B22" s="61"/>
      <c r="E22" s="99"/>
    </row>
    <row r="23" spans="1:5" x14ac:dyDescent="0.2">
      <c r="A23" t="s">
        <v>907</v>
      </c>
      <c r="B23" s="61" t="s">
        <v>1160</v>
      </c>
      <c r="E23" s="99"/>
    </row>
    <row r="24" spans="1:5" x14ac:dyDescent="0.2">
      <c r="A24" t="s">
        <v>908</v>
      </c>
      <c r="B24" s="61">
        <v>2025</v>
      </c>
      <c r="E24" s="99"/>
    </row>
    <row r="25" spans="1:5" x14ac:dyDescent="0.2">
      <c r="A25" t="s">
        <v>909</v>
      </c>
      <c r="B25" s="61" t="s">
        <v>1161</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6C3C648-7BDC-4188-BDEC-29EF75A82658}">
      <formula1>"True,False"</formula1>
    </dataValidation>
    <dataValidation type="list" allowBlank="1" showInputMessage="1" showErrorMessage="1" sqref="B2" xr:uid="{9BC1A6A9-1E11-4C2E-8CDC-A1758FF6D93E}">
      <formula1>"Table,Figure,Both"</formula1>
    </dataValidation>
    <dataValidation type="list" allowBlank="1" showInputMessage="1" showErrorMessage="1" sqref="B10" xr:uid="{1DA5626C-47BF-4C12-AB75-89119CDBA366}">
      <formula1>"Line,Clustered Bar,Stacked Bar"</formula1>
    </dataValidation>
    <dataValidation type="list" allowBlank="1" showInputMessage="1" showErrorMessage="1" sqref="F4:O4" xr:uid="{6EE5474D-8809-4337-9B13-A06194DC9908}">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7F6E8A8-51EA-479E-8896-D080EFB439AE}">
          <x14:formula1>
            <xm:f>Master!$F$2:$F$293</xm:f>
          </x14:formula1>
          <xm:sqref>B1:O1</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898F-B294-466B-AA07-1DA87F75C2CA}">
  <dimension ref="A1:P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49.332031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 min="16" max="16" width="12.6640625" bestFit="1" customWidth="1"/>
  </cols>
  <sheetData>
    <row r="1" spans="1:16" x14ac:dyDescent="0.2">
      <c r="A1" s="58" t="s">
        <v>882</v>
      </c>
      <c r="B1" s="96" t="s">
        <v>90</v>
      </c>
      <c r="C1" s="97"/>
      <c r="D1" s="97"/>
      <c r="E1" s="97"/>
      <c r="F1" s="97"/>
      <c r="G1" s="97"/>
      <c r="H1" s="97"/>
      <c r="I1" s="97"/>
      <c r="J1" s="97"/>
      <c r="K1" s="97"/>
      <c r="L1" s="97"/>
      <c r="M1" s="97"/>
      <c r="N1" s="97"/>
      <c r="O1" s="97"/>
    </row>
    <row r="2" spans="1:16" x14ac:dyDescent="0.2">
      <c r="A2" s="58" t="s">
        <v>883</v>
      </c>
      <c r="B2" t="s">
        <v>12</v>
      </c>
    </row>
    <row r="3" spans="1:16" x14ac:dyDescent="0.2">
      <c r="A3" s="58" t="s">
        <v>884</v>
      </c>
      <c r="B3" t="str">
        <f>IF($B$1="","",_xlfn.XLOOKUP($B$1,Master!$F$2:$F$308,Master!$G$2:$G$308,""))</f>
        <v>tbl-poverty-threshold</v>
      </c>
    </row>
    <row r="4" spans="1:16" x14ac:dyDescent="0.2">
      <c r="A4" s="58" t="s">
        <v>6</v>
      </c>
      <c r="B4">
        <f>IF($B$1="","",_xlfn.XLOOKUP($B$1,Master!$F$2:$F$308,Master!$H$2:$H$308,""))</f>
        <v>0</v>
      </c>
      <c r="E4" s="13"/>
      <c r="F4" s="13"/>
      <c r="G4" s="16" t="s">
        <v>693</v>
      </c>
      <c r="H4" s="16" t="s">
        <v>693</v>
      </c>
      <c r="I4" s="16" t="s">
        <v>693</v>
      </c>
      <c r="J4" s="16" t="s">
        <v>693</v>
      </c>
      <c r="K4" s="16" t="s">
        <v>693</v>
      </c>
      <c r="L4" s="16" t="s">
        <v>693</v>
      </c>
      <c r="M4" s="16" t="s">
        <v>693</v>
      </c>
      <c r="N4" s="16" t="s">
        <v>693</v>
      </c>
      <c r="O4" s="16" t="s">
        <v>693</v>
      </c>
      <c r="P4" s="16" t="s">
        <v>693</v>
      </c>
    </row>
    <row r="5" spans="1:16" x14ac:dyDescent="0.2">
      <c r="A5" s="98" t="s">
        <v>885</v>
      </c>
      <c r="B5" s="99"/>
      <c r="E5" s="100" t="s">
        <v>886</v>
      </c>
      <c r="F5" s="112" t="s">
        <v>1162</v>
      </c>
      <c r="G5" s="101" t="s">
        <v>1163</v>
      </c>
      <c r="H5" s="101"/>
      <c r="I5" s="101"/>
      <c r="J5" s="101"/>
      <c r="K5" s="101"/>
      <c r="L5" s="101"/>
      <c r="M5" s="101"/>
      <c r="N5" s="101"/>
      <c r="O5" s="101"/>
      <c r="P5" s="101"/>
    </row>
    <row r="6" spans="1:16" ht="15" customHeight="1" x14ac:dyDescent="0.2">
      <c r="A6" t="s">
        <v>891</v>
      </c>
      <c r="B6" t="b">
        <v>1</v>
      </c>
      <c r="E6" s="99"/>
      <c r="F6" s="112"/>
      <c r="G6" t="s">
        <v>1164</v>
      </c>
      <c r="H6" t="s">
        <v>1165</v>
      </c>
      <c r="I6" t="s">
        <v>1166</v>
      </c>
      <c r="J6" t="s">
        <v>1167</v>
      </c>
      <c r="K6" t="s">
        <v>1168</v>
      </c>
      <c r="L6" t="s">
        <v>1169</v>
      </c>
      <c r="M6" t="s">
        <v>1170</v>
      </c>
      <c r="N6" t="s">
        <v>1171</v>
      </c>
      <c r="O6" t="s">
        <v>1172</v>
      </c>
      <c r="P6" t="s">
        <v>1173</v>
      </c>
    </row>
    <row r="7" spans="1:16" ht="15.75" customHeight="1" x14ac:dyDescent="0.2">
      <c r="E7" s="99"/>
      <c r="F7" s="117" t="s">
        <v>1174</v>
      </c>
      <c r="G7" s="117"/>
      <c r="H7" s="117"/>
      <c r="I7" s="117"/>
      <c r="J7" s="117"/>
      <c r="K7" s="117"/>
      <c r="L7" s="117"/>
      <c r="M7" s="117"/>
      <c r="N7" s="117"/>
      <c r="O7" s="117"/>
      <c r="P7" s="117"/>
    </row>
    <row r="8" spans="1:16" x14ac:dyDescent="0.2">
      <c r="E8" s="99"/>
      <c r="F8" s="55" t="s">
        <v>1175</v>
      </c>
      <c r="G8" t="s">
        <v>1176</v>
      </c>
    </row>
    <row r="9" spans="1:16" x14ac:dyDescent="0.2">
      <c r="A9" s="98" t="s">
        <v>893</v>
      </c>
      <c r="B9" s="99"/>
      <c r="E9" s="99"/>
      <c r="F9" s="55" t="s">
        <v>1177</v>
      </c>
      <c r="G9" t="s">
        <v>1178</v>
      </c>
    </row>
    <row r="10" spans="1:16" x14ac:dyDescent="0.2">
      <c r="A10" t="s">
        <v>894</v>
      </c>
      <c r="E10" s="99"/>
      <c r="F10" s="118" t="s">
        <v>1179</v>
      </c>
      <c r="G10" s="118"/>
      <c r="H10" s="118"/>
      <c r="I10" s="118"/>
      <c r="J10" s="118"/>
      <c r="K10" s="118"/>
      <c r="L10" s="118"/>
      <c r="M10" s="118"/>
      <c r="N10" s="118"/>
      <c r="O10" s="118"/>
      <c r="P10" s="118"/>
    </row>
    <row r="11" spans="1:16" x14ac:dyDescent="0.2">
      <c r="A11" t="s">
        <v>895</v>
      </c>
      <c r="E11" s="99"/>
      <c r="F11" s="55" t="s">
        <v>1180</v>
      </c>
      <c r="G11" t="s">
        <v>1181</v>
      </c>
      <c r="H11" t="s">
        <v>1182</v>
      </c>
    </row>
    <row r="12" spans="1:16" x14ac:dyDescent="0.2">
      <c r="A12" t="s">
        <v>896</v>
      </c>
      <c r="E12" s="99"/>
      <c r="F12" s="55" t="s">
        <v>1183</v>
      </c>
      <c r="G12" t="s">
        <v>1184</v>
      </c>
      <c r="H12" t="s">
        <v>1185</v>
      </c>
    </row>
    <row r="13" spans="1:16" x14ac:dyDescent="0.2">
      <c r="A13" t="s">
        <v>897</v>
      </c>
      <c r="E13" s="99"/>
      <c r="F13" t="s">
        <v>1186</v>
      </c>
      <c r="G13" t="s">
        <v>1187</v>
      </c>
      <c r="H13" t="s">
        <v>1188</v>
      </c>
      <c r="I13" t="s">
        <v>1189</v>
      </c>
    </row>
    <row r="14" spans="1:16" x14ac:dyDescent="0.2">
      <c r="A14" t="s">
        <v>899</v>
      </c>
      <c r="E14" s="99"/>
      <c r="F14" t="s">
        <v>1190</v>
      </c>
      <c r="G14" t="s">
        <v>1191</v>
      </c>
      <c r="H14" t="s">
        <v>1192</v>
      </c>
      <c r="I14" t="s">
        <v>1193</v>
      </c>
      <c r="J14" t="s">
        <v>1194</v>
      </c>
    </row>
    <row r="15" spans="1:16" x14ac:dyDescent="0.2">
      <c r="A15" t="s">
        <v>901</v>
      </c>
      <c r="E15" s="99"/>
      <c r="F15" t="s">
        <v>1195</v>
      </c>
      <c r="G15" t="s">
        <v>1196</v>
      </c>
      <c r="H15" t="s">
        <v>1197</v>
      </c>
      <c r="I15" t="s">
        <v>1198</v>
      </c>
      <c r="J15" t="s">
        <v>1199</v>
      </c>
      <c r="K15" t="s">
        <v>1200</v>
      </c>
    </row>
    <row r="16" spans="1:16" x14ac:dyDescent="0.2">
      <c r="E16" s="99"/>
      <c r="F16" t="s">
        <v>1201</v>
      </c>
      <c r="G16" t="s">
        <v>1202</v>
      </c>
      <c r="H16" t="s">
        <v>1203</v>
      </c>
      <c r="I16" t="s">
        <v>1204</v>
      </c>
      <c r="J16" t="s">
        <v>1205</v>
      </c>
      <c r="K16" t="s">
        <v>1206</v>
      </c>
      <c r="L16" t="s">
        <v>1207</v>
      </c>
    </row>
    <row r="17" spans="1:16" x14ac:dyDescent="0.2">
      <c r="E17" s="99"/>
      <c r="F17" t="s">
        <v>1208</v>
      </c>
      <c r="G17" t="s">
        <v>1209</v>
      </c>
      <c r="H17" t="s">
        <v>1210</v>
      </c>
      <c r="I17" t="s">
        <v>1211</v>
      </c>
      <c r="J17" t="s">
        <v>1212</v>
      </c>
      <c r="K17" t="s">
        <v>1213</v>
      </c>
      <c r="L17" t="s">
        <v>1214</v>
      </c>
      <c r="M17" t="s">
        <v>1215</v>
      </c>
    </row>
    <row r="18" spans="1:16" x14ac:dyDescent="0.2">
      <c r="A18" s="98" t="s">
        <v>902</v>
      </c>
      <c r="B18" s="99"/>
      <c r="E18" s="99"/>
      <c r="F18" t="s">
        <v>1216</v>
      </c>
      <c r="G18" t="s">
        <v>1217</v>
      </c>
      <c r="H18" t="s">
        <v>1218</v>
      </c>
      <c r="I18" t="s">
        <v>1219</v>
      </c>
      <c r="J18" t="s">
        <v>1220</v>
      </c>
      <c r="K18" t="s">
        <v>1221</v>
      </c>
      <c r="L18" t="s">
        <v>1222</v>
      </c>
      <c r="M18" t="s">
        <v>1223</v>
      </c>
      <c r="N18" t="s">
        <v>1224</v>
      </c>
    </row>
    <row r="19" spans="1:16" x14ac:dyDescent="0.2">
      <c r="A19" s="61" t="s">
        <v>903</v>
      </c>
      <c r="B19" s="61"/>
      <c r="E19" s="99"/>
      <c r="F19" t="s">
        <v>1225</v>
      </c>
      <c r="G19" t="s">
        <v>1226</v>
      </c>
      <c r="H19" t="s">
        <v>1227</v>
      </c>
      <c r="I19" t="s">
        <v>1228</v>
      </c>
      <c r="J19" t="s">
        <v>1229</v>
      </c>
      <c r="K19" t="s">
        <v>1230</v>
      </c>
      <c r="L19" t="s">
        <v>1231</v>
      </c>
      <c r="M19" t="s">
        <v>1232</v>
      </c>
      <c r="N19" t="s">
        <v>1233</v>
      </c>
      <c r="O19" t="s">
        <v>1234</v>
      </c>
      <c r="P19" t="s">
        <v>1234</v>
      </c>
    </row>
    <row r="20" spans="1:16" x14ac:dyDescent="0.2">
      <c r="A20" s="61" t="s">
        <v>904</v>
      </c>
      <c r="B20" s="61" t="s">
        <v>1235</v>
      </c>
      <c r="E20" s="99"/>
    </row>
    <row r="21" spans="1:16" x14ac:dyDescent="0.2">
      <c r="A21" s="61" t="s">
        <v>905</v>
      </c>
      <c r="B21" s="61">
        <v>2024</v>
      </c>
      <c r="E21" s="99"/>
    </row>
    <row r="22" spans="1:16" x14ac:dyDescent="0.2">
      <c r="A22" s="61" t="s">
        <v>906</v>
      </c>
      <c r="B22" s="61"/>
      <c r="E22" s="99"/>
    </row>
    <row r="23" spans="1:16" x14ac:dyDescent="0.2">
      <c r="A23" s="61" t="s">
        <v>907</v>
      </c>
      <c r="B23" s="61" t="s">
        <v>976</v>
      </c>
      <c r="E23" s="99"/>
    </row>
    <row r="24" spans="1:16" x14ac:dyDescent="0.2">
      <c r="A24" s="61" t="s">
        <v>908</v>
      </c>
      <c r="B24" s="61">
        <v>2025</v>
      </c>
      <c r="E24" s="99"/>
    </row>
    <row r="25" spans="1:16" x14ac:dyDescent="0.2">
      <c r="A25" s="61" t="s">
        <v>909</v>
      </c>
      <c r="B25" s="61" t="s">
        <v>1236</v>
      </c>
      <c r="E25" s="99"/>
    </row>
    <row r="26" spans="1:16" x14ac:dyDescent="0.2">
      <c r="E26" s="99"/>
    </row>
    <row r="27" spans="1:16" x14ac:dyDescent="0.2">
      <c r="A27" s="101" t="s">
        <v>910</v>
      </c>
      <c r="B27" s="99"/>
      <c r="E27" s="99"/>
    </row>
    <row r="28" spans="1:16" x14ac:dyDescent="0.2">
      <c r="E28" s="99"/>
    </row>
    <row r="29" spans="1:16" x14ac:dyDescent="0.2">
      <c r="E29" s="99"/>
    </row>
    <row r="30" spans="1:16" x14ac:dyDescent="0.2">
      <c r="E30" s="99"/>
    </row>
    <row r="31" spans="1:16" x14ac:dyDescent="0.2">
      <c r="E31" s="99"/>
    </row>
    <row r="32" spans="1:16"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0">
    <mergeCell ref="B1:O1"/>
    <mergeCell ref="A5:B5"/>
    <mergeCell ref="E5:E57"/>
    <mergeCell ref="A9:B9"/>
    <mergeCell ref="A18:B18"/>
    <mergeCell ref="A27:B27"/>
    <mergeCell ref="G5:P5"/>
    <mergeCell ref="F5:F6"/>
    <mergeCell ref="F7:P7"/>
    <mergeCell ref="F10:P10"/>
  </mergeCells>
  <dataValidations count="4">
    <dataValidation type="list" allowBlank="1" showInputMessage="1" showErrorMessage="1" sqref="B6 B15" xr:uid="{320CFAB9-589D-4D3B-934C-7AE62B7A6CBC}">
      <formula1>"True,False"</formula1>
    </dataValidation>
    <dataValidation type="list" allowBlank="1" showInputMessage="1" showErrorMessage="1" sqref="B2" xr:uid="{4DE0B515-87FC-42BC-B7C9-9CF7098E11CA}">
      <formula1>"Table,Figure,Both"</formula1>
    </dataValidation>
    <dataValidation type="list" allowBlank="1" showInputMessage="1" showErrorMessage="1" sqref="B10" xr:uid="{8C50DC4A-F183-4FA1-9469-F3AB95EBEE80}">
      <formula1>"Line,Clustered Bar,Stacked Bar"</formula1>
    </dataValidation>
    <dataValidation type="list" allowBlank="1" showInputMessage="1" showErrorMessage="1" sqref="G4:P4" xr:uid="{3BE3166C-0260-AB47-88C5-F325156DDE26}">
      <formula1>"integer, number, percent1,currency"</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F405A35-B983-4E0F-B183-649530792BA4}">
          <x14:formula1>
            <xm:f>Master!$F$2:$F$293</xm:f>
          </x14:formula1>
          <xm:sqref>B1:O1</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0FEB-2B62-49A5-8E88-5F50F7BA5F69}">
  <dimension ref="A1:O57"/>
  <sheetViews>
    <sheetView workbookViewId="0">
      <selection activeCell="B13" sqref="B13"/>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8.6640625" bestFit="1" customWidth="1"/>
    <col min="9" max="9" width="11" customWidth="1"/>
    <col min="11" max="11" width="10.6640625" customWidth="1"/>
    <col min="12" max="12" width="8.6640625" bestFit="1" customWidth="1"/>
    <col min="13" max="13" width="12.1640625" bestFit="1" customWidth="1"/>
    <col min="14" max="14" width="8.6640625" bestFit="1" customWidth="1"/>
    <col min="15" max="15" width="11" bestFit="1" customWidth="1"/>
  </cols>
  <sheetData>
    <row r="1" spans="1:15" x14ac:dyDescent="0.2">
      <c r="A1" s="58" t="s">
        <v>882</v>
      </c>
      <c r="B1" s="96" t="s">
        <v>94</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tbl-poverty-rate</v>
      </c>
    </row>
    <row r="4" spans="1:15" x14ac:dyDescent="0.2">
      <c r="A4" s="58" t="s">
        <v>6</v>
      </c>
      <c r="B4" t="str">
        <f>IF($B$1="","",_xlfn.XLOOKUP($B$1,Master!$F$2:$F$308,Master!$H$2:$H$308,""))</f>
        <v>fig-poverty-rate</v>
      </c>
      <c r="E4" s="100" t="s">
        <v>886</v>
      </c>
      <c r="F4" s="16" t="s">
        <v>664</v>
      </c>
      <c r="G4" s="16" t="s">
        <v>679</v>
      </c>
      <c r="H4" s="16" t="s">
        <v>679</v>
      </c>
      <c r="I4" s="16" t="s">
        <v>679</v>
      </c>
      <c r="J4" s="16" t="s">
        <v>679</v>
      </c>
      <c r="K4" s="16" t="s">
        <v>679</v>
      </c>
      <c r="L4" s="16" t="s">
        <v>679</v>
      </c>
      <c r="M4" s="16" t="s">
        <v>679</v>
      </c>
      <c r="N4" s="16" t="s">
        <v>679</v>
      </c>
      <c r="O4" s="16"/>
    </row>
    <row r="5" spans="1:15" ht="15" customHeight="1" x14ac:dyDescent="0.2">
      <c r="A5" s="98" t="s">
        <v>885</v>
      </c>
      <c r="B5" s="99"/>
      <c r="E5" s="100"/>
      <c r="F5" t="s">
        <v>1123</v>
      </c>
      <c r="G5" t="s">
        <v>220</v>
      </c>
      <c r="H5" t="s">
        <v>18</v>
      </c>
      <c r="I5" t="s">
        <v>537</v>
      </c>
      <c r="J5" t="s">
        <v>449</v>
      </c>
      <c r="K5" t="s">
        <v>409</v>
      </c>
      <c r="L5" t="s">
        <v>421</v>
      </c>
      <c r="M5" t="s">
        <v>470</v>
      </c>
      <c r="N5" t="s">
        <v>915</v>
      </c>
    </row>
    <row r="6" spans="1:15" ht="15" customHeight="1" x14ac:dyDescent="0.2">
      <c r="A6" t="s">
        <v>891</v>
      </c>
      <c r="B6" t="b">
        <v>0</v>
      </c>
      <c r="E6" s="100"/>
      <c r="F6">
        <v>2021</v>
      </c>
      <c r="G6">
        <v>8.8000000000000007</v>
      </c>
      <c r="H6">
        <v>11.7</v>
      </c>
      <c r="I6">
        <v>6</v>
      </c>
      <c r="J6">
        <v>14.9</v>
      </c>
      <c r="K6">
        <v>14.1</v>
      </c>
      <c r="L6">
        <v>13.2</v>
      </c>
      <c r="M6">
        <v>8.1999999999999993</v>
      </c>
      <c r="N6">
        <v>13.5</v>
      </c>
    </row>
    <row r="7" spans="1:15" ht="15.75" customHeight="1" x14ac:dyDescent="0.2">
      <c r="E7" s="100"/>
      <c r="F7">
        <v>2022</v>
      </c>
      <c r="G7">
        <v>8.6</v>
      </c>
      <c r="H7">
        <v>13</v>
      </c>
      <c r="I7">
        <v>6.3</v>
      </c>
      <c r="J7">
        <v>15.1</v>
      </c>
      <c r="K7">
        <v>14.8</v>
      </c>
      <c r="L7">
        <v>14.7</v>
      </c>
      <c r="M7">
        <v>8.5</v>
      </c>
      <c r="N7">
        <v>13.6</v>
      </c>
    </row>
    <row r="8" spans="1:15" x14ac:dyDescent="0.2">
      <c r="E8" s="100"/>
      <c r="F8">
        <v>2023</v>
      </c>
      <c r="G8">
        <v>8.3000000000000007</v>
      </c>
      <c r="H8">
        <v>13</v>
      </c>
      <c r="I8">
        <v>6.5</v>
      </c>
      <c r="J8">
        <v>15.6</v>
      </c>
      <c r="K8">
        <v>15.2</v>
      </c>
      <c r="L8">
        <v>14.3</v>
      </c>
      <c r="M8">
        <v>8.9</v>
      </c>
      <c r="N8">
        <v>13.7</v>
      </c>
    </row>
    <row r="9" spans="1:15" x14ac:dyDescent="0.2">
      <c r="A9" s="98" t="s">
        <v>893</v>
      </c>
      <c r="B9" s="99"/>
      <c r="E9" s="100"/>
    </row>
    <row r="10" spans="1:15" x14ac:dyDescent="0.2">
      <c r="A10" t="s">
        <v>894</v>
      </c>
      <c r="B10" t="s">
        <v>983</v>
      </c>
      <c r="E10" s="100"/>
    </row>
    <row r="11" spans="1:15" x14ac:dyDescent="0.2">
      <c r="A11" t="s">
        <v>895</v>
      </c>
      <c r="B11" t="s">
        <v>887</v>
      </c>
      <c r="E11" s="100"/>
    </row>
    <row r="12" spans="1:15" x14ac:dyDescent="0.2">
      <c r="A12" t="s">
        <v>896</v>
      </c>
      <c r="E12" s="100"/>
    </row>
    <row r="13" spans="1:15" x14ac:dyDescent="0.2">
      <c r="A13" t="s">
        <v>897</v>
      </c>
      <c r="B13" t="s">
        <v>1123</v>
      </c>
      <c r="E13" s="100"/>
    </row>
    <row r="14" spans="1:15" x14ac:dyDescent="0.2">
      <c r="A14" t="s">
        <v>899</v>
      </c>
      <c r="B14" s="82" t="s">
        <v>694</v>
      </c>
      <c r="E14" s="100"/>
    </row>
    <row r="15" spans="1:15" x14ac:dyDescent="0.2">
      <c r="A15" t="s">
        <v>901</v>
      </c>
      <c r="B15" t="b">
        <v>1</v>
      </c>
      <c r="E15" s="100"/>
    </row>
    <row r="16" spans="1:15" x14ac:dyDescent="0.2">
      <c r="A16" t="s">
        <v>1145</v>
      </c>
      <c r="B16" t="b">
        <v>1</v>
      </c>
      <c r="E16" s="100"/>
    </row>
    <row r="17" spans="1:5" x14ac:dyDescent="0.2">
      <c r="E17" s="100"/>
    </row>
    <row r="18" spans="1:5" x14ac:dyDescent="0.2">
      <c r="A18" s="98" t="s">
        <v>902</v>
      </c>
      <c r="B18" s="99"/>
      <c r="E18" s="100"/>
    </row>
    <row r="19" spans="1:5" x14ac:dyDescent="0.2">
      <c r="A19" t="s">
        <v>903</v>
      </c>
      <c r="B19" t="s">
        <v>1237</v>
      </c>
      <c r="E19" s="100"/>
    </row>
    <row r="20" spans="1:5" x14ac:dyDescent="0.2">
      <c r="A20" t="s">
        <v>904</v>
      </c>
      <c r="B20" t="s">
        <v>1238</v>
      </c>
      <c r="E20" s="100"/>
    </row>
    <row r="21" spans="1:5" x14ac:dyDescent="0.2">
      <c r="A21" t="s">
        <v>905</v>
      </c>
      <c r="B21">
        <v>2023</v>
      </c>
      <c r="E21" s="100"/>
    </row>
    <row r="22" spans="1:5" x14ac:dyDescent="0.2">
      <c r="A22" t="s">
        <v>906</v>
      </c>
      <c r="B22" t="s">
        <v>1149</v>
      </c>
      <c r="E22" s="100"/>
    </row>
    <row r="23" spans="1:5" x14ac:dyDescent="0.2">
      <c r="A23" t="s">
        <v>907</v>
      </c>
      <c r="B23" t="s">
        <v>976</v>
      </c>
      <c r="E23" s="100"/>
    </row>
    <row r="24" spans="1:5" x14ac:dyDescent="0.2">
      <c r="A24" t="s">
        <v>908</v>
      </c>
      <c r="B24">
        <v>2025</v>
      </c>
      <c r="E24" s="100"/>
    </row>
    <row r="25" spans="1:5" x14ac:dyDescent="0.2">
      <c r="A25" t="s">
        <v>909</v>
      </c>
      <c r="E25" s="100"/>
    </row>
    <row r="26" spans="1:5" x14ac:dyDescent="0.2">
      <c r="E26" s="100"/>
    </row>
    <row r="27" spans="1:5" x14ac:dyDescent="0.2">
      <c r="A27" s="101" t="s">
        <v>910</v>
      </c>
      <c r="B27" s="99"/>
      <c r="E27" s="100"/>
    </row>
    <row r="28" spans="1:5" x14ac:dyDescent="0.2">
      <c r="E28" s="100"/>
    </row>
    <row r="29" spans="1:5" x14ac:dyDescent="0.2">
      <c r="E29" s="100"/>
    </row>
    <row r="30" spans="1:5" x14ac:dyDescent="0.2">
      <c r="E30" s="100"/>
    </row>
    <row r="31" spans="1:5" x14ac:dyDescent="0.2">
      <c r="E31" s="100"/>
    </row>
    <row r="32" spans="1:5" x14ac:dyDescent="0.2">
      <c r="E32" s="100"/>
    </row>
    <row r="33" spans="5:5" x14ac:dyDescent="0.2">
      <c r="E33" s="100"/>
    </row>
    <row r="34" spans="5:5" x14ac:dyDescent="0.2">
      <c r="E34" s="100"/>
    </row>
    <row r="35" spans="5:5" x14ac:dyDescent="0.2">
      <c r="E35" s="100"/>
    </row>
    <row r="36" spans="5:5" x14ac:dyDescent="0.2">
      <c r="E36" s="100"/>
    </row>
    <row r="37" spans="5:5" x14ac:dyDescent="0.2">
      <c r="E37" s="100"/>
    </row>
    <row r="38" spans="5:5" x14ac:dyDescent="0.2">
      <c r="E38" s="100"/>
    </row>
    <row r="39" spans="5:5" x14ac:dyDescent="0.2">
      <c r="E39" s="100"/>
    </row>
    <row r="40" spans="5:5" x14ac:dyDescent="0.2">
      <c r="E40" s="100"/>
    </row>
    <row r="41" spans="5:5" x14ac:dyDescent="0.2">
      <c r="E41" s="100"/>
    </row>
    <row r="42" spans="5:5" x14ac:dyDescent="0.2">
      <c r="E42" s="100"/>
    </row>
    <row r="43" spans="5:5" x14ac:dyDescent="0.2">
      <c r="E43" s="100"/>
    </row>
    <row r="44" spans="5:5" x14ac:dyDescent="0.2">
      <c r="E44" s="100"/>
    </row>
    <row r="45" spans="5:5" x14ac:dyDescent="0.2">
      <c r="E45" s="100"/>
    </row>
    <row r="46" spans="5:5" x14ac:dyDescent="0.2">
      <c r="E46" s="100"/>
    </row>
    <row r="47" spans="5:5" x14ac:dyDescent="0.2">
      <c r="E47" s="100"/>
    </row>
    <row r="48" spans="5:5" x14ac:dyDescent="0.2">
      <c r="E48" s="100"/>
    </row>
    <row r="49" spans="5:5" x14ac:dyDescent="0.2">
      <c r="E49" s="100"/>
    </row>
    <row r="50" spans="5:5" x14ac:dyDescent="0.2">
      <c r="E50" s="100"/>
    </row>
    <row r="51" spans="5:5" x14ac:dyDescent="0.2">
      <c r="E51" s="100"/>
    </row>
    <row r="52" spans="5:5" x14ac:dyDescent="0.2">
      <c r="E52" s="100"/>
    </row>
    <row r="53" spans="5:5" x14ac:dyDescent="0.2">
      <c r="E53" s="100"/>
    </row>
    <row r="54" spans="5:5" x14ac:dyDescent="0.2">
      <c r="E54" s="100"/>
    </row>
    <row r="55" spans="5:5" x14ac:dyDescent="0.2">
      <c r="E55" s="100"/>
    </row>
    <row r="56" spans="5:5" x14ac:dyDescent="0.2">
      <c r="E56" s="100"/>
    </row>
    <row r="57" spans="5:5" x14ac:dyDescent="0.2">
      <c r="E57" s="100"/>
    </row>
  </sheetData>
  <mergeCells count="6">
    <mergeCell ref="B1:O1"/>
    <mergeCell ref="A5:B5"/>
    <mergeCell ref="A9:B9"/>
    <mergeCell ref="A18:B18"/>
    <mergeCell ref="A27:B27"/>
    <mergeCell ref="E4:E57"/>
  </mergeCells>
  <dataValidations count="4">
    <dataValidation type="list" allowBlank="1" showInputMessage="1" showErrorMessage="1" sqref="F4:O4" xr:uid="{B7BC8370-F78B-4B5B-8ADE-20DB1164C1DE}">
      <formula1>"integer, number, percent1"</formula1>
    </dataValidation>
    <dataValidation type="list" allowBlank="1" showInputMessage="1" showErrorMessage="1" sqref="B10" xr:uid="{7239EABD-1287-49A4-A0DF-BECBDF40C91A}">
      <formula1>"Line,Clustered Bar,Stacked Bar"</formula1>
    </dataValidation>
    <dataValidation type="list" allowBlank="1" showInputMessage="1" showErrorMessage="1" sqref="B2" xr:uid="{0953DE1B-5B71-4956-B934-2E175A7E8FF3}">
      <formula1>"Table,Figure,Both"</formula1>
    </dataValidation>
    <dataValidation type="list" allowBlank="1" showInputMessage="1" showErrorMessage="1" sqref="B6 B15:B16" xr:uid="{94CE3968-41A7-4202-9B0D-1424FD1BDEB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CE5D0AA-D201-42B4-9F00-344005D6620E}">
          <x14:formula1>
            <xm:f>Master!$F$2:$F$293</xm:f>
          </x14:formula1>
          <xm:sqref>B1:O1</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C5B6-A8CE-4F17-B682-6827C5825B4E}">
  <dimension ref="A1:O57"/>
  <sheetViews>
    <sheetView workbookViewId="0">
      <selection activeCell="B13" sqref="B13"/>
    </sheetView>
  </sheetViews>
  <sheetFormatPr baseColWidth="10" defaultColWidth="8.6640625" defaultRowHeight="15" x14ac:dyDescent="0.2"/>
  <cols>
    <col min="1" max="1" width="20" bestFit="1" customWidth="1"/>
    <col min="2" max="2" width="16.6640625" customWidth="1"/>
    <col min="5" max="5" width="6.6640625" customWidth="1"/>
    <col min="6" max="6" width="36.332031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99</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tbl-poverty-by-race</v>
      </c>
    </row>
    <row r="4" spans="1:15" x14ac:dyDescent="0.2">
      <c r="A4" s="58" t="s">
        <v>6</v>
      </c>
      <c r="B4" t="str">
        <f>IF($B$1="","",_xlfn.XLOOKUP($B$1,Master!$F$2:$F$308,Master!$H$2:$H$308,""))</f>
        <v>fig-poverty-by-race</v>
      </c>
      <c r="E4" s="13"/>
      <c r="F4" s="13"/>
      <c r="G4" s="16" t="s">
        <v>679</v>
      </c>
      <c r="H4" s="16" t="s">
        <v>679</v>
      </c>
      <c r="I4" s="16" t="s">
        <v>679</v>
      </c>
      <c r="J4" s="16" t="s">
        <v>679</v>
      </c>
      <c r="K4" s="16" t="s">
        <v>679</v>
      </c>
      <c r="L4" s="16" t="s">
        <v>679</v>
      </c>
      <c r="M4" s="16" t="s">
        <v>679</v>
      </c>
      <c r="N4" s="16" t="s">
        <v>679</v>
      </c>
      <c r="O4" s="16"/>
    </row>
    <row r="5" spans="1:15" x14ac:dyDescent="0.2">
      <c r="A5" s="98" t="s">
        <v>885</v>
      </c>
      <c r="B5" s="99"/>
      <c r="E5" s="100" t="s">
        <v>886</v>
      </c>
      <c r="F5" t="s">
        <v>2167</v>
      </c>
      <c r="G5" t="s">
        <v>220</v>
      </c>
      <c r="H5" t="s">
        <v>18</v>
      </c>
      <c r="I5" t="s">
        <v>537</v>
      </c>
      <c r="J5" t="s">
        <v>449</v>
      </c>
      <c r="K5" t="s">
        <v>409</v>
      </c>
      <c r="L5" t="s">
        <v>421</v>
      </c>
      <c r="M5" t="s">
        <v>470</v>
      </c>
      <c r="N5" t="s">
        <v>915</v>
      </c>
    </row>
    <row r="6" spans="1:15" ht="15" customHeight="1" x14ac:dyDescent="0.2">
      <c r="A6" t="s">
        <v>891</v>
      </c>
      <c r="B6" t="b">
        <v>0</v>
      </c>
      <c r="E6" s="99"/>
      <c r="F6" t="s">
        <v>1239</v>
      </c>
      <c r="G6" s="43">
        <v>3.3</v>
      </c>
      <c r="H6" s="43">
        <v>7.9</v>
      </c>
      <c r="I6" s="43">
        <v>2.8</v>
      </c>
      <c r="J6" s="43">
        <v>11.1</v>
      </c>
      <c r="K6" s="43">
        <v>8.1999999999999993</v>
      </c>
      <c r="L6" s="43">
        <v>4.9000000000000004</v>
      </c>
      <c r="M6" s="43">
        <v>2.6</v>
      </c>
      <c r="N6">
        <v>5.7</v>
      </c>
    </row>
    <row r="7" spans="1:15" ht="15.75" customHeight="1" x14ac:dyDescent="0.2">
      <c r="E7" s="99"/>
      <c r="F7" t="s">
        <v>1240</v>
      </c>
      <c r="G7" s="43">
        <v>14.2</v>
      </c>
      <c r="H7" s="43">
        <v>12.5</v>
      </c>
      <c r="I7" s="43">
        <v>0</v>
      </c>
      <c r="J7" s="43">
        <v>8.6</v>
      </c>
      <c r="K7" s="43">
        <v>30.5</v>
      </c>
      <c r="L7" s="43">
        <v>14.1</v>
      </c>
      <c r="M7" s="43">
        <v>10.8</v>
      </c>
      <c r="N7">
        <v>16.5</v>
      </c>
    </row>
    <row r="8" spans="1:15" x14ac:dyDescent="0.2">
      <c r="E8" s="99"/>
      <c r="F8" t="s">
        <v>2170</v>
      </c>
      <c r="G8" s="43" t="s">
        <v>1241</v>
      </c>
      <c r="H8" s="43" t="s">
        <v>1242</v>
      </c>
      <c r="I8" s="43" t="s">
        <v>1243</v>
      </c>
      <c r="J8" s="43" t="s">
        <v>1244</v>
      </c>
      <c r="K8" s="43" t="s">
        <v>1245</v>
      </c>
      <c r="L8" s="43" t="s">
        <v>1246</v>
      </c>
      <c r="M8" s="43">
        <v>5.4</v>
      </c>
      <c r="N8">
        <v>11.1</v>
      </c>
    </row>
    <row r="9" spans="1:15" x14ac:dyDescent="0.2">
      <c r="A9" s="98" t="s">
        <v>893</v>
      </c>
      <c r="B9" s="99"/>
      <c r="E9" s="99"/>
      <c r="F9" t="s">
        <v>1247</v>
      </c>
      <c r="G9" s="43">
        <v>11.2</v>
      </c>
      <c r="H9" s="43">
        <v>11.3</v>
      </c>
      <c r="I9" s="43">
        <v>6.6</v>
      </c>
      <c r="J9" s="43">
        <v>12.8</v>
      </c>
      <c r="K9" s="43">
        <v>14.3</v>
      </c>
      <c r="L9" s="43">
        <v>24.4</v>
      </c>
      <c r="M9" s="43">
        <v>10.4</v>
      </c>
      <c r="N9">
        <v>17.100000000000001</v>
      </c>
    </row>
    <row r="10" spans="1:15" x14ac:dyDescent="0.2">
      <c r="A10" t="s">
        <v>894</v>
      </c>
      <c r="B10" t="s">
        <v>983</v>
      </c>
      <c r="E10" s="99"/>
      <c r="F10" t="s">
        <v>1248</v>
      </c>
      <c r="G10" s="43">
        <v>5.3</v>
      </c>
      <c r="H10" s="43">
        <v>9.1999999999999993</v>
      </c>
      <c r="I10" s="43">
        <v>3.8</v>
      </c>
      <c r="J10" s="43">
        <v>10.3</v>
      </c>
      <c r="K10" s="43">
        <v>10.5</v>
      </c>
      <c r="L10" s="43">
        <v>7.1</v>
      </c>
      <c r="M10" s="43">
        <v>5.7</v>
      </c>
      <c r="N10">
        <v>9.6999999999999993</v>
      </c>
    </row>
    <row r="11" spans="1:15" x14ac:dyDescent="0.2">
      <c r="A11" t="s">
        <v>895</v>
      </c>
      <c r="B11" t="s">
        <v>1249</v>
      </c>
      <c r="E11" s="99"/>
    </row>
    <row r="12" spans="1:15" x14ac:dyDescent="0.2">
      <c r="A12" t="s">
        <v>896</v>
      </c>
      <c r="B12" t="s">
        <v>2167</v>
      </c>
      <c r="E12" s="99"/>
    </row>
    <row r="13" spans="1:15" x14ac:dyDescent="0.2">
      <c r="A13" t="s">
        <v>897</v>
      </c>
      <c r="B13" t="s">
        <v>2167</v>
      </c>
      <c r="E13" s="99"/>
    </row>
    <row r="14" spans="1:15" x14ac:dyDescent="0.2">
      <c r="A14" t="s">
        <v>899</v>
      </c>
      <c r="B14" s="82" t="s">
        <v>694</v>
      </c>
      <c r="E14" s="99"/>
    </row>
    <row r="15" spans="1:15" x14ac:dyDescent="0.2">
      <c r="A15" t="s">
        <v>901</v>
      </c>
      <c r="B15" t="b">
        <v>1</v>
      </c>
      <c r="E15" s="99"/>
    </row>
    <row r="16" spans="1:15" x14ac:dyDescent="0.2">
      <c r="A16" t="s">
        <v>1145</v>
      </c>
      <c r="B16" t="b">
        <v>0</v>
      </c>
      <c r="E16" s="99"/>
    </row>
    <row r="17" spans="1:5" x14ac:dyDescent="0.2">
      <c r="E17" s="99"/>
    </row>
    <row r="18" spans="1:5" x14ac:dyDescent="0.2">
      <c r="A18" s="98" t="s">
        <v>902</v>
      </c>
      <c r="B18" s="99"/>
      <c r="E18" s="99"/>
    </row>
    <row r="19" spans="1:5" x14ac:dyDescent="0.2">
      <c r="A19" t="s">
        <v>903</v>
      </c>
      <c r="B19" t="s">
        <v>1250</v>
      </c>
      <c r="E19" s="99"/>
    </row>
    <row r="20" spans="1:5" x14ac:dyDescent="0.2">
      <c r="A20" t="s">
        <v>904</v>
      </c>
      <c r="B20" t="s">
        <v>1251</v>
      </c>
      <c r="E20" s="99"/>
    </row>
    <row r="21" spans="1:5" x14ac:dyDescent="0.2">
      <c r="A21" t="s">
        <v>905</v>
      </c>
      <c r="B21">
        <v>2023</v>
      </c>
      <c r="E21" s="99"/>
    </row>
    <row r="22" spans="1:5" x14ac:dyDescent="0.2">
      <c r="A22" t="s">
        <v>906</v>
      </c>
      <c r="B22" t="s">
        <v>1149</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G4:O4" xr:uid="{BC707A5A-1825-482C-B12C-D1452CDF35A7}">
      <formula1>"integer, number, percent1"</formula1>
    </dataValidation>
    <dataValidation type="list" allowBlank="1" showInputMessage="1" showErrorMessage="1" sqref="B10" xr:uid="{7B7EA88C-A5A7-4533-903E-F181B2ACBD96}">
      <formula1>"Line,Clustered Bar,Stacked Bar"</formula1>
    </dataValidation>
    <dataValidation type="list" allowBlank="1" showInputMessage="1" showErrorMessage="1" sqref="B2" xr:uid="{7FD46A23-A077-4F74-8470-F8EA8D74D668}">
      <formula1>"Table,Figure,Both"</formula1>
    </dataValidation>
    <dataValidation type="list" allowBlank="1" showInputMessage="1" showErrorMessage="1" sqref="B6 B15:B16" xr:uid="{89D932ED-FC1E-4EAC-9D56-29273A945116}">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6C18CA8-729F-49AE-AE03-B65231E8959A}">
          <x14:formula1>
            <xm:f>Master!$F$2:$F$293</xm:f>
          </x14:formula1>
          <xm:sqref>B1:O1</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130D-4FC4-4893-9FE6-431B5F0B826E}">
  <dimension ref="A1:O57"/>
  <sheetViews>
    <sheetView workbookViewId="0">
      <selection activeCell="B13" sqref="B13"/>
    </sheetView>
  </sheetViews>
  <sheetFormatPr baseColWidth="10" defaultColWidth="8.6640625" defaultRowHeight="15" x14ac:dyDescent="0.2"/>
  <cols>
    <col min="1" max="1" width="20" bestFit="1" customWidth="1"/>
    <col min="2" max="2" width="38.6640625" bestFit="1" customWidth="1"/>
    <col min="5" max="5" width="6.6640625" customWidth="1"/>
    <col min="6" max="6" width="11.164062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105</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tbl-economically-disadvantaged</v>
      </c>
    </row>
    <row r="4" spans="1:15" x14ac:dyDescent="0.2">
      <c r="A4" s="58" t="s">
        <v>6</v>
      </c>
      <c r="B4" t="str">
        <f>IF($B$1="","",_xlfn.XLOOKUP($B$1,Master!$F$2:$F$308,Master!$H$2:$H$308,""))</f>
        <v>fig-economically-disadvantaged</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t="s">
        <v>1252</v>
      </c>
      <c r="G6" s="14">
        <v>39.200000000000003</v>
      </c>
      <c r="H6" s="14">
        <v>47</v>
      </c>
      <c r="I6" s="14">
        <v>28.5</v>
      </c>
      <c r="J6" s="14">
        <v>43.9</v>
      </c>
      <c r="K6" s="14">
        <v>60.4</v>
      </c>
      <c r="L6" s="14">
        <v>48.6</v>
      </c>
      <c r="M6" s="14">
        <v>38.9</v>
      </c>
      <c r="N6" s="14">
        <v>56.2</v>
      </c>
    </row>
    <row r="7" spans="1:15" ht="15.75" customHeight="1" x14ac:dyDescent="0.2">
      <c r="E7" s="99"/>
      <c r="F7" t="s">
        <v>1253</v>
      </c>
      <c r="G7" s="14">
        <v>43.1</v>
      </c>
      <c r="H7" s="14">
        <v>49</v>
      </c>
      <c r="I7" s="14">
        <v>32.1</v>
      </c>
      <c r="J7" s="14">
        <v>48.1</v>
      </c>
      <c r="K7" s="14">
        <v>62.7</v>
      </c>
      <c r="L7" s="14">
        <v>52.5</v>
      </c>
      <c r="M7" s="14">
        <v>39.6</v>
      </c>
      <c r="N7" s="14">
        <v>59.1</v>
      </c>
    </row>
    <row r="8" spans="1:15" x14ac:dyDescent="0.2">
      <c r="E8" s="99"/>
      <c r="F8" t="s">
        <v>1254</v>
      </c>
      <c r="G8" s="14">
        <v>43.3</v>
      </c>
      <c r="H8" s="14">
        <v>49.5</v>
      </c>
      <c r="I8" s="14">
        <v>32.5</v>
      </c>
      <c r="J8" s="14">
        <v>51</v>
      </c>
      <c r="K8" s="14">
        <v>61.4</v>
      </c>
      <c r="L8" s="14">
        <v>48.8</v>
      </c>
      <c r="M8" s="14">
        <v>39.700000000000003</v>
      </c>
      <c r="N8" s="14">
        <v>59.2</v>
      </c>
    </row>
    <row r="9" spans="1:15" x14ac:dyDescent="0.2">
      <c r="A9" s="98" t="s">
        <v>893</v>
      </c>
      <c r="B9" s="99"/>
      <c r="E9" s="99"/>
    </row>
    <row r="10" spans="1:15" x14ac:dyDescent="0.2">
      <c r="A10" t="s">
        <v>894</v>
      </c>
      <c r="B10" t="s">
        <v>983</v>
      </c>
      <c r="E10" s="99"/>
    </row>
    <row r="11" spans="1:15" x14ac:dyDescent="0.2">
      <c r="A11" t="s">
        <v>895</v>
      </c>
      <c r="B11" t="s">
        <v>887</v>
      </c>
      <c r="E11" s="99"/>
    </row>
    <row r="12" spans="1:15" x14ac:dyDescent="0.2">
      <c r="A12" t="s">
        <v>896</v>
      </c>
      <c r="E12" s="99"/>
    </row>
    <row r="13" spans="1:15" x14ac:dyDescent="0.2">
      <c r="A13" t="s">
        <v>897</v>
      </c>
      <c r="B13" t="s">
        <v>1123</v>
      </c>
      <c r="E13" s="99"/>
    </row>
    <row r="14" spans="1:15" x14ac:dyDescent="0.2">
      <c r="A14" t="s">
        <v>899</v>
      </c>
      <c r="B14" s="82" t="s">
        <v>694</v>
      </c>
      <c r="E14" s="99"/>
    </row>
    <row r="15" spans="1:15" x14ac:dyDescent="0.2">
      <c r="A15" t="s">
        <v>901</v>
      </c>
      <c r="B15" t="b">
        <v>0</v>
      </c>
      <c r="E15" s="99"/>
    </row>
    <row r="16" spans="1:15" x14ac:dyDescent="0.2">
      <c r="A16" t="s">
        <v>1145</v>
      </c>
      <c r="B16" t="b">
        <v>0</v>
      </c>
      <c r="E16" s="99"/>
    </row>
    <row r="17" spans="1:5" x14ac:dyDescent="0.2">
      <c r="E17" s="99"/>
    </row>
    <row r="18" spans="1:5" x14ac:dyDescent="0.2">
      <c r="A18" s="98" t="s">
        <v>902</v>
      </c>
      <c r="B18" s="99"/>
      <c r="E18" s="99"/>
    </row>
    <row r="19" spans="1:5" x14ac:dyDescent="0.2">
      <c r="A19" t="s">
        <v>903</v>
      </c>
      <c r="B19" s="61"/>
      <c r="E19" s="99"/>
    </row>
    <row r="20" spans="1:5" x14ac:dyDescent="0.2">
      <c r="A20" t="s">
        <v>904</v>
      </c>
      <c r="B20" s="61" t="s">
        <v>1255</v>
      </c>
      <c r="E20" s="99"/>
    </row>
    <row r="21" spans="1:5" x14ac:dyDescent="0.2">
      <c r="A21" t="s">
        <v>905</v>
      </c>
      <c r="B21" s="61">
        <v>2024</v>
      </c>
      <c r="E21" s="99"/>
    </row>
    <row r="22" spans="1:5" x14ac:dyDescent="0.2">
      <c r="A22" t="s">
        <v>906</v>
      </c>
      <c r="B22" s="61"/>
      <c r="E22" s="99"/>
    </row>
    <row r="23" spans="1:5" x14ac:dyDescent="0.2">
      <c r="A23" t="s">
        <v>907</v>
      </c>
      <c r="B23" s="61" t="s">
        <v>976</v>
      </c>
      <c r="E23" s="99"/>
    </row>
    <row r="24" spans="1:5" x14ac:dyDescent="0.2">
      <c r="A24" t="s">
        <v>908</v>
      </c>
      <c r="B24" s="61">
        <v>2025</v>
      </c>
      <c r="E24" s="99"/>
    </row>
    <row r="25" spans="1:5" x14ac:dyDescent="0.2">
      <c r="A25" t="s">
        <v>909</v>
      </c>
      <c r="B25" s="61" t="s">
        <v>1256</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42E829AC-5109-47A9-B749-3A2DB86C8859}">
      <formula1>"True,False"</formula1>
    </dataValidation>
    <dataValidation type="list" allowBlank="1" showInputMessage="1" showErrorMessage="1" sqref="B2" xr:uid="{4B1B9394-FA16-4484-9D23-7AB053FB25AC}">
      <formula1>"Table,Figure,Both"</formula1>
    </dataValidation>
    <dataValidation type="list" allowBlank="1" showInputMessage="1" showErrorMessage="1" sqref="B10" xr:uid="{E0BEB4E0-D70D-4B48-8911-9DDA05AFAB5A}">
      <formula1>"Line,Clustered Bar,Stacked Bar"</formula1>
    </dataValidation>
    <dataValidation type="list" allowBlank="1" showInputMessage="1" showErrorMessage="1" sqref="F4:O4" xr:uid="{45E74C85-DD7E-479F-91BF-46894B432388}">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627391A-DA16-4C2C-9852-4BEE9C392E48}">
          <x14:formula1>
            <xm:f>Master!$F$2:$F$293</xm:f>
          </x14:formula1>
          <xm:sqref>B1:O1</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0545-6C3C-454A-BD4A-F8946E304519}">
  <dimension ref="A1:O57"/>
  <sheetViews>
    <sheetView workbookViewId="0"/>
  </sheetViews>
  <sheetFormatPr baseColWidth="10" defaultColWidth="8.6640625" defaultRowHeight="15" x14ac:dyDescent="0.2"/>
  <cols>
    <col min="1" max="1" width="20" bestFit="1" customWidth="1"/>
    <col min="2" max="2" width="16.6640625" customWidth="1"/>
    <col min="5" max="5" width="6.6640625" customWidth="1"/>
    <col min="6" max="6" width="14.6640625" bestFit="1" customWidth="1"/>
    <col min="7" max="7" width="11.6640625" bestFit="1" customWidth="1"/>
    <col min="8" max="8" width="20" bestFit="1" customWidth="1"/>
    <col min="9" max="9" width="26.6640625" bestFit="1" customWidth="1"/>
    <col min="10" max="10" width="10.6640625" bestFit="1" customWidth="1"/>
    <col min="11" max="11" width="24" bestFit="1" customWidth="1"/>
    <col min="12" max="12" width="27.6640625" bestFit="1" customWidth="1"/>
    <col min="13" max="13" width="15.33203125" bestFit="1" customWidth="1"/>
    <col min="14" max="14" width="14.5" bestFit="1" customWidth="1"/>
    <col min="15" max="15" width="11" bestFit="1" customWidth="1"/>
  </cols>
  <sheetData>
    <row r="1" spans="1:15" x14ac:dyDescent="0.2">
      <c r="A1" s="58" t="s">
        <v>882</v>
      </c>
      <c r="B1" s="96" t="s">
        <v>110</v>
      </c>
      <c r="C1" s="97"/>
      <c r="D1" s="97"/>
      <c r="E1" s="97"/>
      <c r="F1" s="97"/>
      <c r="G1" s="97"/>
      <c r="H1" s="97"/>
      <c r="I1" s="97"/>
      <c r="J1" s="97"/>
      <c r="K1" s="97"/>
      <c r="L1" s="97"/>
      <c r="M1" s="97"/>
      <c r="N1" s="97"/>
      <c r="O1" s="97"/>
    </row>
    <row r="2" spans="1:15" x14ac:dyDescent="0.2">
      <c r="A2" s="58" t="s">
        <v>883</v>
      </c>
      <c r="B2" t="s">
        <v>12</v>
      </c>
    </row>
    <row r="3" spans="1:15" x14ac:dyDescent="0.2">
      <c r="A3" s="58" t="s">
        <v>884</v>
      </c>
      <c r="B3" t="str">
        <f>IF($B$1="","",_xlfn.XLOOKUP($B$1,Master!$F$2:$F$308,Master!$G$2:$G$308,""))</f>
        <v>tbl-alice-budget</v>
      </c>
    </row>
    <row r="4" spans="1:15" x14ac:dyDescent="0.2">
      <c r="A4" s="58" t="s">
        <v>6</v>
      </c>
      <c r="B4">
        <f>IF($B$1="","",_xlfn.XLOOKUP($B$1,Master!$F$2:$F$308,Master!$H$2:$H$308,""))</f>
        <v>0</v>
      </c>
      <c r="E4" s="13"/>
      <c r="F4" s="13"/>
      <c r="G4" s="16" t="s">
        <v>700</v>
      </c>
      <c r="H4" s="16" t="s">
        <v>700</v>
      </c>
      <c r="I4" s="16" t="s">
        <v>700</v>
      </c>
      <c r="J4" s="16" t="s">
        <v>700</v>
      </c>
      <c r="K4" s="16" t="s">
        <v>700</v>
      </c>
      <c r="L4" s="16" t="s">
        <v>700</v>
      </c>
      <c r="M4" s="16" t="s">
        <v>700</v>
      </c>
      <c r="N4" s="16" t="s">
        <v>700</v>
      </c>
      <c r="O4" s="16"/>
    </row>
    <row r="5" spans="1:15" x14ac:dyDescent="0.2">
      <c r="A5" s="98" t="s">
        <v>885</v>
      </c>
      <c r="B5" s="99"/>
      <c r="E5" s="100" t="s">
        <v>886</v>
      </c>
      <c r="G5" t="s">
        <v>1257</v>
      </c>
      <c r="H5" t="s">
        <v>1258</v>
      </c>
      <c r="I5" t="s">
        <v>1259</v>
      </c>
      <c r="J5" t="s">
        <v>1260</v>
      </c>
      <c r="K5" t="s">
        <v>1261</v>
      </c>
      <c r="L5" t="s">
        <v>1262</v>
      </c>
      <c r="M5" t="s">
        <v>1263</v>
      </c>
      <c r="N5" t="s">
        <v>1264</v>
      </c>
    </row>
    <row r="6" spans="1:15" ht="15" customHeight="1" x14ac:dyDescent="0.2">
      <c r="A6" t="s">
        <v>891</v>
      </c>
      <c r="B6" t="b">
        <v>0</v>
      </c>
      <c r="E6" s="99"/>
      <c r="F6" t="s">
        <v>1265</v>
      </c>
      <c r="G6" s="41">
        <v>1103</v>
      </c>
      <c r="H6" s="41">
        <v>1189</v>
      </c>
      <c r="I6" s="41">
        <v>1189</v>
      </c>
      <c r="J6" s="41">
        <v>1189</v>
      </c>
      <c r="K6" s="41">
        <v>1437</v>
      </c>
      <c r="L6" s="41">
        <v>1437</v>
      </c>
      <c r="M6" s="41">
        <v>1103</v>
      </c>
      <c r="N6" s="41">
        <v>1189</v>
      </c>
    </row>
    <row r="7" spans="1:15" ht="15.75" customHeight="1" x14ac:dyDescent="0.2">
      <c r="E7" s="99"/>
      <c r="F7" t="s">
        <v>1266</v>
      </c>
      <c r="G7" s="41">
        <v>0</v>
      </c>
      <c r="H7" s="41">
        <v>423</v>
      </c>
      <c r="I7" s="41">
        <v>1126</v>
      </c>
      <c r="J7" s="41">
        <v>0</v>
      </c>
      <c r="K7" s="41">
        <v>844</v>
      </c>
      <c r="L7" s="41">
        <v>2345</v>
      </c>
      <c r="M7" s="41">
        <v>0</v>
      </c>
      <c r="N7" s="41">
        <v>0</v>
      </c>
    </row>
    <row r="8" spans="1:15" x14ac:dyDescent="0.2">
      <c r="E8" s="99"/>
      <c r="F8" t="s">
        <v>1267</v>
      </c>
      <c r="G8" s="41">
        <v>516</v>
      </c>
      <c r="H8" s="41">
        <v>873</v>
      </c>
      <c r="I8" s="41">
        <v>783</v>
      </c>
      <c r="J8" s="41">
        <v>946</v>
      </c>
      <c r="K8" s="41">
        <v>1587</v>
      </c>
      <c r="L8" s="41">
        <v>1400</v>
      </c>
      <c r="M8" s="41">
        <v>475</v>
      </c>
      <c r="N8" s="41">
        <v>870</v>
      </c>
    </row>
    <row r="9" spans="1:15" x14ac:dyDescent="0.2">
      <c r="A9" s="98" t="s">
        <v>893</v>
      </c>
      <c r="B9" s="99"/>
      <c r="E9" s="99"/>
      <c r="F9" t="s">
        <v>1268</v>
      </c>
      <c r="G9" s="41">
        <v>401</v>
      </c>
      <c r="H9" s="41">
        <v>535</v>
      </c>
      <c r="I9" s="41">
        <v>506</v>
      </c>
      <c r="J9" s="41">
        <v>617</v>
      </c>
      <c r="K9" s="41">
        <v>957</v>
      </c>
      <c r="L9" s="41">
        <v>899</v>
      </c>
      <c r="M9" s="41">
        <v>346</v>
      </c>
      <c r="N9" s="41">
        <v>508</v>
      </c>
    </row>
    <row r="10" spans="1:15" x14ac:dyDescent="0.2">
      <c r="A10" t="s">
        <v>894</v>
      </c>
      <c r="E10" s="99"/>
      <c r="F10" t="s">
        <v>1269</v>
      </c>
      <c r="G10" s="41">
        <v>196</v>
      </c>
      <c r="H10" s="41">
        <v>452</v>
      </c>
      <c r="I10" s="41">
        <v>452</v>
      </c>
      <c r="J10" s="41">
        <v>452</v>
      </c>
      <c r="K10" s="41">
        <v>775</v>
      </c>
      <c r="L10" s="41">
        <v>775</v>
      </c>
      <c r="M10" s="41">
        <v>543</v>
      </c>
      <c r="N10" s="41">
        <v>1086</v>
      </c>
    </row>
    <row r="11" spans="1:15" x14ac:dyDescent="0.2">
      <c r="A11" t="s">
        <v>895</v>
      </c>
      <c r="E11" s="99"/>
      <c r="F11" t="s">
        <v>1270</v>
      </c>
      <c r="G11" s="41">
        <v>86</v>
      </c>
      <c r="H11" s="41">
        <v>86</v>
      </c>
      <c r="I11" s="41">
        <v>86</v>
      </c>
      <c r="J11" s="41">
        <v>116</v>
      </c>
      <c r="K11" s="41">
        <v>116</v>
      </c>
      <c r="L11" s="41">
        <v>116</v>
      </c>
      <c r="M11" s="41">
        <v>86</v>
      </c>
      <c r="N11" s="41">
        <v>116</v>
      </c>
    </row>
    <row r="12" spans="1:15" x14ac:dyDescent="0.2">
      <c r="A12" t="s">
        <v>896</v>
      </c>
      <c r="E12" s="99"/>
      <c r="F12" t="s">
        <v>1271</v>
      </c>
      <c r="G12" s="41">
        <v>230</v>
      </c>
      <c r="H12" s="41">
        <v>356</v>
      </c>
      <c r="I12" s="41">
        <v>414</v>
      </c>
      <c r="J12" s="41">
        <v>332</v>
      </c>
      <c r="K12" s="41">
        <v>572</v>
      </c>
      <c r="L12" s="41">
        <v>697</v>
      </c>
      <c r="M12" s="41">
        <v>255</v>
      </c>
      <c r="N12" s="41">
        <v>377</v>
      </c>
    </row>
    <row r="13" spans="1:15" x14ac:dyDescent="0.2">
      <c r="A13" t="s">
        <v>897</v>
      </c>
      <c r="E13" s="99"/>
      <c r="F13" t="s">
        <v>1272</v>
      </c>
      <c r="G13" s="41">
        <v>439</v>
      </c>
      <c r="H13" s="41">
        <v>461</v>
      </c>
      <c r="I13" s="41">
        <v>625</v>
      </c>
      <c r="J13" s="41">
        <v>529</v>
      </c>
      <c r="K13" s="41">
        <v>684</v>
      </c>
      <c r="L13" s="41">
        <v>1037</v>
      </c>
      <c r="M13" s="41">
        <v>510</v>
      </c>
      <c r="N13" s="41">
        <v>861</v>
      </c>
    </row>
    <row r="14" spans="1:15" x14ac:dyDescent="0.2">
      <c r="A14" t="s">
        <v>899</v>
      </c>
      <c r="E14" s="99"/>
      <c r="F14" t="s">
        <v>1273</v>
      </c>
      <c r="G14" s="41">
        <v>2971</v>
      </c>
      <c r="H14" s="41">
        <v>4375</v>
      </c>
      <c r="I14" s="41">
        <v>5181</v>
      </c>
      <c r="J14" s="41">
        <v>4181</v>
      </c>
      <c r="K14" s="41">
        <v>6972</v>
      </c>
      <c r="L14" s="41">
        <v>8706</v>
      </c>
      <c r="M14" s="41">
        <v>3318</v>
      </c>
      <c r="N14" s="41">
        <v>5007</v>
      </c>
    </row>
    <row r="15" spans="1:15" x14ac:dyDescent="0.2">
      <c r="A15" t="s">
        <v>901</v>
      </c>
      <c r="E15" s="99"/>
      <c r="F15" t="s">
        <v>1274</v>
      </c>
      <c r="G15" s="41">
        <v>35652</v>
      </c>
      <c r="H15" s="41">
        <v>52500</v>
      </c>
      <c r="I15" s="41">
        <v>62172</v>
      </c>
      <c r="J15" s="41">
        <v>50172</v>
      </c>
      <c r="K15" s="41">
        <v>83664</v>
      </c>
      <c r="L15" s="41">
        <v>104472</v>
      </c>
      <c r="M15" s="41">
        <v>39816</v>
      </c>
      <c r="N15" s="41">
        <v>60084</v>
      </c>
    </row>
    <row r="16" spans="1:15" x14ac:dyDescent="0.2">
      <c r="E16" s="99"/>
      <c r="F16" t="s">
        <v>1275</v>
      </c>
      <c r="G16" s="41">
        <v>17.829999999999998</v>
      </c>
      <c r="H16" s="41">
        <v>26.25</v>
      </c>
      <c r="I16" s="41">
        <v>31.09</v>
      </c>
      <c r="J16" s="41">
        <v>25.09</v>
      </c>
      <c r="K16" s="41">
        <v>41.83</v>
      </c>
      <c r="L16" s="41">
        <v>52.24</v>
      </c>
      <c r="M16" s="41">
        <v>19.91</v>
      </c>
      <c r="N16" s="41">
        <v>30.04</v>
      </c>
    </row>
    <row r="17" spans="1:5" x14ac:dyDescent="0.2">
      <c r="E17" s="99"/>
    </row>
    <row r="18" spans="1:5" x14ac:dyDescent="0.2">
      <c r="A18" s="98" t="s">
        <v>902</v>
      </c>
      <c r="B18" s="99"/>
      <c r="E18" s="99"/>
    </row>
    <row r="19" spans="1:5" x14ac:dyDescent="0.2">
      <c r="A19" t="s">
        <v>903</v>
      </c>
      <c r="E19" s="99"/>
    </row>
    <row r="20" spans="1:5" x14ac:dyDescent="0.2">
      <c r="A20" t="s">
        <v>904</v>
      </c>
      <c r="B20" t="s">
        <v>1276</v>
      </c>
      <c r="E20" s="99"/>
    </row>
    <row r="21" spans="1:5" x14ac:dyDescent="0.2">
      <c r="A21" t="s">
        <v>905</v>
      </c>
      <c r="B21">
        <v>2023</v>
      </c>
      <c r="E21" s="99"/>
    </row>
    <row r="22" spans="1:5" x14ac:dyDescent="0.2">
      <c r="A22" t="s">
        <v>906</v>
      </c>
      <c r="E22" s="99"/>
    </row>
    <row r="23" spans="1:5" x14ac:dyDescent="0.2">
      <c r="A23" t="s">
        <v>907</v>
      </c>
      <c r="B23" t="s">
        <v>976</v>
      </c>
      <c r="E23" s="99"/>
    </row>
    <row r="24" spans="1:5" x14ac:dyDescent="0.2">
      <c r="A24" t="s">
        <v>908</v>
      </c>
      <c r="B24">
        <v>2025</v>
      </c>
      <c r="E24" s="99"/>
    </row>
    <row r="25" spans="1:5" x14ac:dyDescent="0.2">
      <c r="A25" t="s">
        <v>909</v>
      </c>
      <c r="B25" t="s">
        <v>1277</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G4:O4" xr:uid="{BC54786B-21CC-4531-9099-6B5B94F3FF48}">
      <formula1>"integer, number, percent1,currency,currency2"</formula1>
    </dataValidation>
    <dataValidation type="list" allowBlank="1" showInputMessage="1" showErrorMessage="1" sqref="B10" xr:uid="{2366BCFF-CF37-4533-9EA1-EC1AD6073DCC}">
      <formula1>"Line,Clustered Bar,Stacked Bar"</formula1>
    </dataValidation>
    <dataValidation type="list" allowBlank="1" showInputMessage="1" showErrorMessage="1" sqref="B2" xr:uid="{EFA23263-1F28-422A-83DD-A19249BFB5DE}">
      <formula1>"Table,Figure,Both"</formula1>
    </dataValidation>
    <dataValidation type="list" allowBlank="1" showInputMessage="1" showErrorMessage="1" sqref="B6 B15" xr:uid="{C8A32CBC-CD8E-4C54-A359-1163FD8C50F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50CAF55-F5F5-4BD8-B265-C965774B3504}">
          <x14:formula1>
            <xm:f>Master!$F$2:$F$293</xm:f>
          </x14:formula1>
          <xm:sqref>B1:O1</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A9EA-C817-48D6-9047-FC5C45BBE63A}">
  <dimension ref="A1:O57"/>
  <sheetViews>
    <sheetView workbookViewId="0">
      <selection activeCell="B12" sqref="B12"/>
    </sheetView>
  </sheetViews>
  <sheetFormatPr baseColWidth="10" defaultColWidth="8.6640625" defaultRowHeight="15" x14ac:dyDescent="0.2"/>
  <cols>
    <col min="1" max="1" width="20" bestFit="1" customWidth="1"/>
    <col min="2" max="2" width="16.6640625" customWidth="1"/>
    <col min="5" max="5" width="6.6640625" customWidth="1"/>
    <col min="6" max="6" width="18.33203125" bestFit="1" customWidth="1"/>
    <col min="7" max="7" width="9.5" customWidth="1"/>
    <col min="8" max="8" width="13.5" customWidth="1"/>
    <col min="9" max="9" width="11" customWidth="1"/>
    <col min="11" max="11" width="10.6640625" customWidth="1"/>
    <col min="12" max="12" width="12.33203125" bestFit="1" customWidth="1"/>
    <col min="13" max="13" width="12.1640625" bestFit="1" customWidth="1"/>
    <col min="14" max="14" width="12.33203125" bestFit="1" customWidth="1"/>
    <col min="15" max="15" width="11" bestFit="1" customWidth="1"/>
  </cols>
  <sheetData>
    <row r="1" spans="1:15" x14ac:dyDescent="0.2">
      <c r="A1" s="58" t="s">
        <v>882</v>
      </c>
      <c r="B1" s="96" t="s">
        <v>114</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tbl-alice-threshold</v>
      </c>
    </row>
    <row r="4" spans="1:15" x14ac:dyDescent="0.2">
      <c r="A4" s="58" t="s">
        <v>6</v>
      </c>
      <c r="B4" t="str">
        <f>IF($B$1="","",_xlfn.XLOOKUP($B$1,Master!$F$2:$F$308,Master!$H$2:$H$308,""))</f>
        <v>fig-alice-threshold</v>
      </c>
      <c r="E4" s="13"/>
      <c r="F4" s="13"/>
      <c r="G4" s="16" t="s">
        <v>679</v>
      </c>
      <c r="H4" s="16" t="s">
        <v>679</v>
      </c>
      <c r="I4" s="16" t="s">
        <v>679</v>
      </c>
      <c r="J4" s="16" t="s">
        <v>679</v>
      </c>
      <c r="K4" s="16" t="s">
        <v>679</v>
      </c>
      <c r="L4" s="16" t="s">
        <v>679</v>
      </c>
      <c r="M4" s="16" t="s">
        <v>679</v>
      </c>
      <c r="N4" s="16" t="s">
        <v>679</v>
      </c>
      <c r="O4" s="16"/>
    </row>
    <row r="5" spans="1:15" x14ac:dyDescent="0.2">
      <c r="A5" s="98" t="s">
        <v>885</v>
      </c>
      <c r="B5" s="99"/>
      <c r="E5" s="100" t="s">
        <v>886</v>
      </c>
      <c r="G5" t="s">
        <v>220</v>
      </c>
      <c r="H5" t="s">
        <v>18</v>
      </c>
      <c r="I5" t="s">
        <v>537</v>
      </c>
      <c r="J5" t="s">
        <v>449</v>
      </c>
      <c r="K5" t="s">
        <v>409</v>
      </c>
      <c r="L5" t="s">
        <v>421</v>
      </c>
      <c r="M5" t="s">
        <v>470</v>
      </c>
      <c r="N5" t="s">
        <v>915</v>
      </c>
    </row>
    <row r="6" spans="1:15" ht="15" customHeight="1" x14ac:dyDescent="0.2">
      <c r="A6" t="s">
        <v>891</v>
      </c>
      <c r="B6" t="b">
        <v>0</v>
      </c>
      <c r="E6" s="99"/>
      <c r="F6" t="s">
        <v>1278</v>
      </c>
      <c r="G6" s="14">
        <v>31</v>
      </c>
      <c r="H6" s="14">
        <v>33</v>
      </c>
      <c r="I6" s="14">
        <v>32</v>
      </c>
      <c r="J6" s="14">
        <v>38</v>
      </c>
      <c r="K6" s="14">
        <v>30</v>
      </c>
      <c r="L6" s="14">
        <v>32</v>
      </c>
      <c r="M6" s="14">
        <v>28</v>
      </c>
      <c r="N6" s="14">
        <v>33</v>
      </c>
    </row>
    <row r="7" spans="1:15" ht="15.75" customHeight="1" x14ac:dyDescent="0.2">
      <c r="E7" s="99"/>
      <c r="F7" t="s">
        <v>1027</v>
      </c>
      <c r="G7" s="14">
        <v>6</v>
      </c>
      <c r="H7" s="14">
        <v>10</v>
      </c>
      <c r="I7" s="14">
        <v>6</v>
      </c>
      <c r="J7" s="14">
        <v>12</v>
      </c>
      <c r="K7" s="14">
        <v>15</v>
      </c>
      <c r="L7" s="14">
        <v>10</v>
      </c>
      <c r="M7" s="14">
        <v>10</v>
      </c>
      <c r="N7" s="14">
        <v>14</v>
      </c>
    </row>
    <row r="8" spans="1:15" x14ac:dyDescent="0.2">
      <c r="E8" s="99"/>
      <c r="F8" t="s">
        <v>1279</v>
      </c>
      <c r="G8" s="14">
        <v>62</v>
      </c>
      <c r="H8" s="14">
        <v>57</v>
      </c>
      <c r="I8" s="14">
        <v>63</v>
      </c>
      <c r="J8" s="14">
        <v>50</v>
      </c>
      <c r="K8" s="14">
        <v>54</v>
      </c>
      <c r="L8" s="14">
        <v>58</v>
      </c>
      <c r="M8" s="14">
        <v>61</v>
      </c>
      <c r="N8" s="14">
        <v>52</v>
      </c>
    </row>
    <row r="9" spans="1:15" x14ac:dyDescent="0.2">
      <c r="A9" s="98" t="s">
        <v>893</v>
      </c>
      <c r="B9" s="99"/>
      <c r="E9" s="99"/>
    </row>
    <row r="10" spans="1:15" x14ac:dyDescent="0.2">
      <c r="A10" t="s">
        <v>894</v>
      </c>
      <c r="B10" t="s">
        <v>1020</v>
      </c>
      <c r="E10" s="99"/>
    </row>
    <row r="11" spans="1:15" x14ac:dyDescent="0.2">
      <c r="A11" t="s">
        <v>895</v>
      </c>
      <c r="B11" t="s">
        <v>985</v>
      </c>
      <c r="E11" s="99"/>
    </row>
    <row r="12" spans="1:15" x14ac:dyDescent="0.2">
      <c r="A12" t="s">
        <v>896</v>
      </c>
      <c r="E12" s="99"/>
    </row>
    <row r="13" spans="1:15" x14ac:dyDescent="0.2">
      <c r="A13" t="s">
        <v>897</v>
      </c>
      <c r="E13" s="99"/>
    </row>
    <row r="14" spans="1:15" x14ac:dyDescent="0.2">
      <c r="A14" t="s">
        <v>899</v>
      </c>
      <c r="B14" s="82" t="s">
        <v>694</v>
      </c>
      <c r="E14" s="99"/>
    </row>
    <row r="15" spans="1:15" x14ac:dyDescent="0.2">
      <c r="A15" t="s">
        <v>901</v>
      </c>
      <c r="B15" t="b">
        <v>1</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E19" s="99"/>
    </row>
    <row r="20" spans="1:5" x14ac:dyDescent="0.2">
      <c r="A20" t="s">
        <v>904</v>
      </c>
      <c r="B20" t="s">
        <v>1276</v>
      </c>
      <c r="E20" s="99"/>
    </row>
    <row r="21" spans="1:5" x14ac:dyDescent="0.2">
      <c r="A21" t="s">
        <v>905</v>
      </c>
      <c r="B21">
        <v>2023</v>
      </c>
      <c r="E21" s="99"/>
    </row>
    <row r="22" spans="1:5" x14ac:dyDescent="0.2">
      <c r="A22" t="s">
        <v>906</v>
      </c>
      <c r="E22" s="99"/>
    </row>
    <row r="23" spans="1:5" x14ac:dyDescent="0.2">
      <c r="A23" t="s">
        <v>907</v>
      </c>
      <c r="B23" t="s">
        <v>976</v>
      </c>
      <c r="E23" s="99"/>
    </row>
    <row r="24" spans="1:5" x14ac:dyDescent="0.2">
      <c r="A24" t="s">
        <v>908</v>
      </c>
      <c r="B24">
        <v>2025</v>
      </c>
      <c r="E24" s="99"/>
    </row>
    <row r="25" spans="1:5" x14ac:dyDescent="0.2">
      <c r="A25" t="s">
        <v>909</v>
      </c>
      <c r="B25" t="s">
        <v>1277</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F4538BFE-E9FC-4A0A-A157-E00DE92303D1}">
      <formula1>"True,False"</formula1>
    </dataValidation>
    <dataValidation type="list" allowBlank="1" showInputMessage="1" showErrorMessage="1" sqref="B2" xr:uid="{A9210C1F-F311-418E-B4C1-E7EF4B620022}">
      <formula1>"Table,Figure,Both"</formula1>
    </dataValidation>
    <dataValidation type="list" allowBlank="1" showInputMessage="1" showErrorMessage="1" sqref="B10" xr:uid="{B7F83AEE-61F4-4EA3-9A1B-110A3969001B}">
      <formula1>"Line,Clustered Bar,Stacked Bar"</formula1>
    </dataValidation>
    <dataValidation type="list" allowBlank="1" showInputMessage="1" showErrorMessage="1" sqref="G4:O4" xr:uid="{4D3C7481-7121-4062-B58F-5C5056986078}">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6904AEC-6517-4635-A7E4-AE5BA3A13D2C}">
          <x14:formula1>
            <xm:f>Master!$F$2:$F$293</xm:f>
          </x14:formula1>
          <xm:sqref>B1:O1</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CD14-0FAE-4D94-A53E-EC1A343D9176}">
  <dimension ref="A1:O57"/>
  <sheetViews>
    <sheetView workbookViewId="0">
      <selection activeCell="C13" sqref="C13"/>
    </sheetView>
  </sheetViews>
  <sheetFormatPr baseColWidth="10" defaultColWidth="8.6640625" defaultRowHeight="15" x14ac:dyDescent="0.2"/>
  <cols>
    <col min="1" max="1" width="20" bestFit="1" customWidth="1"/>
    <col min="2" max="2" width="55.6640625" bestFit="1" customWidth="1"/>
    <col min="5" max="5" width="6.6640625" customWidth="1"/>
    <col min="7" max="7" width="9.5" customWidth="1"/>
    <col min="8" max="8" width="13.5" customWidth="1"/>
    <col min="9" max="9" width="11" customWidth="1"/>
    <col min="11" max="11" width="10.6640625" customWidth="1"/>
    <col min="12" max="12" width="12.33203125" bestFit="1" customWidth="1"/>
    <col min="13" max="13" width="12.1640625" bestFit="1" customWidth="1"/>
    <col min="14" max="14" width="12.33203125" bestFit="1" customWidth="1"/>
    <col min="15" max="15" width="11" bestFit="1" customWidth="1"/>
  </cols>
  <sheetData>
    <row r="1" spans="1:15" x14ac:dyDescent="0.2">
      <c r="A1" s="58" t="s">
        <v>882</v>
      </c>
      <c r="B1" s="96" t="s">
        <v>118</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tbl-graduation-rate</v>
      </c>
    </row>
    <row r="4" spans="1:15" x14ac:dyDescent="0.2">
      <c r="A4" s="58" t="s">
        <v>6</v>
      </c>
      <c r="B4" t="str">
        <f>IF($B$1="","",_xlfn.XLOOKUP($B$1,Master!$F$2:$F$308,Master!$H$2:$H$308,""))</f>
        <v>fig-graduation-rate</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s="60" t="s">
        <v>220</v>
      </c>
      <c r="H5" s="60" t="s">
        <v>18</v>
      </c>
      <c r="I5" s="60" t="s">
        <v>537</v>
      </c>
      <c r="J5" s="60" t="s">
        <v>449</v>
      </c>
      <c r="K5" s="60" t="s">
        <v>409</v>
      </c>
      <c r="L5" s="60" t="s">
        <v>421</v>
      </c>
      <c r="M5" s="60" t="s">
        <v>470</v>
      </c>
      <c r="N5" s="60" t="s">
        <v>915</v>
      </c>
    </row>
    <row r="6" spans="1:15" ht="15" customHeight="1" x14ac:dyDescent="0.2">
      <c r="A6" t="s">
        <v>891</v>
      </c>
      <c r="B6" t="b">
        <v>0</v>
      </c>
      <c r="E6" s="99"/>
      <c r="F6" s="60">
        <v>2021</v>
      </c>
      <c r="G6" s="42">
        <v>87</v>
      </c>
      <c r="H6" s="42">
        <v>89</v>
      </c>
      <c r="I6" s="42">
        <v>94</v>
      </c>
      <c r="J6" s="42">
        <v>90</v>
      </c>
      <c r="K6" s="42">
        <v>82</v>
      </c>
      <c r="L6" s="42">
        <v>87</v>
      </c>
      <c r="M6" s="42">
        <v>91</v>
      </c>
      <c r="N6" s="42">
        <v>86</v>
      </c>
    </row>
    <row r="7" spans="1:15" ht="15.75" customHeight="1" x14ac:dyDescent="0.2">
      <c r="E7" s="99"/>
      <c r="F7" s="60">
        <v>2022</v>
      </c>
      <c r="G7" s="42">
        <v>86</v>
      </c>
      <c r="H7" s="42">
        <v>89</v>
      </c>
      <c r="I7" s="42">
        <v>94</v>
      </c>
      <c r="J7" s="42">
        <v>88</v>
      </c>
      <c r="K7" s="42">
        <v>78</v>
      </c>
      <c r="L7" s="42">
        <v>87</v>
      </c>
      <c r="M7" s="42">
        <v>92</v>
      </c>
      <c r="N7" s="42">
        <v>87</v>
      </c>
    </row>
    <row r="8" spans="1:15" x14ac:dyDescent="0.2">
      <c r="E8" s="99"/>
      <c r="F8" s="60">
        <v>2023</v>
      </c>
      <c r="G8" s="42">
        <v>87</v>
      </c>
      <c r="H8" s="42">
        <v>89</v>
      </c>
      <c r="I8" s="42">
        <v>91</v>
      </c>
      <c r="J8" s="42">
        <v>86</v>
      </c>
      <c r="K8" s="42">
        <v>76</v>
      </c>
      <c r="L8" s="42">
        <v>87</v>
      </c>
      <c r="M8" s="42">
        <v>91</v>
      </c>
      <c r="N8" s="42">
        <v>86</v>
      </c>
    </row>
    <row r="9" spans="1:15" x14ac:dyDescent="0.2">
      <c r="A9" s="98" t="s">
        <v>893</v>
      </c>
      <c r="B9" s="99"/>
      <c r="E9" s="99"/>
    </row>
    <row r="10" spans="1:15" x14ac:dyDescent="0.2">
      <c r="A10" t="s">
        <v>894</v>
      </c>
      <c r="B10" t="s">
        <v>983</v>
      </c>
      <c r="E10" s="99"/>
    </row>
    <row r="11" spans="1:15" x14ac:dyDescent="0.2">
      <c r="A11" t="s">
        <v>895</v>
      </c>
      <c r="B11" t="s">
        <v>887</v>
      </c>
      <c r="E11" s="99"/>
    </row>
    <row r="12" spans="1:15" x14ac:dyDescent="0.2">
      <c r="A12" t="s">
        <v>896</v>
      </c>
      <c r="E12" s="99"/>
    </row>
    <row r="13" spans="1:15" x14ac:dyDescent="0.2">
      <c r="A13" t="s">
        <v>897</v>
      </c>
      <c r="B13" t="s">
        <v>887</v>
      </c>
      <c r="E13" s="99"/>
    </row>
    <row r="14" spans="1:15" x14ac:dyDescent="0.2">
      <c r="A14" t="s">
        <v>899</v>
      </c>
      <c r="B14" s="82" t="s">
        <v>694</v>
      </c>
      <c r="E14" s="99"/>
    </row>
    <row r="15" spans="1:15" x14ac:dyDescent="0.2">
      <c r="A15" t="s">
        <v>901</v>
      </c>
      <c r="B15" t="b">
        <v>0</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B19" s="61"/>
      <c r="E19" s="99"/>
    </row>
    <row r="20" spans="1:5" x14ac:dyDescent="0.2">
      <c r="A20" t="s">
        <v>904</v>
      </c>
      <c r="B20" s="61" t="s">
        <v>1280</v>
      </c>
      <c r="E20" s="99"/>
    </row>
    <row r="21" spans="1:5" x14ac:dyDescent="0.2">
      <c r="A21" t="s">
        <v>905</v>
      </c>
      <c r="B21" s="61">
        <v>2023</v>
      </c>
      <c r="E21" s="99"/>
    </row>
    <row r="22" spans="1:5" x14ac:dyDescent="0.2">
      <c r="A22" t="s">
        <v>906</v>
      </c>
      <c r="B22" s="61"/>
      <c r="E22" s="99"/>
    </row>
    <row r="23" spans="1:5" x14ac:dyDescent="0.2">
      <c r="A23" t="s">
        <v>907</v>
      </c>
      <c r="B23" s="61" t="s">
        <v>976</v>
      </c>
      <c r="E23" s="99"/>
    </row>
    <row r="24" spans="1:5" x14ac:dyDescent="0.2">
      <c r="A24" t="s">
        <v>908</v>
      </c>
      <c r="B24" s="61">
        <v>2025</v>
      </c>
      <c r="E24" s="99"/>
    </row>
    <row r="25" spans="1:5" x14ac:dyDescent="0.2">
      <c r="A25" t="s">
        <v>909</v>
      </c>
      <c r="B25" s="61" t="s">
        <v>1281</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20272C9D-7EB1-4032-8818-87863570850E}">
      <formula1>"integer, number, percent1"</formula1>
    </dataValidation>
    <dataValidation type="list" allowBlank="1" showInputMessage="1" showErrorMessage="1" sqref="B10" xr:uid="{4D93CAFA-F44E-4C53-B70C-E921838CEBE3}">
      <formula1>"Line,Clustered Bar,Stacked Bar"</formula1>
    </dataValidation>
    <dataValidation type="list" allowBlank="1" showInputMessage="1" showErrorMessage="1" sqref="B2" xr:uid="{B77D2C3A-4741-4F29-971B-DB2057851CF7}">
      <formula1>"Table,Figure,Both"</formula1>
    </dataValidation>
    <dataValidation type="list" allowBlank="1" showInputMessage="1" showErrorMessage="1" sqref="B6 B15:B16" xr:uid="{82929371-05C0-4E39-9306-82CAB95C6ED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16F5EB1-6BFD-40D0-A057-D6C0777B5E92}">
          <x14:formula1>
            <xm:f>Master!$F$2:$F$293</xm:f>
          </x14:formula1>
          <xm:sqref>B1:O1</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1B60-1400-4517-B9BA-9F612F4D1D76}">
  <dimension ref="A1:O57"/>
  <sheetViews>
    <sheetView workbookViewId="0">
      <selection activeCell="M31" sqref="M31"/>
    </sheetView>
  </sheetViews>
  <sheetFormatPr baseColWidth="10" defaultColWidth="8.6640625" defaultRowHeight="15" x14ac:dyDescent="0.2"/>
  <cols>
    <col min="1" max="1" width="20" bestFit="1" customWidth="1"/>
    <col min="2" max="2" width="16.6640625" customWidth="1"/>
    <col min="5" max="5" width="6.6640625" customWidth="1"/>
    <col min="6" max="6" width="31.6640625" bestFit="1" customWidth="1"/>
    <col min="7" max="7" width="9" bestFit="1" customWidth="1"/>
    <col min="8" max="9" width="8.6640625" bestFit="1" customWidth="1"/>
    <col min="10" max="10" width="9" bestFit="1" customWidth="1"/>
    <col min="11" max="12" width="8.6640625" bestFit="1" customWidth="1"/>
    <col min="13" max="13" width="12.1640625" bestFit="1" customWidth="1"/>
    <col min="14" max="14" width="8.6640625" bestFit="1" customWidth="1"/>
    <col min="15" max="15" width="11" bestFit="1" customWidth="1"/>
  </cols>
  <sheetData>
    <row r="1" spans="1:15" x14ac:dyDescent="0.2">
      <c r="A1" s="58" t="s">
        <v>882</v>
      </c>
      <c r="B1" s="96" t="s">
        <v>122</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tbl-graduation-by-race</v>
      </c>
    </row>
    <row r="4" spans="1:15" x14ac:dyDescent="0.2">
      <c r="A4" s="58" t="s">
        <v>6</v>
      </c>
      <c r="B4" t="str">
        <f>IF($B$1="","",_xlfn.XLOOKUP($B$1,Master!$F$2:$F$308,Master!$H$2:$H$308,""))</f>
        <v>fig-graduation-by-race</v>
      </c>
      <c r="E4" s="13"/>
      <c r="F4" s="13"/>
      <c r="G4" s="16" t="s">
        <v>679</v>
      </c>
      <c r="H4" s="16" t="s">
        <v>679</v>
      </c>
      <c r="I4" s="16" t="s">
        <v>679</v>
      </c>
      <c r="J4" s="16" t="s">
        <v>679</v>
      </c>
      <c r="K4" s="16" t="s">
        <v>679</v>
      </c>
      <c r="L4" s="16" t="s">
        <v>679</v>
      </c>
      <c r="M4" s="16" t="s">
        <v>679</v>
      </c>
      <c r="N4" s="16" t="s">
        <v>679</v>
      </c>
      <c r="O4" s="16"/>
    </row>
    <row r="5" spans="1:15" x14ac:dyDescent="0.2">
      <c r="A5" s="98" t="s">
        <v>885</v>
      </c>
      <c r="B5" s="99"/>
      <c r="E5" s="100" t="s">
        <v>886</v>
      </c>
      <c r="F5" t="s">
        <v>2167</v>
      </c>
      <c r="G5" s="60" t="s">
        <v>220</v>
      </c>
      <c r="H5" s="60" t="s">
        <v>18</v>
      </c>
      <c r="I5" s="60" t="s">
        <v>537</v>
      </c>
      <c r="J5" s="60" t="s">
        <v>449</v>
      </c>
      <c r="K5" s="60" t="s">
        <v>409</v>
      </c>
      <c r="L5" s="60" t="s">
        <v>421</v>
      </c>
      <c r="M5" s="60" t="s">
        <v>470</v>
      </c>
      <c r="N5" s="60" t="s">
        <v>915</v>
      </c>
    </row>
    <row r="6" spans="1:15" ht="15" customHeight="1" x14ac:dyDescent="0.2">
      <c r="A6" t="s">
        <v>891</v>
      </c>
      <c r="B6" t="b">
        <v>0</v>
      </c>
      <c r="E6" s="99"/>
      <c r="F6" s="60" t="s">
        <v>2171</v>
      </c>
      <c r="G6" s="60">
        <v>91</v>
      </c>
      <c r="H6" s="60">
        <v>96</v>
      </c>
      <c r="I6" s="60">
        <v>100</v>
      </c>
      <c r="J6" s="60">
        <v>97</v>
      </c>
      <c r="K6" s="60" t="s">
        <v>754</v>
      </c>
      <c r="L6" s="60" t="s">
        <v>754</v>
      </c>
      <c r="M6" s="60">
        <v>97</v>
      </c>
      <c r="N6" s="60">
        <v>93</v>
      </c>
    </row>
    <row r="7" spans="1:15" ht="15.75" customHeight="1" x14ac:dyDescent="0.2">
      <c r="E7" s="99"/>
      <c r="F7" s="60" t="s">
        <v>1282</v>
      </c>
      <c r="G7" s="60">
        <v>78</v>
      </c>
      <c r="H7" s="60">
        <v>85</v>
      </c>
      <c r="I7" s="60">
        <v>97</v>
      </c>
      <c r="J7" s="60">
        <v>86</v>
      </c>
      <c r="K7" s="60">
        <v>66</v>
      </c>
      <c r="L7" s="60">
        <v>84</v>
      </c>
      <c r="M7" s="60">
        <v>83</v>
      </c>
      <c r="N7" s="60">
        <v>81</v>
      </c>
    </row>
    <row r="8" spans="1:15" x14ac:dyDescent="0.2">
      <c r="E8" s="99"/>
      <c r="F8" s="60" t="s">
        <v>1283</v>
      </c>
      <c r="G8" s="60">
        <v>92</v>
      </c>
      <c r="H8" s="60">
        <v>93</v>
      </c>
      <c r="I8" s="60">
        <v>95</v>
      </c>
      <c r="J8" s="60">
        <v>94</v>
      </c>
      <c r="K8" s="60">
        <v>84</v>
      </c>
      <c r="L8" s="60">
        <v>90</v>
      </c>
      <c r="M8" s="60">
        <v>96</v>
      </c>
      <c r="N8" s="60">
        <v>91</v>
      </c>
    </row>
    <row r="9" spans="1:15" x14ac:dyDescent="0.2">
      <c r="A9" s="98" t="s">
        <v>893</v>
      </c>
      <c r="B9" s="99"/>
      <c r="E9" s="99"/>
      <c r="F9" s="60" t="s">
        <v>1284</v>
      </c>
      <c r="G9" s="60">
        <v>80</v>
      </c>
      <c r="H9" s="60">
        <v>88</v>
      </c>
      <c r="I9" s="60" t="s">
        <v>754</v>
      </c>
      <c r="J9" s="60" t="s">
        <v>754</v>
      </c>
      <c r="K9" s="60">
        <v>68</v>
      </c>
      <c r="L9" s="60">
        <v>74</v>
      </c>
      <c r="M9" s="60">
        <v>94</v>
      </c>
      <c r="N9" s="60">
        <v>84</v>
      </c>
    </row>
    <row r="10" spans="1:15" x14ac:dyDescent="0.2">
      <c r="A10" t="s">
        <v>894</v>
      </c>
      <c r="B10" t="s">
        <v>983</v>
      </c>
      <c r="E10" s="99"/>
      <c r="F10" s="60" t="s">
        <v>927</v>
      </c>
      <c r="G10" s="60">
        <v>79</v>
      </c>
      <c r="H10" s="60">
        <v>83</v>
      </c>
      <c r="I10" s="60">
        <v>80</v>
      </c>
      <c r="J10" s="60">
        <v>74</v>
      </c>
      <c r="K10" s="60">
        <v>63</v>
      </c>
      <c r="L10" s="60">
        <v>80</v>
      </c>
      <c r="M10" s="60">
        <v>85</v>
      </c>
      <c r="N10" s="60">
        <v>81</v>
      </c>
    </row>
    <row r="11" spans="1:15" x14ac:dyDescent="0.2">
      <c r="A11" t="s">
        <v>895</v>
      </c>
      <c r="B11" t="s">
        <v>2167</v>
      </c>
      <c r="E11" s="99"/>
    </row>
    <row r="12" spans="1:15" x14ac:dyDescent="0.2">
      <c r="A12" t="s">
        <v>896</v>
      </c>
      <c r="B12" t="s">
        <v>694</v>
      </c>
      <c r="E12" s="99"/>
    </row>
    <row r="13" spans="1:15" x14ac:dyDescent="0.2">
      <c r="A13" t="s">
        <v>897</v>
      </c>
      <c r="B13" t="s">
        <v>887</v>
      </c>
      <c r="E13" s="99"/>
    </row>
    <row r="14" spans="1:15" x14ac:dyDescent="0.2">
      <c r="A14" t="s">
        <v>899</v>
      </c>
      <c r="B14" s="82" t="s">
        <v>694</v>
      </c>
      <c r="E14" s="99"/>
    </row>
    <row r="15" spans="1:15" x14ac:dyDescent="0.2">
      <c r="A15" t="s">
        <v>901</v>
      </c>
      <c r="B15" t="b">
        <v>1</v>
      </c>
      <c r="E15" s="99"/>
    </row>
    <row r="16" spans="1:15" x14ac:dyDescent="0.2">
      <c r="A16" t="s">
        <v>1145</v>
      </c>
      <c r="B16" t="b">
        <v>0</v>
      </c>
      <c r="E16" s="99"/>
    </row>
    <row r="17" spans="1:5" x14ac:dyDescent="0.2">
      <c r="E17" s="99"/>
    </row>
    <row r="18" spans="1:5" x14ac:dyDescent="0.2">
      <c r="A18" s="98" t="s">
        <v>902</v>
      </c>
      <c r="B18" s="99"/>
      <c r="E18" s="99"/>
    </row>
    <row r="19" spans="1:5" x14ac:dyDescent="0.2">
      <c r="A19" t="s">
        <v>903</v>
      </c>
      <c r="B19" s="61"/>
      <c r="E19" s="99"/>
    </row>
    <row r="20" spans="1:5" x14ac:dyDescent="0.2">
      <c r="A20" t="s">
        <v>904</v>
      </c>
      <c r="B20" s="61" t="s">
        <v>1280</v>
      </c>
      <c r="E20" s="99"/>
    </row>
    <row r="21" spans="1:5" x14ac:dyDescent="0.2">
      <c r="A21" t="s">
        <v>905</v>
      </c>
      <c r="B21" s="61">
        <v>2023</v>
      </c>
      <c r="E21" s="99"/>
    </row>
    <row r="22" spans="1:5" x14ac:dyDescent="0.2">
      <c r="A22" t="s">
        <v>906</v>
      </c>
      <c r="B22" s="61"/>
      <c r="E22" s="99"/>
    </row>
    <row r="23" spans="1:5" x14ac:dyDescent="0.2">
      <c r="A23" t="s">
        <v>907</v>
      </c>
      <c r="B23" s="61" t="s">
        <v>976</v>
      </c>
      <c r="E23" s="99"/>
    </row>
    <row r="24" spans="1:5" x14ac:dyDescent="0.2">
      <c r="A24" t="s">
        <v>908</v>
      </c>
      <c r="B24" s="61">
        <v>2025</v>
      </c>
      <c r="E24" s="99"/>
    </row>
    <row r="25" spans="1:5" x14ac:dyDescent="0.2">
      <c r="A25" t="s">
        <v>909</v>
      </c>
      <c r="B25" s="61" t="s">
        <v>1281</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B7D166A5-E5FC-4418-82F1-603407E6D2DF}">
      <formula1>"True,False"</formula1>
    </dataValidation>
    <dataValidation type="list" allowBlank="1" showInputMessage="1" showErrorMessage="1" sqref="B2" xr:uid="{8B7001A8-3F90-40FA-B915-ABCEC92E508A}">
      <formula1>"Table,Figure,Both"</formula1>
    </dataValidation>
    <dataValidation type="list" allowBlank="1" showInputMessage="1" showErrorMessage="1" sqref="B10" xr:uid="{8746660F-712D-4F7E-BEF0-D5C700A47873}">
      <formula1>"Line,Clustered Bar,Stacked Bar"</formula1>
    </dataValidation>
    <dataValidation type="list" allowBlank="1" showInputMessage="1" showErrorMessage="1" sqref="G4:O4" xr:uid="{758320E4-A73E-4914-88A6-4E24F774AA6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E2AFFAE-BCDA-4109-847F-44DE6AAB19B3}">
          <x14:formula1>
            <xm:f>Master!$F$2:$F$293</xm:f>
          </x14:formula1>
          <xm:sqref>B1:O1</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D1BE-FCCC-4DC0-8587-80D9819395CE}">
  <dimension ref="A1:O57"/>
  <sheetViews>
    <sheetView workbookViewId="0">
      <selection activeCell="M27" sqref="M27"/>
    </sheetView>
  </sheetViews>
  <sheetFormatPr baseColWidth="10" defaultColWidth="8.6640625" defaultRowHeight="15" x14ac:dyDescent="0.2"/>
  <cols>
    <col min="1" max="1" width="20" bestFit="1" customWidth="1"/>
    <col min="2" max="2" width="16.6640625" customWidth="1"/>
    <col min="5" max="5" width="6.6640625" customWidth="1"/>
    <col min="6" max="6" width="30.3320312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126</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tbl-educational-attainment</v>
      </c>
    </row>
    <row r="4" spans="1:15" x14ac:dyDescent="0.2">
      <c r="A4" s="58" t="s">
        <v>6</v>
      </c>
      <c r="B4" t="str">
        <f>IF($B$1="","",_xlfn.XLOOKUP($B$1,Master!$F$2:$F$308,Master!$H$2:$H$308,""))</f>
        <v>fig-educational-attainment</v>
      </c>
      <c r="E4" s="13"/>
      <c r="F4" s="13"/>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1286</v>
      </c>
      <c r="G5" t="s">
        <v>220</v>
      </c>
      <c r="H5" t="s">
        <v>18</v>
      </c>
      <c r="I5" t="s">
        <v>537</v>
      </c>
      <c r="J5" t="s">
        <v>449</v>
      </c>
      <c r="K5" t="s">
        <v>409</v>
      </c>
      <c r="L5" t="s">
        <v>421</v>
      </c>
      <c r="M5" t="s">
        <v>470</v>
      </c>
      <c r="N5" t="s">
        <v>915</v>
      </c>
    </row>
    <row r="6" spans="1:15" ht="15" customHeight="1" x14ac:dyDescent="0.2">
      <c r="A6" t="s">
        <v>891</v>
      </c>
      <c r="B6" t="b">
        <v>0</v>
      </c>
      <c r="E6" s="99"/>
      <c r="F6" t="s">
        <v>945</v>
      </c>
      <c r="G6" s="14">
        <v>16.899999999999999</v>
      </c>
      <c r="H6" s="14">
        <v>19.100000000000001</v>
      </c>
      <c r="I6" s="14">
        <v>16.5</v>
      </c>
      <c r="J6" s="14">
        <v>16.2</v>
      </c>
      <c r="K6" s="14">
        <v>17.899999999999999</v>
      </c>
      <c r="L6" s="14">
        <v>17.100000000000001</v>
      </c>
      <c r="M6" s="14">
        <v>12.6</v>
      </c>
      <c r="N6" s="14">
        <v>14.9</v>
      </c>
    </row>
    <row r="7" spans="1:15" ht="15.75" customHeight="1" x14ac:dyDescent="0.2">
      <c r="E7" s="99"/>
      <c r="F7" t="s">
        <v>1285</v>
      </c>
      <c r="G7" s="14">
        <v>10.1</v>
      </c>
      <c r="H7" s="14">
        <v>10.3</v>
      </c>
      <c r="I7" s="14">
        <v>8.4</v>
      </c>
      <c r="J7" s="14">
        <v>7.8</v>
      </c>
      <c r="K7" s="14">
        <v>10.3</v>
      </c>
      <c r="L7" s="14">
        <v>9.6</v>
      </c>
      <c r="M7" s="14">
        <v>6.4</v>
      </c>
      <c r="N7" s="14">
        <v>8.9</v>
      </c>
    </row>
    <row r="8" spans="1:15" x14ac:dyDescent="0.2">
      <c r="E8" s="99"/>
      <c r="F8" t="s">
        <v>947</v>
      </c>
      <c r="G8" s="14">
        <v>21</v>
      </c>
      <c r="H8" s="14">
        <v>18.2</v>
      </c>
      <c r="I8" s="14">
        <v>24.2</v>
      </c>
      <c r="J8" s="14">
        <v>23.2</v>
      </c>
      <c r="K8" s="14">
        <v>17</v>
      </c>
      <c r="L8" s="14">
        <v>20.2</v>
      </c>
      <c r="M8" s="14">
        <v>26</v>
      </c>
      <c r="N8" s="14">
        <v>22</v>
      </c>
    </row>
    <row r="9" spans="1:15" x14ac:dyDescent="0.2">
      <c r="A9" s="98" t="s">
        <v>893</v>
      </c>
      <c r="B9" s="99"/>
      <c r="E9" s="99"/>
      <c r="F9" t="s">
        <v>948</v>
      </c>
      <c r="G9" s="14">
        <v>18.7</v>
      </c>
      <c r="H9" s="14">
        <v>14.1</v>
      </c>
      <c r="I9" s="14">
        <v>19.3</v>
      </c>
      <c r="J9" s="14">
        <v>18.899999999999999</v>
      </c>
      <c r="K9" s="14">
        <v>12.7</v>
      </c>
      <c r="L9" s="14">
        <v>16.899999999999999</v>
      </c>
      <c r="M9" s="14">
        <v>26.5</v>
      </c>
      <c r="N9" s="14">
        <v>17.5</v>
      </c>
    </row>
    <row r="10" spans="1:15" x14ac:dyDescent="0.2">
      <c r="A10" t="s">
        <v>894</v>
      </c>
      <c r="B10" t="s">
        <v>1020</v>
      </c>
      <c r="E10" s="99"/>
    </row>
    <row r="11" spans="1:15" x14ac:dyDescent="0.2">
      <c r="A11" t="s">
        <v>895</v>
      </c>
      <c r="B11" t="s">
        <v>1286</v>
      </c>
      <c r="E11" s="99"/>
    </row>
    <row r="12" spans="1:15" x14ac:dyDescent="0.2">
      <c r="A12" t="s">
        <v>896</v>
      </c>
      <c r="B12" t="s">
        <v>694</v>
      </c>
      <c r="E12" s="99"/>
    </row>
    <row r="13" spans="1:15" x14ac:dyDescent="0.2">
      <c r="A13" t="s">
        <v>897</v>
      </c>
      <c r="B13" t="s">
        <v>1286</v>
      </c>
      <c r="E13" s="99"/>
    </row>
    <row r="14" spans="1:15" x14ac:dyDescent="0.2">
      <c r="A14" t="s">
        <v>899</v>
      </c>
      <c r="B14" s="82" t="s">
        <v>694</v>
      </c>
      <c r="E14" s="99"/>
    </row>
    <row r="15" spans="1:15" x14ac:dyDescent="0.2">
      <c r="A15" t="s">
        <v>901</v>
      </c>
      <c r="B15" t="b">
        <v>1</v>
      </c>
      <c r="E15" s="99"/>
    </row>
    <row r="16" spans="1:15" x14ac:dyDescent="0.2">
      <c r="A16" t="s">
        <v>1145</v>
      </c>
      <c r="B16" t="b">
        <v>0</v>
      </c>
      <c r="E16" s="99"/>
    </row>
    <row r="17" spans="1:5" x14ac:dyDescent="0.2">
      <c r="E17" s="99"/>
    </row>
    <row r="18" spans="1:5" x14ac:dyDescent="0.2">
      <c r="A18" s="98" t="s">
        <v>902</v>
      </c>
      <c r="B18" s="99"/>
      <c r="E18" s="99"/>
    </row>
    <row r="19" spans="1:5" x14ac:dyDescent="0.2">
      <c r="A19" t="s">
        <v>903</v>
      </c>
      <c r="B19" s="61" t="s">
        <v>1287</v>
      </c>
      <c r="E19" s="99"/>
    </row>
    <row r="20" spans="1:5" x14ac:dyDescent="0.2">
      <c r="A20" t="s">
        <v>904</v>
      </c>
      <c r="B20" s="61" t="s">
        <v>1288</v>
      </c>
      <c r="E20" s="99"/>
    </row>
    <row r="21" spans="1:5" x14ac:dyDescent="0.2">
      <c r="A21" t="s">
        <v>905</v>
      </c>
      <c r="B21" s="61">
        <v>2023</v>
      </c>
      <c r="E21" s="99"/>
    </row>
    <row r="22" spans="1:5" x14ac:dyDescent="0.2">
      <c r="A22" t="s">
        <v>906</v>
      </c>
      <c r="B22" s="61" t="s">
        <v>1149</v>
      </c>
      <c r="E22" s="99"/>
    </row>
    <row r="23" spans="1:5" x14ac:dyDescent="0.2">
      <c r="A23" t="s">
        <v>907</v>
      </c>
      <c r="B23" s="61" t="s">
        <v>976</v>
      </c>
      <c r="E23" s="99"/>
    </row>
    <row r="24" spans="1:5" x14ac:dyDescent="0.2">
      <c r="A24" t="s">
        <v>908</v>
      </c>
      <c r="B24" s="61">
        <v>2025</v>
      </c>
      <c r="E24" s="99"/>
    </row>
    <row r="25" spans="1:5" x14ac:dyDescent="0.2">
      <c r="A25" t="s">
        <v>909</v>
      </c>
      <c r="B25" s="61"/>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97EC785-2B34-458B-86FC-28018BBAFF61}">
      <formula1>"True,False"</formula1>
    </dataValidation>
    <dataValidation type="list" allowBlank="1" showInputMessage="1" showErrorMessage="1" sqref="B2" xr:uid="{87B11000-FCC0-4F61-9FB9-0558165132EC}">
      <formula1>"Table,Figure,Both"</formula1>
    </dataValidation>
    <dataValidation type="list" allowBlank="1" showInputMessage="1" showErrorMessage="1" sqref="B10" xr:uid="{985D39C2-527F-457C-BFCC-4C689AB51F9E}">
      <formula1>"Line,Clustered Bar,Stacked Bar"</formula1>
    </dataValidation>
    <dataValidation type="list" allowBlank="1" showInputMessage="1" showErrorMessage="1" sqref="G4:O4" xr:uid="{55BF896E-BBBC-4E41-9289-26C98ABA50B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E062E69-4545-467E-9F80-1E26010EEB26}">
          <x14:formula1>
            <xm:f>Master!$F$2:$F$293</xm:f>
          </x14:formula1>
          <xm:sqref>B1:O1</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E70CF-659D-4B7F-9F97-06EBC0D7B3F1}">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130</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tbl-language-proficiency</v>
      </c>
    </row>
    <row r="4" spans="1:15" x14ac:dyDescent="0.2">
      <c r="A4" s="58" t="s">
        <v>6</v>
      </c>
      <c r="B4" t="str">
        <f>IF($B$1="","",_xlfn.XLOOKUP($B$1,Master!$F$2:$F$308,Master!$H$2:$H$308,""))</f>
        <v>fig-language-proficiency</v>
      </c>
      <c r="E4" s="13"/>
      <c r="F4" s="16" t="s">
        <v>664</v>
      </c>
      <c r="G4" s="16" t="s">
        <v>664</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E6" s="99"/>
      <c r="F6">
        <v>2021</v>
      </c>
      <c r="G6">
        <v>4.7</v>
      </c>
      <c r="H6">
        <v>10.6</v>
      </c>
      <c r="I6">
        <v>5.3</v>
      </c>
      <c r="J6">
        <v>18.600000000000001</v>
      </c>
      <c r="K6">
        <v>5.9</v>
      </c>
      <c r="L6">
        <v>2.9</v>
      </c>
      <c r="M6">
        <v>12.7</v>
      </c>
      <c r="N6">
        <v>13.1</v>
      </c>
    </row>
    <row r="7" spans="1:15" ht="15.75" customHeight="1" x14ac:dyDescent="0.2">
      <c r="E7" s="99"/>
      <c r="F7">
        <v>2022</v>
      </c>
      <c r="G7">
        <v>4.8</v>
      </c>
      <c r="H7">
        <v>11.3</v>
      </c>
      <c r="I7">
        <v>5.6</v>
      </c>
      <c r="J7">
        <v>18.8</v>
      </c>
      <c r="K7">
        <v>7.3</v>
      </c>
      <c r="L7">
        <v>3</v>
      </c>
      <c r="M7">
        <v>12.2</v>
      </c>
      <c r="N7">
        <v>13.1</v>
      </c>
    </row>
    <row r="8" spans="1:15" x14ac:dyDescent="0.2">
      <c r="E8" s="99"/>
      <c r="F8">
        <v>2023</v>
      </c>
      <c r="G8">
        <v>5.4</v>
      </c>
      <c r="H8">
        <v>12.2</v>
      </c>
      <c r="I8">
        <v>6</v>
      </c>
      <c r="J8">
        <v>20</v>
      </c>
      <c r="K8">
        <v>8</v>
      </c>
      <c r="L8">
        <v>3.4</v>
      </c>
      <c r="M8">
        <v>12.4</v>
      </c>
      <c r="N8">
        <v>13.3</v>
      </c>
    </row>
    <row r="9" spans="1:15" x14ac:dyDescent="0.2">
      <c r="A9" s="98" t="s">
        <v>893</v>
      </c>
      <c r="B9" s="99"/>
      <c r="E9" s="99"/>
    </row>
    <row r="10" spans="1:15" x14ac:dyDescent="0.2">
      <c r="A10" t="s">
        <v>894</v>
      </c>
      <c r="B10" t="s">
        <v>983</v>
      </c>
      <c r="E10" s="99"/>
    </row>
    <row r="11" spans="1:15" x14ac:dyDescent="0.2">
      <c r="A11" t="s">
        <v>895</v>
      </c>
      <c r="B11" t="s">
        <v>887</v>
      </c>
      <c r="E11" s="99"/>
    </row>
    <row r="12" spans="1:15" x14ac:dyDescent="0.2">
      <c r="A12" t="s">
        <v>896</v>
      </c>
      <c r="E12" s="99"/>
    </row>
    <row r="13" spans="1:15" x14ac:dyDescent="0.2">
      <c r="A13" t="s">
        <v>897</v>
      </c>
      <c r="E13" s="99"/>
    </row>
    <row r="14" spans="1:15" x14ac:dyDescent="0.2">
      <c r="A14" t="s">
        <v>899</v>
      </c>
      <c r="B14" s="82" t="s">
        <v>694</v>
      </c>
      <c r="E14" s="99"/>
    </row>
    <row r="15" spans="1:15" x14ac:dyDescent="0.2">
      <c r="A15" t="s">
        <v>901</v>
      </c>
      <c r="B15" t="b">
        <v>0</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B19" t="s">
        <v>1289</v>
      </c>
      <c r="E19" s="99"/>
    </row>
    <row r="20" spans="1:5" x14ac:dyDescent="0.2">
      <c r="A20" t="s">
        <v>904</v>
      </c>
      <c r="B20" t="s">
        <v>1290</v>
      </c>
      <c r="E20" s="99"/>
    </row>
    <row r="21" spans="1:5" x14ac:dyDescent="0.2">
      <c r="A21" t="s">
        <v>905</v>
      </c>
      <c r="B21">
        <v>2023</v>
      </c>
      <c r="E21" s="99"/>
    </row>
    <row r="22" spans="1:5" x14ac:dyDescent="0.2">
      <c r="A22" t="s">
        <v>906</v>
      </c>
      <c r="B22" t="s">
        <v>1149</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80BF72A8-D640-472A-8E4D-CF717B73FE20}">
      <formula1>"integer, number, percent1"</formula1>
    </dataValidation>
    <dataValidation type="list" allowBlank="1" showInputMessage="1" showErrorMessage="1" sqref="B10" xr:uid="{4FE68810-2F98-4D4D-8994-FA9FD090CFBC}">
      <formula1>"Line,Clustered Bar,Stacked Bar"</formula1>
    </dataValidation>
    <dataValidation type="list" allowBlank="1" showInputMessage="1" showErrorMessage="1" sqref="B2" xr:uid="{05590035-607E-4EF7-B637-FD90A9EB7441}">
      <formula1>"Table,Figure,Both"</formula1>
    </dataValidation>
    <dataValidation type="list" allowBlank="1" showInputMessage="1" showErrorMessage="1" sqref="B6 B15:B16" xr:uid="{2A57F367-7F23-47ED-A074-2363D660EF5C}">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EC682257-697F-4024-8E82-7E3EAF6D15CE}">
          <x14:formula1>
            <xm:f>Master!$F$2:$F$293</xm:f>
          </x14:formula1>
          <xm:sqref>B1:O1</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9AF9-589A-451B-AA9A-7D894D18303C}">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4" max="14" width="12.33203125" bestFit="1" customWidth="1"/>
    <col min="15" max="15" width="11" bestFit="1" customWidth="1"/>
  </cols>
  <sheetData>
    <row r="1" spans="1:15" x14ac:dyDescent="0.2">
      <c r="A1" s="58" t="s">
        <v>882</v>
      </c>
      <c r="B1" s="96" t="s">
        <v>134</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tbl-disconnected-youth</v>
      </c>
    </row>
    <row r="4" spans="1:15" x14ac:dyDescent="0.2">
      <c r="A4" s="58" t="s">
        <v>6</v>
      </c>
      <c r="B4" t="str">
        <f>IF($B$1="","",_xlfn.XLOOKUP($B$1,Master!$F$2:$F$308,Master!$H$2:$H$308,""))</f>
        <v>fig-disconnected-youth</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t="s">
        <v>1291</v>
      </c>
      <c r="G6" s="42">
        <v>4</v>
      </c>
      <c r="H6" s="42">
        <v>8</v>
      </c>
      <c r="I6" s="42">
        <v>4</v>
      </c>
      <c r="J6" s="42">
        <v>5</v>
      </c>
      <c r="K6" s="42">
        <v>12</v>
      </c>
      <c r="L6" s="42">
        <v>6</v>
      </c>
      <c r="M6" s="42">
        <v>6</v>
      </c>
      <c r="N6" s="42">
        <v>6</v>
      </c>
    </row>
    <row r="7" spans="1:15" ht="15.75" customHeight="1" x14ac:dyDescent="0.2">
      <c r="E7" s="99"/>
      <c r="F7" t="s">
        <v>1292</v>
      </c>
      <c r="G7" s="42">
        <v>5</v>
      </c>
      <c r="H7" s="42">
        <v>8</v>
      </c>
      <c r="I7" s="42" t="s">
        <v>754</v>
      </c>
      <c r="J7" s="42">
        <v>5</v>
      </c>
      <c r="K7" s="42">
        <v>12</v>
      </c>
      <c r="L7" s="42">
        <v>6</v>
      </c>
      <c r="M7" s="42">
        <v>6</v>
      </c>
      <c r="N7" s="42">
        <v>6</v>
      </c>
    </row>
    <row r="8" spans="1:15" x14ac:dyDescent="0.2">
      <c r="E8" s="99"/>
      <c r="F8" t="s">
        <v>1155</v>
      </c>
      <c r="G8" s="42">
        <v>5</v>
      </c>
      <c r="H8" s="42">
        <v>10</v>
      </c>
      <c r="I8" s="42" t="s">
        <v>754</v>
      </c>
      <c r="J8" s="42">
        <v>5</v>
      </c>
      <c r="K8" s="42">
        <v>17</v>
      </c>
      <c r="L8" s="42">
        <v>6</v>
      </c>
      <c r="M8" s="42">
        <v>4</v>
      </c>
      <c r="N8" s="42">
        <v>6</v>
      </c>
    </row>
    <row r="9" spans="1:15" x14ac:dyDescent="0.2">
      <c r="A9" s="98" t="s">
        <v>893</v>
      </c>
      <c r="B9" s="99"/>
      <c r="E9" s="99"/>
      <c r="F9" t="s">
        <v>969</v>
      </c>
      <c r="G9" s="42">
        <v>6</v>
      </c>
      <c r="H9" s="42">
        <v>8</v>
      </c>
      <c r="I9" s="42" t="s">
        <v>754</v>
      </c>
      <c r="J9" s="42">
        <v>4</v>
      </c>
      <c r="K9" s="42">
        <v>17</v>
      </c>
      <c r="L9" s="42">
        <v>6</v>
      </c>
      <c r="M9" s="42">
        <v>4</v>
      </c>
      <c r="N9" s="42">
        <v>6</v>
      </c>
    </row>
    <row r="10" spans="1:15" x14ac:dyDescent="0.2">
      <c r="A10" t="s">
        <v>894</v>
      </c>
      <c r="B10" t="s">
        <v>972</v>
      </c>
      <c r="E10" s="99"/>
      <c r="F10" t="s">
        <v>970</v>
      </c>
      <c r="G10" s="42">
        <v>7</v>
      </c>
      <c r="H10" s="42">
        <v>8</v>
      </c>
      <c r="I10" s="42" t="s">
        <v>754</v>
      </c>
      <c r="J10" s="42">
        <v>6</v>
      </c>
      <c r="K10" s="42">
        <v>25</v>
      </c>
      <c r="L10" s="42">
        <v>9</v>
      </c>
      <c r="M10" s="42">
        <v>5</v>
      </c>
      <c r="N10" s="42">
        <v>7</v>
      </c>
    </row>
    <row r="11" spans="1:15" x14ac:dyDescent="0.2">
      <c r="A11" t="s">
        <v>895</v>
      </c>
      <c r="B11" t="s">
        <v>973</v>
      </c>
      <c r="E11" s="99"/>
      <c r="F11" t="s">
        <v>971</v>
      </c>
      <c r="G11" s="42">
        <v>6</v>
      </c>
      <c r="H11" s="42">
        <v>8</v>
      </c>
      <c r="I11" s="42" t="s">
        <v>754</v>
      </c>
      <c r="J11" s="42">
        <v>6</v>
      </c>
      <c r="K11" s="42">
        <v>24</v>
      </c>
      <c r="L11" s="42">
        <v>9</v>
      </c>
      <c r="M11" s="42">
        <v>5</v>
      </c>
      <c r="N11" s="42">
        <v>7</v>
      </c>
    </row>
    <row r="12" spans="1:15" x14ac:dyDescent="0.2">
      <c r="A12" t="s">
        <v>896</v>
      </c>
      <c r="E12" s="99"/>
    </row>
    <row r="13" spans="1:15" x14ac:dyDescent="0.2">
      <c r="A13" t="s">
        <v>897</v>
      </c>
      <c r="E13" s="99"/>
    </row>
    <row r="14" spans="1:15" x14ac:dyDescent="0.2">
      <c r="A14" t="s">
        <v>899</v>
      </c>
      <c r="B14" s="82" t="s">
        <v>694</v>
      </c>
      <c r="E14" s="99"/>
    </row>
    <row r="15" spans="1:15" x14ac:dyDescent="0.2">
      <c r="A15" t="s">
        <v>901</v>
      </c>
      <c r="B15" t="b">
        <v>0</v>
      </c>
      <c r="E15" s="99"/>
    </row>
    <row r="16" spans="1:15" x14ac:dyDescent="0.2">
      <c r="A16" t="s">
        <v>1145</v>
      </c>
      <c r="B16" t="b">
        <v>1</v>
      </c>
      <c r="E16" s="99"/>
    </row>
    <row r="17" spans="1:5" x14ac:dyDescent="0.2">
      <c r="E17" s="99"/>
    </row>
    <row r="18" spans="1:5" x14ac:dyDescent="0.2">
      <c r="A18" s="98" t="s">
        <v>902</v>
      </c>
      <c r="B18" s="99"/>
      <c r="E18" s="99"/>
    </row>
    <row r="19" spans="1:5" x14ac:dyDescent="0.2">
      <c r="A19" t="s">
        <v>903</v>
      </c>
      <c r="B19" t="s">
        <v>1293</v>
      </c>
      <c r="E19" s="99"/>
    </row>
    <row r="20" spans="1:5" x14ac:dyDescent="0.2">
      <c r="A20" t="s">
        <v>904</v>
      </c>
      <c r="B20" t="s">
        <v>1294</v>
      </c>
      <c r="E20" s="99"/>
    </row>
    <row r="21" spans="1:5" x14ac:dyDescent="0.2">
      <c r="A21" t="s">
        <v>905</v>
      </c>
      <c r="B21">
        <v>2023</v>
      </c>
      <c r="E21" s="99"/>
    </row>
    <row r="22" spans="1:5" x14ac:dyDescent="0.2">
      <c r="A22" t="s">
        <v>906</v>
      </c>
      <c r="B22" t="s">
        <v>1149</v>
      </c>
      <c r="E22" s="99"/>
    </row>
    <row r="23" spans="1:5" x14ac:dyDescent="0.2">
      <c r="A23" t="s">
        <v>907</v>
      </c>
      <c r="B23" t="s">
        <v>976</v>
      </c>
      <c r="E23" s="99"/>
    </row>
    <row r="24" spans="1:5" x14ac:dyDescent="0.2">
      <c r="A24" t="s">
        <v>908</v>
      </c>
      <c r="B24">
        <v>2025</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3FFA7BE-F7CF-4869-83D5-300B93CA55C1}">
      <formula1>"True,False"</formula1>
    </dataValidation>
    <dataValidation type="list" allowBlank="1" showInputMessage="1" showErrorMessage="1" sqref="B2" xr:uid="{8AD9AE32-055C-42FE-85A5-4E647949466C}">
      <formula1>"Table,Figure,Both"</formula1>
    </dataValidation>
    <dataValidation type="list" allowBlank="1" showInputMessage="1" showErrorMessage="1" sqref="B10" xr:uid="{15E58B27-66B1-46E7-AF02-4D0B5045FD99}">
      <formula1>"Line,Clustered Bar,Stacked Bar"</formula1>
    </dataValidation>
    <dataValidation type="list" allowBlank="1" showInputMessage="1" showErrorMessage="1" sqref="F4:O4" xr:uid="{13432A78-E631-42F7-89D6-708B8A8A2EF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6E364860-CC38-443D-9905-C58D29F078D6}">
          <x14:formula1>
            <xm:f>Master!$F$2:$F$293</xm:f>
          </x14:formula1>
          <xm:sqref>B1:O1</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055B-F715-9F43-8866-C8C88441618A}">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138</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tbl-residential-segregation</v>
      </c>
    </row>
    <row r="4" spans="1:15" x14ac:dyDescent="0.2">
      <c r="A4" s="58" t="s">
        <v>6</v>
      </c>
      <c r="B4" t="str">
        <f>IF($B$1="","",_xlfn.XLOOKUP($B$1,Master!$F$2:$F$308,Master!$H$2:$H$308,""))</f>
        <v>fig-residential-segregation</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t="s">
        <v>1295</v>
      </c>
      <c r="G6" s="42">
        <v>52</v>
      </c>
      <c r="H6" s="42">
        <v>44</v>
      </c>
      <c r="I6" s="42">
        <v>39</v>
      </c>
      <c r="J6" s="42">
        <v>58</v>
      </c>
      <c r="K6" s="42">
        <v>46</v>
      </c>
      <c r="L6" s="42">
        <v>49</v>
      </c>
      <c r="M6" s="42">
        <v>62</v>
      </c>
      <c r="N6" s="42">
        <v>74</v>
      </c>
    </row>
    <row r="7" spans="1:15" ht="15.75" customHeight="1" x14ac:dyDescent="0.2">
      <c r="E7" s="99"/>
      <c r="F7" t="s">
        <v>1155</v>
      </c>
      <c r="G7" s="42">
        <v>50</v>
      </c>
      <c r="H7" s="42">
        <v>45</v>
      </c>
      <c r="I7" s="42">
        <v>44</v>
      </c>
      <c r="J7" s="42">
        <v>55</v>
      </c>
      <c r="K7" s="42">
        <v>50</v>
      </c>
      <c r="L7" s="42">
        <v>50</v>
      </c>
      <c r="M7" s="42">
        <v>59</v>
      </c>
      <c r="N7" s="42">
        <v>74</v>
      </c>
    </row>
    <row r="8" spans="1:15" x14ac:dyDescent="0.2">
      <c r="E8" s="99"/>
      <c r="F8" t="s">
        <v>969</v>
      </c>
      <c r="G8" s="42">
        <v>47</v>
      </c>
      <c r="H8" s="42">
        <v>47</v>
      </c>
      <c r="I8" s="42">
        <v>38</v>
      </c>
      <c r="J8" s="42">
        <v>58</v>
      </c>
      <c r="K8" s="42">
        <v>55</v>
      </c>
      <c r="L8" s="42">
        <v>46</v>
      </c>
      <c r="M8" s="42">
        <v>59</v>
      </c>
      <c r="N8" s="42">
        <v>74</v>
      </c>
    </row>
    <row r="9" spans="1:15" x14ac:dyDescent="0.2">
      <c r="A9" s="98" t="s">
        <v>893</v>
      </c>
      <c r="B9" s="99"/>
      <c r="E9" s="99"/>
      <c r="F9" t="s">
        <v>970</v>
      </c>
      <c r="G9" s="42">
        <v>46</v>
      </c>
      <c r="H9" s="42">
        <v>49</v>
      </c>
      <c r="I9" s="42">
        <v>45</v>
      </c>
      <c r="J9" s="42">
        <v>56</v>
      </c>
      <c r="K9" s="42">
        <v>51</v>
      </c>
      <c r="L9" s="42">
        <v>43</v>
      </c>
      <c r="M9" s="42">
        <v>60</v>
      </c>
      <c r="N9" s="42">
        <v>74</v>
      </c>
    </row>
    <row r="10" spans="1:15" x14ac:dyDescent="0.2">
      <c r="A10" t="s">
        <v>894</v>
      </c>
      <c r="B10" t="s">
        <v>972</v>
      </c>
      <c r="E10" s="99"/>
      <c r="F10" t="s">
        <v>971</v>
      </c>
      <c r="G10" s="42">
        <v>49</v>
      </c>
      <c r="H10" s="42">
        <v>48</v>
      </c>
      <c r="I10" s="42">
        <v>49</v>
      </c>
      <c r="J10" s="42">
        <v>58</v>
      </c>
      <c r="K10" s="42">
        <v>43</v>
      </c>
      <c r="L10" s="42" t="s">
        <v>754</v>
      </c>
      <c r="M10" s="42">
        <v>63</v>
      </c>
      <c r="N10" s="42">
        <v>74</v>
      </c>
    </row>
    <row r="11" spans="1:15" x14ac:dyDescent="0.2">
      <c r="A11" t="s">
        <v>895</v>
      </c>
      <c r="B11" t="s">
        <v>973</v>
      </c>
      <c r="E11" s="99"/>
      <c r="G11" s="42"/>
      <c r="H11" s="42"/>
      <c r="I11" s="42"/>
      <c r="J11" s="42"/>
      <c r="K11" s="42"/>
      <c r="L11" s="42"/>
      <c r="M11" s="42"/>
      <c r="N11" s="42"/>
    </row>
    <row r="12" spans="1:15" x14ac:dyDescent="0.2">
      <c r="A12" t="s">
        <v>896</v>
      </c>
      <c r="E12" s="99"/>
    </row>
    <row r="13" spans="1:15" x14ac:dyDescent="0.2">
      <c r="A13" t="s">
        <v>897</v>
      </c>
      <c r="E13" s="99"/>
    </row>
    <row r="14" spans="1:15" x14ac:dyDescent="0.2">
      <c r="A14" t="s">
        <v>899</v>
      </c>
      <c r="B14" t="s">
        <v>680</v>
      </c>
      <c r="E14" s="99"/>
    </row>
    <row r="15" spans="1:15" x14ac:dyDescent="0.2">
      <c r="A15" t="s">
        <v>901</v>
      </c>
      <c r="B15" t="b">
        <v>0</v>
      </c>
      <c r="E15" s="99"/>
    </row>
    <row r="16" spans="1:15" x14ac:dyDescent="0.2">
      <c r="A16" t="s">
        <v>1145</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3">
    <dataValidation type="list" allowBlank="1" showInputMessage="1" showErrorMessage="1" sqref="B10" xr:uid="{250D929C-55DE-A64B-8F48-5917893BE588}">
      <formula1>"Line,Clustered Bar,Stacked Bar"</formula1>
    </dataValidation>
    <dataValidation type="list" allowBlank="1" showInputMessage="1" showErrorMessage="1" sqref="B2" xr:uid="{ED9E15B7-573F-9346-BF11-F95930604184}">
      <formula1>"Table,Figure,Both"</formula1>
    </dataValidation>
    <dataValidation type="list" allowBlank="1" showInputMessage="1" showErrorMessage="1" sqref="B6 B15:B16" xr:uid="{DCA5F1DE-4722-7B48-B499-C6C82B67B0A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364BD8C-1227-C749-907D-504C2BF8B9BC}">
          <x14:formula1>
            <xm:f>Dropdowns!$A$1:$A$8</xm:f>
          </x14:formula1>
          <xm:sqref>F4:O4</xm:sqref>
        </x14:dataValidation>
        <x14:dataValidation type="list" allowBlank="1" showInputMessage="1" showErrorMessage="1" xr:uid="{37FBD23E-8175-6F46-9C11-2D14F048E276}">
          <x14:formula1>
            <xm:f>Master!$F$2:$F$293</xm:f>
          </x14:formula1>
          <xm:sqref>B1:O1</xm:sqref>
        </x14:dataValidation>
      </x14:dataValidations>
    </ext>
  </extLs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F114-DD63-044F-9F7B-C0F951061829}">
  <dimension ref="A1:O57"/>
  <sheetViews>
    <sheetView workbookViewId="0">
      <selection activeCell="F5" sqref="F5"/>
    </sheetView>
  </sheetViews>
  <sheetFormatPr baseColWidth="10" defaultColWidth="8.6640625" defaultRowHeight="15" x14ac:dyDescent="0.2"/>
  <cols>
    <col min="1" max="1" width="20" bestFit="1" customWidth="1"/>
    <col min="2" max="2" width="16.6640625"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142</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tbl-adult-medical-care-cost</v>
      </c>
    </row>
    <row r="4" spans="1:15" x14ac:dyDescent="0.2">
      <c r="A4" s="58" t="s">
        <v>6</v>
      </c>
      <c r="B4" t="str">
        <f>IF($B$1="","",_xlfn.XLOOKUP($B$1,Master!$F$2:$F$308,Master!$H$2:$H$308,""))</f>
        <v>fig-medical-care-cost</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v>2016</v>
      </c>
      <c r="G6" s="42">
        <v>8.6</v>
      </c>
      <c r="H6" s="42">
        <v>11.1</v>
      </c>
      <c r="I6" s="42">
        <v>13.5</v>
      </c>
      <c r="J6" s="42">
        <v>11.8</v>
      </c>
      <c r="K6" s="42">
        <v>20.9</v>
      </c>
      <c r="L6" s="42">
        <v>11.2</v>
      </c>
      <c r="M6" s="42">
        <v>12.4</v>
      </c>
      <c r="N6" s="42">
        <v>11.5</v>
      </c>
    </row>
    <row r="7" spans="1:15" ht="15.75" customHeight="1" x14ac:dyDescent="0.2">
      <c r="E7" s="99"/>
      <c r="F7">
        <v>2018</v>
      </c>
      <c r="G7" s="42">
        <v>7.7</v>
      </c>
      <c r="H7" s="42">
        <v>8.5</v>
      </c>
      <c r="I7" s="42">
        <v>11.4</v>
      </c>
      <c r="J7" s="42">
        <v>11.8</v>
      </c>
      <c r="K7" s="42">
        <v>11.3</v>
      </c>
      <c r="L7" s="42">
        <v>12.7</v>
      </c>
      <c r="M7" s="42">
        <v>7.5</v>
      </c>
      <c r="N7" s="42">
        <v>11.3</v>
      </c>
    </row>
    <row r="8" spans="1:15" x14ac:dyDescent="0.2">
      <c r="E8" s="99"/>
      <c r="F8">
        <v>2021</v>
      </c>
      <c r="G8" s="42">
        <v>8.6999999999999993</v>
      </c>
      <c r="H8" s="42" t="s">
        <v>1296</v>
      </c>
      <c r="I8" s="42">
        <v>9.9</v>
      </c>
      <c r="J8" s="42">
        <v>8.4</v>
      </c>
      <c r="K8" s="42">
        <v>4.9000000000000004</v>
      </c>
      <c r="L8" s="42">
        <v>5.3</v>
      </c>
      <c r="M8" s="42">
        <v>8.3000000000000007</v>
      </c>
      <c r="N8" s="42">
        <v>8.4</v>
      </c>
    </row>
    <row r="9" spans="1:15" x14ac:dyDescent="0.2">
      <c r="A9" s="98" t="s">
        <v>893</v>
      </c>
      <c r="B9" s="99"/>
      <c r="E9" s="99"/>
      <c r="G9" s="42"/>
      <c r="H9" s="42"/>
      <c r="I9" s="42"/>
      <c r="J9" s="42"/>
      <c r="K9" s="42"/>
      <c r="L9" s="42"/>
      <c r="M9" s="42"/>
      <c r="N9" s="42"/>
    </row>
    <row r="10" spans="1:15" x14ac:dyDescent="0.2">
      <c r="A10" t="s">
        <v>894</v>
      </c>
      <c r="B10" t="s">
        <v>972</v>
      </c>
      <c r="E10" s="99"/>
      <c r="G10" s="42"/>
      <c r="H10" s="42"/>
      <c r="I10" s="42"/>
      <c r="J10" s="42"/>
      <c r="K10" s="42"/>
      <c r="L10" s="42"/>
      <c r="M10" s="42"/>
      <c r="N10" s="42"/>
    </row>
    <row r="11" spans="1:15" x14ac:dyDescent="0.2">
      <c r="A11" t="s">
        <v>895</v>
      </c>
      <c r="B11" t="s">
        <v>973</v>
      </c>
      <c r="E11" s="99"/>
      <c r="G11" s="42"/>
      <c r="H11" s="42"/>
      <c r="I11" s="42"/>
      <c r="J11" s="42"/>
      <c r="K11" s="42"/>
      <c r="L11" s="42"/>
      <c r="M11" s="42"/>
      <c r="N11" s="42"/>
    </row>
    <row r="12" spans="1:15" x14ac:dyDescent="0.2">
      <c r="A12" t="s">
        <v>896</v>
      </c>
      <c r="E12" s="99"/>
    </row>
    <row r="13" spans="1:15" x14ac:dyDescent="0.2">
      <c r="A13" t="s">
        <v>897</v>
      </c>
      <c r="E13" s="99"/>
    </row>
    <row r="14" spans="1:15" x14ac:dyDescent="0.2">
      <c r="A14" t="s">
        <v>899</v>
      </c>
      <c r="B14" s="82" t="s">
        <v>694</v>
      </c>
      <c r="E14" s="99"/>
    </row>
    <row r="15" spans="1:15" x14ac:dyDescent="0.2">
      <c r="A15" t="s">
        <v>901</v>
      </c>
      <c r="B15" t="b">
        <v>1</v>
      </c>
      <c r="E15" s="99"/>
    </row>
    <row r="16" spans="1:15" x14ac:dyDescent="0.2">
      <c r="A16" t="s">
        <v>1145</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E15AAB36-4C97-6140-BEE6-F3F713EE5AE0}">
      <formula1>"True,False"</formula1>
    </dataValidation>
    <dataValidation type="list" allowBlank="1" showInputMessage="1" showErrorMessage="1" sqref="B2" xr:uid="{494CA2E5-5B0B-9B4E-8B8E-17B5346C46DE}">
      <formula1>"Table,Figure,Both"</formula1>
    </dataValidation>
    <dataValidation type="list" allowBlank="1" showInputMessage="1" showErrorMessage="1" sqref="B10" xr:uid="{37B7B6A7-0CC4-7F47-88EC-E857F46245DB}">
      <formula1>"Line,Clustered Bar,Stacked Bar"</formula1>
    </dataValidation>
    <dataValidation type="list" allowBlank="1" showInputMessage="1" showErrorMessage="1" sqref="F4:O4" xr:uid="{ABB8DA3A-22B7-2842-8223-73C021BA45F0}">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BBE94C2-573A-BB41-9AB4-DA26CC7E1A4D}">
          <x14:formula1>
            <xm:f>Master!$F$2:$F$293</xm:f>
          </x14:formula1>
          <xm:sqref>B1:O1</xm:sqref>
        </x14:dataValidation>
      </x14:dataValidation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45D4-94C5-FA47-B887-6EFE2F16BB8F}">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146</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tbl-children-uninsured</v>
      </c>
    </row>
    <row r="4" spans="1:15" x14ac:dyDescent="0.2">
      <c r="A4" s="58" t="s">
        <v>6</v>
      </c>
      <c r="B4" t="str">
        <f>IF($B$1="","",_xlfn.XLOOKUP($B$1,Master!$F$2:$F$308,Master!$H$2:$H$308,""))</f>
        <v>fig-children-uninsured</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v>2020</v>
      </c>
      <c r="G6" s="42">
        <v>2.4</v>
      </c>
      <c r="H6" s="42">
        <v>2.2999999999999998</v>
      </c>
      <c r="I6" s="42">
        <v>2.5</v>
      </c>
      <c r="J6" s="42">
        <v>2.4</v>
      </c>
      <c r="K6" s="42">
        <v>4.0999999999999996</v>
      </c>
      <c r="L6" s="42">
        <v>2.5</v>
      </c>
      <c r="M6" s="42">
        <v>2.7</v>
      </c>
      <c r="N6" s="42">
        <v>2.5</v>
      </c>
    </row>
    <row r="7" spans="1:15" ht="15.75" customHeight="1" x14ac:dyDescent="0.2">
      <c r="E7" s="99"/>
      <c r="F7">
        <v>2021</v>
      </c>
      <c r="G7" s="42">
        <v>2.7</v>
      </c>
      <c r="H7" s="42">
        <v>2.8</v>
      </c>
      <c r="I7" s="42">
        <v>2.5</v>
      </c>
      <c r="J7" s="42">
        <v>2.2999999999999998</v>
      </c>
      <c r="K7" s="42">
        <v>3.2</v>
      </c>
      <c r="L7" s="42">
        <v>2.8</v>
      </c>
      <c r="M7" s="42">
        <v>3.2</v>
      </c>
      <c r="N7" s="42">
        <v>2.6</v>
      </c>
    </row>
    <row r="8" spans="1:15" x14ac:dyDescent="0.2">
      <c r="E8" s="99"/>
      <c r="F8">
        <v>2022</v>
      </c>
      <c r="G8" s="42">
        <v>2.2999999999999998</v>
      </c>
      <c r="H8" s="42">
        <v>2.8</v>
      </c>
      <c r="I8" s="42">
        <v>2.5</v>
      </c>
      <c r="J8" s="42">
        <v>3</v>
      </c>
      <c r="K8" s="42">
        <v>3.4</v>
      </c>
      <c r="L8" s="42">
        <v>2.7</v>
      </c>
      <c r="M8" s="42">
        <v>2.2999999999999998</v>
      </c>
      <c r="N8" s="42">
        <v>2.5</v>
      </c>
    </row>
    <row r="9" spans="1:15" x14ac:dyDescent="0.2">
      <c r="A9" s="98" t="s">
        <v>893</v>
      </c>
      <c r="B9" s="99"/>
      <c r="E9" s="99"/>
      <c r="F9">
        <v>2023</v>
      </c>
      <c r="G9" s="42">
        <v>2.6</v>
      </c>
      <c r="H9" s="42">
        <v>2.7</v>
      </c>
      <c r="I9" s="42">
        <v>2.4</v>
      </c>
      <c r="J9" s="42">
        <v>2.8</v>
      </c>
      <c r="K9" s="42">
        <v>3.5</v>
      </c>
      <c r="L9" s="42">
        <v>3</v>
      </c>
      <c r="M9" s="42">
        <v>2.8</v>
      </c>
      <c r="N9" s="42">
        <v>2.8</v>
      </c>
    </row>
    <row r="10" spans="1:15" x14ac:dyDescent="0.2">
      <c r="A10" t="s">
        <v>894</v>
      </c>
      <c r="B10" t="s">
        <v>972</v>
      </c>
      <c r="E10" s="99"/>
      <c r="G10" s="42"/>
      <c r="H10" s="42"/>
      <c r="I10" s="42"/>
      <c r="J10" s="42"/>
      <c r="K10" s="42"/>
      <c r="L10" s="42"/>
      <c r="M10" s="42"/>
      <c r="N10" s="42"/>
    </row>
    <row r="11" spans="1:15" x14ac:dyDescent="0.2">
      <c r="A11" t="s">
        <v>895</v>
      </c>
      <c r="B11" t="s">
        <v>973</v>
      </c>
      <c r="E11" s="99"/>
      <c r="G11" s="42"/>
      <c r="H11" s="42"/>
      <c r="I11" s="42"/>
      <c r="J11" s="42"/>
      <c r="K11" s="42"/>
      <c r="L11" s="42"/>
      <c r="M11" s="42"/>
      <c r="N11" s="42"/>
    </row>
    <row r="12" spans="1:15" x14ac:dyDescent="0.2">
      <c r="A12" t="s">
        <v>896</v>
      </c>
      <c r="E12" s="99"/>
    </row>
    <row r="13" spans="1:15" x14ac:dyDescent="0.2">
      <c r="A13" t="s">
        <v>897</v>
      </c>
      <c r="E13" s="99"/>
    </row>
    <row r="14" spans="1:15" x14ac:dyDescent="0.2">
      <c r="A14" t="s">
        <v>899</v>
      </c>
      <c r="B14" s="82" t="s">
        <v>694</v>
      </c>
      <c r="E14" s="99"/>
    </row>
    <row r="15" spans="1:15" x14ac:dyDescent="0.2">
      <c r="A15" t="s">
        <v>901</v>
      </c>
      <c r="B15" t="b">
        <v>1</v>
      </c>
      <c r="E15" s="99"/>
    </row>
    <row r="16" spans="1:15" x14ac:dyDescent="0.2">
      <c r="A16" t="s">
        <v>1145</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F4:O4" xr:uid="{031CD349-C9C2-C14F-9FAA-114E7B0499B3}">
      <formula1>"integer, number, percent1"</formula1>
    </dataValidation>
    <dataValidation type="list" allowBlank="1" showInputMessage="1" showErrorMessage="1" sqref="B10" xr:uid="{98D6AF85-584F-A542-BBBF-7CCC609EF0AD}">
      <formula1>"Line,Clustered Bar,Stacked Bar"</formula1>
    </dataValidation>
    <dataValidation type="list" allowBlank="1" showInputMessage="1" showErrorMessage="1" sqref="B2" xr:uid="{544CCF79-5DE8-014D-9B80-D7103115701A}">
      <formula1>"Table,Figure,Both"</formula1>
    </dataValidation>
    <dataValidation type="list" allowBlank="1" showInputMessage="1" showErrorMessage="1" sqref="B6 B15:B16" xr:uid="{AE927C5E-2516-9D4D-B7B3-4822440DFF7A}">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EEB1D9D-5AEA-6D48-B086-39D69F6FCB22}">
          <x14:formula1>
            <xm:f>Master!$F$2:$F$293</xm:f>
          </x14:formula1>
          <xm:sqref>B1:O1</xm:sqref>
        </x14:dataValidation>
      </x14:dataValidation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9314-0751-F049-9A9A-BD4DCD3DE442}">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150</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tbl-adult-health-insured</v>
      </c>
    </row>
    <row r="4" spans="1:15" x14ac:dyDescent="0.2">
      <c r="A4" s="58" t="s">
        <v>6</v>
      </c>
      <c r="B4" t="str">
        <f>IF($B$1="","",_xlfn.XLOOKUP($B$1,Master!$F$2:$F$308,Master!$H$2:$H$308,""))</f>
        <v>fig-adult-health-insured</v>
      </c>
      <c r="E4" s="13"/>
      <c r="F4" s="16" t="s">
        <v>664</v>
      </c>
      <c r="G4" s="16" t="s">
        <v>679</v>
      </c>
      <c r="H4" s="16" t="s">
        <v>679</v>
      </c>
      <c r="I4" s="16" t="s">
        <v>679</v>
      </c>
      <c r="J4" s="16" t="s">
        <v>679</v>
      </c>
      <c r="K4" s="16" t="s">
        <v>679</v>
      </c>
      <c r="L4" s="16" t="s">
        <v>679</v>
      </c>
      <c r="M4" s="16" t="s">
        <v>679</v>
      </c>
      <c r="N4" s="16" t="s">
        <v>679</v>
      </c>
      <c r="O4" s="16"/>
    </row>
    <row r="5" spans="1:15" x14ac:dyDescent="0.2">
      <c r="A5" s="98" t="s">
        <v>885</v>
      </c>
      <c r="B5" s="99"/>
      <c r="E5" s="100" t="s">
        <v>886</v>
      </c>
      <c r="F5" t="s">
        <v>1123</v>
      </c>
      <c r="G5" t="s">
        <v>220</v>
      </c>
      <c r="H5" t="s">
        <v>18</v>
      </c>
      <c r="I5" t="s">
        <v>537</v>
      </c>
      <c r="J5" t="s">
        <v>449</v>
      </c>
      <c r="K5" t="s">
        <v>409</v>
      </c>
      <c r="L5" t="s">
        <v>421</v>
      </c>
      <c r="M5" t="s">
        <v>470</v>
      </c>
      <c r="N5" t="s">
        <v>915</v>
      </c>
    </row>
    <row r="6" spans="1:15" ht="15" customHeight="1" x14ac:dyDescent="0.2">
      <c r="A6" t="s">
        <v>891</v>
      </c>
      <c r="B6" t="b">
        <v>0</v>
      </c>
      <c r="E6" s="99"/>
      <c r="F6">
        <v>2020</v>
      </c>
      <c r="G6" s="42">
        <v>94.5</v>
      </c>
      <c r="H6" s="42">
        <v>93.2</v>
      </c>
      <c r="I6" s="42">
        <v>95.1</v>
      </c>
      <c r="J6" s="42">
        <v>93.3</v>
      </c>
      <c r="K6" s="42">
        <v>92.6</v>
      </c>
      <c r="L6" s="42">
        <v>92.6</v>
      </c>
      <c r="M6" s="42">
        <v>93.2</v>
      </c>
      <c r="N6" s="42">
        <v>92.7</v>
      </c>
    </row>
    <row r="7" spans="1:15" ht="15.75" customHeight="1" x14ac:dyDescent="0.2">
      <c r="E7" s="99"/>
      <c r="F7">
        <v>2021</v>
      </c>
      <c r="G7" s="42">
        <v>94.2</v>
      </c>
      <c r="H7" s="42">
        <v>93.5</v>
      </c>
      <c r="I7" s="42">
        <v>94.6</v>
      </c>
      <c r="J7" s="42">
        <v>93.3</v>
      </c>
      <c r="K7" s="42">
        <v>92.4</v>
      </c>
      <c r="L7" s="42">
        <v>92.7</v>
      </c>
      <c r="M7" s="42">
        <v>93</v>
      </c>
      <c r="N7" s="42">
        <v>92.6</v>
      </c>
    </row>
    <row r="8" spans="1:15" x14ac:dyDescent="0.2">
      <c r="E8" s="99"/>
      <c r="F8">
        <v>2022</v>
      </c>
      <c r="G8" s="42">
        <v>94.6</v>
      </c>
      <c r="H8" s="42">
        <v>93.3</v>
      </c>
      <c r="I8" s="42">
        <v>95</v>
      </c>
      <c r="J8" s="42">
        <v>93.6</v>
      </c>
      <c r="K8" s="42">
        <v>92.9</v>
      </c>
      <c r="L8" s="42">
        <v>91.8</v>
      </c>
      <c r="M8" s="42">
        <v>93.6</v>
      </c>
      <c r="N8" s="42">
        <v>93.2</v>
      </c>
    </row>
    <row r="9" spans="1:15" x14ac:dyDescent="0.2">
      <c r="A9" s="98" t="s">
        <v>893</v>
      </c>
      <c r="B9" s="99"/>
      <c r="E9" s="99"/>
      <c r="F9">
        <v>2023</v>
      </c>
      <c r="G9" s="42">
        <v>94.4</v>
      </c>
      <c r="H9" s="42">
        <v>93</v>
      </c>
      <c r="I9" s="42">
        <v>94.9</v>
      </c>
      <c r="J9" s="42">
        <v>92.3</v>
      </c>
      <c r="K9" s="42">
        <v>92.5</v>
      </c>
      <c r="L9" s="42">
        <v>92</v>
      </c>
      <c r="M9" s="42">
        <v>93.6</v>
      </c>
      <c r="N9" s="42">
        <v>93.2</v>
      </c>
    </row>
    <row r="10" spans="1:15" x14ac:dyDescent="0.2">
      <c r="A10" t="s">
        <v>894</v>
      </c>
      <c r="B10" t="s">
        <v>972</v>
      </c>
      <c r="E10" s="99"/>
      <c r="G10" s="42"/>
      <c r="H10" s="42"/>
      <c r="I10" s="42"/>
      <c r="J10" s="42"/>
      <c r="K10" s="42"/>
      <c r="L10" s="42"/>
      <c r="M10" s="42"/>
      <c r="N10" s="42"/>
    </row>
    <row r="11" spans="1:15" x14ac:dyDescent="0.2">
      <c r="A11" t="s">
        <v>895</v>
      </c>
      <c r="B11" t="s">
        <v>973</v>
      </c>
      <c r="E11" s="99"/>
      <c r="G11" s="42"/>
      <c r="H11" s="42"/>
      <c r="I11" s="42"/>
      <c r="J11" s="42"/>
      <c r="K11" s="42"/>
      <c r="L11" s="42"/>
      <c r="M11" s="42"/>
      <c r="N11" s="42"/>
    </row>
    <row r="12" spans="1:15" x14ac:dyDescent="0.2">
      <c r="A12" t="s">
        <v>896</v>
      </c>
      <c r="E12" s="99"/>
    </row>
    <row r="13" spans="1:15" x14ac:dyDescent="0.2">
      <c r="A13" t="s">
        <v>897</v>
      </c>
      <c r="E13" s="99"/>
    </row>
    <row r="14" spans="1:15" x14ac:dyDescent="0.2">
      <c r="A14" t="s">
        <v>899</v>
      </c>
      <c r="B14" s="82" t="s">
        <v>694</v>
      </c>
      <c r="E14" s="99"/>
    </row>
    <row r="15" spans="1:15" x14ac:dyDescent="0.2">
      <c r="A15" t="s">
        <v>901</v>
      </c>
      <c r="B15" t="b">
        <v>0</v>
      </c>
      <c r="E15" s="99"/>
    </row>
    <row r="16" spans="1:15" x14ac:dyDescent="0.2">
      <c r="A16" t="s">
        <v>1145</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5EAD952-6DF7-724A-AACF-9A1B41DF7310}">
      <formula1>"True,False"</formula1>
    </dataValidation>
    <dataValidation type="list" allowBlank="1" showInputMessage="1" showErrorMessage="1" sqref="B2" xr:uid="{BE60AE05-864D-4B40-A2A0-8DD6D1656406}">
      <formula1>"Table,Figure,Both"</formula1>
    </dataValidation>
    <dataValidation type="list" allowBlank="1" showInputMessage="1" showErrorMessage="1" sqref="B10" xr:uid="{F690FA3A-5625-664C-ACA3-1E6A8112EEF1}">
      <formula1>"Line,Clustered Bar,Stacked Bar"</formula1>
    </dataValidation>
    <dataValidation type="list" allowBlank="1" showInputMessage="1" showErrorMessage="1" sqref="F4:O4" xr:uid="{C0456C0E-7DD8-0C40-9C0B-CE5B2E0EA57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2095EB0-F949-9943-A984-502F791F82BF}">
          <x14:formula1>
            <xm:f>Master!$F$2:$F$293</xm:f>
          </x14:formula1>
          <xm:sqref>B1:O1</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33F2-4485-FB40-A526-C841CC8F0886}">
  <dimension ref="A1:O57"/>
  <sheetViews>
    <sheetView workbookViewId="0"/>
  </sheetViews>
  <sheetFormatPr baseColWidth="10" defaultColWidth="8.6640625" defaultRowHeight="15" x14ac:dyDescent="0.2"/>
  <cols>
    <col min="1" max="1" width="20" bestFit="1" customWidth="1"/>
    <col min="2" max="2" width="18.5" bestFit="1" customWidth="1"/>
    <col min="5" max="5" width="6.6640625" customWidth="1"/>
    <col min="6" max="6" width="15.1640625" bestFit="1" customWidth="1"/>
    <col min="7" max="7" width="48.6640625" bestFit="1" customWidth="1"/>
    <col min="8" max="8" width="35.33203125" bestFit="1" customWidth="1"/>
    <col min="9" max="9" width="8.6640625" bestFit="1" customWidth="1"/>
    <col min="10" max="10" width="14" bestFit="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152</v>
      </c>
      <c r="C1" s="97"/>
      <c r="D1" s="97"/>
      <c r="E1" s="97"/>
      <c r="F1" s="97"/>
      <c r="G1" s="97"/>
      <c r="H1" s="97"/>
      <c r="I1" s="97"/>
      <c r="J1" s="97"/>
      <c r="K1" s="97"/>
      <c r="L1" s="97"/>
      <c r="M1" s="97"/>
      <c r="N1" s="97"/>
      <c r="O1" s="97"/>
    </row>
    <row r="2" spans="1:15" x14ac:dyDescent="0.2">
      <c r="A2" s="58" t="s">
        <v>883</v>
      </c>
      <c r="B2" t="s">
        <v>12</v>
      </c>
    </row>
    <row r="3" spans="1:15" x14ac:dyDescent="0.2">
      <c r="A3" s="58" t="s">
        <v>884</v>
      </c>
      <c r="B3" t="str">
        <f>IF($B$1="","",_xlfn.XLOOKUP($B$1,Master!$F$2:$F$308,Master!$G$2:$G$308,""))</f>
        <v>tbl-medically-underserved</v>
      </c>
    </row>
    <row r="4" spans="1:15" x14ac:dyDescent="0.2">
      <c r="A4" s="58" t="s">
        <v>6</v>
      </c>
      <c r="B4">
        <f>IF($B$1="","",_xlfn.XLOOKUP($B$1,Master!$F$2:$F$308,Master!$H$2:$H$308,""))</f>
        <v>0</v>
      </c>
      <c r="E4" s="13"/>
      <c r="F4" s="16" t="s">
        <v>664</v>
      </c>
      <c r="G4" s="16" t="s">
        <v>664</v>
      </c>
      <c r="H4" s="16" t="s">
        <v>664</v>
      </c>
      <c r="I4" s="16" t="s">
        <v>664</v>
      </c>
      <c r="J4" s="16" t="s">
        <v>714</v>
      </c>
      <c r="K4" s="16"/>
      <c r="L4" s="16"/>
      <c r="M4" s="16"/>
      <c r="N4" s="16"/>
      <c r="O4" s="16"/>
    </row>
    <row r="5" spans="1:15" x14ac:dyDescent="0.2">
      <c r="A5" s="98" t="s">
        <v>885</v>
      </c>
      <c r="B5" s="99"/>
      <c r="E5" s="100" t="s">
        <v>886</v>
      </c>
      <c r="G5" t="s">
        <v>1297</v>
      </c>
      <c r="H5" t="s">
        <v>1298</v>
      </c>
      <c r="I5" t="s">
        <v>1299</v>
      </c>
      <c r="J5" t="s">
        <v>1300</v>
      </c>
    </row>
    <row r="6" spans="1:15" ht="15" customHeight="1" x14ac:dyDescent="0.2">
      <c r="A6" t="s">
        <v>891</v>
      </c>
      <c r="B6" t="b">
        <v>0</v>
      </c>
      <c r="E6" s="99"/>
      <c r="F6" t="s">
        <v>220</v>
      </c>
      <c r="G6" s="42" t="s">
        <v>1301</v>
      </c>
      <c r="H6" s="42" t="s">
        <v>1302</v>
      </c>
      <c r="I6" s="42">
        <v>59.2</v>
      </c>
      <c r="J6" s="44">
        <v>37036</v>
      </c>
      <c r="K6" s="42"/>
      <c r="L6" s="42"/>
      <c r="M6" s="42"/>
      <c r="N6" s="42"/>
    </row>
    <row r="7" spans="1:15" ht="15.75" customHeight="1" x14ac:dyDescent="0.2">
      <c r="E7" s="99"/>
      <c r="F7" t="s">
        <v>220</v>
      </c>
      <c r="G7" s="42" t="s">
        <v>1303</v>
      </c>
      <c r="H7" s="42" t="s">
        <v>1302</v>
      </c>
      <c r="I7" s="42">
        <v>44.8</v>
      </c>
      <c r="J7" s="44">
        <v>36997</v>
      </c>
      <c r="K7" s="42"/>
      <c r="L7" s="42"/>
      <c r="M7" s="42"/>
      <c r="N7" s="42"/>
    </row>
    <row r="8" spans="1:15" x14ac:dyDescent="0.2">
      <c r="E8" s="99"/>
      <c r="F8" t="s">
        <v>220</v>
      </c>
      <c r="G8" s="42" t="s">
        <v>1304</v>
      </c>
      <c r="H8" s="42" t="s">
        <v>1305</v>
      </c>
      <c r="I8" s="42" t="s">
        <v>900</v>
      </c>
      <c r="J8" s="44">
        <v>34156</v>
      </c>
      <c r="K8" s="42"/>
      <c r="L8" s="42"/>
      <c r="M8" s="42"/>
      <c r="N8" s="42"/>
    </row>
    <row r="9" spans="1:15" x14ac:dyDescent="0.2">
      <c r="A9" s="98" t="s">
        <v>893</v>
      </c>
      <c r="B9" s="99"/>
      <c r="E9" s="99"/>
      <c r="F9" t="s">
        <v>18</v>
      </c>
      <c r="G9" s="42" t="s">
        <v>1306</v>
      </c>
      <c r="H9" s="42" t="s">
        <v>1307</v>
      </c>
      <c r="I9" s="42">
        <v>55.5</v>
      </c>
      <c r="J9" s="44">
        <v>34458</v>
      </c>
      <c r="K9" s="42"/>
      <c r="L9" s="42"/>
      <c r="M9" s="42"/>
      <c r="N9" s="42"/>
    </row>
    <row r="10" spans="1:15" x14ac:dyDescent="0.2">
      <c r="A10" t="s">
        <v>894</v>
      </c>
      <c r="E10" s="99"/>
      <c r="F10" t="s">
        <v>18</v>
      </c>
      <c r="G10" s="42" t="s">
        <v>1308</v>
      </c>
      <c r="H10" s="42" t="s">
        <v>1307</v>
      </c>
      <c r="I10" s="42">
        <v>60.8</v>
      </c>
      <c r="J10" s="44">
        <v>36340</v>
      </c>
      <c r="K10" s="42"/>
      <c r="L10" s="42"/>
      <c r="M10" s="42"/>
      <c r="N10" s="42"/>
    </row>
    <row r="11" spans="1:15" x14ac:dyDescent="0.2">
      <c r="A11" t="s">
        <v>895</v>
      </c>
      <c r="E11" s="99"/>
      <c r="F11" t="s">
        <v>18</v>
      </c>
      <c r="G11" s="42" t="s">
        <v>1309</v>
      </c>
      <c r="H11" s="42" t="s">
        <v>1307</v>
      </c>
      <c r="I11" s="42">
        <v>45</v>
      </c>
      <c r="J11" s="44">
        <v>34171</v>
      </c>
      <c r="K11" s="42"/>
      <c r="L11" s="42"/>
      <c r="M11" s="42"/>
      <c r="N11" s="42"/>
    </row>
    <row r="12" spans="1:15" x14ac:dyDescent="0.2">
      <c r="A12" t="s">
        <v>896</v>
      </c>
      <c r="E12" s="99"/>
      <c r="F12" t="s">
        <v>18</v>
      </c>
      <c r="G12" t="s">
        <v>1310</v>
      </c>
      <c r="H12" t="s">
        <v>1302</v>
      </c>
      <c r="I12">
        <v>58.2</v>
      </c>
      <c r="J12" s="45">
        <v>34432</v>
      </c>
    </row>
    <row r="13" spans="1:15" x14ac:dyDescent="0.2">
      <c r="A13" t="s">
        <v>897</v>
      </c>
      <c r="E13" s="99"/>
      <c r="F13" t="s">
        <v>449</v>
      </c>
      <c r="G13" t="s">
        <v>1311</v>
      </c>
      <c r="H13" t="s">
        <v>1307</v>
      </c>
      <c r="I13">
        <v>45.5</v>
      </c>
      <c r="J13" s="45">
        <v>34184</v>
      </c>
    </row>
    <row r="14" spans="1:15" x14ac:dyDescent="0.2">
      <c r="A14" t="s">
        <v>899</v>
      </c>
      <c r="E14" s="99"/>
      <c r="F14" t="s">
        <v>449</v>
      </c>
      <c r="G14" t="s">
        <v>1312</v>
      </c>
      <c r="H14" t="s">
        <v>1302</v>
      </c>
      <c r="I14">
        <v>61.6</v>
      </c>
      <c r="J14" s="45">
        <v>38925</v>
      </c>
    </row>
    <row r="15" spans="1:15" x14ac:dyDescent="0.2">
      <c r="A15" t="s">
        <v>901</v>
      </c>
      <c r="E15" s="99"/>
      <c r="F15" t="s">
        <v>409</v>
      </c>
      <c r="G15" t="s">
        <v>1313</v>
      </c>
      <c r="H15" t="s">
        <v>1302</v>
      </c>
      <c r="I15">
        <v>59.3</v>
      </c>
      <c r="J15" s="45">
        <v>37407</v>
      </c>
    </row>
    <row r="16" spans="1:15" x14ac:dyDescent="0.2">
      <c r="A16" t="s">
        <v>1145</v>
      </c>
      <c r="E16" s="99"/>
      <c r="F16" t="s">
        <v>409</v>
      </c>
      <c r="G16" t="s">
        <v>1314</v>
      </c>
      <c r="H16" t="s">
        <v>1302</v>
      </c>
      <c r="I16">
        <v>61.4</v>
      </c>
      <c r="J16" s="45">
        <v>38162</v>
      </c>
    </row>
    <row r="17" spans="1:10" x14ac:dyDescent="0.2">
      <c r="E17" s="99"/>
      <c r="F17" t="s">
        <v>1315</v>
      </c>
      <c r="G17" t="s">
        <v>1316</v>
      </c>
      <c r="H17" t="s">
        <v>1302</v>
      </c>
      <c r="I17">
        <v>61.8</v>
      </c>
      <c r="J17" s="45">
        <v>37425</v>
      </c>
    </row>
    <row r="18" spans="1:10" x14ac:dyDescent="0.2">
      <c r="A18" s="98" t="s">
        <v>902</v>
      </c>
      <c r="B18" s="99"/>
      <c r="E18" s="99"/>
      <c r="F18" t="s">
        <v>421</v>
      </c>
      <c r="G18" t="s">
        <v>1317</v>
      </c>
      <c r="H18" t="s">
        <v>1307</v>
      </c>
      <c r="I18">
        <v>58.8</v>
      </c>
      <c r="J18" s="45">
        <v>29713</v>
      </c>
    </row>
    <row r="19" spans="1:10" x14ac:dyDescent="0.2">
      <c r="A19" t="s">
        <v>903</v>
      </c>
      <c r="E19" s="99"/>
      <c r="F19" t="s">
        <v>470</v>
      </c>
      <c r="G19" t="s">
        <v>1318</v>
      </c>
      <c r="H19" t="s">
        <v>1307</v>
      </c>
      <c r="I19">
        <v>61.6</v>
      </c>
      <c r="J19" s="45">
        <v>34520</v>
      </c>
    </row>
    <row r="20" spans="1:10" x14ac:dyDescent="0.2">
      <c r="A20" t="s">
        <v>904</v>
      </c>
      <c r="E20" s="99"/>
      <c r="F20" t="s">
        <v>470</v>
      </c>
      <c r="G20" t="s">
        <v>1319</v>
      </c>
      <c r="H20" t="s">
        <v>1307</v>
      </c>
      <c r="I20">
        <v>54</v>
      </c>
      <c r="J20" s="45">
        <v>28586</v>
      </c>
    </row>
    <row r="21" spans="1:10" x14ac:dyDescent="0.2">
      <c r="A21" t="s">
        <v>905</v>
      </c>
      <c r="E21" s="99"/>
      <c r="F21" t="s">
        <v>470</v>
      </c>
      <c r="G21" t="s">
        <v>1320</v>
      </c>
      <c r="H21" t="s">
        <v>1305</v>
      </c>
      <c r="I21" t="s">
        <v>900</v>
      </c>
      <c r="J21" s="45">
        <v>37680</v>
      </c>
    </row>
    <row r="22" spans="1:10" x14ac:dyDescent="0.2">
      <c r="A22" t="s">
        <v>906</v>
      </c>
      <c r="E22" s="99"/>
      <c r="F22" t="s">
        <v>470</v>
      </c>
      <c r="G22" t="s">
        <v>1321</v>
      </c>
      <c r="H22" t="s">
        <v>1307</v>
      </c>
      <c r="I22">
        <v>58.8</v>
      </c>
      <c r="J22" s="45">
        <v>34458</v>
      </c>
    </row>
    <row r="23" spans="1:10" x14ac:dyDescent="0.2">
      <c r="A23" t="s">
        <v>907</v>
      </c>
      <c r="E23" s="99"/>
      <c r="F23" t="s">
        <v>470</v>
      </c>
      <c r="G23" t="s">
        <v>1322</v>
      </c>
      <c r="H23" t="s">
        <v>1305</v>
      </c>
      <c r="I23" t="s">
        <v>900</v>
      </c>
      <c r="J23" s="45">
        <v>34067</v>
      </c>
    </row>
    <row r="24" spans="1:10" x14ac:dyDescent="0.2">
      <c r="A24" t="s">
        <v>908</v>
      </c>
      <c r="E24" s="99"/>
      <c r="F24" t="s">
        <v>470</v>
      </c>
      <c r="G24" t="s">
        <v>1323</v>
      </c>
      <c r="H24" t="s">
        <v>1307</v>
      </c>
      <c r="I24">
        <v>41.2</v>
      </c>
      <c r="J24" s="45">
        <v>32423</v>
      </c>
    </row>
    <row r="25" spans="1:10" x14ac:dyDescent="0.2">
      <c r="A25" t="s">
        <v>909</v>
      </c>
      <c r="E25" s="99"/>
    </row>
    <row r="26" spans="1:10" x14ac:dyDescent="0.2">
      <c r="E26" s="99"/>
    </row>
    <row r="27" spans="1:10" x14ac:dyDescent="0.2">
      <c r="A27" s="101" t="s">
        <v>910</v>
      </c>
      <c r="B27" s="99"/>
      <c r="E27" s="99"/>
    </row>
    <row r="28" spans="1:10" x14ac:dyDescent="0.2">
      <c r="E28" s="99"/>
    </row>
    <row r="29" spans="1:10" x14ac:dyDescent="0.2">
      <c r="E29" s="99"/>
    </row>
    <row r="30" spans="1:10" x14ac:dyDescent="0.2">
      <c r="E30" s="99"/>
    </row>
    <row r="31" spans="1:10" x14ac:dyDescent="0.2">
      <c r="E31" s="99"/>
    </row>
    <row r="32" spans="1:10"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K4:O4" xr:uid="{0C8B28C9-24B2-AF49-A409-C76D7FCC7BC3}">
      <formula1>"integer, number, percent1"</formula1>
    </dataValidation>
    <dataValidation type="list" allowBlank="1" showInputMessage="1" showErrorMessage="1" sqref="B10" xr:uid="{ACC57C8E-0C2C-8E42-B88C-AC30C4AFBF69}">
      <formula1>"Line,Clustered Bar,Stacked Bar"</formula1>
    </dataValidation>
    <dataValidation type="list" allowBlank="1" showInputMessage="1" showErrorMessage="1" sqref="B2" xr:uid="{C8EE8898-8C06-BC48-860D-272479323A0C}">
      <formula1>"Table,Figure,Both"</formula1>
    </dataValidation>
    <dataValidation type="list" allowBlank="1" showInputMessage="1" showErrorMessage="1" sqref="B6 B15:B16" xr:uid="{7E3B3865-C079-6841-894B-65E289A5A96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0794D4F-3422-5141-A6C3-5D010A48F504}">
          <x14:formula1>
            <xm:f>Master!$F$2:$F$293</xm:f>
          </x14:formula1>
          <xm:sqref>B1:O1</xm:sqref>
        </x14:dataValidation>
        <x14:dataValidation type="list" allowBlank="1" showInputMessage="1" showErrorMessage="1" xr:uid="{45E4A255-C096-F14F-8905-947724962CB6}">
          <x14:formula1>
            <xm:f>Dropdowns!$A$1:$A$8</xm:f>
          </x14:formula1>
          <xm:sqref>F4:J4</xm:sqref>
        </x14:dataValidation>
      </x14:dataValidations>
    </ext>
  </extLs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93D2-6220-474C-9E7E-742D5400F903}">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157</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tbl-primary-care-providers</v>
      </c>
    </row>
    <row r="4" spans="1:15" x14ac:dyDescent="0.2">
      <c r="A4" s="58" t="s">
        <v>6</v>
      </c>
      <c r="B4" t="str">
        <f>IF($B$1="","",_xlfn.XLOOKUP($B$1,Master!$F$2:$F$308,Master!$H$2:$H$308,""))</f>
        <v>fig-primary-care-providers</v>
      </c>
      <c r="E4" s="13"/>
      <c r="F4" s="16" t="s">
        <v>664</v>
      </c>
      <c r="G4" s="16" t="s">
        <v>707</v>
      </c>
      <c r="H4" s="16" t="s">
        <v>707</v>
      </c>
      <c r="I4" s="16" t="s">
        <v>707</v>
      </c>
      <c r="J4" s="16" t="s">
        <v>707</v>
      </c>
      <c r="K4" s="16" t="s">
        <v>707</v>
      </c>
      <c r="L4" s="16" t="s">
        <v>707</v>
      </c>
      <c r="M4" s="16" t="s">
        <v>707</v>
      </c>
      <c r="N4" s="16" t="s">
        <v>707</v>
      </c>
      <c r="O4" s="16"/>
    </row>
    <row r="5" spans="1:15" x14ac:dyDescent="0.2">
      <c r="A5" s="98" t="s">
        <v>885</v>
      </c>
      <c r="B5" s="99"/>
      <c r="E5" s="100" t="s">
        <v>886</v>
      </c>
      <c r="F5" t="s">
        <v>1123</v>
      </c>
      <c r="G5" s="46" t="s">
        <v>220</v>
      </c>
      <c r="H5" s="46" t="s">
        <v>18</v>
      </c>
      <c r="I5" s="46" t="s">
        <v>537</v>
      </c>
      <c r="J5" s="46" t="s">
        <v>449</v>
      </c>
      <c r="K5" s="46" t="s">
        <v>409</v>
      </c>
      <c r="L5" s="46" t="s">
        <v>421</v>
      </c>
      <c r="M5" s="46" t="s">
        <v>470</v>
      </c>
      <c r="N5" s="46" t="s">
        <v>915</v>
      </c>
    </row>
    <row r="6" spans="1:15" ht="15" customHeight="1" x14ac:dyDescent="0.2">
      <c r="A6" t="s">
        <v>891</v>
      </c>
      <c r="B6" t="b">
        <v>0</v>
      </c>
      <c r="E6" s="99"/>
      <c r="F6">
        <v>2019</v>
      </c>
      <c r="G6" s="60" t="s">
        <v>1324</v>
      </c>
      <c r="H6" s="60" t="s">
        <v>1325</v>
      </c>
      <c r="I6" s="60" t="s">
        <v>1326</v>
      </c>
      <c r="J6" s="60" t="s">
        <v>1327</v>
      </c>
      <c r="K6" s="60" t="s">
        <v>1328</v>
      </c>
      <c r="L6" s="60" t="s">
        <v>1329</v>
      </c>
      <c r="M6" s="60" t="s">
        <v>1330</v>
      </c>
      <c r="N6" s="60" t="s">
        <v>1331</v>
      </c>
    </row>
    <row r="7" spans="1:15" ht="15.75" customHeight="1" x14ac:dyDescent="0.2">
      <c r="E7" s="99"/>
      <c r="F7">
        <v>2020</v>
      </c>
      <c r="G7" s="60" t="s">
        <v>1332</v>
      </c>
      <c r="H7" s="60" t="s">
        <v>1332</v>
      </c>
      <c r="I7" s="60" t="s">
        <v>1333</v>
      </c>
      <c r="J7" s="60" t="s">
        <v>1334</v>
      </c>
      <c r="K7" s="60" t="s">
        <v>1335</v>
      </c>
      <c r="L7" s="60" t="s">
        <v>1336</v>
      </c>
      <c r="M7" s="60" t="s">
        <v>1330</v>
      </c>
      <c r="N7" s="60" t="s">
        <v>1337</v>
      </c>
    </row>
    <row r="8" spans="1:15" x14ac:dyDescent="0.2">
      <c r="E8" s="99"/>
      <c r="F8">
        <v>2021</v>
      </c>
      <c r="G8" s="60" t="s">
        <v>1338</v>
      </c>
      <c r="H8" s="60" t="s">
        <v>1324</v>
      </c>
      <c r="I8" s="60" t="s">
        <v>1339</v>
      </c>
      <c r="J8" s="60" t="s">
        <v>1331</v>
      </c>
      <c r="K8" s="60" t="s">
        <v>1340</v>
      </c>
      <c r="L8" s="60" t="s">
        <v>1341</v>
      </c>
      <c r="M8" s="60" t="s">
        <v>1342</v>
      </c>
      <c r="N8" s="60" t="s">
        <v>1343</v>
      </c>
    </row>
    <row r="9" spans="1:15" x14ac:dyDescent="0.2">
      <c r="A9" s="98" t="s">
        <v>893</v>
      </c>
      <c r="B9" s="99"/>
      <c r="E9" s="99"/>
      <c r="G9" s="42"/>
      <c r="H9" s="42"/>
      <c r="I9" s="42"/>
      <c r="J9" s="42"/>
      <c r="K9" s="42"/>
      <c r="L9" s="42"/>
      <c r="M9" s="42"/>
      <c r="N9" s="42"/>
    </row>
    <row r="10" spans="1:15" x14ac:dyDescent="0.2">
      <c r="A10" t="s">
        <v>894</v>
      </c>
      <c r="B10" t="s">
        <v>972</v>
      </c>
      <c r="E10" s="99"/>
      <c r="G10" s="42"/>
      <c r="H10" s="42"/>
      <c r="I10" s="42"/>
      <c r="J10" s="42"/>
      <c r="K10" s="42"/>
      <c r="L10" s="42"/>
      <c r="M10" s="42"/>
      <c r="N10" s="42"/>
    </row>
    <row r="11" spans="1:15" x14ac:dyDescent="0.2">
      <c r="A11" t="s">
        <v>895</v>
      </c>
      <c r="B11" t="s">
        <v>973</v>
      </c>
      <c r="E11" s="99"/>
      <c r="G11" s="42"/>
      <c r="H11" s="42"/>
      <c r="I11" s="42"/>
      <c r="J11" s="42"/>
      <c r="K11" s="42"/>
      <c r="L11" s="42"/>
      <c r="M11" s="42"/>
      <c r="N11" s="42"/>
    </row>
    <row r="12" spans="1:15" x14ac:dyDescent="0.2">
      <c r="A12" t="s">
        <v>896</v>
      </c>
      <c r="E12" s="99"/>
    </row>
    <row r="13" spans="1:15" x14ac:dyDescent="0.2">
      <c r="A13" t="s">
        <v>897</v>
      </c>
      <c r="E13" s="99"/>
    </row>
    <row r="14" spans="1:15" x14ac:dyDescent="0.2">
      <c r="A14" t="s">
        <v>899</v>
      </c>
      <c r="B14" t="s">
        <v>721</v>
      </c>
      <c r="E14" s="99"/>
    </row>
    <row r="15" spans="1:15" x14ac:dyDescent="0.2">
      <c r="A15" t="s">
        <v>901</v>
      </c>
      <c r="B15" t="b">
        <v>0</v>
      </c>
      <c r="E15" s="99"/>
    </row>
    <row r="16" spans="1:15" x14ac:dyDescent="0.2">
      <c r="A16" t="s">
        <v>1145</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O4" xr:uid="{FF40128E-F56C-0844-9BE8-F7C03B48DE06}">
      <formula1>"integer, number, percent1"</formula1>
    </dataValidation>
    <dataValidation type="list" allowBlank="1" showInputMessage="1" showErrorMessage="1" sqref="B10" xr:uid="{E158A283-ADB4-6D4B-A389-9CF6DA7DD51B}">
      <formula1>"Line,Clustered Bar,Stacked Bar"</formula1>
    </dataValidation>
    <dataValidation type="list" allowBlank="1" showInputMessage="1" showErrorMessage="1" sqref="B2" xr:uid="{35A8683B-2DF1-9341-81F2-187C509DCCC2}">
      <formula1>"Table,Figure,Both"</formula1>
    </dataValidation>
    <dataValidation type="list" allowBlank="1" showInputMessage="1" showErrorMessage="1" sqref="B6 B15:B16" xr:uid="{21B97019-FDE1-6C4A-9193-290D58EF54C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FE75243-47E9-1D4D-A0EA-57994ECD8F6F}">
          <x14:formula1>
            <xm:f>Master!$F$2:$F$293</xm:f>
          </x14:formula1>
          <xm:sqref>B1:O1</xm:sqref>
        </x14:dataValidation>
        <x14:dataValidation type="list" allowBlank="1" showInputMessage="1" showErrorMessage="1" xr:uid="{F957CA1B-DBCD-374D-AEA3-794D5B12E65E}">
          <x14:formula1>
            <xm:f>Dropdowns!$A$1:$A$8</xm:f>
          </x14:formula1>
          <xm:sqref>F4:N4</xm:sqref>
        </x14:dataValidation>
      </x14:dataValidation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DB6B-90C5-8D4B-BAEA-A62DE6D18B72}">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161</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tbl-dentists</v>
      </c>
    </row>
    <row r="4" spans="1:15" x14ac:dyDescent="0.2">
      <c r="A4" s="58" t="s">
        <v>6</v>
      </c>
      <c r="B4" t="str">
        <f>IF($B$1="","",_xlfn.XLOOKUP($B$1,Master!$F$2:$F$308,Master!$H$2:$H$308,""))</f>
        <v>fig-dentists</v>
      </c>
      <c r="E4" s="13"/>
      <c r="F4" s="16" t="s">
        <v>664</v>
      </c>
      <c r="G4" s="16" t="s">
        <v>707</v>
      </c>
      <c r="H4" s="16" t="s">
        <v>707</v>
      </c>
      <c r="I4" s="16" t="s">
        <v>707</v>
      </c>
      <c r="J4" s="16" t="s">
        <v>707</v>
      </c>
      <c r="K4" s="16" t="s">
        <v>707</v>
      </c>
      <c r="L4" s="16" t="s">
        <v>707</v>
      </c>
      <c r="M4" s="16" t="s">
        <v>707</v>
      </c>
      <c r="N4" s="16" t="s">
        <v>707</v>
      </c>
      <c r="O4" s="16"/>
    </row>
    <row r="5" spans="1:15" x14ac:dyDescent="0.2">
      <c r="A5" s="98" t="s">
        <v>885</v>
      </c>
      <c r="B5" s="99"/>
      <c r="E5" s="100" t="s">
        <v>886</v>
      </c>
      <c r="F5" t="s">
        <v>1123</v>
      </c>
      <c r="G5" s="46" t="s">
        <v>220</v>
      </c>
      <c r="H5" s="46" t="s">
        <v>18</v>
      </c>
      <c r="I5" s="46" t="s">
        <v>537</v>
      </c>
      <c r="J5" s="46" t="s">
        <v>449</v>
      </c>
      <c r="K5" s="46" t="s">
        <v>409</v>
      </c>
      <c r="L5" s="46" t="s">
        <v>421</v>
      </c>
      <c r="M5" s="46" t="s">
        <v>470</v>
      </c>
      <c r="N5" s="46" t="s">
        <v>915</v>
      </c>
    </row>
    <row r="6" spans="1:15" ht="15" customHeight="1" x14ac:dyDescent="0.2">
      <c r="A6" t="s">
        <v>891</v>
      </c>
      <c r="B6" t="b">
        <v>0</v>
      </c>
      <c r="E6" s="99"/>
      <c r="F6">
        <v>2019</v>
      </c>
      <c r="G6" s="60" t="s">
        <v>1344</v>
      </c>
      <c r="H6" s="60" t="s">
        <v>1345</v>
      </c>
      <c r="I6" s="60" t="s">
        <v>1346</v>
      </c>
      <c r="J6" s="60" t="s">
        <v>1347</v>
      </c>
      <c r="K6" s="60" t="s">
        <v>1348</v>
      </c>
      <c r="L6" s="60" t="s">
        <v>1349</v>
      </c>
      <c r="M6" s="60" t="s">
        <v>1350</v>
      </c>
      <c r="N6" s="60" t="s">
        <v>1337</v>
      </c>
    </row>
    <row r="7" spans="1:15" ht="15.75" customHeight="1" x14ac:dyDescent="0.2">
      <c r="E7" s="99"/>
      <c r="F7">
        <v>2020</v>
      </c>
      <c r="G7" s="60" t="s">
        <v>1351</v>
      </c>
      <c r="H7" s="60" t="s">
        <v>1352</v>
      </c>
      <c r="I7" s="60" t="s">
        <v>1353</v>
      </c>
      <c r="J7" s="60" t="s">
        <v>1354</v>
      </c>
      <c r="K7" s="60" t="s">
        <v>1355</v>
      </c>
      <c r="L7" s="60" t="s">
        <v>1329</v>
      </c>
      <c r="M7" s="60" t="s">
        <v>1356</v>
      </c>
      <c r="N7" s="60" t="s">
        <v>1357</v>
      </c>
    </row>
    <row r="8" spans="1:15" x14ac:dyDescent="0.2">
      <c r="E8" s="99"/>
      <c r="F8">
        <v>2021</v>
      </c>
      <c r="G8" s="60" t="s">
        <v>1338</v>
      </c>
      <c r="H8" s="60" t="s">
        <v>1358</v>
      </c>
      <c r="I8" s="60" t="s">
        <v>1359</v>
      </c>
      <c r="J8" s="60" t="s">
        <v>1360</v>
      </c>
      <c r="K8" s="60" t="s">
        <v>1361</v>
      </c>
      <c r="L8" s="60" t="s">
        <v>1358</v>
      </c>
      <c r="M8" s="60" t="s">
        <v>1362</v>
      </c>
      <c r="N8" s="60" t="s">
        <v>1363</v>
      </c>
    </row>
    <row r="9" spans="1:15" x14ac:dyDescent="0.2">
      <c r="A9" s="98" t="s">
        <v>893</v>
      </c>
      <c r="B9" s="99"/>
      <c r="E9" s="99"/>
      <c r="F9">
        <v>2022</v>
      </c>
      <c r="G9" s="60" t="s">
        <v>1364</v>
      </c>
      <c r="H9" s="60" t="s">
        <v>1324</v>
      </c>
      <c r="I9" s="60" t="s">
        <v>1365</v>
      </c>
      <c r="J9" s="60" t="s">
        <v>1360</v>
      </c>
      <c r="K9" s="60" t="s">
        <v>1366</v>
      </c>
      <c r="L9" s="60" t="s">
        <v>1367</v>
      </c>
      <c r="M9" s="60" t="s">
        <v>1368</v>
      </c>
      <c r="N9" s="60" t="s">
        <v>1369</v>
      </c>
    </row>
    <row r="10" spans="1:15" x14ac:dyDescent="0.2">
      <c r="A10" t="s">
        <v>894</v>
      </c>
      <c r="B10" t="s">
        <v>972</v>
      </c>
      <c r="E10" s="99"/>
      <c r="G10" s="42"/>
      <c r="H10" s="42"/>
      <c r="I10" s="42"/>
      <c r="J10" s="42"/>
      <c r="K10" s="42"/>
      <c r="L10" s="42"/>
      <c r="M10" s="42"/>
      <c r="N10" s="42"/>
    </row>
    <row r="11" spans="1:15" x14ac:dyDescent="0.2">
      <c r="A11" t="s">
        <v>895</v>
      </c>
      <c r="B11" t="s">
        <v>973</v>
      </c>
      <c r="E11" s="99"/>
      <c r="G11" s="42"/>
      <c r="H11" s="42"/>
      <c r="I11" s="42"/>
      <c r="J11" s="42"/>
      <c r="K11" s="42"/>
      <c r="L11" s="42"/>
      <c r="M11" s="42"/>
      <c r="N11" s="42"/>
    </row>
    <row r="12" spans="1:15" x14ac:dyDescent="0.2">
      <c r="A12" t="s">
        <v>896</v>
      </c>
      <c r="E12" s="99"/>
    </row>
    <row r="13" spans="1:15" x14ac:dyDescent="0.2">
      <c r="A13" t="s">
        <v>897</v>
      </c>
      <c r="E13" s="99"/>
    </row>
    <row r="14" spans="1:15" x14ac:dyDescent="0.2">
      <c r="A14" t="s">
        <v>899</v>
      </c>
      <c r="B14" t="s">
        <v>721</v>
      </c>
      <c r="E14" s="99"/>
    </row>
    <row r="15" spans="1:15" x14ac:dyDescent="0.2">
      <c r="A15" t="s">
        <v>901</v>
      </c>
      <c r="B15" t="b">
        <v>0</v>
      </c>
      <c r="E15" s="99"/>
    </row>
    <row r="16" spans="1:15" x14ac:dyDescent="0.2">
      <c r="A16" t="s">
        <v>1145</v>
      </c>
      <c r="E16" s="99"/>
    </row>
    <row r="17" spans="1:5" x14ac:dyDescent="0.2">
      <c r="E17" s="99"/>
    </row>
    <row r="18" spans="1:5" x14ac:dyDescent="0.2">
      <c r="A18" s="98" t="s">
        <v>902</v>
      </c>
      <c r="B18" s="99"/>
      <c r="E18" s="99"/>
    </row>
    <row r="19" spans="1:5" x14ac:dyDescent="0.2">
      <c r="A19" t="s">
        <v>903</v>
      </c>
      <c r="E19" s="99"/>
    </row>
    <row r="20" spans="1:5" x14ac:dyDescent="0.2">
      <c r="A20" t="s">
        <v>904</v>
      </c>
      <c r="E20" s="99"/>
    </row>
    <row r="21" spans="1:5" x14ac:dyDescent="0.2">
      <c r="A21" t="s">
        <v>905</v>
      </c>
      <c r="E21" s="99"/>
    </row>
    <row r="22" spans="1:5" x14ac:dyDescent="0.2">
      <c r="A22" t="s">
        <v>906</v>
      </c>
      <c r="E22" s="99"/>
    </row>
    <row r="23" spans="1:5" x14ac:dyDescent="0.2">
      <c r="A23" t="s">
        <v>907</v>
      </c>
      <c r="E23" s="99"/>
    </row>
    <row r="24" spans="1:5" x14ac:dyDescent="0.2">
      <c r="A24" t="s">
        <v>908</v>
      </c>
      <c r="E24" s="99"/>
    </row>
    <row r="25" spans="1:5" x14ac:dyDescent="0.2">
      <c r="A25" t="s">
        <v>909</v>
      </c>
      <c r="E25" s="99"/>
    </row>
    <row r="26" spans="1:5" x14ac:dyDescent="0.2">
      <c r="E26" s="99"/>
    </row>
    <row r="27" spans="1:5" x14ac:dyDescent="0.2">
      <c r="A27" s="101" t="s">
        <v>910</v>
      </c>
      <c r="B27" s="99"/>
      <c r="E27" s="99"/>
    </row>
    <row r="28" spans="1:5" x14ac:dyDescent="0.2">
      <c r="E28" s="99"/>
    </row>
    <row r="29" spans="1:5" x14ac:dyDescent="0.2">
      <c r="E29" s="99"/>
    </row>
    <row r="30" spans="1:5" x14ac:dyDescent="0.2">
      <c r="E30" s="99"/>
    </row>
    <row r="31" spans="1:5" x14ac:dyDescent="0.2">
      <c r="E31" s="99"/>
    </row>
    <row r="32" spans="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2FA0100E-3B78-DF49-8819-7038697B0480}">
      <formula1>"True,False"</formula1>
    </dataValidation>
    <dataValidation type="list" allowBlank="1" showInputMessage="1" showErrorMessage="1" sqref="B2" xr:uid="{EC62CDE1-BD27-524D-AB19-E0F88C44E2CB}">
      <formula1>"Table,Figure,Both"</formula1>
    </dataValidation>
    <dataValidation type="list" allowBlank="1" showInputMessage="1" showErrorMessage="1" sqref="B10" xr:uid="{5EB271F3-1F48-134F-A1FE-BE51AA562BB0}">
      <formula1>"Line,Clustered Bar,Stacked Bar"</formula1>
    </dataValidation>
    <dataValidation type="list" allowBlank="1" showInputMessage="1" showErrorMessage="1" sqref="O4" xr:uid="{E3059CE0-DCEC-C548-B72A-F982888D3A9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BA7B7DE-DE8D-DE4B-913D-7D985319AC4E}">
          <x14:formula1>
            <xm:f>Master!$F$2:$F$293</xm:f>
          </x14:formula1>
          <xm:sqref>B1:O1</xm:sqref>
        </x14:dataValidation>
        <x14:dataValidation type="list" allowBlank="1" showInputMessage="1" showErrorMessage="1" xr:uid="{FD59757D-FB20-4141-AFE4-DBCF2A0853D0}">
          <x14:formula1>
            <xm:f>Dropdowns!$A$1:$A$8</xm:f>
          </x14:formula1>
          <xm:sqref>F4:N4</xm:sqref>
        </x14:dataValidation>
      </x14:dataValidations>
    </ext>
  </extLs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D992-7B9B-9846-A040-7D763FCF50D5}">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165</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tbl-mental-health-providers</v>
      </c>
    </row>
    <row r="4" spans="1:15" x14ac:dyDescent="0.2">
      <c r="A4" s="58" t="s">
        <v>6</v>
      </c>
      <c r="B4" t="str">
        <f>IF($B$1="","",_xlfn.XLOOKUP($B$1,Master!$F$2:$F$308,Master!$H$2:$H$308,""))</f>
        <v>fig-mental-health-providers</v>
      </c>
      <c r="E4" s="13"/>
      <c r="F4" s="16" t="s">
        <v>664</v>
      </c>
      <c r="G4" s="16" t="s">
        <v>707</v>
      </c>
      <c r="H4" s="16" t="s">
        <v>707</v>
      </c>
      <c r="I4" s="16" t="s">
        <v>707</v>
      </c>
      <c r="J4" s="16" t="s">
        <v>707</v>
      </c>
      <c r="K4" s="16" t="s">
        <v>707</v>
      </c>
      <c r="L4" s="16" t="s">
        <v>707</v>
      </c>
      <c r="M4" s="16" t="s">
        <v>707</v>
      </c>
      <c r="N4" s="16" t="s">
        <v>707</v>
      </c>
      <c r="O4" s="16"/>
    </row>
    <row r="5" spans="1:15" x14ac:dyDescent="0.2">
      <c r="A5" s="98" t="s">
        <v>885</v>
      </c>
      <c r="B5" s="99"/>
      <c r="E5" s="100" t="s">
        <v>886</v>
      </c>
      <c r="F5" t="s">
        <v>1123</v>
      </c>
      <c r="G5" s="46" t="s">
        <v>220</v>
      </c>
      <c r="H5" s="46" t="s">
        <v>18</v>
      </c>
      <c r="I5" s="46" t="s">
        <v>537</v>
      </c>
      <c r="J5" s="46" t="s">
        <v>449</v>
      </c>
      <c r="K5" s="46" t="s">
        <v>409</v>
      </c>
      <c r="L5" s="46" t="s">
        <v>421</v>
      </c>
      <c r="M5" s="46" t="s">
        <v>470</v>
      </c>
      <c r="N5" s="46" t="s">
        <v>915</v>
      </c>
      <c r="O5" s="46"/>
    </row>
    <row r="6" spans="1:15" ht="15" customHeight="1" x14ac:dyDescent="0.2">
      <c r="A6" t="s">
        <v>891</v>
      </c>
      <c r="B6" t="b">
        <v>0</v>
      </c>
      <c r="E6" s="99"/>
      <c r="F6">
        <v>2021</v>
      </c>
      <c r="G6" s="46" t="s">
        <v>1370</v>
      </c>
      <c r="H6" s="46" t="s">
        <v>1371</v>
      </c>
      <c r="I6" s="46" t="s">
        <v>1372</v>
      </c>
      <c r="J6" s="46" t="s">
        <v>1373</v>
      </c>
      <c r="K6" s="46" t="s">
        <v>1374</v>
      </c>
      <c r="L6" s="46" t="s">
        <v>1375</v>
      </c>
      <c r="M6" s="46" t="s">
        <v>1376</v>
      </c>
      <c r="N6" s="46" t="s">
        <v>1377</v>
      </c>
      <c r="O6" s="46"/>
    </row>
    <row r="7" spans="1:15" ht="15.75" customHeight="1" x14ac:dyDescent="0.2">
      <c r="E7" s="99"/>
      <c r="F7">
        <v>2022</v>
      </c>
      <c r="G7" s="46" t="s">
        <v>1377</v>
      </c>
      <c r="H7" s="46" t="s">
        <v>1371</v>
      </c>
      <c r="I7" s="46" t="s">
        <v>1378</v>
      </c>
      <c r="J7" s="46" t="s">
        <v>1379</v>
      </c>
      <c r="K7" s="46" t="s">
        <v>1380</v>
      </c>
      <c r="L7" s="46" t="s">
        <v>1372</v>
      </c>
      <c r="M7" s="46" t="s">
        <v>1376</v>
      </c>
      <c r="N7" s="46" t="s">
        <v>1381</v>
      </c>
      <c r="O7" s="46"/>
    </row>
    <row r="8" spans="1:15" x14ac:dyDescent="0.2">
      <c r="E8" s="99"/>
      <c r="F8">
        <v>2023</v>
      </c>
      <c r="G8" s="46" t="s">
        <v>1381</v>
      </c>
      <c r="H8" s="46" t="s">
        <v>1382</v>
      </c>
      <c r="I8" s="46" t="s">
        <v>1376</v>
      </c>
      <c r="J8" s="46" t="s">
        <v>1381</v>
      </c>
      <c r="K8" s="46" t="s">
        <v>1383</v>
      </c>
      <c r="L8" s="46" t="s">
        <v>1384</v>
      </c>
      <c r="M8" s="46" t="s">
        <v>1385</v>
      </c>
      <c r="N8" s="46" t="s">
        <v>1386</v>
      </c>
      <c r="O8" s="46"/>
    </row>
    <row r="9" spans="1:15" x14ac:dyDescent="0.2">
      <c r="A9" s="98" t="s">
        <v>893</v>
      </c>
      <c r="B9" s="99"/>
      <c r="E9" s="99"/>
      <c r="F9">
        <v>2024</v>
      </c>
      <c r="G9" s="46" t="s">
        <v>1387</v>
      </c>
      <c r="H9" s="46" t="s">
        <v>1388</v>
      </c>
      <c r="I9" s="46" t="s">
        <v>1389</v>
      </c>
      <c r="J9" s="46" t="s">
        <v>1387</v>
      </c>
      <c r="K9" s="46" t="s">
        <v>1383</v>
      </c>
      <c r="L9" s="46" t="s">
        <v>1378</v>
      </c>
      <c r="M9" s="46" t="s">
        <v>1390</v>
      </c>
      <c r="N9" s="46" t="s">
        <v>1372</v>
      </c>
      <c r="O9" s="46"/>
    </row>
    <row r="10" spans="1:15" x14ac:dyDescent="0.2">
      <c r="A10" t="s">
        <v>894</v>
      </c>
      <c r="B10" t="s">
        <v>972</v>
      </c>
      <c r="E10" s="99"/>
      <c r="F10" s="46"/>
      <c r="G10" s="47"/>
      <c r="H10" s="47"/>
      <c r="I10" s="47"/>
      <c r="J10" s="47"/>
      <c r="K10" s="47"/>
      <c r="L10" s="47"/>
      <c r="M10" s="47"/>
      <c r="N10" s="47"/>
      <c r="O10" s="46"/>
    </row>
    <row r="11" spans="1:15" x14ac:dyDescent="0.2">
      <c r="A11" t="s">
        <v>895</v>
      </c>
      <c r="B11" t="s">
        <v>973</v>
      </c>
      <c r="E11" s="99"/>
      <c r="F11" s="46"/>
      <c r="G11" s="47"/>
      <c r="H11" s="47"/>
      <c r="I11" s="47"/>
      <c r="J11" s="47"/>
      <c r="K11" s="47"/>
      <c r="L11" s="47"/>
      <c r="M11" s="47"/>
      <c r="N11" s="47"/>
      <c r="O11" s="46"/>
    </row>
    <row r="12" spans="1:15" x14ac:dyDescent="0.2">
      <c r="A12" t="s">
        <v>896</v>
      </c>
      <c r="E12" s="99"/>
      <c r="F12" s="46"/>
      <c r="G12" s="46"/>
      <c r="H12" s="46"/>
      <c r="I12" s="46"/>
      <c r="J12" s="46"/>
      <c r="K12" s="46"/>
      <c r="L12" s="46"/>
      <c r="M12" s="46"/>
      <c r="N12" s="46"/>
      <c r="O12" s="46"/>
    </row>
    <row r="13" spans="1:15" x14ac:dyDescent="0.2">
      <c r="A13" t="s">
        <v>897</v>
      </c>
      <c r="E13" s="99"/>
      <c r="F13" s="46"/>
      <c r="G13" s="46"/>
      <c r="H13" s="46"/>
      <c r="I13" s="46"/>
      <c r="J13" s="46"/>
      <c r="K13" s="46"/>
      <c r="L13" s="46"/>
      <c r="M13" s="46"/>
      <c r="N13" s="46"/>
      <c r="O13" s="46"/>
    </row>
    <row r="14" spans="1:15" x14ac:dyDescent="0.2">
      <c r="A14" t="s">
        <v>899</v>
      </c>
      <c r="B14" t="s">
        <v>721</v>
      </c>
      <c r="E14" s="99"/>
      <c r="F14" s="46"/>
      <c r="G14" s="48"/>
      <c r="H14" s="47"/>
      <c r="I14" s="47"/>
      <c r="J14" s="47"/>
      <c r="K14" s="47"/>
      <c r="L14" s="47"/>
      <c r="M14" s="47"/>
      <c r="N14" s="47"/>
      <c r="O14" s="46"/>
    </row>
    <row r="15" spans="1:15" x14ac:dyDescent="0.2">
      <c r="A15" t="s">
        <v>901</v>
      </c>
      <c r="B15" t="b">
        <v>0</v>
      </c>
      <c r="E15" s="99"/>
      <c r="F15" s="46"/>
      <c r="G15" s="48"/>
      <c r="H15" s="47"/>
      <c r="I15" s="47"/>
      <c r="J15" s="47"/>
      <c r="K15" s="47"/>
      <c r="L15" s="47"/>
      <c r="M15" s="47"/>
      <c r="N15" s="47"/>
      <c r="O15" s="46"/>
    </row>
    <row r="16" spans="1:15"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O4" xr:uid="{1FB994A6-FD19-2343-80C4-6D03D400065F}">
      <formula1>"integer, number, percent1"</formula1>
    </dataValidation>
    <dataValidation type="list" allowBlank="1" showInputMessage="1" showErrorMessage="1" sqref="B10" xr:uid="{33E560DE-C82E-3B4E-A655-25B73D79FDC6}">
      <formula1>"Line,Clustered Bar,Stacked Bar"</formula1>
    </dataValidation>
    <dataValidation type="list" allowBlank="1" showInputMessage="1" showErrorMessage="1" sqref="B2" xr:uid="{92EB7B93-1F4A-6647-8504-B69BB47B6439}">
      <formula1>"Table,Figure,Both"</formula1>
    </dataValidation>
    <dataValidation type="list" allowBlank="1" showInputMessage="1" showErrorMessage="1" sqref="B6 B15:B16" xr:uid="{8175ABC2-8E87-2841-93A4-E440E2A92F9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CD188E1-614D-F648-A7E5-00FE668396AB}">
          <x14:formula1>
            <xm:f>Master!$F$2:$F$293</xm:f>
          </x14:formula1>
          <xm:sqref>B1:O1</xm:sqref>
        </x14:dataValidation>
        <x14:dataValidation type="list" allowBlank="1" showInputMessage="1" showErrorMessage="1" xr:uid="{D23EEA13-EB93-E64C-A597-F4BABD20A891}">
          <x14:formula1>
            <xm:f>Dropdowns!$A$1:$A$8</xm:f>
          </x14:formula1>
          <xm:sqref>F4:N4</xm:sqref>
        </x14:dataValidation>
      </x14:dataValidations>
    </ext>
  </extLs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FF71-C9C0-DB4C-9036-EEFE95B59F7A}">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170</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tbl-adult-access-primary-care</v>
      </c>
    </row>
    <row r="4" spans="1:15" x14ac:dyDescent="0.2">
      <c r="A4" s="58" t="s">
        <v>6</v>
      </c>
      <c r="B4" t="str">
        <f>IF($B$1="","",_xlfn.XLOOKUP($B$1,Master!$F$2:$F$308,Master!$H$2:$H$308,""))</f>
        <v>fig-access-to-primary-care</v>
      </c>
      <c r="E4" s="13"/>
      <c r="F4" s="16" t="s">
        <v>664</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t="s">
        <v>1123</v>
      </c>
      <c r="G5" s="46" t="s">
        <v>220</v>
      </c>
      <c r="H5" s="46" t="s">
        <v>18</v>
      </c>
      <c r="I5" s="46" t="s">
        <v>537</v>
      </c>
      <c r="J5" s="46" t="s">
        <v>449</v>
      </c>
      <c r="K5" s="46" t="s">
        <v>409</v>
      </c>
      <c r="L5" s="46" t="s">
        <v>421</v>
      </c>
      <c r="M5" s="46" t="s">
        <v>470</v>
      </c>
      <c r="N5" s="46" t="s">
        <v>898</v>
      </c>
      <c r="O5" s="46" t="s">
        <v>915</v>
      </c>
    </row>
    <row r="6" spans="1:15" ht="15" customHeight="1" x14ac:dyDescent="0.2">
      <c r="A6" t="s">
        <v>891</v>
      </c>
      <c r="B6" t="b">
        <v>0</v>
      </c>
      <c r="E6" s="99"/>
      <c r="F6">
        <v>2016</v>
      </c>
      <c r="G6">
        <v>82.8</v>
      </c>
      <c r="H6">
        <v>81.8</v>
      </c>
      <c r="I6">
        <v>86.7</v>
      </c>
      <c r="J6">
        <v>84.1</v>
      </c>
      <c r="K6">
        <v>84.6</v>
      </c>
      <c r="L6">
        <v>82.5</v>
      </c>
      <c r="M6">
        <v>79.2</v>
      </c>
      <c r="N6" s="49" t="s">
        <v>900</v>
      </c>
      <c r="O6">
        <v>82.6</v>
      </c>
    </row>
    <row r="7" spans="1:15" ht="15.75" customHeight="1" x14ac:dyDescent="0.2">
      <c r="E7" s="99"/>
      <c r="F7">
        <v>2018</v>
      </c>
      <c r="G7">
        <v>85.7</v>
      </c>
      <c r="H7">
        <v>80.7</v>
      </c>
      <c r="I7">
        <v>89</v>
      </c>
      <c r="J7">
        <v>83.8</v>
      </c>
      <c r="K7">
        <v>75</v>
      </c>
      <c r="L7">
        <v>78.3</v>
      </c>
      <c r="M7">
        <v>81.400000000000006</v>
      </c>
      <c r="N7" s="49" t="s">
        <v>900</v>
      </c>
      <c r="O7">
        <v>79.099999999999994</v>
      </c>
    </row>
    <row r="8" spans="1:15" x14ac:dyDescent="0.2">
      <c r="E8" s="99"/>
      <c r="F8">
        <v>2021</v>
      </c>
      <c r="G8">
        <v>81.599999999999994</v>
      </c>
      <c r="H8">
        <v>88.9</v>
      </c>
      <c r="I8">
        <v>90.5</v>
      </c>
      <c r="J8">
        <v>84.1</v>
      </c>
      <c r="K8">
        <v>76.900000000000006</v>
      </c>
      <c r="L8">
        <v>89.5</v>
      </c>
      <c r="M8">
        <v>84.9</v>
      </c>
      <c r="N8">
        <v>86.5</v>
      </c>
      <c r="O8">
        <v>85</v>
      </c>
    </row>
    <row r="9" spans="1:15" x14ac:dyDescent="0.2">
      <c r="A9" s="98" t="s">
        <v>893</v>
      </c>
      <c r="B9" s="99"/>
      <c r="E9" s="99"/>
      <c r="G9" s="46"/>
      <c r="H9" s="46"/>
      <c r="I9" s="46"/>
      <c r="J9" s="46"/>
      <c r="K9" s="46"/>
      <c r="L9" s="46"/>
      <c r="M9" s="46"/>
      <c r="N9" s="46"/>
      <c r="O9" s="46"/>
    </row>
    <row r="10" spans="1:15" x14ac:dyDescent="0.2">
      <c r="A10" t="s">
        <v>894</v>
      </c>
      <c r="B10" t="s">
        <v>983</v>
      </c>
      <c r="E10" s="99"/>
      <c r="F10" s="46"/>
      <c r="G10" s="47"/>
      <c r="H10" s="47"/>
      <c r="I10" s="47"/>
      <c r="J10" s="47"/>
      <c r="K10" s="47"/>
      <c r="L10" s="47"/>
      <c r="M10" s="47"/>
      <c r="N10" s="47"/>
      <c r="O10" s="46"/>
    </row>
    <row r="11" spans="1:15" x14ac:dyDescent="0.2">
      <c r="A11" t="s">
        <v>895</v>
      </c>
      <c r="B11" t="s">
        <v>887</v>
      </c>
      <c r="E11" s="99"/>
      <c r="F11" s="46"/>
      <c r="G11" s="47"/>
      <c r="H11" s="47"/>
      <c r="I11" s="47"/>
      <c r="J11" s="47"/>
      <c r="K11" s="47"/>
      <c r="L11" s="47"/>
      <c r="M11" s="47"/>
      <c r="N11" s="47"/>
      <c r="O11" s="46"/>
    </row>
    <row r="12" spans="1:15" x14ac:dyDescent="0.2">
      <c r="A12" t="s">
        <v>896</v>
      </c>
      <c r="E12" s="99"/>
      <c r="F12" s="46"/>
      <c r="G12" s="46"/>
      <c r="H12" s="46"/>
      <c r="I12" s="46"/>
      <c r="J12" s="46"/>
      <c r="K12" s="46"/>
      <c r="L12" s="46"/>
      <c r="M12" s="46"/>
      <c r="N12" s="46"/>
      <c r="O12" s="46"/>
    </row>
    <row r="13" spans="1:15" x14ac:dyDescent="0.2">
      <c r="A13" t="s">
        <v>897</v>
      </c>
      <c r="E13" s="99"/>
      <c r="F13" s="46"/>
      <c r="G13" s="46"/>
      <c r="H13" s="46"/>
      <c r="I13" s="46"/>
      <c r="J13" s="46"/>
      <c r="K13" s="46"/>
      <c r="L13" s="46"/>
      <c r="M13" s="46"/>
      <c r="N13" s="46"/>
      <c r="O13" s="46"/>
    </row>
    <row r="14" spans="1:15" x14ac:dyDescent="0.2">
      <c r="A14" t="s">
        <v>899</v>
      </c>
      <c r="B14" t="s">
        <v>694</v>
      </c>
      <c r="E14" s="99"/>
      <c r="F14" s="46"/>
      <c r="G14" s="48"/>
      <c r="H14" s="47"/>
      <c r="I14" s="47"/>
      <c r="J14" s="47"/>
      <c r="K14" s="47"/>
      <c r="L14" s="47"/>
      <c r="M14" s="47"/>
      <c r="N14" s="47"/>
      <c r="O14" s="46"/>
    </row>
    <row r="15" spans="1:15" x14ac:dyDescent="0.2">
      <c r="A15" t="s">
        <v>901</v>
      </c>
      <c r="B15" t="b">
        <v>1</v>
      </c>
      <c r="E15" s="99"/>
      <c r="F15" s="46"/>
      <c r="G15" s="48"/>
      <c r="H15" s="47"/>
      <c r="I15" s="47"/>
      <c r="J15" s="47"/>
      <c r="K15" s="47"/>
      <c r="L15" s="47"/>
      <c r="M15" s="47"/>
      <c r="N15" s="47"/>
      <c r="O15" s="46"/>
    </row>
    <row r="16" spans="1:15"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CBE0125-DA6A-5541-8C99-13642EB8FEB3}">
      <formula1>"True,False"</formula1>
    </dataValidation>
    <dataValidation type="list" allowBlank="1" showInputMessage="1" showErrorMessage="1" sqref="B2" xr:uid="{329EE76C-8A67-A048-8953-6A6343A605A6}">
      <formula1>"Table,Figure,Both"</formula1>
    </dataValidation>
    <dataValidation type="list" allowBlank="1" showInputMessage="1" showErrorMessage="1" sqref="B10" xr:uid="{B714B693-42FB-AD44-83C8-DDFAFD81B312}">
      <formula1>"Line,Clustered Bar,Stacked Bar"</formula1>
    </dataValidation>
    <dataValidation type="list" allowBlank="1" showInputMessage="1" showErrorMessage="1" sqref="O4" xr:uid="{8782FE5D-2C8F-B745-AE6E-473FD96CE328}">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8F44321-4EF5-7743-8184-ABA6F7CE3361}">
          <x14:formula1>
            <xm:f>Dropdowns!$A$1:$A$8</xm:f>
          </x14:formula1>
          <xm:sqref>F4:N4</xm:sqref>
        </x14:dataValidation>
        <x14:dataValidation type="list" allowBlank="1" showInputMessage="1" showErrorMessage="1" xr:uid="{E2B01566-B790-5D4C-8C64-EED948EBDED7}">
          <x14:formula1>
            <xm:f>Master!$F$2:$F$293</xm:f>
          </x14:formula1>
          <xm:sqref>B1:O1</xm:sqref>
        </x14:dataValidation>
      </x14:dataValidations>
    </ext>
  </extLst>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8CB08-BA48-634E-A607-1457AB1A0490}">
  <dimension ref="A1:O57"/>
  <sheetViews>
    <sheetView workbookViewId="0">
      <selection activeCell="F5" sqref="F5"/>
    </sheetView>
  </sheetViews>
  <sheetFormatPr baseColWidth="10" defaultColWidth="8.6640625" defaultRowHeight="15" x14ac:dyDescent="0.2"/>
  <cols>
    <col min="1" max="1" width="20" bestFit="1" customWidth="1"/>
    <col min="2" max="2" width="18.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5" x14ac:dyDescent="0.2">
      <c r="A1" s="58" t="s">
        <v>882</v>
      </c>
      <c r="B1" s="96" t="s">
        <v>174</v>
      </c>
      <c r="C1" s="97"/>
      <c r="D1" s="97"/>
      <c r="E1" s="97"/>
      <c r="F1" s="97"/>
      <c r="G1" s="97"/>
      <c r="H1" s="97"/>
      <c r="I1" s="97"/>
      <c r="J1" s="97"/>
      <c r="K1" s="97"/>
      <c r="L1" s="97"/>
      <c r="M1" s="97"/>
      <c r="N1" s="97"/>
      <c r="O1" s="97"/>
    </row>
    <row r="2" spans="1:15" x14ac:dyDescent="0.2">
      <c r="A2" s="58" t="s">
        <v>883</v>
      </c>
      <c r="B2" t="s">
        <v>1120</v>
      </c>
    </row>
    <row r="3" spans="1:15" x14ac:dyDescent="0.2">
      <c r="A3" s="58" t="s">
        <v>884</v>
      </c>
      <c r="B3" t="str">
        <f>IF($B$1="","",_xlfn.XLOOKUP($B$1,Master!$F$2:$F$308,Master!$G$2:$G$308,""))</f>
        <v>tbl-pph</v>
      </c>
    </row>
    <row r="4" spans="1:15" x14ac:dyDescent="0.2">
      <c r="A4" s="58" t="s">
        <v>6</v>
      </c>
      <c r="B4" t="str">
        <f>IF($B$1="","",_xlfn.XLOOKUP($B$1,Master!$F$2:$F$308,Master!$H$2:$H$308,""))</f>
        <v>fig-pph</v>
      </c>
      <c r="E4" s="13"/>
      <c r="F4" s="16" t="s">
        <v>664</v>
      </c>
      <c r="G4" s="16" t="s">
        <v>679</v>
      </c>
      <c r="H4" s="16" t="s">
        <v>679</v>
      </c>
      <c r="I4" s="16" t="s">
        <v>679</v>
      </c>
      <c r="J4" s="16" t="s">
        <v>679</v>
      </c>
      <c r="K4" s="16" t="s">
        <v>679</v>
      </c>
      <c r="L4" s="16" t="s">
        <v>679</v>
      </c>
      <c r="M4" s="16" t="s">
        <v>679</v>
      </c>
      <c r="N4" s="16" t="s">
        <v>679</v>
      </c>
      <c r="O4" s="16" t="s">
        <v>679</v>
      </c>
    </row>
    <row r="5" spans="1:15" x14ac:dyDescent="0.2">
      <c r="A5" s="98" t="s">
        <v>885</v>
      </c>
      <c r="B5" s="99"/>
      <c r="E5" s="100" t="s">
        <v>886</v>
      </c>
      <c r="F5" t="s">
        <v>1123</v>
      </c>
      <c r="G5" s="46" t="s">
        <v>220</v>
      </c>
      <c r="H5" s="46" t="s">
        <v>18</v>
      </c>
      <c r="I5" s="46" t="s">
        <v>537</v>
      </c>
      <c r="J5" s="46" t="s">
        <v>449</v>
      </c>
      <c r="K5" s="46" t="s">
        <v>409</v>
      </c>
      <c r="L5" s="46" t="s">
        <v>421</v>
      </c>
      <c r="M5" s="46" t="s">
        <v>470</v>
      </c>
      <c r="N5" s="46" t="s">
        <v>914</v>
      </c>
      <c r="O5" s="46" t="s">
        <v>915</v>
      </c>
    </row>
    <row r="6" spans="1:15" ht="15" customHeight="1" x14ac:dyDescent="0.2">
      <c r="A6" t="s">
        <v>891</v>
      </c>
      <c r="B6" t="b">
        <v>0</v>
      </c>
      <c r="E6" s="99"/>
      <c r="F6" t="s">
        <v>1391</v>
      </c>
      <c r="G6">
        <v>86.4</v>
      </c>
      <c r="H6">
        <v>106.3</v>
      </c>
      <c r="I6">
        <v>60.2</v>
      </c>
      <c r="J6">
        <v>76.7</v>
      </c>
      <c r="K6">
        <v>100.9</v>
      </c>
      <c r="L6">
        <v>95.7</v>
      </c>
      <c r="M6">
        <v>77.099999999999994</v>
      </c>
      <c r="N6" s="49">
        <v>92.7</v>
      </c>
      <c r="O6">
        <v>97.3</v>
      </c>
    </row>
    <row r="7" spans="1:15" ht="15.75" customHeight="1" x14ac:dyDescent="0.2">
      <c r="E7" s="99"/>
      <c r="N7" s="49"/>
    </row>
    <row r="8" spans="1:15" x14ac:dyDescent="0.2">
      <c r="E8" s="99"/>
    </row>
    <row r="9" spans="1:15" x14ac:dyDescent="0.2">
      <c r="A9" s="98" t="s">
        <v>893</v>
      </c>
      <c r="B9" s="99"/>
      <c r="E9" s="99"/>
      <c r="G9" s="46"/>
      <c r="H9" s="46"/>
      <c r="I9" s="46"/>
      <c r="J9" s="46"/>
      <c r="K9" s="46"/>
      <c r="L9" s="46"/>
      <c r="M9" s="46"/>
      <c r="N9" s="46"/>
      <c r="O9" s="46"/>
    </row>
    <row r="10" spans="1:15" x14ac:dyDescent="0.2">
      <c r="A10" t="s">
        <v>894</v>
      </c>
      <c r="B10" t="s">
        <v>1002</v>
      </c>
      <c r="E10" s="99"/>
      <c r="F10" s="46"/>
      <c r="G10" s="47"/>
      <c r="H10" s="47"/>
      <c r="I10" s="47"/>
      <c r="J10" s="47"/>
      <c r="K10" s="47"/>
      <c r="L10" s="47"/>
      <c r="M10" s="47"/>
      <c r="N10" s="47"/>
      <c r="O10" s="46"/>
    </row>
    <row r="11" spans="1:15" x14ac:dyDescent="0.2">
      <c r="A11" t="s">
        <v>895</v>
      </c>
      <c r="B11" t="s">
        <v>887</v>
      </c>
      <c r="E11" s="99"/>
      <c r="F11" s="46"/>
      <c r="G11" s="47"/>
      <c r="H11" s="47"/>
      <c r="I11" s="47"/>
      <c r="J11" s="47"/>
      <c r="K11" s="47"/>
      <c r="L11" s="47"/>
      <c r="M11" s="47"/>
      <c r="N11" s="47"/>
      <c r="O11" s="46"/>
    </row>
    <row r="12" spans="1:15" x14ac:dyDescent="0.2">
      <c r="A12" t="s">
        <v>896</v>
      </c>
      <c r="E12" s="99"/>
      <c r="F12" s="46"/>
      <c r="G12" s="46"/>
      <c r="H12" s="46"/>
      <c r="I12" s="46"/>
      <c r="J12" s="46"/>
      <c r="K12" s="46"/>
      <c r="L12" s="46"/>
      <c r="M12" s="46"/>
      <c r="N12" s="46"/>
      <c r="O12" s="46"/>
    </row>
    <row r="13" spans="1:15" x14ac:dyDescent="0.2">
      <c r="A13" t="s">
        <v>897</v>
      </c>
      <c r="E13" s="99"/>
      <c r="F13" s="46"/>
      <c r="G13" s="46"/>
      <c r="H13" s="46"/>
      <c r="I13" s="46"/>
      <c r="J13" s="46"/>
      <c r="K13" s="46"/>
      <c r="L13" s="46"/>
      <c r="M13" s="46"/>
      <c r="N13" s="46"/>
      <c r="O13" s="46"/>
    </row>
    <row r="14" spans="1:15" x14ac:dyDescent="0.2">
      <c r="A14" t="s">
        <v>899</v>
      </c>
      <c r="B14" t="s">
        <v>708</v>
      </c>
      <c r="E14" s="99"/>
      <c r="F14" s="46"/>
      <c r="G14" s="48"/>
      <c r="H14" s="47"/>
      <c r="I14" s="47"/>
      <c r="J14" s="47"/>
      <c r="K14" s="47"/>
      <c r="L14" s="47"/>
      <c r="M14" s="47"/>
      <c r="N14" s="47"/>
      <c r="O14" s="46"/>
    </row>
    <row r="15" spans="1:15" x14ac:dyDescent="0.2">
      <c r="A15" t="s">
        <v>901</v>
      </c>
      <c r="B15" t="b">
        <v>0</v>
      </c>
      <c r="E15" s="99"/>
      <c r="F15" s="46"/>
      <c r="G15" s="48"/>
      <c r="H15" s="47"/>
      <c r="I15" s="47"/>
      <c r="J15" s="47"/>
      <c r="K15" s="47"/>
      <c r="L15" s="47"/>
      <c r="M15" s="47"/>
      <c r="N15" s="47"/>
      <c r="O15" s="46"/>
    </row>
    <row r="16" spans="1:15"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O4" xr:uid="{DF9881C2-0151-6F49-BB1A-6FFE20307D60}">
      <formula1>"integer, number, percent1"</formula1>
    </dataValidation>
    <dataValidation type="list" allowBlank="1" showInputMessage="1" showErrorMessage="1" sqref="B10" xr:uid="{FA2CFC3A-70B0-054E-915B-AC267A0F33DF}">
      <formula1>"Line,Clustered Bar,Stacked Bar,Bar"</formula1>
    </dataValidation>
    <dataValidation type="list" allowBlank="1" showInputMessage="1" showErrorMessage="1" sqref="B2" xr:uid="{3F0486CF-56AC-4E4A-8CEE-9FC94F2720C6}">
      <formula1>"Table,Figure,Both"</formula1>
    </dataValidation>
    <dataValidation type="list" allowBlank="1" showInputMessage="1" showErrorMessage="1" sqref="B6 B15:B16" xr:uid="{2906A2CC-6DF1-4845-B1F1-71C36316CF4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9D03ED3-25C8-4F4F-AB4D-5A8F9CA0D367}">
          <x14:formula1>
            <xm:f>Master!$F$2:$F$293</xm:f>
          </x14:formula1>
          <xm:sqref>B1:O1</xm:sqref>
        </x14:dataValidation>
        <x14:dataValidation type="list" allowBlank="1" showInputMessage="1" showErrorMessage="1" xr:uid="{5D678F3A-70B0-0649-A24D-EE9825517C95}">
          <x14:formula1>
            <xm:f>Dropdowns!$A$1:$A$8</xm:f>
          </x14:formula1>
          <xm:sqref>F4:N4</xm:sqref>
        </x14:dataValidation>
      </x14:dataValidations>
    </ext>
  </extLst>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AEA2-C459-448B-8EA6-1621367E0244}">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177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tbl-pph-black-white-nh</v>
      </c>
    </row>
    <row r="4" spans="1:16" x14ac:dyDescent="0.2">
      <c r="A4" s="58" t="s">
        <v>6</v>
      </c>
      <c r="B4" t="str">
        <f>IF($B$1="","",_xlfn.XLOOKUP($B$1,Master!$F$2:$F$308,Master!$H$2:$H$308,""))</f>
        <v>fig-pph-black-white-nh</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s="46" t="s">
        <v>220</v>
      </c>
      <c r="H5" s="46" t="s">
        <v>18</v>
      </c>
      <c r="I5" s="46" t="s">
        <v>537</v>
      </c>
      <c r="J5" s="46" t="s">
        <v>449</v>
      </c>
      <c r="K5" s="46" t="s">
        <v>409</v>
      </c>
      <c r="L5" s="46" t="s">
        <v>421</v>
      </c>
      <c r="M5" s="46" t="s">
        <v>470</v>
      </c>
      <c r="N5" s="46" t="s">
        <v>898</v>
      </c>
      <c r="O5" s="46" t="s">
        <v>914</v>
      </c>
      <c r="P5" t="s">
        <v>915</v>
      </c>
    </row>
    <row r="6" spans="1:16" ht="15" customHeight="1" x14ac:dyDescent="0.2">
      <c r="A6" t="s">
        <v>891</v>
      </c>
      <c r="B6" t="b">
        <v>0</v>
      </c>
      <c r="E6" s="99"/>
      <c r="F6">
        <v>2019</v>
      </c>
      <c r="G6">
        <v>-37.5</v>
      </c>
      <c r="H6">
        <v>115.9</v>
      </c>
      <c r="I6" t="s">
        <v>1428</v>
      </c>
      <c r="J6">
        <v>58.5</v>
      </c>
      <c r="K6">
        <v>111</v>
      </c>
      <c r="L6">
        <v>51.5</v>
      </c>
      <c r="M6">
        <v>145.30000000000001</v>
      </c>
      <c r="N6" s="49">
        <v>95.3</v>
      </c>
      <c r="O6">
        <v>20.2</v>
      </c>
      <c r="P6">
        <v>117.6</v>
      </c>
    </row>
    <row r="7" spans="1:16" ht="15.75" customHeight="1" x14ac:dyDescent="0.2">
      <c r="E7" s="99"/>
      <c r="F7">
        <v>2020</v>
      </c>
      <c r="G7">
        <v>-20.100000000000001</v>
      </c>
      <c r="H7">
        <v>108.9</v>
      </c>
      <c r="I7" t="s">
        <v>1429</v>
      </c>
      <c r="J7">
        <v>62.4</v>
      </c>
      <c r="K7">
        <v>75.900000000000006</v>
      </c>
      <c r="L7">
        <v>31.5</v>
      </c>
      <c r="M7">
        <v>115.1</v>
      </c>
      <c r="N7" s="49">
        <v>78.7</v>
      </c>
      <c r="O7">
        <v>19.7</v>
      </c>
      <c r="P7">
        <v>99</v>
      </c>
    </row>
    <row r="8" spans="1:16" x14ac:dyDescent="0.2">
      <c r="E8" s="99"/>
      <c r="F8">
        <v>2021</v>
      </c>
      <c r="G8">
        <v>-15.4</v>
      </c>
      <c r="H8">
        <v>77.599999999999994</v>
      </c>
      <c r="I8" t="s">
        <v>754</v>
      </c>
      <c r="J8">
        <v>49.7</v>
      </c>
      <c r="K8">
        <v>41.9</v>
      </c>
      <c r="L8">
        <v>46.7</v>
      </c>
      <c r="M8">
        <v>106.9</v>
      </c>
      <c r="N8">
        <v>71.400000000000006</v>
      </c>
      <c r="O8">
        <v>22.2</v>
      </c>
      <c r="P8">
        <v>103.3</v>
      </c>
    </row>
    <row r="9" spans="1:16" x14ac:dyDescent="0.2">
      <c r="A9" s="98" t="s">
        <v>893</v>
      </c>
      <c r="B9" s="99"/>
      <c r="E9" s="99"/>
      <c r="F9">
        <v>2022</v>
      </c>
      <c r="G9" s="46" t="s">
        <v>1430</v>
      </c>
      <c r="H9" s="46" t="s">
        <v>1431</v>
      </c>
      <c r="I9" s="46" t="s">
        <v>1432</v>
      </c>
      <c r="J9" s="46" t="s">
        <v>1433</v>
      </c>
      <c r="K9" s="46" t="s">
        <v>1434</v>
      </c>
      <c r="L9" s="46" t="s">
        <v>1435</v>
      </c>
      <c r="M9" s="46" t="s">
        <v>1436</v>
      </c>
      <c r="N9" s="46" t="s">
        <v>1437</v>
      </c>
      <c r="O9" s="46" t="s">
        <v>1438</v>
      </c>
      <c r="P9">
        <v>101.5</v>
      </c>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708</v>
      </c>
      <c r="E14" s="99"/>
      <c r="F14" s="46"/>
      <c r="G14" s="48"/>
      <c r="H14" s="47"/>
      <c r="I14" s="47"/>
      <c r="J14" s="47"/>
      <c r="K14" s="47"/>
      <c r="L14" s="47"/>
      <c r="M14" s="47"/>
      <c r="N14" s="47"/>
      <c r="O14" s="46"/>
    </row>
    <row r="15" spans="1:16" x14ac:dyDescent="0.2">
      <c r="A15" t="s">
        <v>901</v>
      </c>
      <c r="B15" t="b">
        <v>0</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1439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CE2FC82C-17D2-44A7-B0EA-3B27C9547735}">
      <formula1>"True,False"</formula1>
    </dataValidation>
    <dataValidation type="list" allowBlank="1" showInputMessage="1" showErrorMessage="1" sqref="B2" xr:uid="{5089C584-1634-4C04-96AF-4FF215BC23EC}">
      <formula1>"Table,Figure,Both"</formula1>
    </dataValidation>
    <dataValidation type="list" allowBlank="1" showInputMessage="1" showErrorMessage="1" sqref="B10" xr:uid="{8E7286A5-94DA-4A4D-BD9E-EBDE96C88718}">
      <formula1>"Line,Clustered Bar,Stacked Bar,Bar"</formula1>
    </dataValidation>
    <dataValidation type="list" allowBlank="1" showInputMessage="1" showErrorMessage="1" sqref="O4:P4" xr:uid="{ED946E1F-935D-469C-A5B3-7D0D510A5D5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05D7176-7491-43D3-9287-F75E1206F566}">
          <x14:formula1>
            <xm:f>Dropdowns!$A$1:$A$8</xm:f>
          </x14:formula1>
          <xm:sqref>F4:N4</xm:sqref>
        </x14:dataValidation>
        <x14:dataValidation type="list" allowBlank="1" showInputMessage="1" showErrorMessage="1" xr:uid="{B3BFBC24-6BAE-4B3B-8FE6-9EBC5256C89A}">
          <x14:formula1>
            <xm:f>Master!$F$2:$F$293</xm:f>
          </x14:formula1>
          <xm:sqref>B1:O1</xm:sqref>
        </x14:dataValidation>
      </x14:dataValidations>
    </ext>
  </extLst>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BB4F-7396-4BCE-8593-6E1D88CB73C1}">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tbl-pph-white-nh</v>
      </c>
    </row>
    <row r="4" spans="1:16" x14ac:dyDescent="0.2">
      <c r="A4" s="58" t="s">
        <v>6</v>
      </c>
      <c r="B4" t="str">
        <f>IF($B$1="","",_xlfn.XLOOKUP($B$1,Master!$F$2:$F$308,Master!$H$2:$H$308,""))</f>
        <v>fig-pph-white-nh</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s="46" t="s">
        <v>220</v>
      </c>
      <c r="H5" s="46" t="s">
        <v>18</v>
      </c>
      <c r="I5" s="46" t="s">
        <v>537</v>
      </c>
      <c r="J5" s="46" t="s">
        <v>449</v>
      </c>
      <c r="K5" s="46" t="s">
        <v>409</v>
      </c>
      <c r="L5" s="46" t="s">
        <v>421</v>
      </c>
      <c r="M5" s="46" t="s">
        <v>470</v>
      </c>
      <c r="N5" s="46" t="s">
        <v>898</v>
      </c>
      <c r="O5" s="46" t="s">
        <v>914</v>
      </c>
      <c r="P5" t="s">
        <v>915</v>
      </c>
    </row>
    <row r="6" spans="1:16" ht="15" customHeight="1" x14ac:dyDescent="0.2">
      <c r="A6" t="s">
        <v>891</v>
      </c>
      <c r="B6" t="b">
        <v>0</v>
      </c>
      <c r="E6" s="99"/>
      <c r="F6">
        <v>2019</v>
      </c>
      <c r="G6">
        <v>-18</v>
      </c>
      <c r="H6">
        <v>-6.4</v>
      </c>
      <c r="I6">
        <v>-22.3</v>
      </c>
      <c r="J6">
        <v>29.6</v>
      </c>
      <c r="K6">
        <v>2.4</v>
      </c>
      <c r="L6">
        <v>-8.5</v>
      </c>
      <c r="M6">
        <v>-8.9</v>
      </c>
      <c r="N6" s="49">
        <v>-10.8</v>
      </c>
      <c r="O6">
        <v>0.8</v>
      </c>
      <c r="P6">
        <v>36.299999999999997</v>
      </c>
    </row>
    <row r="7" spans="1:16" ht="15.75" customHeight="1" x14ac:dyDescent="0.2">
      <c r="E7" s="99"/>
      <c r="F7">
        <v>2020</v>
      </c>
      <c r="G7">
        <v>-12.6</v>
      </c>
      <c r="H7">
        <v>10.9</v>
      </c>
      <c r="I7">
        <v>-22.7</v>
      </c>
      <c r="J7">
        <v>28.1</v>
      </c>
      <c r="K7">
        <v>-21.3</v>
      </c>
      <c r="L7">
        <v>5.6</v>
      </c>
      <c r="M7">
        <v>7</v>
      </c>
      <c r="N7" s="49">
        <v>1.2</v>
      </c>
      <c r="O7">
        <v>8.1</v>
      </c>
      <c r="P7">
        <v>29.7</v>
      </c>
    </row>
    <row r="8" spans="1:16" x14ac:dyDescent="0.2">
      <c r="E8" s="99"/>
      <c r="F8">
        <v>2021</v>
      </c>
      <c r="G8">
        <v>-18.3</v>
      </c>
      <c r="H8">
        <v>-8.6999999999999993</v>
      </c>
      <c r="I8">
        <v>-25.5</v>
      </c>
      <c r="J8">
        <v>18.100000000000001</v>
      </c>
      <c r="K8">
        <v>-12</v>
      </c>
      <c r="L8">
        <v>8.1</v>
      </c>
      <c r="M8">
        <v>7.5</v>
      </c>
      <c r="N8">
        <v>-1.6</v>
      </c>
      <c r="O8">
        <v>4.0999999999999996</v>
      </c>
      <c r="P8">
        <v>30.1</v>
      </c>
    </row>
    <row r="9" spans="1:16" x14ac:dyDescent="0.2">
      <c r="A9" s="98" t="s">
        <v>893</v>
      </c>
      <c r="B9" s="99"/>
      <c r="E9" s="99"/>
      <c r="F9">
        <v>2022</v>
      </c>
      <c r="G9" s="46" t="s">
        <v>1441</v>
      </c>
      <c r="H9" s="46" t="s">
        <v>1442</v>
      </c>
      <c r="I9" s="46" t="s">
        <v>1443</v>
      </c>
      <c r="J9" s="46" t="s">
        <v>1444</v>
      </c>
      <c r="K9" s="46" t="s">
        <v>1445</v>
      </c>
      <c r="L9" s="46" t="s">
        <v>1446</v>
      </c>
      <c r="M9" s="46" t="s">
        <v>1447</v>
      </c>
      <c r="N9" s="46" t="s">
        <v>1448</v>
      </c>
      <c r="O9" s="46" t="s">
        <v>1449</v>
      </c>
      <c r="P9">
        <v>29.5</v>
      </c>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708</v>
      </c>
      <c r="E14" s="99"/>
      <c r="F14" s="46"/>
      <c r="G14" s="48"/>
      <c r="H14" s="47"/>
      <c r="I14" s="47"/>
      <c r="J14" s="47"/>
      <c r="K14" s="47"/>
      <c r="L14" s="47"/>
      <c r="M14" s="47"/>
      <c r="N14" s="47"/>
      <c r="O14" s="46"/>
    </row>
    <row r="15" spans="1:16" x14ac:dyDescent="0.2">
      <c r="A15" t="s">
        <v>901</v>
      </c>
      <c r="B15" t="b">
        <v>0</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1440</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O4:P4" xr:uid="{6153D0A0-C39F-4233-81DF-17D24C634612}">
      <formula1>"integer, number, percent1"</formula1>
    </dataValidation>
    <dataValidation type="list" allowBlank="1" showInputMessage="1" showErrorMessage="1" sqref="B10" xr:uid="{1AB2DA9F-33AC-4589-8011-E2C455834214}">
      <formula1>"Line,Clustered Bar,Stacked Bar,Bar"</formula1>
    </dataValidation>
    <dataValidation type="list" allowBlank="1" showInputMessage="1" showErrorMessage="1" sqref="B2" xr:uid="{966F60C3-EBD2-4D3C-80CC-6944E8DE7E68}">
      <formula1>"Table,Figure,Both"</formula1>
    </dataValidation>
    <dataValidation type="list" allowBlank="1" showInputMessage="1" showErrorMessage="1" sqref="B6 B15:B16" xr:uid="{946E50AA-5619-4283-9BF2-3B51252CEC3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73C9A41-BA67-4D50-A0A6-27B217E0A62E}">
          <x14:formula1>
            <xm:f>Master!$F$2:$F$293</xm:f>
          </x14:formula1>
          <xm:sqref>B1:O1</xm:sqref>
        </x14:dataValidation>
        <x14:dataValidation type="list" allowBlank="1" showInputMessage="1" showErrorMessage="1" xr:uid="{44BBF174-8530-4443-B6F6-C82EF76E9D6F}">
          <x14:formula1>
            <xm:f>Dropdowns!$A$1:$A$8</xm:f>
          </x14:formula1>
          <xm:sqref>F4:N4</xm:sqref>
        </x14:dataValidation>
      </x14:dataValidations>
    </ext>
  </extLst>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0EC8C-70CA-46E6-846A-81B57D0A9D35}">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tbl-food-environment</v>
      </c>
    </row>
    <row r="4" spans="1:16" x14ac:dyDescent="0.2">
      <c r="A4" s="58" t="s">
        <v>6</v>
      </c>
      <c r="B4" t="str">
        <f>IF($B$1="","",_xlfn.XLOOKUP($B$1,Master!$F$2:$F$308,Master!$H$2:$H$308,""))</f>
        <v>tbl-food-environment</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F5" t="s">
        <v>1123</v>
      </c>
      <c r="G5" s="46" t="s">
        <v>220</v>
      </c>
      <c r="H5" s="46" t="s">
        <v>18</v>
      </c>
      <c r="I5" s="46" t="s">
        <v>537</v>
      </c>
      <c r="J5" s="46" t="s">
        <v>449</v>
      </c>
      <c r="K5" s="46" t="s">
        <v>409</v>
      </c>
      <c r="L5" s="46" t="s">
        <v>421</v>
      </c>
      <c r="M5" s="46" t="s">
        <v>470</v>
      </c>
      <c r="N5" s="46" t="s">
        <v>915</v>
      </c>
      <c r="O5" s="46"/>
    </row>
    <row r="6" spans="1:16" ht="15" customHeight="1" x14ac:dyDescent="0.2">
      <c r="A6" t="s">
        <v>891</v>
      </c>
      <c r="B6" t="b">
        <v>0</v>
      </c>
      <c r="E6" s="99"/>
      <c r="F6">
        <v>2018</v>
      </c>
      <c r="G6">
        <v>8.6</v>
      </c>
      <c r="H6">
        <v>8.6</v>
      </c>
      <c r="I6">
        <v>8.1999999999999993</v>
      </c>
      <c r="J6">
        <v>8.6999999999999993</v>
      </c>
      <c r="K6">
        <v>8.1999999999999993</v>
      </c>
      <c r="L6">
        <v>8</v>
      </c>
      <c r="M6">
        <v>9.1999999999999993</v>
      </c>
      <c r="N6" s="49">
        <v>9</v>
      </c>
    </row>
    <row r="7" spans="1:16" ht="15.75" customHeight="1" x14ac:dyDescent="0.2">
      <c r="E7" s="99"/>
      <c r="F7">
        <v>2019</v>
      </c>
      <c r="G7">
        <v>8.6</v>
      </c>
      <c r="H7">
        <v>8.5</v>
      </c>
      <c r="I7">
        <v>9</v>
      </c>
      <c r="J7">
        <v>8.6999999999999993</v>
      </c>
      <c r="K7">
        <v>8.3000000000000007</v>
      </c>
      <c r="L7">
        <v>8.1</v>
      </c>
      <c r="M7">
        <v>9.3000000000000007</v>
      </c>
      <c r="N7" s="49">
        <v>9</v>
      </c>
    </row>
    <row r="8" spans="1:16" x14ac:dyDescent="0.2">
      <c r="E8" s="99"/>
      <c r="F8">
        <v>2022</v>
      </c>
      <c r="G8">
        <v>8.6999999999999993</v>
      </c>
      <c r="H8">
        <v>8.4</v>
      </c>
      <c r="I8">
        <v>9</v>
      </c>
      <c r="J8">
        <v>8.6</v>
      </c>
      <c r="K8">
        <v>8.3000000000000007</v>
      </c>
      <c r="L8">
        <v>8.1</v>
      </c>
      <c r="M8">
        <v>9.3000000000000007</v>
      </c>
      <c r="N8">
        <v>8.6999999999999993</v>
      </c>
    </row>
    <row r="9" spans="1:16" x14ac:dyDescent="0.2">
      <c r="A9" s="98" t="s">
        <v>893</v>
      </c>
      <c r="B9" s="99"/>
      <c r="E9" s="99"/>
      <c r="G9" s="46"/>
      <c r="H9" s="46"/>
      <c r="I9" s="46"/>
      <c r="J9" s="46"/>
      <c r="K9" s="46"/>
      <c r="L9" s="46"/>
      <c r="M9" s="46"/>
      <c r="N9" s="46"/>
      <c r="O9" s="46"/>
    </row>
    <row r="10" spans="1:16" x14ac:dyDescent="0.2">
      <c r="A10" t="s">
        <v>894</v>
      </c>
      <c r="B10" t="s">
        <v>983</v>
      </c>
      <c r="E10" s="99"/>
      <c r="F10" s="46"/>
      <c r="G10" s="47"/>
      <c r="H10" s="47"/>
      <c r="I10" s="47"/>
      <c r="J10" s="47"/>
      <c r="K10" s="47"/>
      <c r="L10" s="47"/>
      <c r="M10" s="47"/>
      <c r="N10" s="47"/>
      <c r="O10" s="46"/>
    </row>
    <row r="11" spans="1:16" x14ac:dyDescent="0.2">
      <c r="A11" t="s">
        <v>895</v>
      </c>
      <c r="B11" t="s">
        <v>887</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694</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B16" t="b">
        <v>1</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1450</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91FEA025-2AB0-4BF1-A24C-D3620A91B308}">
      <formula1>"True,False"</formula1>
    </dataValidation>
    <dataValidation type="list" allowBlank="1" showInputMessage="1" showErrorMessage="1" sqref="B2" xr:uid="{414A8C80-0EEA-4F00-ABAB-53EE1125EC44}">
      <formula1>"Table,Figure,Both"</formula1>
    </dataValidation>
    <dataValidation type="list" allowBlank="1" showInputMessage="1" showErrorMessage="1" sqref="B10" xr:uid="{838CF78F-F015-4342-9270-DBA555BB2932}">
      <formula1>"Line,Clustered Bar,Stacked Bar,Bar"</formula1>
    </dataValidation>
    <dataValidation type="list" allowBlank="1" showInputMessage="1" showErrorMessage="1" sqref="O4:P4" xr:uid="{BED64DFB-3BB6-461B-9AD7-1B441C8CCCA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54FC2EA-D342-4239-AE43-C710E5E62FFE}">
          <x14:formula1>
            <xm:f>Dropdowns!$A$1:$A$8</xm:f>
          </x14:formula1>
          <xm:sqref>F4:N4</xm:sqref>
        </x14:dataValidation>
        <x14:dataValidation type="list" allowBlank="1" showInputMessage="1" showErrorMessage="1" xr:uid="{9428277E-2D72-4C0C-8B55-04BB310E6CC6}">
          <x14:formula1>
            <xm:f>Master!$F$2:$F$293</xm:f>
          </x14:formula1>
          <xm:sqref>B1:O1</xm:sqref>
        </x14:dataValidation>
      </x14:dataValidations>
    </ext>
  </extLst>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16D5A-25BD-49AB-96B5-7F6CC9364D2C}">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tbl-limited-healthy-foods</v>
      </c>
    </row>
    <row r="4" spans="1:16" x14ac:dyDescent="0.2">
      <c r="A4" s="58" t="s">
        <v>6</v>
      </c>
      <c r="B4" t="str">
        <f>IF($B$1="","",_xlfn.XLOOKUP($B$1,Master!$F$2:$F$308,Master!$H$2:$H$308,""))</f>
        <v>fig-limited-healthy-foods</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F5" t="s">
        <v>1123</v>
      </c>
      <c r="G5" s="46" t="s">
        <v>220</v>
      </c>
      <c r="H5" s="46" t="s">
        <v>18</v>
      </c>
      <c r="I5" s="46" t="s">
        <v>537</v>
      </c>
      <c r="J5" s="46" t="s">
        <v>449</v>
      </c>
      <c r="K5" s="46" t="s">
        <v>409</v>
      </c>
      <c r="L5" s="46" t="s">
        <v>421</v>
      </c>
      <c r="M5" s="46" t="s">
        <v>470</v>
      </c>
      <c r="N5" s="46" t="s">
        <v>915</v>
      </c>
      <c r="O5" s="46"/>
    </row>
    <row r="6" spans="1:16" ht="15" customHeight="1" x14ac:dyDescent="0.2">
      <c r="A6" t="s">
        <v>891</v>
      </c>
      <c r="B6" t="b">
        <v>0</v>
      </c>
      <c r="E6" s="99"/>
      <c r="F6">
        <v>2015</v>
      </c>
      <c r="G6" s="14">
        <v>6.1</v>
      </c>
      <c r="H6" s="14">
        <v>6.4</v>
      </c>
      <c r="I6" s="14">
        <v>7.5</v>
      </c>
      <c r="J6" s="14">
        <v>3.7</v>
      </c>
      <c r="K6" s="14">
        <v>2.2000000000000002</v>
      </c>
      <c r="L6" s="14">
        <v>7.5</v>
      </c>
      <c r="M6" s="14">
        <v>1.4</v>
      </c>
      <c r="N6" s="14">
        <v>3.7</v>
      </c>
    </row>
    <row r="7" spans="1:16" ht="15.75" customHeight="1" x14ac:dyDescent="0.2">
      <c r="E7" s="99"/>
      <c r="F7">
        <v>2019</v>
      </c>
      <c r="G7" s="14">
        <v>5.7</v>
      </c>
      <c r="H7" s="14">
        <v>6</v>
      </c>
      <c r="I7" s="14">
        <v>6.7</v>
      </c>
      <c r="J7" s="14">
        <v>4.4000000000000004</v>
      </c>
      <c r="K7" s="14">
        <v>2.9</v>
      </c>
      <c r="L7" s="14">
        <v>6.1</v>
      </c>
      <c r="M7" s="14">
        <v>1.4</v>
      </c>
      <c r="N7" s="14">
        <v>2</v>
      </c>
    </row>
    <row r="8" spans="1:16" x14ac:dyDescent="0.2">
      <c r="E8" s="99"/>
      <c r="G8" s="14"/>
      <c r="H8" s="14"/>
      <c r="I8" s="14"/>
      <c r="J8" s="14"/>
      <c r="K8" s="14"/>
      <c r="L8" s="14"/>
      <c r="M8" s="14"/>
      <c r="N8" s="14"/>
    </row>
    <row r="9" spans="1:16" x14ac:dyDescent="0.2">
      <c r="A9" s="98" t="s">
        <v>893</v>
      </c>
      <c r="B9" s="99"/>
      <c r="E9" s="99"/>
      <c r="G9" s="46"/>
      <c r="H9" s="46"/>
      <c r="I9" s="46"/>
      <c r="J9" s="46"/>
      <c r="K9" s="46"/>
      <c r="L9" s="46"/>
      <c r="M9" s="46"/>
      <c r="N9" s="46"/>
      <c r="O9" s="46"/>
    </row>
    <row r="10" spans="1:16" x14ac:dyDescent="0.2">
      <c r="A10" t="s">
        <v>894</v>
      </c>
      <c r="B10" t="s">
        <v>983</v>
      </c>
      <c r="E10" s="99"/>
      <c r="F10" s="46"/>
      <c r="G10" s="47"/>
      <c r="H10" s="47"/>
      <c r="I10" s="47"/>
      <c r="J10" s="47"/>
      <c r="K10" s="47"/>
      <c r="L10" s="47"/>
      <c r="M10" s="47"/>
      <c r="N10" s="47"/>
      <c r="O10" s="46"/>
    </row>
    <row r="11" spans="1:16" x14ac:dyDescent="0.2">
      <c r="A11" t="s">
        <v>895</v>
      </c>
      <c r="B11" t="s">
        <v>887</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694</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1450</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O4:P4" xr:uid="{331AF3A2-BF15-4140-8537-66AACDBAD4D1}">
      <formula1>"integer, number, percent1"</formula1>
    </dataValidation>
    <dataValidation type="list" allowBlank="1" showInputMessage="1" showErrorMessage="1" sqref="B10" xr:uid="{39847C5D-BA6C-4C95-ACB2-087746300635}">
      <formula1>"Line,Clustered Bar,Stacked Bar,Bar"</formula1>
    </dataValidation>
    <dataValidation type="list" allowBlank="1" showInputMessage="1" showErrorMessage="1" sqref="B2" xr:uid="{E243DD68-973D-4F04-A907-766CBAFE2E92}">
      <formula1>"Table,Figure,Both"</formula1>
    </dataValidation>
    <dataValidation type="list" allowBlank="1" showInputMessage="1" showErrorMessage="1" sqref="B6 B15:B16" xr:uid="{7ED16B1F-7B66-4D82-8487-CDC2E2701E7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DBCFE12-F014-4674-976B-32E43C33E8D6}">
          <x14:formula1>
            <xm:f>Master!$F$2:$F$293</xm:f>
          </x14:formula1>
          <xm:sqref>B1:O1</xm:sqref>
        </x14:dataValidation>
        <x14:dataValidation type="list" allowBlank="1" showInputMessage="1" showErrorMessage="1" xr:uid="{0CBBC0FA-B2AF-425F-99D2-9227BD242D7C}">
          <x14:formula1>
            <xm:f>Dropdowns!$A$1:$A$8</xm:f>
          </x14:formula1>
          <xm:sqref>F4:N4</xm:sqref>
        </x14:dataValidation>
      </x14:dataValidations>
    </ext>
  </extLs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64B9-C521-40F3-A886-3E5A05212E2F}">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189</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tbl-violent-crime</v>
      </c>
    </row>
    <row r="4" spans="1:16" x14ac:dyDescent="0.2">
      <c r="A4" s="58" t="s">
        <v>6</v>
      </c>
      <c r="B4" t="str">
        <f>IF($B$1="","",_xlfn.XLOOKUP($B$1,Master!$F$2:$F$308,Master!$H$2:$H$308,""))</f>
        <v>fig-violent-crime</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s="46" t="s">
        <v>220</v>
      </c>
      <c r="H5" s="46" t="s">
        <v>18</v>
      </c>
      <c r="I5" s="46" t="s">
        <v>537</v>
      </c>
      <c r="J5" s="46" t="s">
        <v>449</v>
      </c>
      <c r="K5" s="46" t="s">
        <v>409</v>
      </c>
      <c r="L5" s="46" t="s">
        <v>421</v>
      </c>
      <c r="M5" s="46" t="s">
        <v>470</v>
      </c>
      <c r="N5" s="46" t="s">
        <v>914</v>
      </c>
      <c r="O5" s="46" t="s">
        <v>915</v>
      </c>
    </row>
    <row r="6" spans="1:16" ht="15" customHeight="1" x14ac:dyDescent="0.2">
      <c r="A6" t="s">
        <v>891</v>
      </c>
      <c r="B6" t="b">
        <v>0</v>
      </c>
      <c r="E6" s="99"/>
      <c r="F6">
        <v>2018</v>
      </c>
      <c r="G6" s="14">
        <v>186.4</v>
      </c>
      <c r="H6" s="14">
        <v>210.7</v>
      </c>
      <c r="I6" s="14">
        <v>55.4</v>
      </c>
      <c r="J6" s="14">
        <v>113.5</v>
      </c>
      <c r="K6" s="14">
        <v>264.2</v>
      </c>
      <c r="L6" s="14">
        <v>161.1</v>
      </c>
      <c r="M6" s="14">
        <v>173.6</v>
      </c>
      <c r="N6" s="14">
        <v>204</v>
      </c>
      <c r="O6">
        <v>351</v>
      </c>
    </row>
    <row r="7" spans="1:16" ht="15.75" customHeight="1" x14ac:dyDescent="0.2">
      <c r="E7" s="99"/>
      <c r="F7">
        <v>2019</v>
      </c>
      <c r="G7" s="14">
        <v>194.8</v>
      </c>
      <c r="H7" s="14">
        <v>190.9</v>
      </c>
      <c r="I7" s="14">
        <v>49.9</v>
      </c>
      <c r="J7" s="14">
        <v>115.5</v>
      </c>
      <c r="K7" s="14">
        <v>249.9</v>
      </c>
      <c r="L7" s="14">
        <v>145.6</v>
      </c>
      <c r="M7" s="14">
        <v>169.3</v>
      </c>
      <c r="N7" s="14">
        <v>199.4</v>
      </c>
      <c r="O7">
        <v>359.4</v>
      </c>
    </row>
    <row r="8" spans="1:16" x14ac:dyDescent="0.2">
      <c r="E8" s="99"/>
      <c r="F8">
        <v>2020</v>
      </c>
      <c r="G8" s="14">
        <v>198</v>
      </c>
      <c r="H8" s="14">
        <v>174.6</v>
      </c>
      <c r="I8" s="14">
        <v>37.9</v>
      </c>
      <c r="J8" s="14">
        <v>104.9</v>
      </c>
      <c r="K8" s="14">
        <v>196.7</v>
      </c>
      <c r="L8" s="14">
        <v>128.5</v>
      </c>
      <c r="M8" s="14">
        <v>164.4</v>
      </c>
      <c r="N8" s="14">
        <v>206.2</v>
      </c>
      <c r="O8">
        <v>365.7</v>
      </c>
    </row>
    <row r="9" spans="1:16" x14ac:dyDescent="0.2">
      <c r="A9" s="98" t="s">
        <v>893</v>
      </c>
      <c r="B9" s="99"/>
      <c r="E9" s="99"/>
      <c r="F9">
        <v>2021</v>
      </c>
      <c r="G9" s="46" t="s">
        <v>1452</v>
      </c>
      <c r="H9" s="46" t="s">
        <v>1453</v>
      </c>
      <c r="I9" s="46" t="s">
        <v>1454</v>
      </c>
      <c r="J9" s="46" t="s">
        <v>1455</v>
      </c>
      <c r="K9" s="46" t="s">
        <v>1456</v>
      </c>
      <c r="L9" s="46" t="s">
        <v>1457</v>
      </c>
      <c r="M9" s="46" t="s">
        <v>1458</v>
      </c>
      <c r="N9" s="46" t="s">
        <v>1459</v>
      </c>
      <c r="O9" s="46" t="s">
        <v>1460</v>
      </c>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715</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1451</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E9D4CE45-35D9-4E33-A3F4-9DCDF7D43CC6}">
      <formula1>"True,False"</formula1>
    </dataValidation>
    <dataValidation type="list" allowBlank="1" showInputMessage="1" showErrorMessage="1" sqref="B2" xr:uid="{A8B68248-EA36-49AE-9E2C-92A82597680D}">
      <formula1>"Table,Figure,Both"</formula1>
    </dataValidation>
    <dataValidation type="list" allowBlank="1" showInputMessage="1" showErrorMessage="1" sqref="B10" xr:uid="{2C9E5014-ACB2-4402-8B1A-A760A2DEB9FB}">
      <formula1>"Line,Clustered Bar,Stacked Bar,Bar"</formula1>
    </dataValidation>
    <dataValidation type="list" allowBlank="1" showInputMessage="1" showErrorMessage="1" sqref="P4" xr:uid="{4294EE77-00A0-429A-BBB2-C9581516A60F}">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385590E-EF0D-44C8-BF18-5B5F70748FDB}">
          <x14:formula1>
            <xm:f>Dropdowns!$A$1:$A$8</xm:f>
          </x14:formula1>
          <xm:sqref>F4:O4</xm:sqref>
        </x14:dataValidation>
        <x14:dataValidation type="list" allowBlank="1" showInputMessage="1" showErrorMessage="1" xr:uid="{55DF5121-511C-4290-8DCA-1DDEDF62D117}">
          <x14:formula1>
            <xm:f>Master!$F$2:$F$293</xm:f>
          </x14:formula1>
          <xm:sqref>B1:O1</xm:sqref>
        </x14:dataValidation>
      </x14:dataValidations>
    </ext>
  </extLs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3A17-BD69-4959-B954-26BBEFC510C8}">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192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tbl-density-matter</v>
      </c>
    </row>
    <row r="4" spans="1:16" x14ac:dyDescent="0.2">
      <c r="A4" s="58" t="s">
        <v>6</v>
      </c>
      <c r="B4" t="str">
        <f>IF($B$1="","",_xlfn.XLOOKUP($B$1,Master!$F$2:$F$308,Master!$H$2:$H$308,""))</f>
        <v>fig-density-matter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s="46" t="s">
        <v>220</v>
      </c>
      <c r="H5" s="46" t="s">
        <v>18</v>
      </c>
      <c r="I5" s="46" t="s">
        <v>537</v>
      </c>
      <c r="J5" s="46" t="s">
        <v>449</v>
      </c>
      <c r="K5" s="46" t="s">
        <v>409</v>
      </c>
      <c r="L5" s="46" t="s">
        <v>421</v>
      </c>
      <c r="M5" s="46" t="s">
        <v>470</v>
      </c>
      <c r="N5" s="46" t="s">
        <v>915</v>
      </c>
      <c r="O5" s="46"/>
    </row>
    <row r="6" spans="1:16" ht="15" customHeight="1" x14ac:dyDescent="0.2">
      <c r="A6" t="s">
        <v>891</v>
      </c>
      <c r="B6" t="b">
        <v>0</v>
      </c>
      <c r="E6" s="99"/>
      <c r="F6">
        <v>2014</v>
      </c>
      <c r="G6" s="14">
        <v>9.3000000000000007</v>
      </c>
      <c r="H6" s="14">
        <v>9</v>
      </c>
      <c r="I6" s="14">
        <v>9.3000000000000007</v>
      </c>
      <c r="J6" s="14">
        <v>9.6999999999999993</v>
      </c>
      <c r="K6" s="14">
        <v>8.4</v>
      </c>
      <c r="L6" s="14">
        <v>8.9</v>
      </c>
      <c r="M6" s="14">
        <v>10.4</v>
      </c>
      <c r="N6" s="14">
        <v>8.5</v>
      </c>
    </row>
    <row r="7" spans="1:16" ht="15.75" customHeight="1" x14ac:dyDescent="0.2">
      <c r="E7" s="99"/>
      <c r="F7">
        <v>2016</v>
      </c>
      <c r="G7" s="14">
        <v>7.9</v>
      </c>
      <c r="H7" s="14">
        <v>6.2</v>
      </c>
      <c r="I7" s="14">
        <v>8</v>
      </c>
      <c r="J7" s="14">
        <v>8.5</v>
      </c>
      <c r="K7" s="14">
        <v>7.3</v>
      </c>
      <c r="L7" s="14">
        <v>7.5</v>
      </c>
      <c r="M7" s="14">
        <v>9</v>
      </c>
      <c r="N7" s="14">
        <v>6.6</v>
      </c>
    </row>
    <row r="8" spans="1:16" x14ac:dyDescent="0.2">
      <c r="E8" s="99"/>
      <c r="F8">
        <v>2018</v>
      </c>
      <c r="G8" s="14">
        <v>7.7</v>
      </c>
      <c r="H8" s="14">
        <v>6.4</v>
      </c>
      <c r="I8" s="14">
        <v>7.9</v>
      </c>
      <c r="J8" s="14">
        <v>8.8000000000000007</v>
      </c>
      <c r="K8" s="14">
        <v>7.2</v>
      </c>
      <c r="L8" s="14">
        <v>7.4</v>
      </c>
      <c r="M8" s="14">
        <v>9.3000000000000007</v>
      </c>
      <c r="N8" s="14">
        <v>6.9</v>
      </c>
    </row>
    <row r="9" spans="1:16" x14ac:dyDescent="0.2">
      <c r="A9" s="98" t="s">
        <v>893</v>
      </c>
      <c r="B9" s="99"/>
      <c r="E9" s="99"/>
      <c r="F9">
        <v>2020</v>
      </c>
      <c r="G9" s="46" t="s">
        <v>1463</v>
      </c>
      <c r="H9" s="46" t="s">
        <v>1464</v>
      </c>
      <c r="I9" s="46" t="s">
        <v>1447</v>
      </c>
      <c r="J9" s="46" t="s">
        <v>1465</v>
      </c>
      <c r="K9" s="46" t="s">
        <v>1466</v>
      </c>
      <c r="L9" s="46" t="s">
        <v>1467</v>
      </c>
      <c r="M9" s="46" t="s">
        <v>1468</v>
      </c>
      <c r="N9" s="46" t="s">
        <v>1466</v>
      </c>
      <c r="O9" s="46"/>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1461</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1462</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35C88831-7E18-4D93-B27D-45CE5078510F}">
      <formula1>"integer, number, percent1"</formula1>
    </dataValidation>
    <dataValidation type="list" allowBlank="1" showInputMessage="1" showErrorMessage="1" sqref="B10" xr:uid="{8DED45DE-F12E-4D88-AC67-D9EC9B975E9F}">
      <formula1>"Line,Clustered Bar,Stacked Bar,Bar"</formula1>
    </dataValidation>
    <dataValidation type="list" allowBlank="1" showInputMessage="1" showErrorMessage="1" sqref="B2" xr:uid="{C2C32E71-6516-4632-B716-06F72F996B98}">
      <formula1>"Table,Figure,Both"</formula1>
    </dataValidation>
    <dataValidation type="list" allowBlank="1" showInputMessage="1" showErrorMessage="1" sqref="B6 B15:B16" xr:uid="{26ACA154-5B1D-44D9-9C9C-4B1B75D1A40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44A71BE-8E91-4F22-A45B-121FEEF16899}">
          <x14:formula1>
            <xm:f>Master!$F$2:$F$293</xm:f>
          </x14:formula1>
          <xm:sqref>B1:O1</xm:sqref>
        </x14:dataValidation>
        <x14:dataValidation type="list" allowBlank="1" showInputMessage="1" showErrorMessage="1" xr:uid="{09981426-1476-4FB9-8339-99CD381FFC65}">
          <x14:formula1>
            <xm:f>Dropdowns!$A$1:$A$8</xm:f>
          </x14:formula1>
          <xm:sqref>F4:O4</xm:sqref>
        </x14:dataValidation>
      </x14:dataValidations>
    </ext>
  </extLst>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E859F-272C-4888-8B65-0ABABF68B3C7}">
  <dimension ref="A1:P57"/>
  <sheetViews>
    <sheetView topLeftCell="A2"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197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tbl-lead-children</v>
      </c>
    </row>
    <row r="4" spans="1:16" x14ac:dyDescent="0.2">
      <c r="A4" s="58" t="s">
        <v>6</v>
      </c>
      <c r="B4" t="str">
        <f>IF($B$1="","",_xlfn.XLOOKUP($B$1,Master!$F$2:$F$308,Master!$H$2:$H$308,""))</f>
        <v>fig-lead-children</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s="46" t="s">
        <v>220</v>
      </c>
      <c r="H5" s="46" t="s">
        <v>18</v>
      </c>
      <c r="I5" s="46" t="s">
        <v>537</v>
      </c>
      <c r="J5" s="46" t="s">
        <v>449</v>
      </c>
      <c r="K5" s="46" t="s">
        <v>409</v>
      </c>
      <c r="L5" s="46" t="s">
        <v>421</v>
      </c>
      <c r="M5" s="46" t="s">
        <v>470</v>
      </c>
      <c r="N5" s="46" t="s">
        <v>898</v>
      </c>
      <c r="O5" s="46" t="s">
        <v>915</v>
      </c>
    </row>
    <row r="6" spans="1:16" ht="15" customHeight="1" x14ac:dyDescent="0.2">
      <c r="A6" t="s">
        <v>891</v>
      </c>
      <c r="B6" t="b">
        <v>0</v>
      </c>
      <c r="E6" s="99"/>
      <c r="F6">
        <v>2013</v>
      </c>
      <c r="G6" s="14">
        <v>57.2</v>
      </c>
      <c r="H6" s="14">
        <v>53.4</v>
      </c>
      <c r="I6" s="14">
        <v>61.3</v>
      </c>
      <c r="J6" s="14">
        <v>71.3</v>
      </c>
      <c r="K6" s="14">
        <v>36.4</v>
      </c>
      <c r="L6" s="14">
        <v>51.7</v>
      </c>
      <c r="M6" s="14">
        <v>65.5</v>
      </c>
      <c r="N6" s="14">
        <v>61.6</v>
      </c>
      <c r="O6">
        <v>62.8</v>
      </c>
    </row>
    <row r="7" spans="1:16" ht="15.75" customHeight="1" x14ac:dyDescent="0.2">
      <c r="E7" s="99"/>
      <c r="F7">
        <v>2016</v>
      </c>
      <c r="G7" s="14">
        <v>58.8</v>
      </c>
      <c r="H7" s="14">
        <v>52.3</v>
      </c>
      <c r="I7" s="14">
        <v>62.4</v>
      </c>
      <c r="J7" s="14">
        <v>60.3</v>
      </c>
      <c r="K7" s="14">
        <v>46.1</v>
      </c>
      <c r="L7" s="14">
        <v>53.5</v>
      </c>
      <c r="M7" s="14">
        <v>64.3</v>
      </c>
      <c r="N7" s="14">
        <v>59.4</v>
      </c>
      <c r="O7">
        <v>63.3</v>
      </c>
    </row>
    <row r="8" spans="1:16" x14ac:dyDescent="0.2">
      <c r="E8" s="99"/>
      <c r="F8">
        <v>2017</v>
      </c>
      <c r="G8" s="14">
        <v>60.7</v>
      </c>
      <c r="H8" s="14">
        <v>51</v>
      </c>
      <c r="I8" s="14">
        <v>60.8</v>
      </c>
      <c r="J8" s="14">
        <v>57</v>
      </c>
      <c r="K8" s="14">
        <v>44.4</v>
      </c>
      <c r="L8" s="14">
        <v>55.3</v>
      </c>
      <c r="M8" s="14">
        <v>63.6</v>
      </c>
      <c r="N8" s="14">
        <v>58.4</v>
      </c>
      <c r="O8">
        <v>62.4</v>
      </c>
    </row>
    <row r="9" spans="1:16" x14ac:dyDescent="0.2">
      <c r="A9" s="98" t="s">
        <v>893</v>
      </c>
      <c r="B9" s="99"/>
      <c r="E9" s="99"/>
      <c r="F9">
        <v>2019</v>
      </c>
      <c r="G9" s="46" t="s">
        <v>1470</v>
      </c>
      <c r="H9" s="46" t="s">
        <v>1471</v>
      </c>
      <c r="I9" s="46" t="s">
        <v>1472</v>
      </c>
      <c r="J9" s="46" t="s">
        <v>1473</v>
      </c>
      <c r="K9" s="46" t="s">
        <v>1474</v>
      </c>
      <c r="L9" s="46" t="s">
        <v>1475</v>
      </c>
      <c r="M9" s="46" t="s">
        <v>1476</v>
      </c>
      <c r="N9" s="46" t="s">
        <v>1477</v>
      </c>
      <c r="O9" s="46" t="s">
        <v>1478</v>
      </c>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694</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1469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0BE7E39B-5175-40EB-B99C-28FCDF9458F9}">
      <formula1>"True,False"</formula1>
    </dataValidation>
    <dataValidation type="list" allowBlank="1" showInputMessage="1" showErrorMessage="1" sqref="B2" xr:uid="{1EACCE10-E43F-4C4E-9A8D-6C1336A3D0DF}">
      <formula1>"Table,Figure,Both"</formula1>
    </dataValidation>
    <dataValidation type="list" allowBlank="1" showInputMessage="1" showErrorMessage="1" sqref="B10" xr:uid="{58A56C77-97C6-4E73-AA75-3CDD0605DC61}">
      <formula1>"Line,Clustered Bar,Stacked Bar,Bar"</formula1>
    </dataValidation>
    <dataValidation type="list" allowBlank="1" showInputMessage="1" showErrorMessage="1" sqref="P4" xr:uid="{3E63955C-0AF3-42D0-A0F5-9AED0BD43BA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65C3107-C6C6-4F63-BF27-B1D92DAD1018}">
          <x14:formula1>
            <xm:f>Dropdowns!$A$1:$A$8</xm:f>
          </x14:formula1>
          <xm:sqref>F4:O4</xm:sqref>
        </x14:dataValidation>
        <x14:dataValidation type="list" allowBlank="1" showInputMessage="1" showErrorMessage="1" xr:uid="{692E9B11-BB2A-49F1-A8FB-2315A917D526}">
          <x14:formula1>
            <xm:f>Master!$F$2:$F$293</xm:f>
          </x14:formula1>
          <xm:sqref>B1:O1</xm:sqref>
        </x14:dataValidation>
      </x14:dataValidations>
    </ext>
  </extLst>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9216-A4AD-4875-9708-2CA4D7BD592C}">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10"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202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tbl-severe-housing</v>
      </c>
    </row>
    <row r="4" spans="1:16" x14ac:dyDescent="0.2">
      <c r="A4" s="58" t="s">
        <v>6</v>
      </c>
      <c r="B4" t="str">
        <f>IF($B$1="","",_xlfn.XLOOKUP($B$1,Master!$F$2:$F$308,Master!$H$2:$H$308,""))</f>
        <v>fig-severe-housing</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s="46" t="s">
        <v>220</v>
      </c>
      <c r="H5" s="46" t="s">
        <v>18</v>
      </c>
      <c r="I5" s="46" t="s">
        <v>537</v>
      </c>
      <c r="J5" s="46" t="s">
        <v>449</v>
      </c>
      <c r="K5" s="46" t="s">
        <v>409</v>
      </c>
      <c r="L5" s="46" t="s">
        <v>421</v>
      </c>
      <c r="M5" s="46" t="s">
        <v>470</v>
      </c>
      <c r="N5" s="46" t="s">
        <v>915</v>
      </c>
      <c r="O5" s="46" t="s">
        <v>1141</v>
      </c>
    </row>
    <row r="6" spans="1:16" ht="15" customHeight="1" x14ac:dyDescent="0.2">
      <c r="A6" t="s">
        <v>891</v>
      </c>
      <c r="B6" t="b">
        <v>0</v>
      </c>
      <c r="E6" s="99"/>
      <c r="F6" t="s">
        <v>969</v>
      </c>
      <c r="G6" s="14">
        <v>17</v>
      </c>
      <c r="H6" s="14">
        <v>21</v>
      </c>
      <c r="I6" s="14">
        <v>17</v>
      </c>
      <c r="J6" s="14">
        <v>26</v>
      </c>
      <c r="K6" s="14">
        <v>16</v>
      </c>
      <c r="L6" s="14">
        <v>18</v>
      </c>
      <c r="M6" s="14">
        <v>22</v>
      </c>
      <c r="N6" s="14">
        <v>23</v>
      </c>
      <c r="O6" s="14">
        <v>17</v>
      </c>
    </row>
    <row r="7" spans="1:16" ht="15.75" customHeight="1" x14ac:dyDescent="0.2">
      <c r="E7" s="99"/>
      <c r="G7" s="14"/>
      <c r="H7" s="14"/>
      <c r="I7" s="14"/>
      <c r="J7" s="14"/>
      <c r="K7" s="14"/>
      <c r="L7" s="14"/>
      <c r="M7" s="14"/>
      <c r="N7" s="14"/>
    </row>
    <row r="8" spans="1:16" x14ac:dyDescent="0.2">
      <c r="E8" s="99"/>
      <c r="G8" s="14"/>
      <c r="H8" s="14"/>
      <c r="I8" s="14"/>
      <c r="J8" s="14"/>
      <c r="K8" s="14"/>
      <c r="L8" s="14"/>
      <c r="M8" s="14"/>
      <c r="N8" s="14"/>
    </row>
    <row r="9" spans="1:16" x14ac:dyDescent="0.2">
      <c r="A9" s="98" t="s">
        <v>893</v>
      </c>
      <c r="B9" s="99"/>
      <c r="E9" s="99"/>
      <c r="G9" s="46"/>
      <c r="H9" s="46"/>
      <c r="I9" s="46"/>
      <c r="J9" s="46"/>
      <c r="K9" s="46"/>
      <c r="L9" s="46"/>
      <c r="M9" s="46"/>
      <c r="N9" s="46"/>
      <c r="O9" s="46"/>
    </row>
    <row r="10" spans="1:16" x14ac:dyDescent="0.2">
      <c r="A10" t="s">
        <v>894</v>
      </c>
      <c r="B10" t="s">
        <v>1002</v>
      </c>
      <c r="E10" s="99"/>
      <c r="F10" s="46"/>
      <c r="G10" s="47"/>
      <c r="H10" s="47"/>
      <c r="I10" s="47"/>
      <c r="J10" s="47"/>
      <c r="K10" s="47"/>
      <c r="L10" s="47"/>
      <c r="M10" s="47"/>
      <c r="N10" s="47"/>
      <c r="O10" s="46"/>
    </row>
    <row r="11" spans="1:16" x14ac:dyDescent="0.2">
      <c r="A11" t="s">
        <v>895</v>
      </c>
      <c r="B11" t="s">
        <v>887</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694</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1479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2776F694-E87C-4DED-BDB2-4F55A376873B}">
      <formula1>"True,False"</formula1>
    </dataValidation>
    <dataValidation type="list" allowBlank="1" showInputMessage="1" showErrorMessage="1" sqref="B2" xr:uid="{AC5CC7BD-F9CF-492F-8C08-1405EA2298FD}">
      <formula1>"Table,Figure,Both"</formula1>
    </dataValidation>
    <dataValidation type="list" allowBlank="1" showInputMessage="1" showErrorMessage="1" sqref="B10" xr:uid="{B5F6751D-F2F4-46C7-A222-707D2EE2C3E1}">
      <formula1>"Line,Clustered Bar,Stacked Bar,Bar"</formula1>
    </dataValidation>
    <dataValidation type="list" allowBlank="1" showInputMessage="1" showErrorMessage="1" sqref="P4" xr:uid="{AE470451-75FD-4232-A91C-824A587F0AE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DDFB5B2-D317-4682-87F7-967F45DE7FA0}">
          <x14:formula1>
            <xm:f>Dropdowns!$A$1:$A$8</xm:f>
          </x14:formula1>
          <xm:sqref>F4:O4</xm:sqref>
        </x14:dataValidation>
        <x14:dataValidation type="list" allowBlank="1" showInputMessage="1" showErrorMessage="1" xr:uid="{28BCC462-4DD5-47C4-BA66-094F476CEF78}">
          <x14:formula1>
            <xm:f>Master!$F$2:$F$293</xm:f>
          </x14:formula1>
          <xm:sqref>B1:O1</xm:sqref>
        </x14:dataValidation>
      </x14:dataValidations>
    </ext>
  </extLst>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3CCF-5F22-4957-AF24-2C39C3350569}">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204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tbl-no-vehicles</v>
      </c>
    </row>
    <row r="4" spans="1:16" x14ac:dyDescent="0.2">
      <c r="A4" s="58" t="s">
        <v>6</v>
      </c>
      <c r="B4" t="str">
        <f>IF($B$1="","",_xlfn.XLOOKUP($B$1,Master!$F$2:$F$308,Master!$H$2:$H$308,""))</f>
        <v>fig-no-vehicles</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F5" t="s">
        <v>1123</v>
      </c>
      <c r="G5" s="46" t="s">
        <v>220</v>
      </c>
      <c r="H5" s="46" t="s">
        <v>18</v>
      </c>
      <c r="I5" s="46" t="s">
        <v>537</v>
      </c>
      <c r="J5" s="46" t="s">
        <v>449</v>
      </c>
      <c r="K5" s="46" t="s">
        <v>409</v>
      </c>
      <c r="L5" s="46" t="s">
        <v>421</v>
      </c>
      <c r="M5" s="46" t="s">
        <v>470</v>
      </c>
      <c r="N5" s="46" t="s">
        <v>915</v>
      </c>
      <c r="O5" s="46"/>
    </row>
    <row r="6" spans="1:16" ht="15" customHeight="1" x14ac:dyDescent="0.2">
      <c r="A6" t="s">
        <v>891</v>
      </c>
      <c r="B6" t="b">
        <v>0</v>
      </c>
      <c r="E6" s="99"/>
      <c r="F6">
        <v>2021</v>
      </c>
      <c r="G6" s="14">
        <v>7.2</v>
      </c>
      <c r="H6" s="14">
        <v>8.9</v>
      </c>
      <c r="I6" s="14">
        <v>4.7</v>
      </c>
      <c r="J6" s="14">
        <v>10.4</v>
      </c>
      <c r="K6" s="14">
        <v>10.4</v>
      </c>
      <c r="L6" s="14">
        <v>6.8</v>
      </c>
      <c r="M6" s="14">
        <v>14.3</v>
      </c>
      <c r="N6" s="14">
        <v>28.9</v>
      </c>
    </row>
    <row r="7" spans="1:16" ht="15.75" customHeight="1" x14ac:dyDescent="0.2">
      <c r="E7" s="99"/>
      <c r="F7">
        <v>2022</v>
      </c>
      <c r="G7" s="14">
        <v>7.2</v>
      </c>
      <c r="H7" s="14">
        <v>8.6</v>
      </c>
      <c r="I7" s="14">
        <v>4.0999999999999996</v>
      </c>
      <c r="J7" s="14">
        <v>9.9</v>
      </c>
      <c r="K7" s="14">
        <v>9.9</v>
      </c>
      <c r="L7" s="14">
        <v>7.2</v>
      </c>
      <c r="M7" s="14">
        <v>14.2</v>
      </c>
      <c r="N7" s="14">
        <v>29</v>
      </c>
    </row>
    <row r="8" spans="1:16" x14ac:dyDescent="0.2">
      <c r="E8" s="99"/>
      <c r="F8">
        <v>2023</v>
      </c>
      <c r="G8" s="14">
        <v>7</v>
      </c>
      <c r="H8" s="14">
        <v>8.6</v>
      </c>
      <c r="I8" s="14">
        <v>4.2</v>
      </c>
      <c r="J8" s="14">
        <v>9.6999999999999993</v>
      </c>
      <c r="K8" s="14">
        <v>8.8000000000000007</v>
      </c>
      <c r="L8" s="14">
        <v>7.5</v>
      </c>
      <c r="M8" s="14">
        <v>14.2</v>
      </c>
      <c r="N8" s="14">
        <v>29</v>
      </c>
    </row>
    <row r="9" spans="1:16" x14ac:dyDescent="0.2">
      <c r="A9" s="98" t="s">
        <v>893</v>
      </c>
      <c r="B9" s="99"/>
      <c r="E9" s="99"/>
      <c r="G9" s="46"/>
      <c r="H9" s="46"/>
      <c r="I9" s="46"/>
      <c r="J9" s="46"/>
      <c r="K9" s="46"/>
      <c r="L9" s="46"/>
      <c r="M9" s="46"/>
      <c r="N9" s="46"/>
      <c r="O9" s="46"/>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694</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1480</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53281B91-6083-463D-93FC-34B3227AC7E0}">
      <formula1>"integer, number, percent1"</formula1>
    </dataValidation>
    <dataValidation type="list" allowBlank="1" showInputMessage="1" showErrorMessage="1" sqref="B10" xr:uid="{62AEA052-418F-4B29-89F4-44452DD737CD}">
      <formula1>"Line,Clustered Bar,Stacked Bar,Bar"</formula1>
    </dataValidation>
    <dataValidation type="list" allowBlank="1" showInputMessage="1" showErrorMessage="1" sqref="B2" xr:uid="{DD7D0936-E6CD-44E6-A060-FB0120D7FF41}">
      <formula1>"Table,Figure,Both"</formula1>
    </dataValidation>
    <dataValidation type="list" allowBlank="1" showInputMessage="1" showErrorMessage="1" sqref="B6 B15:B16" xr:uid="{C6A218F5-50C3-4C6F-AFD2-988A65E4F43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052A7AB-FCF7-4394-A32D-A6077584FA2A}">
          <x14:formula1>
            <xm:f>Master!$F$2:$F$293</xm:f>
          </x14:formula1>
          <xm:sqref>B1:O1</xm:sqref>
        </x14:dataValidation>
        <x14:dataValidation type="list" allowBlank="1" showInputMessage="1" showErrorMessage="1" xr:uid="{D0B717A0-578F-48BA-BC93-8430D8A48335}">
          <x14:formula1>
            <xm:f>Dropdowns!$A$1:$A$8</xm:f>
          </x14:formula1>
          <xm:sqref>F4:O4</xm:sqref>
        </x14:dataValidation>
      </x14:dataValidations>
    </ext>
  </extLst>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DBA4-68A3-4668-B5A9-9B8954222D1A}">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206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tbl-mode-to-work</v>
      </c>
    </row>
    <row r="4" spans="1:16" x14ac:dyDescent="0.2">
      <c r="A4" s="58" t="s">
        <v>6</v>
      </c>
      <c r="B4" t="str">
        <f>IF($B$1="","",_xlfn.XLOOKUP($B$1,Master!$F$2:$F$308,Master!$H$2:$H$308,""))</f>
        <v>fig-mode-to-work</v>
      </c>
      <c r="E4" s="13"/>
      <c r="F4" s="16" t="s">
        <v>664</v>
      </c>
      <c r="G4" s="16" t="s">
        <v>679</v>
      </c>
      <c r="H4" s="16" t="s">
        <v>679</v>
      </c>
      <c r="I4" s="16" t="s">
        <v>679</v>
      </c>
      <c r="J4" s="16" t="s">
        <v>679</v>
      </c>
      <c r="K4" s="16" t="s">
        <v>679</v>
      </c>
      <c r="L4" s="16" t="s">
        <v>679</v>
      </c>
      <c r="M4" s="16"/>
      <c r="N4" s="16"/>
      <c r="O4" s="16"/>
      <c r="P4" s="16"/>
    </row>
    <row r="5" spans="1:16" x14ac:dyDescent="0.2">
      <c r="A5" s="98" t="s">
        <v>885</v>
      </c>
      <c r="B5" s="99"/>
      <c r="E5" s="100" t="s">
        <v>886</v>
      </c>
      <c r="F5" s="46" t="s">
        <v>887</v>
      </c>
      <c r="G5" s="46" t="s">
        <v>979</v>
      </c>
      <c r="H5" s="46" t="s">
        <v>980</v>
      </c>
      <c r="I5" s="46" t="s">
        <v>981</v>
      </c>
      <c r="J5" s="46" t="s">
        <v>982</v>
      </c>
      <c r="K5" s="46" t="s">
        <v>984</v>
      </c>
      <c r="L5" s="46" t="s">
        <v>986</v>
      </c>
      <c r="M5" s="46"/>
      <c r="N5" s="46"/>
      <c r="O5" s="46"/>
    </row>
    <row r="6" spans="1:16" ht="15" customHeight="1" x14ac:dyDescent="0.2">
      <c r="A6" t="s">
        <v>891</v>
      </c>
      <c r="B6" t="b">
        <v>0</v>
      </c>
      <c r="E6" s="99"/>
      <c r="F6" t="s">
        <v>220</v>
      </c>
      <c r="G6" s="14">
        <v>71.400000000000006</v>
      </c>
      <c r="H6" s="14">
        <v>7.5</v>
      </c>
      <c r="I6" s="14">
        <v>3.7</v>
      </c>
      <c r="J6" s="14">
        <v>2.2999999999999998</v>
      </c>
      <c r="K6" s="14">
        <v>1.7</v>
      </c>
      <c r="L6" s="14">
        <v>13.4</v>
      </c>
      <c r="M6" s="14"/>
      <c r="N6" s="14"/>
    </row>
    <row r="7" spans="1:16" ht="15.75" customHeight="1" x14ac:dyDescent="0.2">
      <c r="E7" s="99"/>
      <c r="F7" t="s">
        <v>18</v>
      </c>
      <c r="G7" s="14">
        <v>69.8</v>
      </c>
      <c r="H7" s="14">
        <v>9.6</v>
      </c>
      <c r="I7" s="14">
        <v>4.4000000000000004</v>
      </c>
      <c r="J7" s="14">
        <v>3.1</v>
      </c>
      <c r="K7" s="14">
        <v>2</v>
      </c>
      <c r="L7" s="14">
        <v>11.1</v>
      </c>
      <c r="M7" s="14"/>
      <c r="N7" s="14"/>
    </row>
    <row r="8" spans="1:16" x14ac:dyDescent="0.2">
      <c r="E8" s="99"/>
      <c r="F8" t="s">
        <v>537</v>
      </c>
      <c r="G8" s="14">
        <v>70.599999999999994</v>
      </c>
      <c r="H8" s="14">
        <v>7.6</v>
      </c>
      <c r="I8" s="14">
        <v>5.6</v>
      </c>
      <c r="J8" s="14">
        <v>1.5</v>
      </c>
      <c r="K8" s="14">
        <v>1</v>
      </c>
      <c r="L8" s="14">
        <v>13.7</v>
      </c>
      <c r="M8" s="14"/>
      <c r="N8" s="14"/>
    </row>
    <row r="9" spans="1:16" x14ac:dyDescent="0.2">
      <c r="A9" s="98" t="s">
        <v>893</v>
      </c>
      <c r="B9" s="99"/>
      <c r="E9" s="99"/>
      <c r="F9" t="s">
        <v>449</v>
      </c>
      <c r="G9" s="46" t="s">
        <v>1482</v>
      </c>
      <c r="H9" s="46" t="s">
        <v>1483</v>
      </c>
      <c r="I9" s="46" t="s">
        <v>1484</v>
      </c>
      <c r="J9" s="46" t="s">
        <v>1485</v>
      </c>
      <c r="K9" s="46" t="s">
        <v>1486</v>
      </c>
      <c r="L9" s="46" t="s">
        <v>1487</v>
      </c>
      <c r="M9" s="46"/>
      <c r="N9" s="46"/>
      <c r="O9" s="46"/>
    </row>
    <row r="10" spans="1:16" x14ac:dyDescent="0.2">
      <c r="A10" t="s">
        <v>894</v>
      </c>
      <c r="B10" t="s">
        <v>983</v>
      </c>
      <c r="E10" s="99"/>
      <c r="F10" s="46" t="s">
        <v>409</v>
      </c>
      <c r="G10" s="47" t="s">
        <v>1488</v>
      </c>
      <c r="H10" s="47" t="s">
        <v>1468</v>
      </c>
      <c r="I10" s="47" t="s">
        <v>1489</v>
      </c>
      <c r="J10" s="47" t="s">
        <v>1490</v>
      </c>
      <c r="K10" s="47" t="s">
        <v>1491</v>
      </c>
      <c r="L10" s="47" t="s">
        <v>1492</v>
      </c>
      <c r="M10" s="47"/>
      <c r="N10" s="47"/>
      <c r="O10" s="46"/>
    </row>
    <row r="11" spans="1:16" x14ac:dyDescent="0.2">
      <c r="A11" t="s">
        <v>895</v>
      </c>
      <c r="B11" t="s">
        <v>985</v>
      </c>
      <c r="E11" s="99"/>
      <c r="F11" s="46" t="s">
        <v>421</v>
      </c>
      <c r="G11" s="47" t="s">
        <v>1493</v>
      </c>
      <c r="H11" s="47" t="s">
        <v>1494</v>
      </c>
      <c r="I11" s="47" t="s">
        <v>1495</v>
      </c>
      <c r="J11" s="47" t="s">
        <v>1490</v>
      </c>
      <c r="K11" s="47" t="s">
        <v>1496</v>
      </c>
      <c r="L11" s="47" t="s">
        <v>1497</v>
      </c>
      <c r="M11" s="47"/>
      <c r="N11" s="47"/>
      <c r="O11" s="46"/>
    </row>
    <row r="12" spans="1:16" x14ac:dyDescent="0.2">
      <c r="A12" t="s">
        <v>896</v>
      </c>
      <c r="E12" s="99"/>
      <c r="F12" s="46" t="s">
        <v>470</v>
      </c>
      <c r="G12" s="46" t="s">
        <v>1498</v>
      </c>
      <c r="H12" s="46" t="s">
        <v>1499</v>
      </c>
      <c r="I12" s="46" t="s">
        <v>1500</v>
      </c>
      <c r="J12" s="46" t="s">
        <v>1501</v>
      </c>
      <c r="K12" s="46" t="s">
        <v>1495</v>
      </c>
      <c r="L12" s="46" t="s">
        <v>1502</v>
      </c>
      <c r="M12" s="46"/>
      <c r="N12" s="46"/>
      <c r="O12" s="46"/>
    </row>
    <row r="13" spans="1:16" x14ac:dyDescent="0.2">
      <c r="A13" t="s">
        <v>897</v>
      </c>
      <c r="E13" s="99"/>
      <c r="F13" s="46" t="s">
        <v>915</v>
      </c>
      <c r="G13" s="46" t="s">
        <v>1503</v>
      </c>
      <c r="H13" s="46" t="s">
        <v>1504</v>
      </c>
      <c r="I13" s="46" t="s">
        <v>1505</v>
      </c>
      <c r="J13" s="46" t="s">
        <v>1506</v>
      </c>
      <c r="K13" s="46" t="s">
        <v>1507</v>
      </c>
      <c r="L13" s="46" t="s">
        <v>1508</v>
      </c>
      <c r="M13" s="46"/>
      <c r="N13" s="46"/>
      <c r="O13" s="46"/>
    </row>
    <row r="14" spans="1:16" x14ac:dyDescent="0.2">
      <c r="A14" t="s">
        <v>899</v>
      </c>
      <c r="B14" t="s">
        <v>694</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1481</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69F7C7C8-B027-4977-BCC3-623FECBFDBDB}">
      <formula1>"True,False"</formula1>
    </dataValidation>
    <dataValidation type="list" allowBlank="1" showInputMessage="1" showErrorMessage="1" sqref="B2" xr:uid="{ED958373-64CF-4A39-BDF0-2822F576EDB6}">
      <formula1>"Table,Figure,Both"</formula1>
    </dataValidation>
    <dataValidation type="list" allowBlank="1" showInputMessage="1" showErrorMessage="1" sqref="B10" xr:uid="{21D89AAD-E311-4770-BC70-2F2D501731F5}">
      <formula1>"Line,Clustered Bar,Stacked Bar,Bar"</formula1>
    </dataValidation>
    <dataValidation type="list" allowBlank="1" showInputMessage="1" showErrorMessage="1" sqref="P4" xr:uid="{6D4D5B2D-8EE5-42C4-A67F-CF67EBAB9A4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54D9E2D-607A-4C44-8419-6DF82770FD65}">
          <x14:formula1>
            <xm:f>Dropdowns!$A$1:$A$8</xm:f>
          </x14:formula1>
          <xm:sqref>F4:O4</xm:sqref>
        </x14:dataValidation>
        <x14:dataValidation type="list" allowBlank="1" showInputMessage="1" showErrorMessage="1" xr:uid="{9E8C6E7C-D9BA-4679-BFCE-D03CD476331C}">
          <x14:formula1>
            <xm:f>Master!$F$2:$F$293</xm:f>
          </x14:formula1>
          <xm:sqref>B1:O1</xm:sqref>
        </x14:dataValidation>
      </x14:dataValidations>
    </ext>
  </extLst>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2798C-D3B6-43D4-B660-65D30A4ED0BD}">
  <dimension ref="A1:P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211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tbl-mean-time-work</v>
      </c>
    </row>
    <row r="4" spans="1:16" x14ac:dyDescent="0.2">
      <c r="A4" s="58" t="s">
        <v>6</v>
      </c>
      <c r="B4" t="str">
        <f>IF($B$1="","",_xlfn.XLOOKUP($B$1,Master!$F$2:$F$308,Master!$H$2:$H$308,""))</f>
        <v>fig-mean-time-work</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82" t="s">
        <v>1123</v>
      </c>
      <c r="G5" s="46" t="s">
        <v>220</v>
      </c>
      <c r="H5" s="46" t="s">
        <v>18</v>
      </c>
      <c r="I5" s="46" t="s">
        <v>537</v>
      </c>
      <c r="J5" s="46" t="s">
        <v>449</v>
      </c>
      <c r="K5" s="46" t="s">
        <v>409</v>
      </c>
      <c r="L5" s="46" t="s">
        <v>421</v>
      </c>
      <c r="M5" s="46" t="s">
        <v>470</v>
      </c>
      <c r="N5" s="46" t="s">
        <v>915</v>
      </c>
      <c r="O5" s="46"/>
    </row>
    <row r="6" spans="1:16" ht="15" customHeight="1" x14ac:dyDescent="0.2">
      <c r="A6" t="s">
        <v>891</v>
      </c>
      <c r="B6" t="b">
        <v>0</v>
      </c>
      <c r="E6" s="99"/>
      <c r="F6">
        <v>2021</v>
      </c>
      <c r="G6" s="14">
        <v>32</v>
      </c>
      <c r="H6" s="14">
        <v>34.1</v>
      </c>
      <c r="I6" s="14">
        <v>39.200000000000003</v>
      </c>
      <c r="J6" s="14">
        <v>31.2</v>
      </c>
      <c r="K6" s="14">
        <v>28.6</v>
      </c>
      <c r="L6" s="14">
        <v>28.6</v>
      </c>
      <c r="M6" s="14">
        <v>34.799999999999997</v>
      </c>
      <c r="N6" s="14">
        <v>33.299999999999997</v>
      </c>
    </row>
    <row r="7" spans="1:16" ht="15.75" customHeight="1" x14ac:dyDescent="0.2">
      <c r="E7" s="99"/>
      <c r="F7">
        <v>2022</v>
      </c>
      <c r="G7" s="14">
        <v>32.299999999999997</v>
      </c>
      <c r="H7" s="14">
        <v>34.1</v>
      </c>
      <c r="I7" s="14">
        <v>39.9</v>
      </c>
      <c r="J7" s="14">
        <v>31</v>
      </c>
      <c r="K7" s="14">
        <v>28.1</v>
      </c>
      <c r="L7" s="14">
        <v>28.1</v>
      </c>
      <c r="M7" s="14">
        <v>34.799999999999997</v>
      </c>
      <c r="N7" s="14">
        <v>33.200000000000003</v>
      </c>
    </row>
    <row r="8" spans="1:16" x14ac:dyDescent="0.2">
      <c r="E8" s="99"/>
      <c r="F8">
        <v>2023</v>
      </c>
      <c r="G8" s="14">
        <v>31.4</v>
      </c>
      <c r="H8" s="14">
        <v>34.200000000000003</v>
      </c>
      <c r="I8" s="14">
        <v>39.5</v>
      </c>
      <c r="J8" s="14">
        <v>30.3</v>
      </c>
      <c r="K8" s="14">
        <v>27.8</v>
      </c>
      <c r="L8" s="14">
        <v>27.8</v>
      </c>
      <c r="M8" s="14">
        <v>34.700000000000003</v>
      </c>
      <c r="N8" s="14">
        <v>32.799999999999997</v>
      </c>
    </row>
    <row r="9" spans="1:16" x14ac:dyDescent="0.2">
      <c r="A9" s="98" t="s">
        <v>893</v>
      </c>
      <c r="B9" s="99"/>
      <c r="E9" s="99"/>
      <c r="G9" s="46"/>
      <c r="H9" s="46"/>
      <c r="I9" s="46"/>
      <c r="J9" s="46"/>
      <c r="K9" s="46"/>
      <c r="L9" s="46"/>
      <c r="M9" s="46"/>
      <c r="N9" s="46"/>
      <c r="O9" s="46"/>
    </row>
    <row r="10" spans="1:16" x14ac:dyDescent="0.2">
      <c r="A10" t="s">
        <v>894</v>
      </c>
      <c r="B10" t="s">
        <v>972</v>
      </c>
      <c r="E10" s="99"/>
      <c r="F10" s="46"/>
      <c r="G10" s="47"/>
      <c r="H10" s="47"/>
      <c r="I10" s="47"/>
      <c r="J10" s="47"/>
      <c r="K10" s="47"/>
      <c r="L10" s="47"/>
      <c r="M10" s="47"/>
      <c r="N10" s="47"/>
      <c r="O10" s="46"/>
    </row>
    <row r="11" spans="1:16" x14ac:dyDescent="0.2">
      <c r="A11" t="s">
        <v>895</v>
      </c>
      <c r="B11" t="s">
        <v>973</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B14" t="s">
        <v>989</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B25" t="s">
        <v>1509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C85AE9B9-100A-4972-B71A-DDB7D78B4702}">
      <formula1>"integer, number, percent1"</formula1>
    </dataValidation>
    <dataValidation type="list" allowBlank="1" showInputMessage="1" showErrorMessage="1" sqref="B10" xr:uid="{24C2CC49-985F-4DA5-9EC2-F9330E056552}">
      <formula1>"Line,Clustered Bar,Stacked Bar,Bar"</formula1>
    </dataValidation>
    <dataValidation type="list" allowBlank="1" showInputMessage="1" showErrorMessage="1" sqref="B2" xr:uid="{C1E9E522-0D62-410B-979E-DB2B20BBC2A6}">
      <formula1>"Table,Figure,Both"</formula1>
    </dataValidation>
    <dataValidation type="list" allowBlank="1" showInputMessage="1" showErrorMessage="1" sqref="B6 B15:B16" xr:uid="{0A9B8493-ED6A-4BEF-8CC2-2A1650AFDD51}">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6E7A789-521A-4CAE-B1F9-CFF3CAEB2D06}">
          <x14:formula1>
            <xm:f>Master!$F$2:$F$293</xm:f>
          </x14:formula1>
          <xm:sqref>B1:O1</xm:sqref>
        </x14:dataValidation>
        <x14:dataValidation type="list" allowBlank="1" showInputMessage="1" showErrorMessage="1" xr:uid="{664114B1-B2A8-43B5-9CE7-BDD1921CF7A9}">
          <x14:formula1>
            <xm:f>Dropdowns!$A$1:$A$8</xm:f>
          </x14:formula1>
          <xm:sqref>F4:O4</xm:sqref>
        </x14:dataValidation>
      </x14:dataValidations>
    </ext>
  </extLst>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B79B-6B75-4729-AE0A-D710761FC1C3}">
  <dimension ref="A1"/>
  <sheetViews>
    <sheetView workbookViewId="0"/>
  </sheetViews>
  <sheetFormatPr baseColWidth="10" defaultColWidth="8.83203125" defaultRowHeight="15" x14ac:dyDescent="0.2"/>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24BC-4FB5-4A1C-A32E-F020CECCD823}">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9.5" bestFit="1" customWidth="1"/>
    <col min="7" max="7" width="9.5"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1635</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tbl-dc-pav</v>
      </c>
    </row>
    <row r="4" spans="1:16" x14ac:dyDescent="0.2">
      <c r="A4" s="58" t="s">
        <v>6</v>
      </c>
      <c r="B4" t="str">
        <f>IF($B$1="","",_xlfn.XLOOKUP($B$1,Master!$F$2:$F$308,Master!$H$2:$H$308,""))</f>
        <v>fig-dc-pav</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46" t="s">
        <v>1022</v>
      </c>
      <c r="G5" s="46" t="s">
        <v>1023</v>
      </c>
      <c r="H5" s="46" t="s">
        <v>1024</v>
      </c>
      <c r="I5" s="46" t="s">
        <v>1025</v>
      </c>
      <c r="J5" s="46" t="s">
        <v>1639</v>
      </c>
      <c r="K5" s="46" t="s">
        <v>1640</v>
      </c>
      <c r="L5" s="46"/>
      <c r="M5" s="46"/>
      <c r="N5" s="46"/>
      <c r="O5" s="46"/>
    </row>
    <row r="6" spans="1:16" ht="15" customHeight="1" x14ac:dyDescent="0.2">
      <c r="A6" t="s">
        <v>891</v>
      </c>
      <c r="B6" t="b">
        <v>0</v>
      </c>
      <c r="E6" s="99"/>
      <c r="F6">
        <v>412</v>
      </c>
      <c r="G6" s="14">
        <v>324</v>
      </c>
      <c r="H6" s="14">
        <v>265</v>
      </c>
      <c r="I6" s="14">
        <v>286</v>
      </c>
      <c r="J6" s="14">
        <v>206</v>
      </c>
      <c r="K6" s="14">
        <v>167</v>
      </c>
      <c r="L6" s="14"/>
      <c r="M6" s="14"/>
      <c r="N6" s="14"/>
    </row>
    <row r="7" spans="1:16" ht="15.75" customHeight="1" x14ac:dyDescent="0.2">
      <c r="E7" s="99"/>
      <c r="G7" s="14"/>
      <c r="H7" s="14"/>
      <c r="I7" s="14"/>
      <c r="J7" s="14"/>
      <c r="K7" s="14"/>
      <c r="L7" s="14"/>
      <c r="M7" s="14"/>
      <c r="N7" s="14"/>
    </row>
    <row r="8" spans="1:16" x14ac:dyDescent="0.2">
      <c r="E8" s="99"/>
      <c r="G8" s="14"/>
      <c r="H8" s="14"/>
      <c r="I8" s="14"/>
      <c r="J8" s="14"/>
      <c r="K8" s="14"/>
      <c r="L8" s="14"/>
      <c r="M8" s="14"/>
      <c r="N8" s="14"/>
    </row>
    <row r="9" spans="1:16" x14ac:dyDescent="0.2">
      <c r="A9" s="98" t="s">
        <v>893</v>
      </c>
      <c r="B9" s="99"/>
      <c r="E9" s="99"/>
      <c r="G9" s="46"/>
      <c r="H9" s="46"/>
      <c r="I9" s="46"/>
      <c r="J9" s="46"/>
      <c r="K9" s="46"/>
      <c r="L9" s="46"/>
      <c r="M9" s="46"/>
      <c r="N9" s="46"/>
      <c r="O9" s="46"/>
    </row>
    <row r="10" spans="1:16" x14ac:dyDescent="0.2">
      <c r="A10" t="s">
        <v>894</v>
      </c>
      <c r="B10" t="s">
        <v>1002</v>
      </c>
      <c r="E10" s="99"/>
      <c r="F10" s="46"/>
      <c r="G10" s="47"/>
      <c r="H10" s="47"/>
      <c r="I10" s="47"/>
      <c r="J10" s="47"/>
      <c r="K10" s="47"/>
      <c r="L10" s="47"/>
      <c r="M10" s="47"/>
      <c r="N10" s="47"/>
      <c r="O10" s="46"/>
    </row>
    <row r="11" spans="1:16" x14ac:dyDescent="0.2">
      <c r="A11" t="s">
        <v>895</v>
      </c>
      <c r="B11" t="s">
        <v>985</v>
      </c>
      <c r="E11" s="99"/>
      <c r="F11" s="46"/>
      <c r="G11" s="47"/>
      <c r="H11" s="47"/>
      <c r="I11" s="47"/>
      <c r="J11" s="47"/>
      <c r="K11" s="47"/>
      <c r="L11" s="47"/>
      <c r="M11" s="47"/>
      <c r="N11" s="47"/>
      <c r="O11" s="46"/>
    </row>
    <row r="12" spans="1:16" x14ac:dyDescent="0.2">
      <c r="A12" t="s">
        <v>896</v>
      </c>
      <c r="E12" s="99"/>
      <c r="F12" s="46"/>
      <c r="G12" s="46"/>
      <c r="H12" s="46"/>
      <c r="I12" s="46"/>
      <c r="J12" s="46"/>
      <c r="K12" s="46"/>
      <c r="L12" s="46"/>
      <c r="M12" s="46"/>
      <c r="N12" s="46"/>
      <c r="O12" s="46"/>
    </row>
    <row r="13" spans="1:16" x14ac:dyDescent="0.2">
      <c r="A13" t="s">
        <v>897</v>
      </c>
      <c r="E13" s="99"/>
      <c r="F13" s="46"/>
      <c r="G13" s="46"/>
      <c r="H13" s="46"/>
      <c r="I13" s="46"/>
      <c r="J13" s="46"/>
      <c r="K13" s="46"/>
      <c r="L13" s="46"/>
      <c r="M13" s="46"/>
      <c r="N13" s="46"/>
      <c r="O13" s="46"/>
    </row>
    <row r="14" spans="1:16" x14ac:dyDescent="0.2">
      <c r="A14" t="s">
        <v>899</v>
      </c>
      <c r="E14" s="99"/>
      <c r="F14" s="46"/>
      <c r="G14" s="48"/>
      <c r="H14" s="47"/>
      <c r="I14" s="47"/>
      <c r="J14" s="47"/>
      <c r="K14" s="47"/>
      <c r="L14" s="47"/>
      <c r="M14" s="47"/>
      <c r="N14" s="47"/>
      <c r="O14" s="46"/>
    </row>
    <row r="15" spans="1:16" x14ac:dyDescent="0.2">
      <c r="A15" t="s">
        <v>901</v>
      </c>
      <c r="B15" t="b">
        <v>1</v>
      </c>
      <c r="E15" s="99"/>
      <c r="F15" s="46"/>
      <c r="G15" s="48"/>
      <c r="H15" s="47"/>
      <c r="I15" s="47"/>
      <c r="J15" s="47"/>
      <c r="K15" s="47"/>
      <c r="L15" s="47"/>
      <c r="M15" s="47"/>
      <c r="N15" s="47"/>
      <c r="O15" s="46"/>
    </row>
    <row r="16" spans="1:16" x14ac:dyDescent="0.2">
      <c r="A16" t="s">
        <v>1145</v>
      </c>
      <c r="E16" s="99"/>
      <c r="F16" s="46"/>
      <c r="G16" s="48"/>
      <c r="H16" s="47"/>
      <c r="I16" s="47"/>
      <c r="J16" s="47"/>
      <c r="K16" s="47"/>
      <c r="L16" s="47"/>
      <c r="M16" s="47"/>
      <c r="N16" s="47"/>
      <c r="O16" s="46"/>
    </row>
    <row r="17" spans="1:15" x14ac:dyDescent="0.2">
      <c r="E17" s="99"/>
      <c r="F17" s="46"/>
      <c r="G17" s="48"/>
      <c r="H17" s="47"/>
      <c r="I17" s="47"/>
      <c r="J17" s="47"/>
      <c r="K17" s="47"/>
      <c r="L17" s="47"/>
      <c r="M17" s="47"/>
      <c r="N17" s="47"/>
      <c r="O17" s="46"/>
    </row>
    <row r="18" spans="1:15" x14ac:dyDescent="0.2">
      <c r="A18" s="98" t="s">
        <v>902</v>
      </c>
      <c r="B18" s="99"/>
      <c r="E18" s="99"/>
      <c r="F18" s="46"/>
      <c r="G18" s="46"/>
      <c r="H18" s="46"/>
      <c r="I18" s="46"/>
      <c r="J18" s="46"/>
      <c r="K18" s="46"/>
      <c r="L18" s="46"/>
      <c r="M18" s="46"/>
      <c r="N18" s="46"/>
      <c r="O18" s="46"/>
    </row>
    <row r="19" spans="1:15" x14ac:dyDescent="0.2">
      <c r="A19" t="s">
        <v>903</v>
      </c>
      <c r="E19" s="99"/>
      <c r="F19" s="46"/>
      <c r="G19" s="46"/>
      <c r="H19" s="46"/>
      <c r="I19" s="46"/>
      <c r="J19" s="46"/>
      <c r="K19" s="46"/>
      <c r="L19" s="46"/>
      <c r="M19" s="46"/>
      <c r="N19" s="46"/>
      <c r="O19" s="46"/>
    </row>
    <row r="20" spans="1:15" x14ac:dyDescent="0.2">
      <c r="A20" t="s">
        <v>904</v>
      </c>
      <c r="E20" s="99"/>
      <c r="F20" s="46"/>
      <c r="G20" s="46"/>
      <c r="H20" s="46"/>
      <c r="I20" s="46"/>
      <c r="J20" s="46"/>
      <c r="K20" s="46"/>
      <c r="L20" s="46"/>
      <c r="M20" s="46"/>
      <c r="N20" s="46"/>
      <c r="O20" s="46"/>
    </row>
    <row r="21" spans="1:15" x14ac:dyDescent="0.2">
      <c r="A21" t="s">
        <v>905</v>
      </c>
      <c r="E21" s="99"/>
      <c r="F21" s="46"/>
      <c r="G21" s="46"/>
      <c r="H21" s="46"/>
      <c r="I21" s="46"/>
      <c r="J21" s="46"/>
      <c r="K21" s="46"/>
      <c r="L21" s="46"/>
      <c r="M21" s="46"/>
      <c r="N21" s="46"/>
      <c r="O21" s="46"/>
    </row>
    <row r="22" spans="1:15" x14ac:dyDescent="0.2">
      <c r="A22" t="s">
        <v>906</v>
      </c>
      <c r="E22" s="99"/>
    </row>
    <row r="23" spans="1:15" x14ac:dyDescent="0.2">
      <c r="A23" t="s">
        <v>907</v>
      </c>
      <c r="E23" s="99"/>
    </row>
    <row r="24" spans="1:15" x14ac:dyDescent="0.2">
      <c r="A24" t="s">
        <v>908</v>
      </c>
      <c r="E24" s="99"/>
    </row>
    <row r="25" spans="1:15" x14ac:dyDescent="0.2">
      <c r="A25" t="s">
        <v>909</v>
      </c>
      <c r="E25" s="99"/>
    </row>
    <row r="26" spans="1:15" x14ac:dyDescent="0.2">
      <c r="E26" s="99"/>
    </row>
    <row r="27" spans="1:15" x14ac:dyDescent="0.2">
      <c r="A27" s="101" t="s">
        <v>910</v>
      </c>
      <c r="B27" s="99"/>
      <c r="E27" s="99"/>
    </row>
    <row r="28" spans="1:15" x14ac:dyDescent="0.2">
      <c r="E28" s="99"/>
    </row>
    <row r="29" spans="1:15" x14ac:dyDescent="0.2">
      <c r="E29" s="99"/>
    </row>
    <row r="30" spans="1:15" x14ac:dyDescent="0.2">
      <c r="E30" s="99"/>
    </row>
    <row r="31" spans="1:15" x14ac:dyDescent="0.2">
      <c r="E31" s="99"/>
    </row>
    <row r="32" spans="1:15" x14ac:dyDescent="0.2">
      <c r="E32" s="99"/>
    </row>
    <row r="33" spans="5:5" x14ac:dyDescent="0.2">
      <c r="E33" s="99"/>
    </row>
    <row r="34" spans="5:5" x14ac:dyDescent="0.2">
      <c r="E34" s="99"/>
    </row>
    <row r="35" spans="5:5" x14ac:dyDescent="0.2">
      <c r="E35" s="99"/>
    </row>
    <row r="36" spans="5:5" x14ac:dyDescent="0.2">
      <c r="E36" s="99"/>
    </row>
    <row r="37" spans="5:5" x14ac:dyDescent="0.2">
      <c r="E37" s="99"/>
    </row>
    <row r="38" spans="5:5" x14ac:dyDescent="0.2">
      <c r="E38" s="99"/>
    </row>
    <row r="39" spans="5:5" x14ac:dyDescent="0.2">
      <c r="E39" s="99"/>
    </row>
    <row r="40" spans="5:5" x14ac:dyDescent="0.2">
      <c r="E40" s="99"/>
    </row>
    <row r="41" spans="5:5" x14ac:dyDescent="0.2">
      <c r="E41" s="99"/>
    </row>
    <row r="42" spans="5:5" x14ac:dyDescent="0.2">
      <c r="E42" s="99"/>
    </row>
    <row r="43" spans="5:5" x14ac:dyDescent="0.2">
      <c r="E43" s="99"/>
    </row>
    <row r="44" spans="5:5" x14ac:dyDescent="0.2">
      <c r="E44" s="99"/>
    </row>
    <row r="45" spans="5:5" x14ac:dyDescent="0.2">
      <c r="E45" s="99"/>
    </row>
    <row r="46" spans="5:5" x14ac:dyDescent="0.2">
      <c r="E46" s="99"/>
    </row>
    <row r="47" spans="5:5" x14ac:dyDescent="0.2">
      <c r="E47" s="99"/>
    </row>
    <row r="48" spans="5:5"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0B0D2041-3FF8-423A-B684-66CB9ACBD46F}">
      <formula1>"True,False"</formula1>
    </dataValidation>
    <dataValidation type="list" allowBlank="1" showInputMessage="1" showErrorMessage="1" sqref="B2" xr:uid="{512F655D-8D33-41BF-B75A-FFAEC4ED21AD}">
      <formula1>"Table,Figure,Both"</formula1>
    </dataValidation>
    <dataValidation type="list" allowBlank="1" showInputMessage="1" showErrorMessage="1" sqref="B10" xr:uid="{A372EEE8-CA59-41D9-9EF0-953328A65B59}">
      <formula1>"Line,Clustered Bar,Stacked Bar,Bar"</formula1>
    </dataValidation>
    <dataValidation type="list" allowBlank="1" showInputMessage="1" showErrorMessage="1" sqref="P4" xr:uid="{0BD8C89A-C5B6-46AF-854E-9D438EF58A8B}">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5595EC5-4FD4-43E5-BF6B-219823EF4EF1}">
          <x14:formula1>
            <xm:f>Dropdowns!$A$1:$A$8</xm:f>
          </x14:formula1>
          <xm:sqref>F4:O4</xm:sqref>
        </x14:dataValidation>
        <x14:dataValidation type="list" allowBlank="1" showInputMessage="1" showErrorMessage="1" xr:uid="{EA709509-AD64-4C79-8B90-7A0F364ADE06}">
          <x14:formula1>
            <xm:f>Master!$F$2:$F$401</xm:f>
          </x14:formula1>
          <xm:sqref>B1:O1</xm:sqref>
        </x14:dataValidation>
      </x14:dataValidations>
    </ext>
  </extLst>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EFC6-F692-48AB-9123-F99E6385B3F6}">
  <dimension ref="A1:P57"/>
  <sheetViews>
    <sheetView workbookViewId="0">
      <selection activeCell="F21" sqref="F21"/>
    </sheetView>
  </sheetViews>
  <sheetFormatPr baseColWidth="10" defaultColWidth="8.6640625" defaultRowHeight="15" x14ac:dyDescent="0.2"/>
  <cols>
    <col min="1" max="1" width="20" bestFit="1" customWidth="1"/>
    <col min="2" max="2" width="22.1640625" bestFit="1" customWidth="1"/>
    <col min="5" max="5" width="6.6640625" customWidth="1"/>
    <col min="6" max="6" width="38" bestFit="1" customWidth="1"/>
    <col min="7" max="7" width="8" bestFit="1"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1641</v>
      </c>
      <c r="C1" s="97"/>
      <c r="D1" s="97"/>
      <c r="E1" s="97"/>
      <c r="F1" s="97"/>
      <c r="G1" s="97"/>
      <c r="H1" s="97"/>
      <c r="I1" s="97"/>
      <c r="J1" s="97"/>
      <c r="K1" s="97"/>
      <c r="L1" s="97"/>
      <c r="M1" s="97"/>
      <c r="N1" s="97"/>
      <c r="O1" s="97"/>
    </row>
    <row r="2" spans="1:16" x14ac:dyDescent="0.2">
      <c r="A2" s="58" t="s">
        <v>883</v>
      </c>
      <c r="B2" t="s">
        <v>12</v>
      </c>
    </row>
    <row r="3" spans="1:16" x14ac:dyDescent="0.2">
      <c r="A3" s="58" t="s">
        <v>884</v>
      </c>
      <c r="B3" t="str">
        <f>IF($B$1="","",_xlfn.XLOOKUP($B$1,Master!$F$2:$F$308,Master!$G$2:$G$308,""))</f>
        <v>tbl-rccha-demo</v>
      </c>
    </row>
    <row r="4" spans="1:16" x14ac:dyDescent="0.2">
      <c r="A4" s="58" t="s">
        <v>6</v>
      </c>
      <c r="B4" t="str">
        <f>IF($B$1="","",_xlfn.XLOOKUP($B$1,Master!$F$2:$F$308,Master!$H$2:$H$308,""))</f>
        <v>fig-rccha-demo</v>
      </c>
      <c r="E4" s="13"/>
      <c r="F4" s="16" t="s">
        <v>664</v>
      </c>
      <c r="G4" s="16" t="s">
        <v>671</v>
      </c>
      <c r="H4" s="16" t="s">
        <v>686</v>
      </c>
      <c r="I4" s="16"/>
      <c r="J4" s="16"/>
      <c r="K4" s="16"/>
      <c r="L4" s="16"/>
      <c r="M4" s="16"/>
      <c r="N4" s="16"/>
      <c r="O4" s="16"/>
      <c r="P4" s="16"/>
    </row>
    <row r="5" spans="1:16" x14ac:dyDescent="0.2">
      <c r="A5" s="98" t="s">
        <v>885</v>
      </c>
      <c r="B5" s="99"/>
      <c r="E5" s="100" t="s">
        <v>886</v>
      </c>
      <c r="F5" s="46"/>
      <c r="G5" s="46" t="s">
        <v>1</v>
      </c>
      <c r="H5" s="46" t="s">
        <v>694</v>
      </c>
      <c r="J5" s="46"/>
      <c r="K5" s="46"/>
      <c r="L5" s="46"/>
      <c r="M5" s="46"/>
      <c r="N5" s="46"/>
      <c r="O5" s="46"/>
    </row>
    <row r="6" spans="1:16" ht="15" customHeight="1" x14ac:dyDescent="0.2">
      <c r="A6" t="s">
        <v>891</v>
      </c>
      <c r="B6" t="b">
        <v>1</v>
      </c>
      <c r="E6" s="99"/>
      <c r="F6" s="101" t="s">
        <v>1643</v>
      </c>
      <c r="G6" s="101"/>
      <c r="H6" s="101"/>
      <c r="J6" s="14"/>
      <c r="K6" s="14"/>
      <c r="L6" s="14"/>
      <c r="M6" s="14"/>
      <c r="N6" s="14"/>
    </row>
    <row r="7" spans="1:16" ht="15.75" customHeight="1" x14ac:dyDescent="0.2">
      <c r="E7" s="99"/>
      <c r="F7" s="59" t="s">
        <v>911</v>
      </c>
      <c r="G7" s="59">
        <v>180</v>
      </c>
      <c r="H7" s="59">
        <v>29.9</v>
      </c>
      <c r="J7" s="14"/>
      <c r="K7" s="14"/>
      <c r="L7" s="14"/>
      <c r="M7" s="14"/>
      <c r="N7" s="14"/>
    </row>
    <row r="8" spans="1:16" x14ac:dyDescent="0.2">
      <c r="E8" s="99"/>
      <c r="F8" s="59" t="s">
        <v>912</v>
      </c>
      <c r="G8" s="59">
        <v>410</v>
      </c>
      <c r="H8" s="59">
        <v>68</v>
      </c>
      <c r="J8" s="14"/>
      <c r="K8" s="14"/>
      <c r="L8" s="14"/>
      <c r="M8" s="14"/>
      <c r="N8" s="14"/>
    </row>
    <row r="9" spans="1:16" x14ac:dyDescent="0.2">
      <c r="A9" s="98" t="s">
        <v>893</v>
      </c>
      <c r="B9" s="99"/>
      <c r="E9" s="99"/>
      <c r="F9" s="101" t="s">
        <v>1644</v>
      </c>
      <c r="G9" s="101"/>
      <c r="H9" s="101"/>
      <c r="J9" s="46"/>
      <c r="K9" s="46"/>
      <c r="L9" s="46"/>
      <c r="M9" s="46"/>
      <c r="N9" s="46"/>
      <c r="O9" s="46"/>
    </row>
    <row r="10" spans="1:16" x14ac:dyDescent="0.2">
      <c r="A10" t="s">
        <v>894</v>
      </c>
      <c r="E10" s="99"/>
      <c r="F10" s="59" t="s">
        <v>1645</v>
      </c>
      <c r="G10" s="59">
        <v>90</v>
      </c>
      <c r="H10" s="59">
        <v>14.9</v>
      </c>
      <c r="J10" s="47"/>
      <c r="K10" s="47"/>
      <c r="L10" s="47"/>
      <c r="M10" s="47"/>
      <c r="N10" s="47"/>
      <c r="O10" s="46"/>
    </row>
    <row r="11" spans="1:16" x14ac:dyDescent="0.2">
      <c r="A11" t="s">
        <v>895</v>
      </c>
      <c r="E11" s="99"/>
      <c r="F11" s="68" t="s">
        <v>1646</v>
      </c>
      <c r="G11" s="68" t="s">
        <v>1647</v>
      </c>
      <c r="H11" s="68" t="s">
        <v>1648</v>
      </c>
      <c r="J11" s="47"/>
      <c r="K11" s="47"/>
      <c r="L11" s="47"/>
      <c r="M11" s="47"/>
      <c r="N11" s="47"/>
      <c r="O11" s="46"/>
    </row>
    <row r="12" spans="1:16" x14ac:dyDescent="0.2">
      <c r="A12" t="s">
        <v>896</v>
      </c>
      <c r="E12" s="99"/>
      <c r="F12" s="47" t="s">
        <v>1649</v>
      </c>
      <c r="G12" s="47" t="s">
        <v>1650</v>
      </c>
      <c r="H12" s="47" t="s">
        <v>1651</v>
      </c>
      <c r="J12" s="46"/>
      <c r="K12" s="46"/>
      <c r="L12" s="46"/>
      <c r="M12" s="46"/>
      <c r="N12" s="46"/>
      <c r="O12" s="46"/>
    </row>
    <row r="13" spans="1:16" x14ac:dyDescent="0.2">
      <c r="A13" t="s">
        <v>897</v>
      </c>
      <c r="E13" s="99"/>
      <c r="F13" s="47" t="s">
        <v>1652</v>
      </c>
      <c r="G13" s="47" t="s">
        <v>1653</v>
      </c>
      <c r="H13" s="47" t="s">
        <v>1654</v>
      </c>
      <c r="I13" s="46"/>
      <c r="J13" s="46"/>
      <c r="K13" s="46"/>
      <c r="L13" s="46"/>
      <c r="M13" s="46"/>
      <c r="N13" s="46"/>
      <c r="O13" s="46"/>
    </row>
    <row r="14" spans="1:16" x14ac:dyDescent="0.2">
      <c r="A14" t="s">
        <v>899</v>
      </c>
      <c r="E14" s="99"/>
      <c r="F14" s="68" t="s">
        <v>1655</v>
      </c>
      <c r="G14" s="68" t="s">
        <v>1656</v>
      </c>
      <c r="H14" s="68" t="s">
        <v>1657</v>
      </c>
      <c r="I14" s="46"/>
      <c r="J14" s="47"/>
      <c r="K14" s="47"/>
      <c r="L14" s="47"/>
      <c r="M14" s="47"/>
      <c r="N14" s="47"/>
      <c r="O14" s="46"/>
    </row>
    <row r="15" spans="1:16" x14ac:dyDescent="0.2">
      <c r="A15" t="s">
        <v>901</v>
      </c>
      <c r="E15" s="99"/>
      <c r="F15" s="101" t="s">
        <v>2167</v>
      </c>
      <c r="G15" s="101"/>
      <c r="H15" s="101"/>
      <c r="I15" s="46"/>
      <c r="J15" s="47"/>
      <c r="K15" s="47"/>
      <c r="L15" s="47"/>
      <c r="M15" s="47"/>
      <c r="N15" s="47"/>
      <c r="O15" s="46"/>
    </row>
    <row r="16" spans="1:16" x14ac:dyDescent="0.2">
      <c r="A16" t="s">
        <v>1145</v>
      </c>
      <c r="E16" s="99"/>
      <c r="F16" s="55" t="s">
        <v>2168</v>
      </c>
      <c r="G16" s="68" t="s">
        <v>1658</v>
      </c>
      <c r="H16" s="68" t="s">
        <v>1659</v>
      </c>
      <c r="I16" s="46"/>
      <c r="J16" s="47"/>
      <c r="K16" s="47"/>
      <c r="L16" s="47"/>
      <c r="M16" s="47"/>
      <c r="N16" s="47"/>
      <c r="O16" s="46"/>
    </row>
    <row r="17" spans="1:15" x14ac:dyDescent="0.2">
      <c r="E17" s="99"/>
      <c r="F17" s="55" t="s">
        <v>1282</v>
      </c>
      <c r="G17" s="68" t="s">
        <v>1660</v>
      </c>
      <c r="H17" s="68" t="s">
        <v>1661</v>
      </c>
      <c r="I17" s="46"/>
      <c r="J17" s="47"/>
      <c r="K17" s="47"/>
      <c r="L17" s="47"/>
      <c r="M17" s="47"/>
      <c r="N17" s="47"/>
      <c r="O17" s="46"/>
    </row>
    <row r="18" spans="1:15" x14ac:dyDescent="0.2">
      <c r="A18" s="98" t="s">
        <v>902</v>
      </c>
      <c r="B18" s="99"/>
      <c r="E18" s="99"/>
      <c r="F18" s="55" t="s">
        <v>2169</v>
      </c>
      <c r="G18" s="68" t="s">
        <v>1662</v>
      </c>
      <c r="H18" s="68" t="s">
        <v>1663</v>
      </c>
      <c r="I18" s="46"/>
      <c r="J18" s="46"/>
      <c r="K18" s="46"/>
      <c r="L18" s="46"/>
      <c r="M18" s="46"/>
      <c r="N18" s="46"/>
      <c r="O18" s="46"/>
    </row>
    <row r="19" spans="1:15" x14ac:dyDescent="0.2">
      <c r="A19" t="s">
        <v>903</v>
      </c>
      <c r="E19" s="99"/>
      <c r="F19" s="55" t="s">
        <v>1693</v>
      </c>
      <c r="G19" s="68" t="s">
        <v>1664</v>
      </c>
      <c r="H19" s="68" t="s">
        <v>1665</v>
      </c>
      <c r="I19" s="46"/>
      <c r="J19" s="46"/>
      <c r="K19" s="46"/>
      <c r="L19" s="46"/>
      <c r="M19" s="46"/>
      <c r="N19" s="46"/>
      <c r="O19" s="46"/>
    </row>
    <row r="20" spans="1:15" x14ac:dyDescent="0.2">
      <c r="A20" t="s">
        <v>904</v>
      </c>
      <c r="E20" s="99"/>
      <c r="F20" s="55" t="s">
        <v>1666</v>
      </c>
      <c r="G20" s="68" t="s">
        <v>1667</v>
      </c>
      <c r="H20" s="68" t="s">
        <v>1668</v>
      </c>
      <c r="I20" s="46"/>
      <c r="J20" s="46"/>
      <c r="K20" s="46"/>
      <c r="L20" s="46"/>
      <c r="M20" s="46"/>
      <c r="N20" s="46"/>
      <c r="O20" s="46"/>
    </row>
    <row r="21" spans="1:15" x14ac:dyDescent="0.2">
      <c r="A21" t="s">
        <v>905</v>
      </c>
      <c r="E21" s="99"/>
      <c r="F21" s="55" t="s">
        <v>1669</v>
      </c>
      <c r="G21" s="68" t="s">
        <v>1670</v>
      </c>
      <c r="H21" s="68" t="s">
        <v>1671</v>
      </c>
      <c r="I21" s="46"/>
      <c r="J21" s="46"/>
      <c r="K21" s="46"/>
      <c r="L21" s="46"/>
      <c r="M21" s="46"/>
      <c r="N21" s="46"/>
      <c r="O21" s="46"/>
    </row>
    <row r="22" spans="1:15" x14ac:dyDescent="0.2">
      <c r="A22" t="s">
        <v>906</v>
      </c>
      <c r="E22" s="99"/>
      <c r="F22" s="55" t="s">
        <v>1672</v>
      </c>
      <c r="G22" s="68" t="s">
        <v>1673</v>
      </c>
      <c r="H22" s="68" t="s">
        <v>1674</v>
      </c>
      <c r="I22" s="46"/>
    </row>
    <row r="23" spans="1:15" x14ac:dyDescent="0.2">
      <c r="A23" t="s">
        <v>907</v>
      </c>
      <c r="E23" s="99"/>
      <c r="F23" s="55" t="s">
        <v>728</v>
      </c>
      <c r="G23" s="68" t="s">
        <v>1675</v>
      </c>
      <c r="H23" s="68" t="s">
        <v>1676</v>
      </c>
      <c r="I23" s="46"/>
    </row>
    <row r="24" spans="1:15" x14ac:dyDescent="0.2">
      <c r="A24" t="s">
        <v>908</v>
      </c>
      <c r="E24" s="99"/>
      <c r="F24" s="119" t="s">
        <v>1677</v>
      </c>
      <c r="G24" s="119"/>
      <c r="H24" s="119"/>
      <c r="I24" s="46"/>
    </row>
    <row r="25" spans="1:15" x14ac:dyDescent="0.2">
      <c r="A25" t="s">
        <v>909</v>
      </c>
      <c r="E25" s="99"/>
      <c r="F25" s="68" t="s">
        <v>1678</v>
      </c>
      <c r="G25" s="68" t="s">
        <v>1679</v>
      </c>
      <c r="H25" s="68" t="s">
        <v>1680</v>
      </c>
      <c r="I25" s="46"/>
    </row>
    <row r="26" spans="1:15" x14ac:dyDescent="0.2">
      <c r="E26" s="99"/>
      <c r="F26" s="55" t="s">
        <v>1681</v>
      </c>
      <c r="G26" s="55">
        <v>98</v>
      </c>
      <c r="H26" s="70">
        <v>0.16300000000000001</v>
      </c>
      <c r="I26" s="46"/>
    </row>
    <row r="27" spans="1:15" x14ac:dyDescent="0.2">
      <c r="A27" s="101" t="s">
        <v>910</v>
      </c>
      <c r="B27" s="99"/>
      <c r="E27" s="99"/>
      <c r="F27" s="55" t="s">
        <v>1682</v>
      </c>
      <c r="G27" s="55">
        <v>116</v>
      </c>
      <c r="H27" s="70">
        <v>0.192</v>
      </c>
      <c r="I27" s="46"/>
    </row>
    <row r="28" spans="1:15" x14ac:dyDescent="0.2">
      <c r="E28" s="99"/>
      <c r="F28" s="55" t="s">
        <v>1683</v>
      </c>
      <c r="G28" s="55">
        <v>86</v>
      </c>
      <c r="H28" s="70">
        <v>0.14299999999999999</v>
      </c>
      <c r="I28" s="46"/>
    </row>
    <row r="29" spans="1:15" x14ac:dyDescent="0.2">
      <c r="E29" s="99"/>
      <c r="F29" s="55" t="s">
        <v>1684</v>
      </c>
      <c r="G29" s="55">
        <v>46</v>
      </c>
      <c r="H29" s="70">
        <v>7.5999999999999998E-2</v>
      </c>
      <c r="I29" s="46"/>
    </row>
    <row r="30" spans="1:15" x14ac:dyDescent="0.2">
      <c r="E30" s="99"/>
      <c r="F30" s="55" t="s">
        <v>1685</v>
      </c>
      <c r="G30" s="55">
        <v>37</v>
      </c>
      <c r="H30" s="70">
        <v>6.0999999999999999E-2</v>
      </c>
      <c r="I30" s="46"/>
    </row>
    <row r="31" spans="1:15" x14ac:dyDescent="0.2">
      <c r="E31" s="99"/>
      <c r="F31" s="55" t="s">
        <v>1686</v>
      </c>
      <c r="G31" s="55">
        <v>50</v>
      </c>
      <c r="H31" s="70">
        <v>8.3000000000000004E-2</v>
      </c>
      <c r="I31" s="46"/>
    </row>
    <row r="32" spans="1:15" x14ac:dyDescent="0.2">
      <c r="E32" s="99"/>
      <c r="F32" s="101" t="s">
        <v>1687</v>
      </c>
      <c r="G32" s="101"/>
      <c r="H32" s="101"/>
      <c r="I32" s="46"/>
    </row>
    <row r="33" spans="5:9" x14ac:dyDescent="0.2">
      <c r="E33" s="99"/>
      <c r="F33" s="55">
        <v>1</v>
      </c>
      <c r="G33" s="55">
        <v>75</v>
      </c>
      <c r="H33" s="70">
        <v>0.124</v>
      </c>
      <c r="I33" s="46"/>
    </row>
    <row r="34" spans="5:9" x14ac:dyDescent="0.2">
      <c r="E34" s="99"/>
      <c r="F34" s="55">
        <v>2</v>
      </c>
      <c r="G34" s="55">
        <v>164</v>
      </c>
      <c r="H34" s="70">
        <v>0.27200000000000002</v>
      </c>
      <c r="I34" s="47"/>
    </row>
    <row r="35" spans="5:9" x14ac:dyDescent="0.2">
      <c r="E35" s="99"/>
      <c r="F35" s="55">
        <v>3</v>
      </c>
      <c r="G35" s="55">
        <v>107</v>
      </c>
      <c r="H35" s="70">
        <v>0.17699999999999999</v>
      </c>
      <c r="I35" s="47"/>
    </row>
    <row r="36" spans="5:9" x14ac:dyDescent="0.2">
      <c r="E36" s="99"/>
      <c r="F36" s="55">
        <v>4</v>
      </c>
      <c r="G36" s="55">
        <v>126</v>
      </c>
      <c r="H36" s="70">
        <v>0.20899999999999999</v>
      </c>
      <c r="I36" s="47"/>
    </row>
    <row r="37" spans="5:9" x14ac:dyDescent="0.2">
      <c r="E37" s="99"/>
      <c r="F37" s="55" t="s">
        <v>1688</v>
      </c>
      <c r="G37" s="55">
        <v>117</v>
      </c>
      <c r="H37" s="70">
        <v>0.19400000000000001</v>
      </c>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11">
    <mergeCell ref="B1:O1"/>
    <mergeCell ref="A5:B5"/>
    <mergeCell ref="E5:E57"/>
    <mergeCell ref="A9:B9"/>
    <mergeCell ref="A18:B18"/>
    <mergeCell ref="A27:B27"/>
    <mergeCell ref="F15:H15"/>
    <mergeCell ref="F6:H6"/>
    <mergeCell ref="F9:H9"/>
    <mergeCell ref="F24:H24"/>
    <mergeCell ref="F32:H32"/>
  </mergeCells>
  <dataValidations count="4">
    <dataValidation type="list" allowBlank="1" showInputMessage="1" showErrorMessage="1" sqref="P4" xr:uid="{C9D22FF3-8B9B-4672-8083-16A86E285729}">
      <formula1>"integer, number, percent1"</formula1>
    </dataValidation>
    <dataValidation type="list" allowBlank="1" showInputMessage="1" showErrorMessage="1" sqref="B10" xr:uid="{6EB2146D-D1EB-4327-9310-FB8898B9ED53}">
      <formula1>"Line,Clustered Bar,Stacked Bar,Bar"</formula1>
    </dataValidation>
    <dataValidation type="list" allowBlank="1" showInputMessage="1" showErrorMessage="1" sqref="B2" xr:uid="{89A394E3-1C0F-4283-A8A1-1483ACBD890B}">
      <formula1>"Table,Figure,Both"</formula1>
    </dataValidation>
    <dataValidation type="list" allowBlank="1" showInputMessage="1" showErrorMessage="1" sqref="B6 B15:B16" xr:uid="{C6CD1A9E-F5FA-4218-AAF4-9C511AA4CC2F}">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E0B9078-98E8-4FC1-BC74-F623F9FD89C7}">
          <x14:formula1>
            <xm:f>Dropdowns!$A$1:$A$8</xm:f>
          </x14:formula1>
          <xm:sqref>F4:O4</xm:sqref>
        </x14:dataValidation>
        <x14:dataValidation type="list" allowBlank="1" showInputMessage="1" showErrorMessage="1" xr:uid="{4CA30AF2-4720-44F1-B825-44A310E71068}">
          <x14:formula1>
            <xm:f>Master!$F$2:$F$401</xm:f>
          </x14:formula1>
          <xm:sqref>B1:O1</xm:sqref>
        </x14:dataValidation>
      </x14:dataValidations>
    </ext>
  </extLst>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02E2-2320-4391-82C9-C31BEDF2367E}">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9.1640625" bestFit="1" customWidth="1"/>
    <col min="7" max="7" width="8" bestFit="1" customWidth="1"/>
    <col min="8" max="8" width="13.5" customWidth="1"/>
    <col min="9" max="9" width="11" customWidth="1"/>
    <col min="11" max="11" width="10.6640625"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1695</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tbl-resp-zip</v>
      </c>
    </row>
    <row r="4" spans="1:16" x14ac:dyDescent="0.2">
      <c r="A4" s="58" t="s">
        <v>6</v>
      </c>
      <c r="B4" t="str">
        <f>IF($B$1="","",_xlfn.XLOOKUP($B$1,Master!$F$2:$F$308,Master!$H$2:$H$308,""))</f>
        <v>fig-resp-zip</v>
      </c>
      <c r="E4" s="13"/>
      <c r="F4" s="16" t="s">
        <v>671</v>
      </c>
      <c r="G4" s="16" t="s">
        <v>679</v>
      </c>
      <c r="H4" s="16"/>
      <c r="I4" s="16"/>
      <c r="J4" s="16"/>
      <c r="K4" s="16"/>
      <c r="L4" s="16"/>
      <c r="M4" s="16"/>
      <c r="N4" s="16"/>
      <c r="O4" s="16"/>
      <c r="P4" s="16"/>
    </row>
    <row r="5" spans="1:16" x14ac:dyDescent="0.2">
      <c r="A5" s="98" t="s">
        <v>885</v>
      </c>
      <c r="B5" s="99"/>
      <c r="E5" s="100" t="s">
        <v>886</v>
      </c>
      <c r="F5" s="76">
        <v>10901</v>
      </c>
      <c r="G5" s="77">
        <v>0.11442786069651742</v>
      </c>
      <c r="H5" s="46"/>
      <c r="I5" s="46"/>
      <c r="J5" s="46"/>
      <c r="K5" s="46"/>
      <c r="L5" s="46"/>
      <c r="M5" s="46"/>
      <c r="N5" s="46"/>
      <c r="O5" s="46"/>
    </row>
    <row r="6" spans="1:16" ht="15" customHeight="1" x14ac:dyDescent="0.2">
      <c r="A6" t="s">
        <v>891</v>
      </c>
      <c r="B6" t="b">
        <v>0</v>
      </c>
      <c r="E6" s="99"/>
      <c r="F6" s="76">
        <v>10911</v>
      </c>
      <c r="G6" s="77">
        <v>4.9751243781094526E-3</v>
      </c>
      <c r="J6" s="14"/>
      <c r="K6" s="14"/>
      <c r="L6" s="14"/>
      <c r="M6" s="14"/>
      <c r="N6" s="14"/>
    </row>
    <row r="7" spans="1:16" ht="15.75" customHeight="1" x14ac:dyDescent="0.2">
      <c r="E7" s="99"/>
      <c r="F7" s="76">
        <v>10913</v>
      </c>
      <c r="G7" s="77">
        <v>1.9900497512437811E-2</v>
      </c>
      <c r="H7" s="59"/>
      <c r="J7" s="14"/>
      <c r="K7" s="14"/>
      <c r="L7" s="14"/>
      <c r="M7" s="14"/>
      <c r="N7" s="14"/>
    </row>
    <row r="8" spans="1:16" x14ac:dyDescent="0.2">
      <c r="E8" s="99"/>
      <c r="F8" s="76">
        <v>10920</v>
      </c>
      <c r="G8" s="77">
        <v>1.9900497512437811E-2</v>
      </c>
      <c r="H8" s="59"/>
      <c r="J8" s="14"/>
      <c r="K8" s="14"/>
      <c r="L8" s="14"/>
      <c r="M8" s="14"/>
      <c r="N8" s="14"/>
    </row>
    <row r="9" spans="1:16" x14ac:dyDescent="0.2">
      <c r="A9" s="98" t="s">
        <v>893</v>
      </c>
      <c r="B9" s="99"/>
      <c r="E9" s="99"/>
      <c r="F9" s="76">
        <v>10923</v>
      </c>
      <c r="G9" s="77">
        <v>4.809286898839138E-2</v>
      </c>
      <c r="J9" s="46"/>
      <c r="K9" s="46"/>
      <c r="L9" s="46"/>
      <c r="M9" s="46"/>
      <c r="N9" s="46"/>
      <c r="O9" s="46"/>
    </row>
    <row r="10" spans="1:16" x14ac:dyDescent="0.2">
      <c r="A10" t="s">
        <v>894</v>
      </c>
      <c r="B10" t="s">
        <v>1002</v>
      </c>
      <c r="E10" s="99"/>
      <c r="F10" s="76">
        <v>10927</v>
      </c>
      <c r="G10" s="77">
        <v>4.4776119402985072E-2</v>
      </c>
      <c r="H10" s="59"/>
      <c r="J10" s="47"/>
      <c r="K10" s="47"/>
      <c r="L10" s="47"/>
      <c r="M10" s="47"/>
      <c r="N10" s="47"/>
      <c r="O10" s="46"/>
    </row>
    <row r="11" spans="1:16" x14ac:dyDescent="0.2">
      <c r="A11" t="s">
        <v>895</v>
      </c>
      <c r="B11" t="s">
        <v>1797</v>
      </c>
      <c r="E11" s="99"/>
      <c r="F11" s="76">
        <v>10931</v>
      </c>
      <c r="G11" s="77">
        <v>8.291873963515755E-3</v>
      </c>
      <c r="H11" s="68"/>
      <c r="J11" s="47"/>
      <c r="K11" s="47"/>
      <c r="L11" s="47"/>
      <c r="M11" s="47"/>
      <c r="N11" s="47"/>
      <c r="O11" s="46"/>
    </row>
    <row r="12" spans="1:16" x14ac:dyDescent="0.2">
      <c r="A12" t="s">
        <v>896</v>
      </c>
      <c r="E12" s="99"/>
      <c r="F12" s="76">
        <v>10952</v>
      </c>
      <c r="G12" s="77">
        <v>7.2968490878938641E-2</v>
      </c>
      <c r="H12" s="47"/>
      <c r="J12" s="46"/>
      <c r="K12" s="46"/>
      <c r="L12" s="46"/>
      <c r="M12" s="46"/>
      <c r="N12" s="46"/>
      <c r="O12" s="46"/>
    </row>
    <row r="13" spans="1:16" x14ac:dyDescent="0.2">
      <c r="A13" t="s">
        <v>897</v>
      </c>
      <c r="E13" s="99"/>
      <c r="F13" s="76">
        <v>10954</v>
      </c>
      <c r="G13" s="77">
        <v>7.9601990049751242E-2</v>
      </c>
      <c r="H13" s="47"/>
      <c r="I13" s="46"/>
      <c r="J13" s="46"/>
      <c r="K13" s="46"/>
      <c r="L13" s="46"/>
      <c r="M13" s="46"/>
      <c r="N13" s="46"/>
      <c r="O13" s="46"/>
    </row>
    <row r="14" spans="1:16" x14ac:dyDescent="0.2">
      <c r="A14" t="s">
        <v>899</v>
      </c>
      <c r="B14" t="s">
        <v>1796</v>
      </c>
      <c r="E14" s="99"/>
      <c r="F14" s="76">
        <v>10956</v>
      </c>
      <c r="G14" s="77">
        <v>0.12437810945273632</v>
      </c>
      <c r="H14" s="68"/>
      <c r="I14" s="46"/>
      <c r="J14" s="47"/>
      <c r="K14" s="47"/>
      <c r="L14" s="47"/>
      <c r="M14" s="47"/>
      <c r="N14" s="47"/>
      <c r="O14" s="46"/>
    </row>
    <row r="15" spans="1:16" x14ac:dyDescent="0.2">
      <c r="A15" t="s">
        <v>901</v>
      </c>
      <c r="B15" t="b">
        <v>1</v>
      </c>
      <c r="E15" s="99"/>
      <c r="F15" s="76">
        <v>10960</v>
      </c>
      <c r="G15" s="77">
        <v>6.633499170812604E-2</v>
      </c>
      <c r="H15" s="68"/>
      <c r="I15" s="46"/>
      <c r="J15" s="47"/>
      <c r="K15" s="47"/>
      <c r="L15" s="47"/>
      <c r="M15" s="47"/>
      <c r="N15" s="47"/>
      <c r="O15" s="46"/>
    </row>
    <row r="16" spans="1:16" x14ac:dyDescent="0.2">
      <c r="A16" t="s">
        <v>1145</v>
      </c>
      <c r="E16" s="99"/>
      <c r="F16" s="76">
        <v>10962</v>
      </c>
      <c r="G16" s="77">
        <v>1.1608623548922056E-2</v>
      </c>
      <c r="H16" s="68"/>
      <c r="I16" s="46"/>
      <c r="J16" s="47"/>
      <c r="K16" s="47"/>
      <c r="L16" s="47"/>
      <c r="M16" s="47"/>
      <c r="N16" s="47"/>
      <c r="O16" s="46"/>
    </row>
    <row r="17" spans="1:15" x14ac:dyDescent="0.2">
      <c r="E17" s="99"/>
      <c r="F17" s="76" t="s">
        <v>1794</v>
      </c>
      <c r="G17" s="77">
        <v>1.658374792703151E-3</v>
      </c>
      <c r="H17" s="68"/>
      <c r="I17" s="46"/>
      <c r="J17" s="47"/>
      <c r="K17" s="47"/>
      <c r="L17" s="47"/>
      <c r="M17" s="47"/>
      <c r="N17" s="47"/>
      <c r="O17" s="46"/>
    </row>
    <row r="18" spans="1:15" x14ac:dyDescent="0.2">
      <c r="A18" s="98" t="s">
        <v>902</v>
      </c>
      <c r="B18" s="99"/>
      <c r="E18" s="99"/>
      <c r="F18" s="76">
        <v>10965</v>
      </c>
      <c r="G18" s="77">
        <v>2.8192371475953566E-2</v>
      </c>
      <c r="H18" s="68"/>
      <c r="I18" s="46"/>
      <c r="J18" s="46"/>
      <c r="K18" s="46"/>
      <c r="L18" s="46"/>
      <c r="M18" s="46"/>
      <c r="N18" s="46"/>
      <c r="O18" s="46"/>
    </row>
    <row r="19" spans="1:15" x14ac:dyDescent="0.2">
      <c r="A19" t="s">
        <v>903</v>
      </c>
      <c r="E19" s="99"/>
      <c r="F19" s="76">
        <v>10968</v>
      </c>
      <c r="G19" s="77">
        <v>4.9751243781094526E-3</v>
      </c>
      <c r="H19" s="68"/>
      <c r="I19" s="46"/>
      <c r="J19" s="46"/>
      <c r="K19" s="46"/>
      <c r="L19" s="46"/>
      <c r="M19" s="46"/>
      <c r="N19" s="46"/>
      <c r="O19" s="46"/>
    </row>
    <row r="20" spans="1:15" x14ac:dyDescent="0.2">
      <c r="A20" t="s">
        <v>904</v>
      </c>
      <c r="E20" s="99"/>
      <c r="F20" s="76">
        <v>10970</v>
      </c>
      <c r="G20" s="77">
        <v>3.8142620232172471E-2</v>
      </c>
      <c r="H20" s="68"/>
      <c r="I20" s="46"/>
      <c r="J20" s="46"/>
      <c r="K20" s="46"/>
      <c r="L20" s="46"/>
      <c r="M20" s="46"/>
      <c r="N20" s="46"/>
      <c r="O20" s="46"/>
    </row>
    <row r="21" spans="1:15" x14ac:dyDescent="0.2">
      <c r="A21" t="s">
        <v>905</v>
      </c>
      <c r="E21" s="99"/>
      <c r="F21" s="76">
        <v>10974</v>
      </c>
      <c r="G21" s="77">
        <v>1.1608623548922056E-2</v>
      </c>
      <c r="H21" s="68"/>
      <c r="I21" s="46"/>
      <c r="J21" s="46"/>
      <c r="K21" s="46"/>
      <c r="L21" s="46"/>
      <c r="M21" s="46"/>
      <c r="N21" s="46"/>
      <c r="O21" s="46"/>
    </row>
    <row r="22" spans="1:15" x14ac:dyDescent="0.2">
      <c r="A22" t="s">
        <v>906</v>
      </c>
      <c r="E22" s="99"/>
      <c r="F22" s="76">
        <v>10976</v>
      </c>
      <c r="G22" s="77">
        <v>1.658374792703151E-3</v>
      </c>
      <c r="H22" s="68"/>
      <c r="I22" s="46"/>
    </row>
    <row r="23" spans="1:15" x14ac:dyDescent="0.2">
      <c r="A23" t="s">
        <v>907</v>
      </c>
      <c r="E23" s="99"/>
      <c r="F23" s="76">
        <v>10977</v>
      </c>
      <c r="G23" s="77">
        <v>0.14427860696517414</v>
      </c>
      <c r="H23" s="68"/>
      <c r="I23" s="46"/>
    </row>
    <row r="24" spans="1:15" x14ac:dyDescent="0.2">
      <c r="A24" t="s">
        <v>908</v>
      </c>
      <c r="E24" s="99"/>
      <c r="F24" s="76">
        <v>10980</v>
      </c>
      <c r="G24" s="77">
        <v>4.975124378109453E-2</v>
      </c>
      <c r="H24" s="46"/>
      <c r="I24" s="46"/>
    </row>
    <row r="25" spans="1:15" x14ac:dyDescent="0.2">
      <c r="A25" t="s">
        <v>909</v>
      </c>
      <c r="E25" s="99"/>
      <c r="F25" s="76" t="s">
        <v>1795</v>
      </c>
      <c r="G25" s="77">
        <v>4.9751243781094526E-3</v>
      </c>
      <c r="H25" s="68"/>
      <c r="I25" s="46"/>
    </row>
    <row r="26" spans="1:15" x14ac:dyDescent="0.2">
      <c r="E26" s="99"/>
      <c r="F26" s="76">
        <v>10983</v>
      </c>
      <c r="G26" s="77">
        <v>1.824212271973466E-2</v>
      </c>
      <c r="H26" s="70"/>
      <c r="I26" s="46"/>
    </row>
    <row r="27" spans="1:15" x14ac:dyDescent="0.2">
      <c r="A27" s="101" t="s">
        <v>910</v>
      </c>
      <c r="B27" s="99"/>
      <c r="E27" s="99"/>
      <c r="F27" s="76">
        <v>10984</v>
      </c>
      <c r="G27" s="77">
        <v>1.658374792703151E-2</v>
      </c>
      <c r="H27" s="70"/>
      <c r="I27" s="46"/>
    </row>
    <row r="28" spans="1:15" x14ac:dyDescent="0.2">
      <c r="E28" s="99"/>
      <c r="F28" s="76">
        <v>10986</v>
      </c>
      <c r="G28" s="77">
        <v>6.6334991708126038E-3</v>
      </c>
      <c r="H28" s="70"/>
      <c r="I28" s="46"/>
    </row>
    <row r="29" spans="1:15" x14ac:dyDescent="0.2">
      <c r="E29" s="99"/>
      <c r="F29" s="76">
        <v>10989</v>
      </c>
      <c r="G29" s="77">
        <v>1.824212271973466E-2</v>
      </c>
      <c r="H29" s="70"/>
      <c r="I29" s="46"/>
    </row>
    <row r="30" spans="1:15" x14ac:dyDescent="0.2">
      <c r="E30" s="99"/>
      <c r="F30" s="76">
        <v>10993</v>
      </c>
      <c r="G30" s="77">
        <v>1.824212271973466E-2</v>
      </c>
      <c r="H30" s="70"/>
      <c r="I30" s="46"/>
    </row>
    <row r="31" spans="1:15" x14ac:dyDescent="0.2">
      <c r="E31" s="99"/>
      <c r="F31" s="76">
        <v>10994</v>
      </c>
      <c r="G31" s="77">
        <v>2.1558872305140961E-2</v>
      </c>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9CB5F66C-B7C9-44B4-A7C7-F483CAF38BE8}">
      <formula1>"True,False"</formula1>
    </dataValidation>
    <dataValidation type="list" allowBlank="1" showInputMessage="1" showErrorMessage="1" sqref="B2" xr:uid="{997A5D36-D3C4-4859-B0EC-13E518BE3E1C}">
      <formula1>"Table,Figure,Both"</formula1>
    </dataValidation>
    <dataValidation type="list" allowBlank="1" showInputMessage="1" showErrorMessage="1" sqref="B10" xr:uid="{262C1164-8B8A-4B10-8394-C2F8AE9B5187}">
      <formula1>"Line,Clustered Bar,Stacked Bar,Bar"</formula1>
    </dataValidation>
    <dataValidation type="list" allowBlank="1" showInputMessage="1" showErrorMessage="1" sqref="P4" xr:uid="{6F813C9F-4CEC-4D2C-84C9-15B21BE9C829}">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98063DC-5554-4EDB-9A13-1979CB7587EE}">
          <x14:formula1>
            <xm:f>Dropdowns!$A$1:$A$8</xm:f>
          </x14:formula1>
          <xm:sqref>F4:O4</xm:sqref>
        </x14:dataValidation>
        <x14:dataValidation type="list" allowBlank="1" showInputMessage="1" showErrorMessage="1" xr:uid="{C0D73F4F-5AEB-453D-A1ED-7301F6FEB1D5}">
          <x14:formula1>
            <xm:f>Master!$F$2:$F$401</xm:f>
          </x14:formula1>
          <xm:sqref>B1:O1</xm:sqref>
        </x14:dataValidation>
      </x14:dataValidations>
    </ext>
  </extLst>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9EAC-3F02-BC47-BA5E-7073883ACB50}">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19.3320312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1698</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tbl-resp-qol-rc</v>
      </c>
    </row>
    <row r="4" spans="1:16" x14ac:dyDescent="0.2">
      <c r="A4" s="58" t="s">
        <v>6</v>
      </c>
      <c r="B4" t="str">
        <f>IF($B$1="","",_xlfn.XLOOKUP($B$1,Master!$F$2:$F$308,Master!$H$2:$H$308,""))</f>
        <v>fig-resp-qol-rc</v>
      </c>
      <c r="E4" s="13"/>
      <c r="F4" s="16" t="s">
        <v>679</v>
      </c>
      <c r="G4" s="16" t="s">
        <v>679</v>
      </c>
      <c r="H4" s="16" t="s">
        <v>679</v>
      </c>
      <c r="I4" s="16" t="s">
        <v>679</v>
      </c>
      <c r="J4" s="16" t="s">
        <v>679</v>
      </c>
      <c r="K4" s="16" t="s">
        <v>679</v>
      </c>
      <c r="L4" s="16"/>
      <c r="M4" s="16"/>
      <c r="N4" s="16"/>
      <c r="O4" s="16"/>
      <c r="P4" s="16"/>
    </row>
    <row r="5" spans="1:16" x14ac:dyDescent="0.2">
      <c r="A5" s="98" t="s">
        <v>885</v>
      </c>
      <c r="B5" s="99"/>
      <c r="E5" s="100" t="s">
        <v>886</v>
      </c>
      <c r="F5" s="68" t="s">
        <v>1899</v>
      </c>
      <c r="G5" s="68" t="s">
        <v>1904</v>
      </c>
      <c r="H5" s="46"/>
      <c r="I5" s="46"/>
      <c r="J5" s="46"/>
      <c r="K5" s="46"/>
      <c r="L5" s="46"/>
      <c r="M5" s="46"/>
      <c r="N5" s="46"/>
      <c r="O5" s="46"/>
    </row>
    <row r="6" spans="1:16" ht="15" customHeight="1" x14ac:dyDescent="0.2">
      <c r="A6" t="s">
        <v>891</v>
      </c>
      <c r="B6" t="b">
        <v>0</v>
      </c>
      <c r="E6" s="99"/>
      <c r="F6" s="55" t="s">
        <v>1900</v>
      </c>
      <c r="G6" s="55">
        <v>51.2</v>
      </c>
      <c r="J6" s="14"/>
      <c r="K6" s="14"/>
      <c r="L6" s="14"/>
      <c r="M6" s="14"/>
      <c r="N6" s="14"/>
    </row>
    <row r="7" spans="1:16" ht="15.75" customHeight="1" x14ac:dyDescent="0.2">
      <c r="E7" s="99"/>
      <c r="F7" s="59" t="s">
        <v>1901</v>
      </c>
      <c r="G7" s="59">
        <v>21.9</v>
      </c>
      <c r="H7" s="59"/>
      <c r="J7" s="14"/>
      <c r="K7" s="14"/>
      <c r="L7" s="14"/>
      <c r="M7" s="14"/>
      <c r="N7" s="14"/>
    </row>
    <row r="8" spans="1:16" x14ac:dyDescent="0.2">
      <c r="E8" s="99"/>
      <c r="F8" s="59" t="s">
        <v>1902</v>
      </c>
      <c r="G8" s="59">
        <v>4.0999999999999996</v>
      </c>
      <c r="H8" s="59"/>
      <c r="J8" s="14"/>
      <c r="K8" s="14"/>
      <c r="L8" s="14"/>
      <c r="M8" s="14"/>
      <c r="N8" s="14"/>
    </row>
    <row r="9" spans="1:16" x14ac:dyDescent="0.2">
      <c r="A9" s="98" t="s">
        <v>893</v>
      </c>
      <c r="B9" s="99"/>
      <c r="E9" s="99"/>
      <c r="F9" s="55" t="s">
        <v>1903</v>
      </c>
      <c r="G9" s="55">
        <v>1.2</v>
      </c>
      <c r="J9" s="46"/>
      <c r="K9" s="46"/>
      <c r="L9" s="46"/>
      <c r="M9" s="46"/>
      <c r="N9" s="46"/>
      <c r="O9" s="46"/>
    </row>
    <row r="10" spans="1:16" x14ac:dyDescent="0.2">
      <c r="A10" t="s">
        <v>894</v>
      </c>
      <c r="B10" t="s">
        <v>1002</v>
      </c>
      <c r="E10" s="99"/>
      <c r="F10" s="59"/>
      <c r="G10" s="59"/>
      <c r="H10" s="59"/>
      <c r="J10" s="47"/>
      <c r="K10" s="47"/>
      <c r="L10" s="47"/>
      <c r="M10" s="47"/>
      <c r="N10" s="47"/>
      <c r="O10" s="46"/>
    </row>
    <row r="11" spans="1:16" x14ac:dyDescent="0.2">
      <c r="A11" t="s">
        <v>895</v>
      </c>
      <c r="E11" s="99"/>
      <c r="F11" s="68"/>
      <c r="G11" s="68"/>
      <c r="H11" s="68"/>
      <c r="J11" s="47"/>
      <c r="K11" s="47"/>
      <c r="L11" s="47"/>
      <c r="M11" s="47"/>
      <c r="N11" s="47"/>
      <c r="O11" s="46"/>
    </row>
    <row r="12" spans="1:16" x14ac:dyDescent="0.2">
      <c r="A12" t="s">
        <v>896</v>
      </c>
      <c r="E12" s="99"/>
      <c r="F12" s="47"/>
      <c r="G12" s="47"/>
      <c r="H12" s="47"/>
      <c r="J12" s="46"/>
      <c r="K12" s="46"/>
      <c r="L12" s="46"/>
      <c r="M12" s="46"/>
      <c r="N12" s="46"/>
      <c r="O12" s="46"/>
    </row>
    <row r="13" spans="1:16" x14ac:dyDescent="0.2">
      <c r="A13" t="s">
        <v>897</v>
      </c>
      <c r="E13" s="99"/>
      <c r="F13" s="47"/>
      <c r="G13" s="47"/>
      <c r="H13" s="47"/>
      <c r="I13" s="46"/>
      <c r="J13" s="46"/>
      <c r="K13" s="46"/>
      <c r="L13" s="46"/>
      <c r="M13" s="46"/>
      <c r="N13" s="46"/>
      <c r="O13" s="46"/>
    </row>
    <row r="14" spans="1:16" x14ac:dyDescent="0.2">
      <c r="A14" t="s">
        <v>899</v>
      </c>
      <c r="B14" t="s">
        <v>1796</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D195590-96AD-AC4F-8017-A05A086547C5}">
      <formula1>"True,False"</formula1>
    </dataValidation>
    <dataValidation type="list" allowBlank="1" showInputMessage="1" showErrorMessage="1" sqref="B2" xr:uid="{AE74B712-CFCE-414B-BEE1-E81FFB095085}">
      <formula1>"Table,Figure,Both"</formula1>
    </dataValidation>
    <dataValidation type="list" allowBlank="1" showInputMessage="1" showErrorMessage="1" sqref="B10" xr:uid="{68954431-1D01-ED4F-8642-5A2B2A04BA24}">
      <formula1>"Line,Clustered Bar,Stacked Bar,Bar"</formula1>
    </dataValidation>
    <dataValidation type="list" allowBlank="1" showInputMessage="1" showErrorMessage="1" sqref="P4" xr:uid="{702C60EB-4F32-FB41-8788-327F321E183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E3CE4A9-A244-7D49-A151-556083CE601D}">
          <x14:formula1>
            <xm:f>Master!$F$2:$F$401</xm:f>
          </x14:formula1>
          <xm:sqref>B1:O1</xm:sqref>
        </x14:dataValidation>
        <x14:dataValidation type="list" allowBlank="1" showInputMessage="1" showErrorMessage="1" xr:uid="{A8323FA1-2084-DF40-BE28-2D1045ABA2D0}">
          <x14:formula1>
            <xm:f>Dropdowns!$A$1:$A$8</xm:f>
          </x14:formula1>
          <xm:sqref>F4:O4</xm:sqref>
        </x14:dataValidation>
      </x14:dataValidations>
    </ext>
  </extLst>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AB9E-ADB1-4AA8-AECE-F9A287373558}">
  <dimension ref="A1:R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43" bestFit="1" customWidth="1"/>
    <col min="7" max="7" width="21.5" bestFit="1" customWidth="1"/>
    <col min="8" max="8" width="30.83203125" bestFit="1" customWidth="1"/>
    <col min="9" max="9" width="33.83203125" bestFit="1" customWidth="1"/>
    <col min="10" max="10" width="17" bestFit="1" customWidth="1"/>
    <col min="11" max="11" width="9.83203125" bestFit="1" customWidth="1"/>
    <col min="12" max="12" width="12.6640625" bestFit="1" customWidth="1"/>
    <col min="13" max="13" width="28.33203125" bestFit="1" customWidth="1"/>
    <col min="14" max="14" width="38.5" bestFit="1" customWidth="1"/>
    <col min="15" max="15" width="38.5" customWidth="1"/>
    <col min="16" max="16" width="49.6640625" bestFit="1" customWidth="1"/>
    <col min="17" max="17" width="49.33203125" bestFit="1" customWidth="1"/>
    <col min="18" max="18" width="19.33203125" bestFit="1" customWidth="1"/>
  </cols>
  <sheetData>
    <row r="1" spans="1:18" x14ac:dyDescent="0.2">
      <c r="A1" s="58" t="s">
        <v>882</v>
      </c>
      <c r="B1" s="96" t="s">
        <v>1701</v>
      </c>
      <c r="C1" s="97"/>
      <c r="D1" s="97"/>
      <c r="E1" s="97"/>
      <c r="F1" s="97"/>
      <c r="G1" s="97"/>
      <c r="H1" s="97"/>
      <c r="I1" s="97"/>
      <c r="J1" s="97"/>
      <c r="K1" s="97"/>
      <c r="L1" s="97"/>
      <c r="M1" s="97"/>
      <c r="N1" s="97"/>
      <c r="O1" s="97"/>
      <c r="P1" s="97"/>
    </row>
    <row r="2" spans="1:18" x14ac:dyDescent="0.2">
      <c r="A2" s="58" t="s">
        <v>883</v>
      </c>
      <c r="B2" t="s">
        <v>56</v>
      </c>
    </row>
    <row r="3" spans="1:18" x14ac:dyDescent="0.2">
      <c r="A3" s="58" t="s">
        <v>884</v>
      </c>
      <c r="B3" t="str">
        <f>IF($B$1="","",_xlfn.XLOOKUP($B$1,Master!$F$2:$F$308,Master!$G$2:$G$308,""))</f>
        <v>tbl-t3-pos-rc</v>
      </c>
    </row>
    <row r="4" spans="1:18" x14ac:dyDescent="0.2">
      <c r="A4" s="58" t="s">
        <v>6</v>
      </c>
      <c r="B4" t="str">
        <f>IF($B$1="","",_xlfn.XLOOKUP($B$1,Master!$F$2:$F$308,Master!$H$2:$H$308,""))</f>
        <v>fig-t3-pos-rc</v>
      </c>
      <c r="E4" s="13"/>
      <c r="F4" s="16" t="s">
        <v>679</v>
      </c>
      <c r="G4" s="16" t="s">
        <v>679</v>
      </c>
      <c r="H4" s="16"/>
      <c r="I4" s="16"/>
      <c r="J4" s="16"/>
      <c r="K4" s="16"/>
      <c r="L4" s="16"/>
      <c r="M4" s="16"/>
      <c r="N4" s="16"/>
      <c r="O4" s="16"/>
      <c r="P4" s="16"/>
      <c r="Q4" s="16"/>
      <c r="R4" s="16"/>
    </row>
    <row r="5" spans="1:18" x14ac:dyDescent="0.2">
      <c r="A5" s="98" t="s">
        <v>885</v>
      </c>
      <c r="B5" s="99"/>
      <c r="E5" s="100" t="s">
        <v>886</v>
      </c>
      <c r="F5" s="59" t="s">
        <v>1702</v>
      </c>
      <c r="G5" s="47" t="s">
        <v>1905</v>
      </c>
      <c r="H5" s="46"/>
      <c r="I5" s="46"/>
      <c r="J5" s="46"/>
      <c r="K5" s="46"/>
      <c r="L5" s="46"/>
      <c r="M5" s="46"/>
      <c r="N5" s="46"/>
      <c r="O5" s="46"/>
      <c r="P5" s="46"/>
      <c r="Q5" s="46"/>
      <c r="R5" s="46"/>
    </row>
    <row r="6" spans="1:18" ht="15" customHeight="1" x14ac:dyDescent="0.2">
      <c r="A6" t="s">
        <v>891</v>
      </c>
      <c r="B6" t="b">
        <v>0</v>
      </c>
      <c r="E6" s="99"/>
      <c r="F6" t="s">
        <v>1704</v>
      </c>
      <c r="G6" s="47">
        <v>2.8</v>
      </c>
      <c r="J6" s="14"/>
      <c r="K6" s="14"/>
      <c r="L6" s="14"/>
      <c r="M6" s="14"/>
      <c r="N6" s="14"/>
      <c r="O6" s="14"/>
      <c r="P6" s="14"/>
      <c r="Q6" s="14"/>
      <c r="R6" s="14"/>
    </row>
    <row r="7" spans="1:18" ht="15.75" customHeight="1" x14ac:dyDescent="0.2">
      <c r="E7" s="99"/>
      <c r="F7" s="59" t="s">
        <v>1705</v>
      </c>
      <c r="G7" s="47">
        <v>10.6</v>
      </c>
      <c r="H7" s="59"/>
      <c r="J7" s="14"/>
      <c r="K7" s="14"/>
      <c r="L7" s="14"/>
      <c r="M7" s="14"/>
      <c r="N7" s="14"/>
      <c r="O7" s="14"/>
    </row>
    <row r="8" spans="1:18" x14ac:dyDescent="0.2">
      <c r="E8" s="99"/>
      <c r="F8" s="68" t="s">
        <v>1706</v>
      </c>
      <c r="G8" s="47">
        <v>6.6</v>
      </c>
      <c r="H8" s="59"/>
      <c r="J8" s="14"/>
      <c r="K8" s="14"/>
      <c r="L8" s="14"/>
      <c r="M8" s="14"/>
      <c r="N8" s="14"/>
      <c r="O8" s="14"/>
    </row>
    <row r="9" spans="1:18" x14ac:dyDescent="0.2">
      <c r="A9" s="98" t="s">
        <v>893</v>
      </c>
      <c r="B9" s="99"/>
      <c r="E9" s="99"/>
      <c r="F9" s="47" t="s">
        <v>1707</v>
      </c>
      <c r="G9" s="47">
        <v>21.1</v>
      </c>
      <c r="J9" s="46"/>
      <c r="K9" s="46"/>
      <c r="L9" s="46"/>
      <c r="M9" s="46"/>
      <c r="N9" s="46"/>
      <c r="O9" s="46"/>
      <c r="P9" s="46"/>
    </row>
    <row r="10" spans="1:18" x14ac:dyDescent="0.2">
      <c r="A10" t="s">
        <v>894</v>
      </c>
      <c r="B10" t="s">
        <v>1718</v>
      </c>
      <c r="E10" s="99"/>
      <c r="F10" s="47" t="s">
        <v>1708</v>
      </c>
      <c r="G10" s="47">
        <v>16.399999999999999</v>
      </c>
      <c r="H10" s="59"/>
      <c r="J10" s="47"/>
      <c r="K10" s="47"/>
      <c r="L10" s="47"/>
      <c r="M10" s="47"/>
      <c r="N10" s="47"/>
      <c r="O10" s="47"/>
      <c r="P10" s="46"/>
    </row>
    <row r="11" spans="1:18" x14ac:dyDescent="0.2">
      <c r="A11" t="s">
        <v>895</v>
      </c>
      <c r="E11" s="99"/>
      <c r="F11" s="68" t="s">
        <v>1709</v>
      </c>
      <c r="G11" s="47">
        <v>35</v>
      </c>
      <c r="H11" s="68"/>
      <c r="J11" s="47"/>
      <c r="K11" s="47"/>
      <c r="L11" s="47"/>
      <c r="M11" s="47"/>
      <c r="N11" s="47"/>
      <c r="O11" s="47"/>
      <c r="P11" s="46"/>
    </row>
    <row r="12" spans="1:18" x14ac:dyDescent="0.2">
      <c r="A12" t="s">
        <v>896</v>
      </c>
      <c r="E12" s="99"/>
      <c r="F12" s="68" t="s">
        <v>1710</v>
      </c>
      <c r="G12" s="47">
        <v>4.0999999999999996</v>
      </c>
      <c r="J12" s="46"/>
      <c r="K12" s="46"/>
      <c r="L12" s="46"/>
      <c r="M12" s="46"/>
      <c r="N12" s="46"/>
      <c r="O12" s="46"/>
      <c r="P12" s="46"/>
    </row>
    <row r="13" spans="1:18" x14ac:dyDescent="0.2">
      <c r="A13" t="s">
        <v>897</v>
      </c>
      <c r="E13" s="99"/>
      <c r="F13" s="68" t="s">
        <v>1711</v>
      </c>
      <c r="G13" s="47">
        <v>17.399999999999999</v>
      </c>
      <c r="I13" s="46"/>
      <c r="J13" s="46"/>
      <c r="K13" s="46"/>
      <c r="L13" s="46"/>
      <c r="M13" s="46"/>
      <c r="N13" s="46"/>
      <c r="O13" s="46"/>
      <c r="P13" s="46"/>
    </row>
    <row r="14" spans="1:18" x14ac:dyDescent="0.2">
      <c r="A14" t="s">
        <v>899</v>
      </c>
      <c r="B14" t="s">
        <v>1796</v>
      </c>
      <c r="E14" s="99"/>
      <c r="F14" s="68" t="s">
        <v>1717</v>
      </c>
      <c r="G14" s="47">
        <v>29.7</v>
      </c>
      <c r="I14" s="46"/>
      <c r="J14" s="47"/>
      <c r="K14" s="47"/>
      <c r="L14" s="47"/>
      <c r="M14" s="47"/>
      <c r="N14" s="47"/>
      <c r="O14" s="47"/>
      <c r="P14" s="46"/>
    </row>
    <row r="15" spans="1:18" x14ac:dyDescent="0.2">
      <c r="A15" t="s">
        <v>901</v>
      </c>
      <c r="B15" t="b">
        <v>1</v>
      </c>
      <c r="E15" s="99"/>
      <c r="F15" s="68" t="s">
        <v>1713</v>
      </c>
      <c r="G15" s="47">
        <v>41</v>
      </c>
      <c r="I15" s="46"/>
      <c r="J15" s="47"/>
      <c r="K15" s="47"/>
      <c r="L15" s="47"/>
      <c r="M15" s="47"/>
      <c r="N15" s="47"/>
      <c r="O15" s="47"/>
      <c r="P15" s="46"/>
    </row>
    <row r="16" spans="1:18" x14ac:dyDescent="0.2">
      <c r="A16" t="s">
        <v>1145</v>
      </c>
      <c r="E16" s="99"/>
      <c r="F16" s="68" t="s">
        <v>1714</v>
      </c>
      <c r="G16" s="47">
        <v>12.1</v>
      </c>
      <c r="I16" s="46"/>
      <c r="J16" s="47"/>
      <c r="K16" s="47"/>
      <c r="L16" s="47"/>
      <c r="M16" s="47"/>
      <c r="N16" s="47"/>
      <c r="O16" s="47"/>
      <c r="P16" s="46"/>
    </row>
    <row r="17" spans="1:16" x14ac:dyDescent="0.2">
      <c r="E17" s="99"/>
      <c r="F17" s="68" t="s">
        <v>1715</v>
      </c>
      <c r="G17" s="47">
        <v>61.5</v>
      </c>
      <c r="I17" s="46"/>
      <c r="J17" s="47"/>
      <c r="K17" s="47"/>
      <c r="L17" s="47"/>
      <c r="M17" s="47"/>
      <c r="N17" s="47"/>
      <c r="O17" s="47"/>
      <c r="P17" s="46"/>
    </row>
    <row r="18" spans="1:16" x14ac:dyDescent="0.2">
      <c r="A18" s="98" t="s">
        <v>902</v>
      </c>
      <c r="B18" s="99"/>
      <c r="E18" s="99"/>
      <c r="F18" s="55"/>
      <c r="I18" s="46"/>
      <c r="J18" s="46"/>
      <c r="K18" s="46"/>
      <c r="L18" s="46"/>
      <c r="M18" s="46"/>
      <c r="N18" s="46"/>
      <c r="O18" s="46"/>
      <c r="P18" s="46"/>
    </row>
    <row r="19" spans="1:16" x14ac:dyDescent="0.2">
      <c r="A19" t="s">
        <v>903</v>
      </c>
      <c r="E19" s="99"/>
      <c r="F19" s="55"/>
      <c r="I19" s="46"/>
      <c r="J19" s="46"/>
      <c r="K19" s="46"/>
      <c r="L19" s="46"/>
      <c r="M19" s="46"/>
      <c r="N19" s="46"/>
      <c r="O19" s="46"/>
      <c r="P19" s="46"/>
    </row>
    <row r="20" spans="1:16" x14ac:dyDescent="0.2">
      <c r="A20" t="s">
        <v>904</v>
      </c>
      <c r="E20" s="99"/>
      <c r="F20" s="55"/>
      <c r="I20" s="46"/>
      <c r="J20" s="46"/>
      <c r="K20" s="46"/>
      <c r="L20" s="46"/>
      <c r="M20" s="46"/>
      <c r="N20" s="46"/>
      <c r="O20" s="46"/>
      <c r="P20" s="46"/>
    </row>
    <row r="21" spans="1:16" x14ac:dyDescent="0.2">
      <c r="A21" t="s">
        <v>905</v>
      </c>
      <c r="E21" s="99"/>
      <c r="F21" s="55"/>
      <c r="G21" s="68"/>
      <c r="I21" s="46"/>
      <c r="J21" s="46"/>
      <c r="K21" s="46"/>
      <c r="L21" s="46"/>
      <c r="M21" s="46"/>
      <c r="N21" s="46"/>
      <c r="O21" s="46"/>
      <c r="P21" s="46"/>
    </row>
    <row r="22" spans="1:16" x14ac:dyDescent="0.2">
      <c r="A22" t="s">
        <v>906</v>
      </c>
      <c r="E22" s="99"/>
      <c r="F22" s="55"/>
      <c r="G22" s="68"/>
      <c r="I22" s="46"/>
    </row>
    <row r="23" spans="1:16" x14ac:dyDescent="0.2">
      <c r="A23" t="s">
        <v>907</v>
      </c>
      <c r="E23" s="99"/>
      <c r="F23" s="55"/>
      <c r="G23" s="68"/>
      <c r="I23" s="46"/>
    </row>
    <row r="24" spans="1:16" x14ac:dyDescent="0.2">
      <c r="A24" t="s">
        <v>908</v>
      </c>
      <c r="E24" s="99"/>
      <c r="F24" s="46"/>
      <c r="G24" s="46"/>
      <c r="H24" s="46"/>
      <c r="I24" s="46"/>
    </row>
    <row r="25" spans="1:16" x14ac:dyDescent="0.2">
      <c r="A25" t="s">
        <v>909</v>
      </c>
      <c r="E25" s="99"/>
      <c r="F25" s="68"/>
      <c r="G25" s="68"/>
      <c r="H25" s="68"/>
      <c r="I25" s="46"/>
    </row>
    <row r="26" spans="1:16" x14ac:dyDescent="0.2">
      <c r="E26" s="99"/>
      <c r="F26" s="55"/>
      <c r="G26" s="55"/>
      <c r="H26" s="70"/>
      <c r="I26" s="46"/>
    </row>
    <row r="27" spans="1:16" x14ac:dyDescent="0.2">
      <c r="A27" s="101" t="s">
        <v>910</v>
      </c>
      <c r="B27" s="99"/>
      <c r="E27" s="99"/>
      <c r="F27" s="55"/>
      <c r="G27" s="55"/>
      <c r="H27" s="70"/>
      <c r="I27" s="46"/>
    </row>
    <row r="28" spans="1:16" x14ac:dyDescent="0.2">
      <c r="E28" s="99"/>
      <c r="F28" s="55"/>
      <c r="G28" s="55"/>
      <c r="H28" s="70"/>
      <c r="I28" s="46"/>
    </row>
    <row r="29" spans="1:16" x14ac:dyDescent="0.2">
      <c r="E29" s="99"/>
      <c r="F29" s="55"/>
      <c r="G29" s="55"/>
      <c r="H29" s="70"/>
      <c r="I29" s="46"/>
    </row>
    <row r="30" spans="1:16" x14ac:dyDescent="0.2">
      <c r="E30" s="99"/>
      <c r="F30" s="55"/>
      <c r="G30" s="55"/>
      <c r="H30" s="70"/>
      <c r="I30" s="46"/>
    </row>
    <row r="31" spans="1:16" x14ac:dyDescent="0.2">
      <c r="E31" s="99"/>
      <c r="F31" s="55"/>
      <c r="G31" s="55"/>
      <c r="H31" s="70"/>
      <c r="I31" s="46"/>
    </row>
    <row r="32" spans="1:16"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P1"/>
    <mergeCell ref="A5:B5"/>
    <mergeCell ref="E5:E57"/>
    <mergeCell ref="A9:B9"/>
    <mergeCell ref="A18:B18"/>
    <mergeCell ref="A27:B27"/>
  </mergeCells>
  <dataValidations count="4">
    <dataValidation type="list" allowBlank="1" showInputMessage="1" showErrorMessage="1" sqref="Q4:R4" xr:uid="{0B6BCCE0-4B2C-4A58-A192-684D7810E846}">
      <formula1>"integer, number, percent1"</formula1>
    </dataValidation>
    <dataValidation type="list" allowBlank="1" showInputMessage="1" showErrorMessage="1" sqref="B10" xr:uid="{841D2577-79A3-4E19-B6B9-60E166895189}">
      <formula1>"Line,Clustered Bar,Stacked Bar,Bar,Horizontal Bar "</formula1>
    </dataValidation>
    <dataValidation type="list" allowBlank="1" showInputMessage="1" showErrorMessage="1" sqref="B2" xr:uid="{6D707631-FD75-447B-8414-232813C26FC3}">
      <formula1>"Table,Figure,Both"</formula1>
    </dataValidation>
    <dataValidation type="list" allowBlank="1" showInputMessage="1" showErrorMessage="1" sqref="B6 B15:B16" xr:uid="{FE68DE29-AA8B-4A15-B8B0-71856D468DEC}">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80461BE-60E4-44A9-B7C6-B85BD4118197}">
          <x14:formula1>
            <xm:f>Dropdowns!$A$1:$A$8</xm:f>
          </x14:formula1>
          <xm:sqref>F4:P4</xm:sqref>
        </x14:dataValidation>
        <x14:dataValidation type="list" allowBlank="1" showInputMessage="1" showErrorMessage="1" xr:uid="{4FDDE95D-8C30-48CF-9EDF-1D275E4A1AF6}">
          <x14:formula1>
            <xm:f>Master!$F$2:$F$401</xm:f>
          </x14:formula1>
          <xm:sqref>B1:P1</xm:sqref>
        </x14:dataValidation>
      </x14:dataValidations>
    </ext>
  </extLst>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2E56-92AA-4847-869B-0D6B3DCF6658}">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9.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1719</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tbl-top-need-improve</v>
      </c>
    </row>
    <row r="4" spans="1:16" x14ac:dyDescent="0.2">
      <c r="A4" s="58" t="s">
        <v>6</v>
      </c>
      <c r="B4" t="str">
        <f>IF($B$1="","",_xlfn.XLOOKUP($B$1,Master!$F$2:$F$308,Master!$H$2:$H$308,""))</f>
        <v>fig-top-need-improve</v>
      </c>
      <c r="E4" s="13"/>
      <c r="F4" s="16" t="s">
        <v>679</v>
      </c>
      <c r="G4" s="16" t="s">
        <v>679</v>
      </c>
      <c r="H4" s="16"/>
      <c r="I4" s="16"/>
      <c r="J4" s="16"/>
      <c r="K4" s="16"/>
      <c r="L4" s="16"/>
      <c r="M4" s="16"/>
      <c r="N4" s="16"/>
      <c r="O4" s="16"/>
      <c r="P4" s="16"/>
    </row>
    <row r="5" spans="1:16" x14ac:dyDescent="0.2">
      <c r="A5" s="98" t="s">
        <v>885</v>
      </c>
      <c r="B5" s="99"/>
      <c r="E5" s="100" t="s">
        <v>886</v>
      </c>
      <c r="F5" s="59" t="s">
        <v>1640</v>
      </c>
      <c r="G5" s="59">
        <v>73.3</v>
      </c>
      <c r="H5" s="46"/>
      <c r="I5" s="46"/>
      <c r="J5" s="46"/>
      <c r="K5" s="46"/>
      <c r="L5" s="46"/>
      <c r="M5" s="46"/>
      <c r="N5" s="46"/>
      <c r="O5" s="46"/>
    </row>
    <row r="6" spans="1:16" ht="15" customHeight="1" x14ac:dyDescent="0.2">
      <c r="A6" t="s">
        <v>891</v>
      </c>
      <c r="B6" t="b">
        <v>0</v>
      </c>
      <c r="E6" s="99"/>
      <c r="F6" t="s">
        <v>1721</v>
      </c>
      <c r="G6" s="55">
        <v>71.5</v>
      </c>
      <c r="J6" s="14"/>
      <c r="K6" s="14"/>
      <c r="L6" s="14"/>
      <c r="M6" s="14"/>
      <c r="N6" s="14"/>
    </row>
    <row r="7" spans="1:16" ht="15.75" customHeight="1" x14ac:dyDescent="0.2">
      <c r="E7" s="99"/>
      <c r="F7" s="59" t="s">
        <v>1722</v>
      </c>
      <c r="G7" s="59">
        <v>49.8</v>
      </c>
      <c r="H7" s="59"/>
      <c r="J7" s="14"/>
      <c r="K7" s="14"/>
      <c r="L7" s="14"/>
      <c r="M7" s="14"/>
      <c r="N7" s="14"/>
    </row>
    <row r="8" spans="1:16" x14ac:dyDescent="0.2">
      <c r="E8" s="99"/>
      <c r="F8" s="68" t="s">
        <v>1724</v>
      </c>
      <c r="G8" s="68">
        <v>45.2</v>
      </c>
      <c r="H8" s="59"/>
      <c r="J8" s="14"/>
      <c r="K8" s="14"/>
      <c r="L8" s="14"/>
      <c r="M8" s="14"/>
      <c r="N8" s="14"/>
    </row>
    <row r="9" spans="1:16" x14ac:dyDescent="0.2">
      <c r="A9" s="98" t="s">
        <v>893</v>
      </c>
      <c r="B9" s="99"/>
      <c r="E9" s="99"/>
      <c r="F9" s="47" t="s">
        <v>1728</v>
      </c>
      <c r="G9" s="47">
        <v>40.5</v>
      </c>
      <c r="J9" s="46"/>
      <c r="K9" s="46"/>
      <c r="L9" s="46"/>
      <c r="M9" s="46"/>
      <c r="N9" s="46"/>
      <c r="O9" s="46"/>
    </row>
    <row r="10" spans="1:16" x14ac:dyDescent="0.2">
      <c r="A10" t="s">
        <v>894</v>
      </c>
      <c r="B10" t="s">
        <v>1002</v>
      </c>
      <c r="E10" s="99"/>
      <c r="F10" s="47" t="s">
        <v>1025</v>
      </c>
      <c r="G10" s="47">
        <v>23.5</v>
      </c>
      <c r="H10" s="59"/>
      <c r="J10" s="47"/>
      <c r="K10" s="47"/>
      <c r="L10" s="47"/>
      <c r="M10" s="47"/>
      <c r="N10" s="47"/>
      <c r="O10" s="46"/>
    </row>
    <row r="11" spans="1:16" x14ac:dyDescent="0.2">
      <c r="A11" t="s">
        <v>895</v>
      </c>
      <c r="E11" s="99"/>
      <c r="H11" s="68"/>
      <c r="J11" s="47"/>
      <c r="K11" s="47"/>
      <c r="L11" s="47"/>
      <c r="M11" s="47"/>
      <c r="N11" s="47"/>
      <c r="O11" s="46"/>
    </row>
    <row r="12" spans="1:16" x14ac:dyDescent="0.2">
      <c r="A12" t="s">
        <v>896</v>
      </c>
      <c r="E12" s="99"/>
      <c r="H12" s="47"/>
      <c r="J12" s="46"/>
      <c r="K12" s="46"/>
      <c r="L12" s="46"/>
      <c r="M12" s="46"/>
      <c r="N12" s="46"/>
      <c r="O12" s="46"/>
    </row>
    <row r="13" spans="1:16" x14ac:dyDescent="0.2">
      <c r="A13" t="s">
        <v>897</v>
      </c>
      <c r="E13" s="99"/>
      <c r="H13" s="47"/>
      <c r="I13" s="46"/>
      <c r="J13" s="46"/>
      <c r="K13" s="46"/>
      <c r="L13" s="46"/>
      <c r="M13" s="46"/>
      <c r="N13" s="46"/>
      <c r="O13" s="46"/>
    </row>
    <row r="14" spans="1:16" x14ac:dyDescent="0.2">
      <c r="A14" t="s">
        <v>899</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D1AF7B14-6C4F-4C26-AC4D-B92AD115DE82}">
      <formula1>"integer, number, percent1"</formula1>
    </dataValidation>
    <dataValidation type="list" allowBlank="1" showInputMessage="1" showErrorMessage="1" sqref="B10" xr:uid="{7DB3B51E-6DC0-42E7-9943-2C6E7CAFD8CF}">
      <formula1>"Line,Clustered Bar,Stacked Bar,Bar"</formula1>
    </dataValidation>
    <dataValidation type="list" allowBlank="1" showInputMessage="1" showErrorMessage="1" sqref="B2" xr:uid="{F2EEAFC6-AD75-438F-9252-96397CDB80CE}">
      <formula1>"Table,Figure,Both"</formula1>
    </dataValidation>
    <dataValidation type="list" allowBlank="1" showInputMessage="1" showErrorMessage="1" sqref="B6 B15:B16" xr:uid="{6572A9DD-85BA-4B46-B86A-D3129759F724}">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AE456B17-0948-4062-AF6D-5D61B541AE1A}">
          <x14:formula1>
            <xm:f>Dropdowns!$A$1:$A$8</xm:f>
          </x14:formula1>
          <xm:sqref>F4:O4</xm:sqref>
        </x14:dataValidation>
        <x14:dataValidation type="list" allowBlank="1" showInputMessage="1" showErrorMessage="1" xr:uid="{9E535B97-7928-4592-AEAA-6C9D7FD50F45}">
          <x14:formula1>
            <xm:f>Master!$F$2:$F$401</xm:f>
          </x14:formula1>
          <xm:sqref>B1:O1</xm:sqref>
        </x14:dataValidation>
      </x14:dataValidations>
    </ext>
  </extLst>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C789-AB72-44E8-8D34-388745896078}">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20.3320312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1739</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tbl-econ-need-improve</v>
      </c>
    </row>
    <row r="4" spans="1:16" x14ac:dyDescent="0.2">
      <c r="A4" s="58" t="s">
        <v>6</v>
      </c>
      <c r="B4" t="str">
        <f>IF($B$1="","",_xlfn.XLOOKUP($B$1,Master!$F$2:$F$308,Master!$H$2:$H$308,""))</f>
        <v>fig-econ-need-improve</v>
      </c>
      <c r="E4" s="13"/>
      <c r="F4" s="16"/>
      <c r="G4" s="16" t="s">
        <v>679</v>
      </c>
      <c r="H4" s="16" t="s">
        <v>679</v>
      </c>
      <c r="I4" s="16" t="s">
        <v>679</v>
      </c>
      <c r="J4" s="16" t="s">
        <v>679</v>
      </c>
      <c r="K4" s="16" t="s">
        <v>679</v>
      </c>
      <c r="L4" s="16"/>
      <c r="M4" s="16"/>
      <c r="N4" s="16"/>
      <c r="O4" s="16"/>
      <c r="P4" s="16"/>
    </row>
    <row r="5" spans="1:16" x14ac:dyDescent="0.2">
      <c r="A5" s="98" t="s">
        <v>885</v>
      </c>
      <c r="B5" s="99"/>
      <c r="E5" s="100" t="s">
        <v>886</v>
      </c>
      <c r="F5" s="46"/>
      <c r="G5" s="46" t="s">
        <v>1733</v>
      </c>
      <c r="H5" s="46">
        <v>2</v>
      </c>
      <c r="I5" s="46">
        <v>3</v>
      </c>
      <c r="J5" s="46">
        <v>4</v>
      </c>
      <c r="K5" s="46" t="s">
        <v>1734</v>
      </c>
      <c r="L5" s="46" t="s">
        <v>1735</v>
      </c>
      <c r="M5" s="46"/>
      <c r="N5" s="46"/>
      <c r="O5" s="46"/>
    </row>
    <row r="6" spans="1:16" ht="15" customHeight="1" x14ac:dyDescent="0.2">
      <c r="A6" t="s">
        <v>891</v>
      </c>
      <c r="B6" t="b">
        <v>0</v>
      </c>
      <c r="E6" s="99"/>
      <c r="F6" s="72" t="s">
        <v>1730</v>
      </c>
      <c r="G6" s="73">
        <v>2.7</v>
      </c>
      <c r="H6" s="73">
        <v>5</v>
      </c>
      <c r="I6" s="73">
        <v>11.5</v>
      </c>
      <c r="J6" s="73">
        <v>16.3</v>
      </c>
      <c r="K6" s="73">
        <v>48</v>
      </c>
      <c r="L6" s="73">
        <v>16.5</v>
      </c>
      <c r="M6" s="71"/>
      <c r="N6" s="71"/>
    </row>
    <row r="7" spans="1:16" ht="15.75" customHeight="1" x14ac:dyDescent="0.2">
      <c r="E7" s="99"/>
      <c r="F7" s="53" t="s">
        <v>1731</v>
      </c>
      <c r="G7" s="59">
        <v>1.6</v>
      </c>
      <c r="H7" s="59">
        <v>4.0999999999999996</v>
      </c>
      <c r="I7" s="55">
        <v>10.9</v>
      </c>
      <c r="J7" s="59">
        <v>20.100000000000001</v>
      </c>
      <c r="K7" s="59">
        <v>58.6</v>
      </c>
      <c r="L7" s="59">
        <v>4.8</v>
      </c>
      <c r="M7" s="14"/>
      <c r="N7" s="14"/>
    </row>
    <row r="8" spans="1:16" x14ac:dyDescent="0.2">
      <c r="E8" s="99"/>
      <c r="F8" s="53" t="s">
        <v>1078</v>
      </c>
      <c r="G8" s="59">
        <v>2</v>
      </c>
      <c r="H8" s="59">
        <v>2.2999999999999998</v>
      </c>
      <c r="I8" s="55">
        <v>6.6</v>
      </c>
      <c r="J8" s="59">
        <v>12.4</v>
      </c>
      <c r="K8" s="59">
        <v>73.5</v>
      </c>
      <c r="L8" s="59">
        <v>3.2</v>
      </c>
      <c r="M8" s="14"/>
      <c r="N8" s="14"/>
    </row>
    <row r="9" spans="1:16" x14ac:dyDescent="0.2">
      <c r="A9" s="98" t="s">
        <v>893</v>
      </c>
      <c r="B9" s="99"/>
      <c r="E9" s="99"/>
      <c r="F9" s="61" t="s">
        <v>1732</v>
      </c>
      <c r="G9" s="55">
        <v>11.3</v>
      </c>
      <c r="H9" s="55">
        <v>12.9</v>
      </c>
      <c r="I9" s="55">
        <v>24</v>
      </c>
      <c r="J9" s="68" t="s">
        <v>1736</v>
      </c>
      <c r="K9" s="68" t="s">
        <v>1737</v>
      </c>
      <c r="L9" s="68" t="s">
        <v>1738</v>
      </c>
      <c r="M9" s="46"/>
      <c r="N9" s="46"/>
      <c r="O9" s="46"/>
    </row>
    <row r="10" spans="1:16" x14ac:dyDescent="0.2">
      <c r="A10" t="s">
        <v>894</v>
      </c>
      <c r="B10" t="s">
        <v>1020</v>
      </c>
      <c r="E10" s="99"/>
      <c r="F10" s="59"/>
      <c r="G10" s="59"/>
      <c r="H10" s="59"/>
      <c r="J10" s="47"/>
      <c r="K10" s="47"/>
      <c r="L10" s="47"/>
      <c r="M10" s="47"/>
      <c r="N10" s="47"/>
      <c r="O10" s="46"/>
    </row>
    <row r="11" spans="1:16" x14ac:dyDescent="0.2">
      <c r="A11" t="s">
        <v>895</v>
      </c>
      <c r="E11" s="99"/>
      <c r="F11" s="68"/>
      <c r="G11" s="68"/>
      <c r="H11" s="68"/>
      <c r="J11" s="47"/>
      <c r="K11" s="47"/>
      <c r="L11" s="47"/>
      <c r="M11" s="47"/>
      <c r="N11" s="47"/>
      <c r="O11" s="46"/>
    </row>
    <row r="12" spans="1:16" x14ac:dyDescent="0.2">
      <c r="A12" t="s">
        <v>896</v>
      </c>
      <c r="E12" s="99"/>
      <c r="F12" s="47"/>
      <c r="G12" s="47"/>
      <c r="H12" s="47"/>
      <c r="J12" s="46"/>
      <c r="K12" s="46"/>
      <c r="L12" s="46"/>
      <c r="M12" s="46"/>
      <c r="N12" s="46"/>
      <c r="O12" s="46"/>
    </row>
    <row r="13" spans="1:16" x14ac:dyDescent="0.2">
      <c r="A13" t="s">
        <v>897</v>
      </c>
      <c r="E13" s="99"/>
      <c r="F13" s="47"/>
      <c r="G13" s="47"/>
      <c r="H13" s="47"/>
      <c r="I13" s="46"/>
      <c r="J13" s="46"/>
      <c r="K13" s="46"/>
      <c r="L13" s="46"/>
      <c r="M13" s="46"/>
      <c r="N13" s="46"/>
      <c r="O13" s="46"/>
    </row>
    <row r="14" spans="1:16" x14ac:dyDescent="0.2">
      <c r="A14" t="s">
        <v>899</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0DA14678-BC5F-4AEF-9147-E95FF801A4C7}">
      <formula1>"True,False"</formula1>
    </dataValidation>
    <dataValidation type="list" allowBlank="1" showInputMessage="1" showErrorMessage="1" sqref="B2" xr:uid="{1FFD7250-331E-4F8C-8E78-D4BC9C4626A3}">
      <formula1>"Table,Figure,Both"</formula1>
    </dataValidation>
    <dataValidation type="list" allowBlank="1" showInputMessage="1" showErrorMessage="1" sqref="B10" xr:uid="{CF618551-34EB-45C5-92EE-C3659BF514EA}">
      <formula1>"Line,Clustered Bar,Stacked Bar,Bar,Horizontal Stacked Bar"</formula1>
    </dataValidation>
    <dataValidation type="list" allowBlank="1" showInputMessage="1" showErrorMessage="1" sqref="P4" xr:uid="{67B19018-3440-490C-9A90-FDE16FD13F81}">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BA5A352-A73D-42E2-A8C8-209F1217C3AB}">
          <x14:formula1>
            <xm:f>Dropdowns!$A$1:$A$8</xm:f>
          </x14:formula1>
          <xm:sqref>F4:O4</xm:sqref>
        </x14:dataValidation>
        <x14:dataValidation type="list" allowBlank="1" showInputMessage="1" showErrorMessage="1" xr:uid="{E9086750-FBEA-455C-BF7F-F61F5F5DA2F8}">
          <x14:formula1>
            <xm:f>Master!$F$2:$F$401</xm:f>
          </x14:formula1>
          <xm:sqref>B1:O1</xm:sqref>
        </x14:dataValidation>
      </x14:dataValidations>
    </ext>
  </extLst>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AEF3-3C4B-4A11-8338-2DFF9D074690}">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40.8320312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1741</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tbl-safe-health-need-improve</v>
      </c>
    </row>
    <row r="4" spans="1:16" x14ac:dyDescent="0.2">
      <c r="A4" s="58" t="s">
        <v>6</v>
      </c>
      <c r="B4" t="str">
        <f>IF($B$1="","",_xlfn.XLOOKUP($B$1,Master!$F$2:$F$308,Master!$H$2:$H$308,""))</f>
        <v>fig-safe-health-need-improve</v>
      </c>
      <c r="E4" s="13"/>
      <c r="F4" s="16"/>
      <c r="G4" s="16" t="s">
        <v>679</v>
      </c>
      <c r="H4" s="16" t="s">
        <v>679</v>
      </c>
      <c r="I4" s="16" t="s">
        <v>679</v>
      </c>
      <c r="J4" s="16" t="s">
        <v>679</v>
      </c>
      <c r="K4" s="16" t="s">
        <v>679</v>
      </c>
      <c r="L4" s="16" t="s">
        <v>679</v>
      </c>
      <c r="M4" s="16"/>
      <c r="N4" s="16"/>
      <c r="O4" s="16"/>
      <c r="P4" s="16"/>
    </row>
    <row r="5" spans="1:16" x14ac:dyDescent="0.2">
      <c r="A5" s="98" t="s">
        <v>885</v>
      </c>
      <c r="B5" s="99"/>
      <c r="E5" s="100" t="s">
        <v>886</v>
      </c>
      <c r="F5" s="46"/>
      <c r="G5" s="68" t="s">
        <v>1733</v>
      </c>
      <c r="H5" s="68">
        <v>2</v>
      </c>
      <c r="I5" s="68">
        <v>3</v>
      </c>
      <c r="J5" s="68">
        <v>4</v>
      </c>
      <c r="K5" s="68" t="s">
        <v>1734</v>
      </c>
      <c r="L5" s="68" t="s">
        <v>1735</v>
      </c>
      <c r="M5" s="46"/>
      <c r="N5" s="46"/>
      <c r="O5" s="46"/>
    </row>
    <row r="6" spans="1:16" ht="15" customHeight="1" x14ac:dyDescent="0.2">
      <c r="A6" t="s">
        <v>891</v>
      </c>
      <c r="B6" t="b">
        <v>0</v>
      </c>
      <c r="E6" s="99"/>
      <c r="F6" s="71" t="s">
        <v>1744</v>
      </c>
      <c r="G6" s="75">
        <v>6</v>
      </c>
      <c r="H6" s="75">
        <v>8.6</v>
      </c>
      <c r="I6" s="75">
        <v>17.899999999999999</v>
      </c>
      <c r="J6" s="75">
        <v>17.600000000000001</v>
      </c>
      <c r="K6" s="75">
        <v>40.4</v>
      </c>
      <c r="L6" s="75">
        <v>9.5</v>
      </c>
      <c r="M6" s="71"/>
      <c r="N6" s="71"/>
    </row>
    <row r="7" spans="1:16" ht="15.75" customHeight="1" x14ac:dyDescent="0.2">
      <c r="E7" s="99"/>
      <c r="F7" s="14" t="s">
        <v>1745</v>
      </c>
      <c r="G7" s="59">
        <v>6</v>
      </c>
      <c r="H7" s="59">
        <v>9.5</v>
      </c>
      <c r="I7" s="59">
        <v>11.6</v>
      </c>
      <c r="J7" s="59">
        <v>20.399999999999999</v>
      </c>
      <c r="K7" s="59">
        <v>44.5</v>
      </c>
      <c r="L7" s="59">
        <v>7.9</v>
      </c>
      <c r="M7" s="14"/>
      <c r="N7" s="14"/>
    </row>
    <row r="8" spans="1:16" x14ac:dyDescent="0.2">
      <c r="E8" s="99"/>
      <c r="F8" s="14" t="s">
        <v>1746</v>
      </c>
      <c r="G8" s="59">
        <v>3.2</v>
      </c>
      <c r="H8" s="59">
        <v>7.4</v>
      </c>
      <c r="I8" s="59">
        <v>15.1</v>
      </c>
      <c r="J8" s="59">
        <v>19.5</v>
      </c>
      <c r="K8" s="59">
        <v>47.3</v>
      </c>
      <c r="L8" s="59">
        <v>7.4</v>
      </c>
      <c r="M8" s="14"/>
      <c r="N8" s="14"/>
    </row>
    <row r="9" spans="1:16" x14ac:dyDescent="0.2">
      <c r="A9" s="98" t="s">
        <v>893</v>
      </c>
      <c r="B9" s="99"/>
      <c r="E9" s="99"/>
      <c r="F9" t="s">
        <v>1747</v>
      </c>
      <c r="G9" s="59">
        <v>7</v>
      </c>
      <c r="H9" s="59">
        <v>10.7</v>
      </c>
      <c r="I9" s="59">
        <v>25.8</v>
      </c>
      <c r="J9" s="59" t="s">
        <v>1751</v>
      </c>
      <c r="K9" s="59" t="s">
        <v>1752</v>
      </c>
      <c r="L9" s="59" t="s">
        <v>1753</v>
      </c>
      <c r="M9" s="46"/>
      <c r="N9" s="46"/>
      <c r="O9" s="46"/>
    </row>
    <row r="10" spans="1:16" x14ac:dyDescent="0.2">
      <c r="A10" t="s">
        <v>894</v>
      </c>
      <c r="B10" t="s">
        <v>1020</v>
      </c>
      <c r="E10" s="99"/>
      <c r="F10" s="14" t="s">
        <v>1748</v>
      </c>
      <c r="G10" s="59">
        <v>11.6</v>
      </c>
      <c r="H10" s="59">
        <v>12.5</v>
      </c>
      <c r="I10" s="59">
        <v>24.4</v>
      </c>
      <c r="J10" s="42" t="s">
        <v>1754</v>
      </c>
      <c r="K10" s="42" t="s">
        <v>1755</v>
      </c>
      <c r="L10" s="42" t="s">
        <v>1756</v>
      </c>
      <c r="M10" s="47"/>
      <c r="N10" s="47"/>
      <c r="O10" s="46"/>
    </row>
    <row r="11" spans="1:16" x14ac:dyDescent="0.2">
      <c r="A11" t="s">
        <v>895</v>
      </c>
      <c r="E11" s="99"/>
      <c r="F11" s="46" t="s">
        <v>1749</v>
      </c>
      <c r="G11" s="59" t="s">
        <v>1465</v>
      </c>
      <c r="H11" s="59" t="s">
        <v>1757</v>
      </c>
      <c r="I11" s="59">
        <v>23.4</v>
      </c>
      <c r="J11" s="42" t="s">
        <v>1758</v>
      </c>
      <c r="K11" s="42" t="s">
        <v>1759</v>
      </c>
      <c r="L11" s="42" t="s">
        <v>1760</v>
      </c>
      <c r="M11" s="47"/>
      <c r="N11" s="47"/>
      <c r="O11" s="46"/>
    </row>
    <row r="12" spans="1:16" x14ac:dyDescent="0.2">
      <c r="A12" t="s">
        <v>896</v>
      </c>
      <c r="E12" s="99"/>
      <c r="F12" s="74" t="s">
        <v>1750</v>
      </c>
      <c r="G12" s="42" t="s">
        <v>1761</v>
      </c>
      <c r="H12" s="42" t="s">
        <v>1762</v>
      </c>
      <c r="I12" s="59">
        <v>22.7</v>
      </c>
      <c r="J12" s="59" t="s">
        <v>1758</v>
      </c>
      <c r="K12" s="59" t="s">
        <v>1758</v>
      </c>
      <c r="L12" s="59" t="s">
        <v>1501</v>
      </c>
      <c r="M12" s="46"/>
      <c r="N12" s="46"/>
      <c r="O12" s="46"/>
    </row>
    <row r="13" spans="1:16" x14ac:dyDescent="0.2">
      <c r="A13" t="s">
        <v>897</v>
      </c>
      <c r="E13" s="99"/>
      <c r="F13" s="47"/>
      <c r="G13" s="47"/>
      <c r="H13" s="47"/>
      <c r="I13" s="46"/>
      <c r="J13" s="46"/>
      <c r="K13" s="46"/>
      <c r="L13" s="46"/>
      <c r="M13" s="46"/>
      <c r="N13" s="46"/>
      <c r="O13" s="46"/>
    </row>
    <row r="14" spans="1:16" x14ac:dyDescent="0.2">
      <c r="A14" t="s">
        <v>899</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163076D0-AD98-49D9-8563-4031BFD7DDB4}">
      <formula1>"integer, number, percent1"</formula1>
    </dataValidation>
    <dataValidation type="list" allowBlank="1" showInputMessage="1" showErrorMessage="1" sqref="B10" xr:uid="{F32ABB0F-584A-4DE7-9E94-6FF4939B9E32}">
      <formula1>"Line,Clustered Bar,Stacked Bar,Bar,Horizontal Stacked Bar"</formula1>
    </dataValidation>
    <dataValidation type="list" allowBlank="1" showInputMessage="1" showErrorMessage="1" sqref="B2" xr:uid="{B7F15019-0EF5-4798-AAE4-977D0AD2F525}">
      <formula1>"Table,Figure,Both"</formula1>
    </dataValidation>
    <dataValidation type="list" allowBlank="1" showInputMessage="1" showErrorMessage="1" sqref="B6 B15:B16" xr:uid="{420BC657-5A8F-447F-9067-CBCA00AC665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DFBA709-EC7E-4C0A-8F40-AAB760347E70}">
          <x14:formula1>
            <xm:f>Dropdowns!$A$1:$A$8</xm:f>
          </x14:formula1>
          <xm:sqref>F4:O4</xm:sqref>
        </x14:dataValidation>
        <x14:dataValidation type="list" allowBlank="1" showInputMessage="1" showErrorMessage="1" xr:uid="{65435D67-BFF7-4F9B-ABC7-8C366BDE6FE9}">
          <x14:formula1>
            <xm:f>Master!$F$2:$F$401</xm:f>
          </x14:formula1>
          <xm:sqref>B1:O1</xm:sqref>
        </x14:dataValidation>
      </x14:dataValidations>
    </ext>
  </extLst>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3AE4-6C42-4DA1-8003-FE2C0DA86B4C}">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3.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1763</v>
      </c>
      <c r="C1" s="97"/>
      <c r="D1" s="97"/>
      <c r="E1" s="97"/>
      <c r="F1" s="97"/>
      <c r="G1" s="97"/>
      <c r="H1" s="97"/>
      <c r="I1" s="97"/>
      <c r="J1" s="97"/>
      <c r="K1" s="97"/>
      <c r="L1" s="97"/>
      <c r="M1" s="97"/>
      <c r="N1" s="97"/>
      <c r="O1" s="97"/>
    </row>
    <row r="2" spans="1:16" x14ac:dyDescent="0.2">
      <c r="A2" s="58" t="s">
        <v>883</v>
      </c>
      <c r="B2" t="s">
        <v>56</v>
      </c>
    </row>
    <row r="3" spans="1:16" x14ac:dyDescent="0.2">
      <c r="A3" s="58" t="s">
        <v>884</v>
      </c>
      <c r="B3" t="str">
        <f>IF($B$1="","",_xlfn.XLOOKUP($B$1,Master!$F$2:$F$308,Master!$G$2:$G$308,""))</f>
        <v>tbl-educat-need-improv</v>
      </c>
    </row>
    <row r="4" spans="1:16" x14ac:dyDescent="0.2">
      <c r="A4" s="58" t="s">
        <v>6</v>
      </c>
      <c r="B4" t="str">
        <f>IF($B$1="","",_xlfn.XLOOKUP($B$1,Master!$F$2:$F$308,Master!$H$2:$H$308,""))</f>
        <v>fig-educat-need-improv</v>
      </c>
      <c r="E4" s="13"/>
      <c r="F4" s="16"/>
      <c r="G4" s="16" t="s">
        <v>679</v>
      </c>
      <c r="H4" s="16" t="s">
        <v>679</v>
      </c>
      <c r="I4" s="16" t="s">
        <v>679</v>
      </c>
      <c r="J4" s="16" t="s">
        <v>679</v>
      </c>
      <c r="K4" s="16" t="s">
        <v>679</v>
      </c>
      <c r="L4" s="16" t="s">
        <v>679</v>
      </c>
      <c r="M4" s="16"/>
      <c r="N4" s="16"/>
      <c r="O4" s="16"/>
      <c r="P4" s="16"/>
    </row>
    <row r="5" spans="1:16" x14ac:dyDescent="0.2">
      <c r="A5" s="98" t="s">
        <v>885</v>
      </c>
      <c r="B5" s="99"/>
      <c r="E5" s="100" t="s">
        <v>886</v>
      </c>
      <c r="F5" s="46"/>
      <c r="G5" s="68" t="s">
        <v>1733</v>
      </c>
      <c r="H5" s="68">
        <v>2</v>
      </c>
      <c r="I5" s="68">
        <v>3</v>
      </c>
      <c r="J5" s="68">
        <v>4</v>
      </c>
      <c r="K5" s="68" t="s">
        <v>1734</v>
      </c>
      <c r="L5" s="68" t="s">
        <v>1735</v>
      </c>
      <c r="M5" s="46"/>
      <c r="N5" s="46"/>
      <c r="O5" s="46"/>
    </row>
    <row r="6" spans="1:16" ht="15" customHeight="1" x14ac:dyDescent="0.2">
      <c r="A6" t="s">
        <v>891</v>
      </c>
      <c r="B6" t="b">
        <v>0</v>
      </c>
      <c r="E6" s="99"/>
      <c r="F6" s="71" t="s">
        <v>1765</v>
      </c>
      <c r="G6" s="75">
        <v>2</v>
      </c>
      <c r="H6" s="75">
        <v>5.7</v>
      </c>
      <c r="I6" s="75">
        <v>16.3</v>
      </c>
      <c r="J6" s="75">
        <v>24.7</v>
      </c>
      <c r="K6" s="75">
        <v>40</v>
      </c>
      <c r="L6" s="75">
        <v>11.3</v>
      </c>
      <c r="M6" s="71"/>
      <c r="N6" s="71"/>
    </row>
    <row r="7" spans="1:16" ht="15.75" customHeight="1" x14ac:dyDescent="0.2">
      <c r="E7" s="99"/>
      <c r="F7" s="14" t="s">
        <v>1766</v>
      </c>
      <c r="G7" s="59">
        <v>4.3</v>
      </c>
      <c r="H7" s="59">
        <v>5.7</v>
      </c>
      <c r="I7" s="59">
        <v>19.3</v>
      </c>
      <c r="J7" s="59">
        <v>23.7</v>
      </c>
      <c r="K7" s="59">
        <v>38.700000000000003</v>
      </c>
      <c r="L7" s="59">
        <v>8.3000000000000007</v>
      </c>
      <c r="M7" s="14"/>
      <c r="N7" s="14"/>
    </row>
    <row r="8" spans="1:16" x14ac:dyDescent="0.2">
      <c r="E8" s="99"/>
      <c r="F8" s="14" t="s">
        <v>1767</v>
      </c>
      <c r="G8" s="59">
        <v>5</v>
      </c>
      <c r="H8" s="59">
        <v>6.3</v>
      </c>
      <c r="I8" s="59">
        <v>18.3</v>
      </c>
      <c r="J8" s="59">
        <v>22.3</v>
      </c>
      <c r="K8" s="59">
        <v>40.299999999999997</v>
      </c>
      <c r="L8" s="59">
        <v>7.7</v>
      </c>
      <c r="M8" s="14"/>
      <c r="N8" s="14"/>
    </row>
    <row r="9" spans="1:16" x14ac:dyDescent="0.2">
      <c r="A9" s="98" t="s">
        <v>893</v>
      </c>
      <c r="B9" s="99"/>
      <c r="E9" s="99"/>
      <c r="G9" s="59"/>
      <c r="H9" s="59"/>
      <c r="I9" s="59"/>
      <c r="J9" s="59"/>
      <c r="K9" s="59"/>
      <c r="L9" s="59"/>
      <c r="M9" s="46"/>
      <c r="N9" s="46"/>
      <c r="O9" s="46"/>
    </row>
    <row r="10" spans="1:16" x14ac:dyDescent="0.2">
      <c r="A10" t="s">
        <v>894</v>
      </c>
      <c r="B10" t="s">
        <v>1743</v>
      </c>
      <c r="E10" s="99"/>
      <c r="F10" s="14"/>
      <c r="G10" s="59"/>
      <c r="H10" s="59"/>
      <c r="I10" s="59"/>
      <c r="J10" s="42"/>
      <c r="K10" s="42"/>
      <c r="L10" s="42"/>
      <c r="M10" s="47"/>
      <c r="N10" s="47"/>
      <c r="O10" s="46"/>
    </row>
    <row r="11" spans="1:16" x14ac:dyDescent="0.2">
      <c r="A11" t="s">
        <v>895</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5082AEAA-4685-4D72-BF2D-2BA903F6C466}">
      <formula1>"True,False"</formula1>
    </dataValidation>
    <dataValidation type="list" allowBlank="1" showInputMessage="1" showErrorMessage="1" sqref="B2" xr:uid="{FC05C15D-89A8-4DCE-8AD2-C8D4D06AAF33}">
      <formula1>"Table,Figure,Both"</formula1>
    </dataValidation>
    <dataValidation type="list" allowBlank="1" showInputMessage="1" showErrorMessage="1" sqref="B10" xr:uid="{E587B699-DE06-4199-8A4B-60ECB40CB3FB}">
      <formula1>"Line,Clustered Bar,Stacked Bar,Bar,Horizontal Stacked Bar"</formula1>
    </dataValidation>
    <dataValidation type="list" allowBlank="1" showInputMessage="1" showErrorMessage="1" sqref="P4" xr:uid="{FA93556F-EDD7-4472-9939-B3EC3C53D7D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6F825CD-70E1-4F40-B023-D89610FE85AD}">
          <x14:formula1>
            <xm:f>Dropdowns!$A$1:$A$8</xm:f>
          </x14:formula1>
          <xm:sqref>F4:O4</xm:sqref>
        </x14:dataValidation>
        <x14:dataValidation type="list" allowBlank="1" showInputMessage="1" showErrorMessage="1" xr:uid="{C576B42D-550A-4146-B70E-1836A5CD9640}">
          <x14:formula1>
            <xm:f>Master!$F$2:$F$401</xm:f>
          </x14:formula1>
          <xm:sqref>B1:O1</xm:sqref>
        </x14:dataValidation>
      </x14:dataValidations>
    </ext>
  </extLst>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2407-69D0-9341-AD1C-CB8D3529DDC3}">
  <dimension ref="A1:P57"/>
  <sheetViews>
    <sheetView workbookViewId="0">
      <selection activeCell="B11" sqref="B11"/>
    </sheetView>
  </sheetViews>
  <sheetFormatPr baseColWidth="10" defaultColWidth="8.6640625" defaultRowHeight="15" x14ac:dyDescent="0.2"/>
  <cols>
    <col min="1" max="1" width="20" bestFit="1" customWidth="1"/>
    <col min="2" max="2" width="22.1640625" bestFit="1" customWidth="1"/>
    <col min="5" max="5" width="6.6640625" customWidth="1"/>
    <col min="6" max="6" width="33.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1812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tbl-congheartfail-mortal-rande</v>
      </c>
    </row>
    <row r="4" spans="1:16" x14ac:dyDescent="0.2">
      <c r="A4" s="58" t="s">
        <v>6</v>
      </c>
      <c r="B4" t="str">
        <f>IF($B$1="","",_xlfn.XLOOKUP($B$1,Master!$F$2:$F$308,Master!$H$2:$H$308,""))</f>
        <v>fig-congheartfail-mortal-rande</v>
      </c>
      <c r="E4" s="13"/>
      <c r="F4" s="16"/>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46" t="s">
        <v>2167</v>
      </c>
      <c r="G5" s="68" t="s">
        <v>220</v>
      </c>
      <c r="H5" s="68" t="s">
        <v>18</v>
      </c>
      <c r="I5" s="68" t="s">
        <v>537</v>
      </c>
      <c r="J5" s="68" t="s">
        <v>449</v>
      </c>
      <c r="K5" s="68" t="s">
        <v>409</v>
      </c>
      <c r="L5" s="68" t="s">
        <v>421</v>
      </c>
      <c r="M5" s="46" t="s">
        <v>470</v>
      </c>
      <c r="N5" s="46" t="s">
        <v>914</v>
      </c>
      <c r="O5" s="46" t="s">
        <v>915</v>
      </c>
    </row>
    <row r="6" spans="1:16" ht="15" customHeight="1" x14ac:dyDescent="0.2">
      <c r="A6" t="s">
        <v>891</v>
      </c>
      <c r="B6" t="b">
        <v>0</v>
      </c>
      <c r="E6" s="99"/>
      <c r="F6" s="71" t="s">
        <v>929</v>
      </c>
      <c r="G6" s="75">
        <v>15.2</v>
      </c>
      <c r="H6" s="75">
        <v>19.3</v>
      </c>
      <c r="I6" s="75">
        <v>13.7</v>
      </c>
      <c r="J6" s="75">
        <v>12.3</v>
      </c>
      <c r="K6" s="75">
        <v>24.8</v>
      </c>
      <c r="L6" s="75">
        <v>17.899999999999999</v>
      </c>
      <c r="M6" s="71">
        <v>11.4</v>
      </c>
      <c r="N6" s="71">
        <v>17.8</v>
      </c>
      <c r="O6">
        <v>16.8</v>
      </c>
    </row>
    <row r="7" spans="1:16" ht="15.75" customHeight="1" x14ac:dyDescent="0.2">
      <c r="E7" s="99"/>
      <c r="F7" s="14" t="s">
        <v>1552</v>
      </c>
      <c r="G7" s="59">
        <v>5</v>
      </c>
      <c r="H7" s="59">
        <v>21.2</v>
      </c>
      <c r="I7" s="59">
        <v>13</v>
      </c>
      <c r="J7" s="59">
        <v>11.3</v>
      </c>
      <c r="K7" s="59">
        <v>30.4</v>
      </c>
      <c r="L7" s="59">
        <v>16.3</v>
      </c>
      <c r="M7" s="14">
        <v>14.7</v>
      </c>
      <c r="N7" s="14">
        <v>19.3</v>
      </c>
      <c r="O7">
        <v>17.100000000000001</v>
      </c>
    </row>
    <row r="8" spans="1:16" x14ac:dyDescent="0.2">
      <c r="E8" s="99"/>
      <c r="F8" s="14" t="s">
        <v>1814</v>
      </c>
      <c r="G8" s="59">
        <v>7.2</v>
      </c>
      <c r="H8" s="59">
        <v>9.3000000000000007</v>
      </c>
      <c r="I8" s="59" t="s">
        <v>754</v>
      </c>
      <c r="J8" s="59">
        <v>14.7</v>
      </c>
      <c r="K8" s="59">
        <v>15.2</v>
      </c>
      <c r="L8" s="59" t="s">
        <v>1815</v>
      </c>
      <c r="M8" s="14">
        <v>8</v>
      </c>
      <c r="N8" s="14">
        <v>14.7</v>
      </c>
      <c r="O8">
        <v>13.5</v>
      </c>
    </row>
    <row r="9" spans="1:16" x14ac:dyDescent="0.2">
      <c r="A9" s="98" t="s">
        <v>893</v>
      </c>
      <c r="B9" s="99"/>
      <c r="E9" s="99"/>
      <c r="F9" t="s">
        <v>927</v>
      </c>
      <c r="G9" s="59">
        <v>9.6</v>
      </c>
      <c r="H9" s="59">
        <v>17.600000000000001</v>
      </c>
      <c r="I9" s="59">
        <v>6.4</v>
      </c>
      <c r="J9" s="59">
        <v>14.2</v>
      </c>
      <c r="K9" s="59">
        <v>25.6</v>
      </c>
      <c r="L9" s="59">
        <v>13.6</v>
      </c>
      <c r="M9" s="46" t="s">
        <v>1463</v>
      </c>
      <c r="N9" s="46" t="s">
        <v>1816</v>
      </c>
      <c r="O9" s="46" t="s">
        <v>1817</v>
      </c>
    </row>
    <row r="10" spans="1:16" x14ac:dyDescent="0.2">
      <c r="A10" t="s">
        <v>894</v>
      </c>
      <c r="B10" t="s">
        <v>983</v>
      </c>
      <c r="E10" s="99"/>
      <c r="F10" s="14"/>
      <c r="G10" s="59"/>
      <c r="H10" s="59"/>
      <c r="I10" s="59"/>
      <c r="J10" s="42"/>
      <c r="K10" s="42"/>
      <c r="L10" s="42"/>
      <c r="M10" s="47"/>
      <c r="N10" s="47"/>
      <c r="O10" s="46"/>
    </row>
    <row r="11" spans="1:16" x14ac:dyDescent="0.2">
      <c r="A11" t="s">
        <v>895</v>
      </c>
      <c r="B11" t="s">
        <v>2167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411825BB-1775-C340-8898-6CC03B180242}">
      <formula1>"integer, number, percent1"</formula1>
    </dataValidation>
    <dataValidation type="list" allowBlank="1" showInputMessage="1" showErrorMessage="1" sqref="B10" xr:uid="{EA83A2CD-0540-9C4A-A7F1-53E77B5B7C5E}">
      <formula1>"Line,Clustered Bar,Stacked Bar,Bar,Horizontal Stacked Bar"</formula1>
    </dataValidation>
    <dataValidation type="list" allowBlank="1" showInputMessage="1" showErrorMessage="1" sqref="B2" xr:uid="{E144B1AB-0A91-6447-B86E-71C398643069}">
      <formula1>"Table,Figure,Both"</formula1>
    </dataValidation>
    <dataValidation type="list" allowBlank="1" showInputMessage="1" showErrorMessage="1" sqref="B6 B15:B16" xr:uid="{6C5888D9-C18F-1245-BD62-62819703EC76}">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7909759-4A76-CF4F-9438-9F865E4D4893}">
          <x14:formula1>
            <xm:f>Dropdowns!$A$1:$A$8</xm:f>
          </x14:formula1>
          <xm:sqref>F4:O4</xm:sqref>
        </x14:dataValidation>
        <x14:dataValidation type="list" allowBlank="1" showInputMessage="1" showErrorMessage="1" xr:uid="{46297ED1-B20B-6344-9503-572C7BEA4B15}">
          <x14:formula1>
            <xm:f>Master!$F$2:$F$401</xm:f>
          </x14:formula1>
          <xm:sqref>B1:O1</xm:sqref>
        </x14:dataValidation>
      </x14:dataValidations>
    </ext>
  </extLst>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103C-42F8-CB42-8F11-62A2551B6FA7}">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3.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1822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tbl-heartattack-mortal-aar</v>
      </c>
    </row>
    <row r="4" spans="1:16" x14ac:dyDescent="0.2">
      <c r="A4" s="58" t="s">
        <v>6</v>
      </c>
      <c r="B4" t="str">
        <f>IF($B$1="","",_xlfn.XLOOKUP($B$1,Master!$F$2:$F$308,Master!$H$2:$H$308,""))</f>
        <v>fig-heartattack-mortal-aar</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1775</v>
      </c>
      <c r="H5" s="101"/>
      <c r="I5" s="101"/>
      <c r="J5" s="101"/>
      <c r="K5" s="101"/>
      <c r="L5" s="101"/>
      <c r="M5" s="101"/>
      <c r="N5" s="101" t="s">
        <v>1776</v>
      </c>
      <c r="O5" s="101"/>
    </row>
    <row r="6" spans="1:16" ht="15" customHeight="1" x14ac:dyDescent="0.2">
      <c r="A6" t="s">
        <v>891</v>
      </c>
      <c r="B6" t="b">
        <v>1</v>
      </c>
      <c r="E6" s="99"/>
      <c r="F6" s="46" t="s">
        <v>973</v>
      </c>
      <c r="G6" s="68" t="s">
        <v>220</v>
      </c>
      <c r="H6" s="68" t="s">
        <v>18</v>
      </c>
      <c r="I6" s="68" t="s">
        <v>537</v>
      </c>
      <c r="J6" s="68" t="s">
        <v>449</v>
      </c>
      <c r="K6" s="68" t="s">
        <v>409</v>
      </c>
      <c r="L6" s="68" t="s">
        <v>421</v>
      </c>
      <c r="M6" s="46" t="s">
        <v>470</v>
      </c>
      <c r="N6" s="46" t="s">
        <v>914</v>
      </c>
      <c r="O6" s="46" t="s">
        <v>915</v>
      </c>
    </row>
    <row r="7" spans="1:16" ht="15.75" customHeight="1" x14ac:dyDescent="0.2">
      <c r="E7" s="99"/>
      <c r="F7" s="71">
        <v>2018</v>
      </c>
      <c r="G7" s="75">
        <v>21.1</v>
      </c>
      <c r="H7" s="75">
        <v>22.3</v>
      </c>
      <c r="I7" s="75">
        <v>16.7</v>
      </c>
      <c r="J7" s="75">
        <v>35.9</v>
      </c>
      <c r="K7" s="75">
        <v>39.9</v>
      </c>
      <c r="L7" s="75">
        <v>20.9</v>
      </c>
      <c r="M7" s="71">
        <v>15.9</v>
      </c>
      <c r="N7" s="71">
        <v>25.9</v>
      </c>
      <c r="O7">
        <v>22.8</v>
      </c>
    </row>
    <row r="8" spans="1:16" x14ac:dyDescent="0.2">
      <c r="E8" s="99"/>
      <c r="F8" s="14">
        <v>2019</v>
      </c>
      <c r="G8" s="59">
        <v>24.7</v>
      </c>
      <c r="H8" s="59">
        <v>23.3</v>
      </c>
      <c r="I8" s="59">
        <v>17.399999999999999</v>
      </c>
      <c r="J8" s="59">
        <v>37.6</v>
      </c>
      <c r="K8" s="59">
        <v>44.4</v>
      </c>
      <c r="L8" s="59">
        <v>19.7</v>
      </c>
      <c r="M8" s="14">
        <v>16.100000000000001</v>
      </c>
      <c r="N8" s="14">
        <v>23.7</v>
      </c>
      <c r="O8">
        <v>21.7</v>
      </c>
    </row>
    <row r="9" spans="1:16" x14ac:dyDescent="0.2">
      <c r="A9" s="98" t="s">
        <v>893</v>
      </c>
      <c r="B9" s="99"/>
      <c r="E9" s="99"/>
      <c r="F9" s="14">
        <v>2020</v>
      </c>
      <c r="G9" s="59">
        <v>27.2</v>
      </c>
      <c r="H9" s="59">
        <v>21.8</v>
      </c>
      <c r="I9" s="59">
        <v>16.7</v>
      </c>
      <c r="J9" s="59">
        <v>36.1</v>
      </c>
      <c r="K9" s="59">
        <v>41.7</v>
      </c>
      <c r="L9" s="59">
        <v>20.3</v>
      </c>
      <c r="M9" s="14">
        <v>15.6</v>
      </c>
      <c r="N9" s="14">
        <v>25.7</v>
      </c>
      <c r="O9">
        <v>22.6</v>
      </c>
    </row>
    <row r="10" spans="1:16" x14ac:dyDescent="0.2">
      <c r="A10" t="s">
        <v>894</v>
      </c>
      <c r="B10" t="s">
        <v>972</v>
      </c>
      <c r="E10" s="99"/>
      <c r="F10">
        <v>2021</v>
      </c>
      <c r="G10" s="59">
        <v>28.7</v>
      </c>
      <c r="H10" s="59">
        <v>20.7</v>
      </c>
      <c r="I10" s="59">
        <v>15.7</v>
      </c>
      <c r="J10" s="59">
        <v>33.200000000000003</v>
      </c>
      <c r="K10" s="59">
        <v>43.7</v>
      </c>
      <c r="L10" s="59">
        <v>19.2</v>
      </c>
      <c r="M10" s="46" t="s">
        <v>1818</v>
      </c>
      <c r="N10" s="46" t="s">
        <v>1819</v>
      </c>
      <c r="O10" s="46" t="s">
        <v>1820</v>
      </c>
    </row>
    <row r="11" spans="1:16" x14ac:dyDescent="0.2">
      <c r="A11" t="s">
        <v>895</v>
      </c>
      <c r="B11" t="s">
        <v>1821</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0</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G5:M5"/>
    <mergeCell ref="N5:O5"/>
  </mergeCells>
  <dataValidations count="4">
    <dataValidation type="list" allowBlank="1" showInputMessage="1" showErrorMessage="1" sqref="B6 B15:B16" xr:uid="{4FCAF69D-8E11-0A44-AD14-9C84E1DCBEA1}">
      <formula1>"True,False"</formula1>
    </dataValidation>
    <dataValidation type="list" allowBlank="1" showInputMessage="1" showErrorMessage="1" sqref="B2" xr:uid="{40532D92-19ED-DE4A-9CFD-A2F4C3B52072}">
      <formula1>"Table,Figure,Both"</formula1>
    </dataValidation>
    <dataValidation type="list" allowBlank="1" showInputMessage="1" showErrorMessage="1" sqref="B10" xr:uid="{B9CB32B9-5B3F-3744-A578-398E0B76F1E6}">
      <formula1>"Line,Clustered Bar,Stacked Bar,Bar,Horizontal Stacked Bar"</formula1>
    </dataValidation>
    <dataValidation type="list" allowBlank="1" showInputMessage="1" showErrorMessage="1" sqref="P4" xr:uid="{ED792C2E-5BE2-C84F-A6EB-B40AF8A933A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B31964F0-B1DD-4F4B-B604-5A1A7AD1BE30}">
          <x14:formula1>
            <xm:f>Dropdowns!$A$1:$A$8</xm:f>
          </x14:formula1>
          <xm:sqref>F4:O4</xm:sqref>
        </x14:dataValidation>
        <x14:dataValidation type="list" allowBlank="1" showInputMessage="1" showErrorMessage="1" xr:uid="{4FDA926E-62D3-F74D-97DC-C08A5685A84F}">
          <x14:formula1>
            <xm:f>Master!$F$2:$F$401</xm:f>
          </x14:formula1>
          <xm:sqref>B1:O1</xm:sqref>
        </x14:dataValidation>
      </x14:dataValidations>
    </ext>
  </extLst>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D29D-5B35-F044-AFA2-FFBE247A7718}">
  <dimension ref="A1:P57"/>
  <sheetViews>
    <sheetView workbookViewId="0">
      <selection activeCell="B14" sqref="B14"/>
    </sheetView>
  </sheetViews>
  <sheetFormatPr baseColWidth="10" defaultColWidth="8.6640625" defaultRowHeight="15" x14ac:dyDescent="0.2"/>
  <cols>
    <col min="1" max="1" width="20" bestFit="1" customWidth="1"/>
    <col min="2" max="2" width="22.1640625" bestFit="1" customWidth="1"/>
    <col min="5" max="5" width="6.6640625" customWidth="1"/>
    <col min="6" max="6" width="33.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468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tbl-congheartfail-mortal-aar</v>
      </c>
    </row>
    <row r="4" spans="1:16" x14ac:dyDescent="0.2">
      <c r="A4" s="58" t="s">
        <v>6</v>
      </c>
      <c r="B4" t="str">
        <f>IF($B$1="","",_xlfn.XLOOKUP($B$1,Master!$F$2:$F$308,Master!$H$2:$H$308,""))</f>
        <v>fig-congheartfail-mortal-aar</v>
      </c>
      <c r="E4" s="13"/>
      <c r="F4" s="16" t="s">
        <v>671</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82" t="s">
        <v>1123</v>
      </c>
      <c r="G5" s="68" t="s">
        <v>220</v>
      </c>
      <c r="H5" s="68" t="s">
        <v>18</v>
      </c>
      <c r="I5" s="68" t="s">
        <v>537</v>
      </c>
      <c r="J5" s="68" t="s">
        <v>449</v>
      </c>
      <c r="K5" s="68" t="s">
        <v>409</v>
      </c>
      <c r="L5" s="68" t="s">
        <v>421</v>
      </c>
      <c r="M5" s="46" t="s">
        <v>470</v>
      </c>
      <c r="N5" s="46" t="s">
        <v>914</v>
      </c>
      <c r="O5" s="46" t="s">
        <v>915</v>
      </c>
    </row>
    <row r="6" spans="1:16" ht="15" customHeight="1" x14ac:dyDescent="0.2">
      <c r="A6" t="s">
        <v>891</v>
      </c>
      <c r="B6" t="b">
        <v>0</v>
      </c>
      <c r="E6" s="99"/>
      <c r="F6" s="85">
        <v>2018</v>
      </c>
      <c r="G6" s="75">
        <v>13.9</v>
      </c>
      <c r="H6" s="75">
        <v>18.100000000000001</v>
      </c>
      <c r="I6" s="75">
        <v>13.9</v>
      </c>
      <c r="J6" s="75">
        <v>13.1</v>
      </c>
      <c r="K6" s="75">
        <v>16.2</v>
      </c>
      <c r="L6" s="75">
        <v>16.399999999999999</v>
      </c>
      <c r="M6" s="71">
        <v>9.4</v>
      </c>
      <c r="N6" s="71">
        <v>15.4</v>
      </c>
      <c r="O6">
        <v>11.1</v>
      </c>
    </row>
    <row r="7" spans="1:16" ht="15.75" customHeight="1" x14ac:dyDescent="0.2">
      <c r="E7" s="99"/>
      <c r="F7" s="63">
        <v>2019</v>
      </c>
      <c r="G7" s="59">
        <v>15.1</v>
      </c>
      <c r="H7" s="59">
        <v>16.3</v>
      </c>
      <c r="I7" s="59">
        <v>13.1</v>
      </c>
      <c r="J7" s="59">
        <v>13.6</v>
      </c>
      <c r="K7" s="59">
        <v>16.2</v>
      </c>
      <c r="L7" s="59">
        <v>14.3</v>
      </c>
      <c r="M7" s="14">
        <v>8.9</v>
      </c>
      <c r="N7" s="14" t="s">
        <v>900</v>
      </c>
      <c r="O7">
        <v>10.8</v>
      </c>
    </row>
    <row r="8" spans="1:16" x14ac:dyDescent="0.2">
      <c r="E8" s="99"/>
      <c r="F8" s="63">
        <v>2020</v>
      </c>
      <c r="G8" s="59">
        <v>15.3</v>
      </c>
      <c r="H8" s="59">
        <v>17.600000000000001</v>
      </c>
      <c r="I8" s="59">
        <v>13</v>
      </c>
      <c r="J8" s="59">
        <v>13.4</v>
      </c>
      <c r="K8" s="59">
        <v>18.899999999999999</v>
      </c>
      <c r="L8" s="59">
        <v>12.3</v>
      </c>
      <c r="M8" s="14">
        <v>8.6999999999999993</v>
      </c>
      <c r="N8" s="14" t="s">
        <v>900</v>
      </c>
      <c r="O8">
        <v>10.1</v>
      </c>
    </row>
    <row r="9" spans="1:16" x14ac:dyDescent="0.2">
      <c r="A9" s="98" t="s">
        <v>893</v>
      </c>
      <c r="B9" s="99"/>
      <c r="E9" s="99"/>
      <c r="F9" s="63">
        <v>2021</v>
      </c>
      <c r="G9" s="59">
        <v>15.9</v>
      </c>
      <c r="H9" s="59">
        <v>16.3</v>
      </c>
      <c r="I9" s="59">
        <v>9.5</v>
      </c>
      <c r="J9" s="59">
        <v>13.7</v>
      </c>
      <c r="K9" s="59">
        <v>22.3</v>
      </c>
      <c r="L9" s="59">
        <v>13.8</v>
      </c>
      <c r="M9" s="46" t="s">
        <v>1483</v>
      </c>
      <c r="N9" s="46" t="s">
        <v>1824</v>
      </c>
      <c r="O9" s="46" t="s">
        <v>1825</v>
      </c>
    </row>
    <row r="10" spans="1:16" x14ac:dyDescent="0.2">
      <c r="A10" t="s">
        <v>894</v>
      </c>
      <c r="B10" t="s">
        <v>972</v>
      </c>
      <c r="E10" s="99"/>
      <c r="F10" s="63"/>
      <c r="G10" s="59"/>
      <c r="H10" s="59"/>
      <c r="I10" s="59"/>
      <c r="J10" s="42"/>
      <c r="K10" s="42"/>
      <c r="L10" s="42"/>
      <c r="M10" s="47"/>
      <c r="N10" s="47"/>
      <c r="O10" s="46"/>
    </row>
    <row r="11" spans="1:16" x14ac:dyDescent="0.2">
      <c r="A11" t="s">
        <v>895</v>
      </c>
      <c r="B11" t="s">
        <v>1826</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0</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79C8EE29-921B-9B46-9C7E-53B686BC2A1F}">
      <formula1>"integer, number, percent1"</formula1>
    </dataValidation>
    <dataValidation type="list" allowBlank="1" showInputMessage="1" showErrorMessage="1" sqref="B10" xr:uid="{9629BD0B-3DED-B34F-BFD5-BD22205D6D9A}">
      <formula1>"Line,Clustered Bar,Stacked Bar,Bar,Horizontal Stacked Bar"</formula1>
    </dataValidation>
    <dataValidation type="list" allowBlank="1" showInputMessage="1" showErrorMessage="1" sqref="B2" xr:uid="{A3BA087F-EA56-8547-AB30-011F51BB2C83}">
      <formula1>"Table,Figure,Both"</formula1>
    </dataValidation>
    <dataValidation type="list" allowBlank="1" showInputMessage="1" showErrorMessage="1" sqref="B6 B15:B16" xr:uid="{5773B97B-0D9D-E94F-B2EB-CA1125B723D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62D3FCB-4EFE-8649-AF08-3EDFAE85BA1D}">
          <x14:formula1>
            <xm:f>Dropdowns!$A$1:$A$8</xm:f>
          </x14:formula1>
          <xm:sqref>F4:O4</xm:sqref>
        </x14:dataValidation>
        <x14:dataValidation type="list" allowBlank="1" showInputMessage="1" showErrorMessage="1" xr:uid="{AC1D7B8B-106F-8548-AFDD-44CFB8E01710}">
          <x14:formula1>
            <xm:f>Master!$F$2:$F$401</xm:f>
          </x14:formula1>
          <xm:sqref>B1:O1</xm:sqref>
        </x14:dataValidation>
      </x14:dataValidations>
    </ext>
  </extLst>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FC30-F6B4-A24B-AA15-AB5EA3503608}">
  <dimension ref="A1:P57"/>
  <sheetViews>
    <sheetView workbookViewId="0">
      <selection activeCell="I48" sqref="I48"/>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1834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tbl-adult-poormh-14ormore-percent</v>
      </c>
    </row>
    <row r="4" spans="1:16" x14ac:dyDescent="0.2">
      <c r="A4" s="58" t="s">
        <v>6</v>
      </c>
      <c r="B4" t="str">
        <f>IF($B$1="","",_xlfn.XLOOKUP($B$1,Master!$F$2:$F$308,Master!$H$2:$H$308,""))</f>
        <v>fig-adult-poormh-14ormore-percent</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46"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2016</v>
      </c>
      <c r="G6" s="75">
        <v>13.7</v>
      </c>
      <c r="H6" s="75">
        <v>11.8</v>
      </c>
      <c r="I6" s="75">
        <v>8.5</v>
      </c>
      <c r="J6" s="75">
        <v>8</v>
      </c>
      <c r="K6" s="75">
        <v>14.9</v>
      </c>
      <c r="L6" s="75">
        <v>12.3</v>
      </c>
      <c r="M6" s="71">
        <v>9.1</v>
      </c>
      <c r="N6" s="71">
        <v>10.6</v>
      </c>
      <c r="O6">
        <v>11.2</v>
      </c>
      <c r="P6">
        <v>10.7</v>
      </c>
    </row>
    <row r="7" spans="1:16" ht="15.75" customHeight="1" x14ac:dyDescent="0.2">
      <c r="E7" s="99"/>
      <c r="F7" s="63">
        <v>2018</v>
      </c>
      <c r="G7" s="59">
        <v>11.7</v>
      </c>
      <c r="H7" s="59">
        <v>8.6</v>
      </c>
      <c r="I7" s="59">
        <v>10</v>
      </c>
      <c r="J7" s="59">
        <v>9.1999999999999993</v>
      </c>
      <c r="K7" s="59">
        <v>11.2</v>
      </c>
      <c r="L7" s="59">
        <v>11.6</v>
      </c>
      <c r="M7" s="14">
        <v>8.9</v>
      </c>
      <c r="N7" s="14">
        <v>9.1</v>
      </c>
      <c r="O7">
        <v>11.8</v>
      </c>
      <c r="P7">
        <v>11.2</v>
      </c>
    </row>
    <row r="8" spans="1:16" x14ac:dyDescent="0.2">
      <c r="E8" s="99"/>
      <c r="F8" s="63">
        <v>2021</v>
      </c>
      <c r="G8" s="59">
        <v>10.7</v>
      </c>
      <c r="H8" s="59">
        <v>10.4</v>
      </c>
      <c r="I8" s="59">
        <v>17.399999999999999</v>
      </c>
      <c r="J8" s="59">
        <v>9.4</v>
      </c>
      <c r="K8" s="59">
        <v>16.3</v>
      </c>
      <c r="L8" s="59">
        <v>15.7</v>
      </c>
      <c r="M8" s="14">
        <v>10.4</v>
      </c>
      <c r="N8" s="14">
        <v>10.4</v>
      </c>
      <c r="O8">
        <v>13.2</v>
      </c>
      <c r="P8">
        <v>13.4</v>
      </c>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019CDB3E-0F55-584B-BA6B-0F60AF2C0658}">
      <formula1>"True,False"</formula1>
    </dataValidation>
    <dataValidation type="list" allowBlank="1" showInputMessage="1" showErrorMessage="1" sqref="B2" xr:uid="{957FC2B7-8977-B74B-B144-422BD79432D5}">
      <formula1>"Table,Figure,Both"</formula1>
    </dataValidation>
    <dataValidation type="list" allowBlank="1" showInputMessage="1" showErrorMessage="1" sqref="B10" xr:uid="{A5324A3E-510F-9148-B305-8915FBB9121E}">
      <formula1>"Line,Clustered Bar,Stacked Bar,Bar,Horizontal Stacked Bar"</formula1>
    </dataValidation>
    <dataValidation type="list" allowBlank="1" showInputMessage="1" showErrorMessage="1" sqref="P4" xr:uid="{356BD769-9D99-2C4C-8EBD-26A20273151E}">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BDE6CA1-E279-4D40-9102-E9B4BD7593C5}">
          <x14:formula1>
            <xm:f>Dropdowns!$A$1:$A$8</xm:f>
          </x14:formula1>
          <xm:sqref>F4:O4</xm:sqref>
        </x14:dataValidation>
        <x14:dataValidation type="list" allowBlank="1" showInputMessage="1" showErrorMessage="1" xr:uid="{01983A50-C022-D54F-8112-344340783962}">
          <x14:formula1>
            <xm:f>Master!$F$2:$F$401</xm:f>
          </x14:formula1>
          <xm:sqref>B1:O1</xm:sqref>
        </x14:dataValidation>
      </x14:dataValidations>
    </ext>
  </extLst>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D4D2-64D7-4C8D-AEF7-E3B971723B25}">
  <dimension ref="A1:P57"/>
  <sheetViews>
    <sheetView workbookViewId="0">
      <selection activeCell="G26" sqref="G26"/>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613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tbl-adult-depressive-do-percent</v>
      </c>
    </row>
    <row r="4" spans="1:16" x14ac:dyDescent="0.2">
      <c r="A4" s="58" t="s">
        <v>6</v>
      </c>
      <c r="B4" t="str">
        <f>IF($B$1="","",_xlfn.XLOOKUP($B$1,Master!$F$2:$F$308,Master!$H$2:$H$308,""))</f>
        <v>fig-adult-depressive-do-percent</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46"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2016</v>
      </c>
      <c r="G6" s="75">
        <v>12.9</v>
      </c>
      <c r="H6" s="75">
        <v>9.4</v>
      </c>
      <c r="I6" s="75">
        <v>8</v>
      </c>
      <c r="J6" s="75">
        <v>8.3000000000000007</v>
      </c>
      <c r="K6" s="75">
        <v>19</v>
      </c>
      <c r="L6" s="75">
        <v>14.5</v>
      </c>
      <c r="M6" s="71">
        <v>10.7</v>
      </c>
      <c r="N6" s="71">
        <v>10.8</v>
      </c>
      <c r="O6">
        <v>13</v>
      </c>
      <c r="P6">
        <v>11.8</v>
      </c>
    </row>
    <row r="7" spans="1:16" ht="15.75" customHeight="1" x14ac:dyDescent="0.2">
      <c r="E7" s="99"/>
      <c r="F7" s="63">
        <v>2018</v>
      </c>
      <c r="G7" s="59">
        <v>16.8</v>
      </c>
      <c r="H7" s="59">
        <v>11.6</v>
      </c>
      <c r="I7" s="59">
        <v>10.4</v>
      </c>
      <c r="J7" s="59">
        <v>12.5</v>
      </c>
      <c r="K7" s="59">
        <v>23.5</v>
      </c>
      <c r="L7" s="59">
        <v>21.4</v>
      </c>
      <c r="M7" s="14">
        <v>13.2</v>
      </c>
      <c r="N7" s="14">
        <v>13.6</v>
      </c>
      <c r="O7">
        <v>16.600000000000001</v>
      </c>
      <c r="P7">
        <v>15.3</v>
      </c>
    </row>
    <row r="8" spans="1:16" x14ac:dyDescent="0.2">
      <c r="E8" s="99"/>
      <c r="F8" s="63">
        <v>2021</v>
      </c>
      <c r="G8" s="59">
        <v>19.5</v>
      </c>
      <c r="H8" s="59">
        <v>16.3</v>
      </c>
      <c r="I8" s="59">
        <v>16.600000000000001</v>
      </c>
      <c r="J8" s="59">
        <v>13.7</v>
      </c>
      <c r="K8" s="59">
        <v>19.7</v>
      </c>
      <c r="L8" s="59">
        <v>24.1</v>
      </c>
      <c r="M8" s="14">
        <v>12.4</v>
      </c>
      <c r="N8" s="14">
        <v>14.2</v>
      </c>
      <c r="O8">
        <v>18.7</v>
      </c>
      <c r="P8">
        <v>17.399999999999999</v>
      </c>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D9057722-B9D3-4999-AB60-6EF1581666A6}">
      <formula1>"integer, number, percent1"</formula1>
    </dataValidation>
    <dataValidation type="list" allowBlank="1" showInputMessage="1" showErrorMessage="1" sqref="B10" xr:uid="{82DCFDA7-FE28-451C-9B90-67B7CDFD75B1}">
      <formula1>"Line,Clustered Bar,Stacked Bar,Bar,Horizontal Stacked Bar"</formula1>
    </dataValidation>
    <dataValidation type="list" allowBlank="1" showInputMessage="1" showErrorMessage="1" sqref="B2" xr:uid="{693EE327-31D4-4A08-AFBF-FA6133FB8833}">
      <formula1>"Table,Figure,Both"</formula1>
    </dataValidation>
    <dataValidation type="list" allowBlank="1" showInputMessage="1" showErrorMessage="1" sqref="B6 B15:B16" xr:uid="{FCE68957-A8B4-4754-882C-656FECFDE6D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B32053D-259A-421C-ABB9-E3C1173B84A0}">
          <x14:formula1>
            <xm:f>Dropdowns!$A$1:$A$8</xm:f>
          </x14:formula1>
          <xm:sqref>F4:O4</xm:sqref>
        </x14:dataValidation>
        <x14:dataValidation type="list" allowBlank="1" showInputMessage="1" showErrorMessage="1" xr:uid="{5DD3B051-EE35-4445-A5B7-1E6B726DF5AF}">
          <x14:formula1>
            <xm:f>Master!$F$2:$F$401</xm:f>
          </x14:formula1>
          <xm:sqref>B1:O1</xm:sqref>
        </x14:dataValidation>
      </x14:dataValidations>
    </ext>
  </extLst>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1FA9-DE7E-47C5-9E97-2D0F9CD1E6F5}">
  <dimension ref="A1:P57"/>
  <sheetViews>
    <sheetView workbookViewId="0"/>
  </sheetViews>
  <sheetFormatPr baseColWidth="10" defaultColWidth="8.6640625" defaultRowHeight="15" x14ac:dyDescent="0.2"/>
  <cols>
    <col min="1" max="1" width="20" bestFit="1" customWidth="1"/>
    <col min="2" max="2" width="22.1640625" bestFit="1" customWidth="1"/>
    <col min="5" max="5" width="6.6640625" customWidth="1"/>
    <col min="6" max="6" width="33.1640625" bestFit="1" customWidth="1"/>
    <col min="7" max="7" width="28.6640625" bestFit="1" customWidth="1"/>
    <col min="8" max="8" width="13.5" customWidth="1"/>
    <col min="9" max="9" width="35" bestFit="1" customWidth="1"/>
    <col min="10" max="10" width="28.6640625" bestFit="1" customWidth="1"/>
    <col min="11" max="11" width="16" bestFit="1" customWidth="1"/>
    <col min="12" max="12" width="12.33203125" bestFit="1" customWidth="1"/>
    <col min="13" max="13" width="10.5" bestFit="1" customWidth="1"/>
    <col min="14" max="14" width="12.33203125" bestFit="1" customWidth="1"/>
    <col min="15" max="15" width="11" bestFit="1" customWidth="1"/>
  </cols>
  <sheetData>
    <row r="1" spans="1:16" x14ac:dyDescent="0.2">
      <c r="A1" s="58" t="s">
        <v>882</v>
      </c>
      <c r="B1" s="96" t="s">
        <v>617</v>
      </c>
      <c r="C1" s="97"/>
      <c r="D1" s="97"/>
      <c r="E1" s="97"/>
      <c r="F1" s="97"/>
      <c r="G1" s="97"/>
      <c r="H1" s="97"/>
      <c r="I1" s="97"/>
      <c r="J1" s="97"/>
      <c r="K1" s="97"/>
      <c r="L1" s="97"/>
      <c r="M1" s="97"/>
      <c r="N1" s="97"/>
      <c r="O1" s="97"/>
    </row>
    <row r="2" spans="1:16" x14ac:dyDescent="0.2">
      <c r="A2" s="58" t="s">
        <v>883</v>
      </c>
      <c r="B2" t="s">
        <v>12</v>
      </c>
    </row>
    <row r="3" spans="1:16" x14ac:dyDescent="0.2">
      <c r="A3" s="58" t="s">
        <v>884</v>
      </c>
      <c r="B3" t="str">
        <f>IF($B$1="","",_xlfn.XLOOKUP($B$1,Master!$F$2:$F$308,Master!$G$2:$G$308,""))</f>
        <v>tbl-smoke-risk</v>
      </c>
    </row>
    <row r="4" spans="1:16" x14ac:dyDescent="0.2">
      <c r="A4" s="58" t="s">
        <v>6</v>
      </c>
      <c r="B4" t="str">
        <f>IF($B$1="","",_xlfn.XLOOKUP($B$1,Master!$F$2:$F$308,Master!$H$2:$H$308,""))</f>
        <v>fig-smoke-risk</v>
      </c>
      <c r="E4" s="13"/>
      <c r="F4" s="16"/>
      <c r="G4" s="16"/>
      <c r="H4" s="16"/>
      <c r="I4" s="16"/>
      <c r="J4" s="16"/>
      <c r="K4" s="16"/>
      <c r="L4" s="16"/>
      <c r="M4" s="16"/>
      <c r="N4" s="16"/>
      <c r="O4" s="16"/>
      <c r="P4" s="16"/>
    </row>
    <row r="5" spans="1:16" x14ac:dyDescent="0.2">
      <c r="A5" s="98" t="s">
        <v>885</v>
      </c>
      <c r="B5" s="99"/>
      <c r="E5" s="100" t="s">
        <v>886</v>
      </c>
      <c r="F5" s="46" t="s">
        <v>1835</v>
      </c>
      <c r="G5" s="68" t="s">
        <v>1836</v>
      </c>
      <c r="H5" s="68"/>
      <c r="I5" s="68"/>
      <c r="J5" s="68"/>
      <c r="K5" s="68"/>
      <c r="L5" s="68"/>
      <c r="M5" s="46"/>
      <c r="N5" s="46"/>
      <c r="O5" s="46"/>
    </row>
    <row r="6" spans="1:16" ht="15" customHeight="1" x14ac:dyDescent="0.2">
      <c r="A6" t="s">
        <v>891</v>
      </c>
      <c r="B6" t="b">
        <v>0</v>
      </c>
      <c r="E6" s="99"/>
      <c r="F6" s="85" t="s">
        <v>1837</v>
      </c>
      <c r="G6" s="75" t="s">
        <v>1838</v>
      </c>
      <c r="H6" s="75"/>
      <c r="I6" s="75"/>
      <c r="J6" s="75"/>
      <c r="K6" s="75"/>
      <c r="L6" s="75"/>
      <c r="M6" s="71"/>
      <c r="N6" s="71"/>
    </row>
    <row r="7" spans="1:16" ht="15.75" customHeight="1" x14ac:dyDescent="0.2">
      <c r="E7" s="99"/>
      <c r="F7" s="63" t="s">
        <v>1839</v>
      </c>
      <c r="G7" s="59" t="s">
        <v>1838</v>
      </c>
      <c r="H7" s="59"/>
      <c r="I7" s="59"/>
      <c r="J7" s="59"/>
      <c r="K7" s="59"/>
      <c r="L7" s="59"/>
      <c r="M7" s="14"/>
      <c r="N7" s="14"/>
    </row>
    <row r="8" spans="1:16" x14ac:dyDescent="0.2">
      <c r="E8" s="99"/>
      <c r="F8" s="63" t="s">
        <v>1840</v>
      </c>
      <c r="G8" s="59" t="s">
        <v>1841</v>
      </c>
      <c r="H8" s="59"/>
      <c r="I8" s="59"/>
      <c r="J8" s="59"/>
      <c r="K8" s="59"/>
      <c r="L8" s="59"/>
      <c r="M8" s="14"/>
      <c r="N8" s="14"/>
    </row>
    <row r="9" spans="1:16" x14ac:dyDescent="0.2">
      <c r="A9" s="98" t="s">
        <v>893</v>
      </c>
      <c r="B9" s="99"/>
      <c r="E9" s="99"/>
      <c r="G9" s="59"/>
      <c r="H9" s="59"/>
      <c r="I9" s="59"/>
      <c r="J9" s="59"/>
      <c r="K9" s="59"/>
      <c r="L9" s="59"/>
      <c r="M9" s="46"/>
      <c r="N9" s="46"/>
      <c r="O9" s="46"/>
    </row>
    <row r="10" spans="1:16" x14ac:dyDescent="0.2">
      <c r="A10" t="s">
        <v>894</v>
      </c>
      <c r="E10" s="99"/>
      <c r="F10" s="14"/>
      <c r="G10" s="59"/>
      <c r="H10" s="59"/>
      <c r="I10" s="59"/>
      <c r="J10" s="42"/>
      <c r="K10" s="42"/>
      <c r="L10" s="42"/>
      <c r="M10" s="47"/>
      <c r="N10" s="47"/>
      <c r="O10" s="46"/>
    </row>
    <row r="11" spans="1:16" x14ac:dyDescent="0.2">
      <c r="A11" t="s">
        <v>895</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E14" s="99"/>
      <c r="F14" s="68"/>
      <c r="G14" s="68"/>
      <c r="H14" s="68"/>
      <c r="I14" s="46"/>
      <c r="J14" s="47"/>
      <c r="K14" s="47"/>
      <c r="L14" s="47"/>
      <c r="M14" s="47"/>
      <c r="N14" s="47"/>
      <c r="O14" s="46"/>
    </row>
    <row r="15" spans="1:16" x14ac:dyDescent="0.2">
      <c r="A15" t="s">
        <v>901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20BFA97-73FF-48BB-83EB-E74D880AD8EA}">
      <formula1>"True,False"</formula1>
    </dataValidation>
    <dataValidation type="list" allowBlank="1" showInputMessage="1" showErrorMessage="1" sqref="B2" xr:uid="{89F52440-EC30-4B9C-AACD-62813636966C}">
      <formula1>"Table,Figure,Both"</formula1>
    </dataValidation>
    <dataValidation type="list" allowBlank="1" showInputMessage="1" showErrorMessage="1" sqref="B10" xr:uid="{F62BD510-76C0-4630-9F1E-AD8EAF6C8B07}">
      <formula1>"Line,Clustered Bar,Stacked Bar,Bar,Horizontal Stacked Bar"</formula1>
    </dataValidation>
    <dataValidation type="list" allowBlank="1" showInputMessage="1" showErrorMessage="1" sqref="P4" xr:uid="{2BCAC23F-D731-4ECB-996C-AA90B6C7ECD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65C2E61-E478-4619-A481-6321AC41AB14}">
          <x14:formula1>
            <xm:f>Dropdowns!$A$1:$A$8</xm:f>
          </x14:formula1>
          <xm:sqref>F4:O4</xm:sqref>
        </x14:dataValidation>
        <x14:dataValidation type="list" allowBlank="1" showInputMessage="1" showErrorMessage="1" xr:uid="{838DE5DD-64D2-43CA-9CB2-243C1B5AAAED}">
          <x14:formula1>
            <xm:f>Master!$F$2:$F$401</xm:f>
          </x14:formula1>
          <xm:sqref>B1:O1</xm:sqref>
        </x14:dataValidation>
      </x14:dataValidations>
    </ext>
  </extLst>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3857-F787-4EAE-A811-CAD029F3309F}">
  <dimension ref="A1:P57"/>
  <sheetViews>
    <sheetView workbookViewId="0">
      <selection activeCell="L36" sqref="L36"/>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622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tbl-adult-currsmoke-percent</v>
      </c>
    </row>
    <row r="4" spans="1:16" x14ac:dyDescent="0.2">
      <c r="A4" s="58" t="s">
        <v>6</v>
      </c>
      <c r="B4" t="str">
        <f>IF($B$1="","",_xlfn.XLOOKUP($B$1,Master!$F$2:$F$308,Master!$H$2:$H$308,""))</f>
        <v>fig-adult-currsmoke-percent</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2016</v>
      </c>
      <c r="G6" s="75">
        <v>16.399999999999999</v>
      </c>
      <c r="H6" s="75">
        <v>13.2</v>
      </c>
      <c r="I6" s="75">
        <v>18.3</v>
      </c>
      <c r="J6" s="75">
        <v>6.6</v>
      </c>
      <c r="K6" s="75">
        <v>20.100000000000001</v>
      </c>
      <c r="L6" s="75">
        <v>15.6</v>
      </c>
      <c r="M6" s="71">
        <v>9.4</v>
      </c>
      <c r="N6" s="71">
        <v>11.7</v>
      </c>
      <c r="O6">
        <v>17</v>
      </c>
      <c r="P6">
        <v>14.5</v>
      </c>
    </row>
    <row r="7" spans="1:16" ht="15.75" customHeight="1" x14ac:dyDescent="0.2">
      <c r="E7" s="99"/>
      <c r="F7" s="63">
        <v>2018</v>
      </c>
      <c r="G7" s="59">
        <v>12.2</v>
      </c>
      <c r="H7" s="59">
        <v>11.7</v>
      </c>
      <c r="I7" s="59">
        <v>9</v>
      </c>
      <c r="J7" s="59">
        <v>7.6</v>
      </c>
      <c r="K7" s="59">
        <v>21.6</v>
      </c>
      <c r="L7" s="59">
        <v>14.7</v>
      </c>
      <c r="M7" s="14">
        <v>7.4</v>
      </c>
      <c r="N7" s="14">
        <v>10.199999999999999</v>
      </c>
      <c r="O7">
        <v>14.7</v>
      </c>
      <c r="P7">
        <v>13.2</v>
      </c>
    </row>
    <row r="8" spans="1:16" x14ac:dyDescent="0.2">
      <c r="E8" s="99"/>
      <c r="F8" s="63">
        <v>2021</v>
      </c>
      <c r="G8" s="59">
        <v>17.399999999999999</v>
      </c>
      <c r="H8" s="59">
        <v>12</v>
      </c>
      <c r="I8" s="59">
        <v>16.7</v>
      </c>
      <c r="J8" s="59">
        <v>14</v>
      </c>
      <c r="K8" s="59">
        <v>13.3</v>
      </c>
      <c r="L8" s="59">
        <v>12.7</v>
      </c>
      <c r="M8" s="14">
        <v>6.3</v>
      </c>
      <c r="N8" s="14">
        <v>11.1</v>
      </c>
      <c r="O8">
        <v>14.1</v>
      </c>
      <c r="P8">
        <v>12.5</v>
      </c>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9E21D10A-C25C-4BA9-B284-C6BDCBE55DBE}">
      <formula1>"integer, number, percent1"</formula1>
    </dataValidation>
    <dataValidation type="list" allowBlank="1" showInputMessage="1" showErrorMessage="1" sqref="B10" xr:uid="{07667B02-DAD9-4553-835E-124326EE104A}">
      <formula1>"Line,Clustered Bar,Stacked Bar,Bar,Horizontal Stacked Bar"</formula1>
    </dataValidation>
    <dataValidation type="list" allowBlank="1" showInputMessage="1" showErrorMessage="1" sqref="B2" xr:uid="{49EE079F-7D28-409A-942F-B2B8D8E9906C}">
      <formula1>"Table,Figure,Both"</formula1>
    </dataValidation>
    <dataValidation type="list" allowBlank="1" showInputMessage="1" showErrorMessage="1" sqref="B6 B15:B16" xr:uid="{A94058FA-38E7-4E66-B7C4-EDD93673DD1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4DA5A64-7E2C-4DBB-855E-B15FB0042421}">
          <x14:formula1>
            <xm:f>Dropdowns!$A$1:$A$8</xm:f>
          </x14:formula1>
          <xm:sqref>F4:O4</xm:sqref>
        </x14:dataValidation>
        <x14:dataValidation type="list" allowBlank="1" showInputMessage="1" showErrorMessage="1" xr:uid="{460E8E36-5823-4C43-B6CC-2990678D76A7}">
          <x14:formula1>
            <xm:f>Master!$F$2:$F$401</xm:f>
          </x14:formula1>
          <xm:sqref>B1:O1</xm:sqref>
        </x14:dataValidation>
      </x14:dataValidations>
    </ext>
  </extLst>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E571-8DA3-45E1-906E-6A924D389434}">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624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tbl-adult-bingedrink-percent</v>
      </c>
    </row>
    <row r="4" spans="1:16" x14ac:dyDescent="0.2">
      <c r="A4" s="58" t="s">
        <v>6</v>
      </c>
      <c r="B4" t="str">
        <f>IF($B$1="","",_xlfn.XLOOKUP($B$1,Master!$F$2:$F$308,Master!$H$2:$H$308,""))</f>
        <v>fig-adult-bingedrink-percent</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2016</v>
      </c>
      <c r="G6" s="75">
        <v>17.5</v>
      </c>
      <c r="H6" s="75">
        <v>15.7</v>
      </c>
      <c r="I6" s="75">
        <v>21.7</v>
      </c>
      <c r="J6" s="75">
        <v>11</v>
      </c>
      <c r="K6" s="75">
        <v>15.7</v>
      </c>
      <c r="L6" s="75">
        <v>22.2</v>
      </c>
      <c r="M6" s="71">
        <v>20.7</v>
      </c>
      <c r="N6" s="71">
        <v>18.100000000000001</v>
      </c>
      <c r="O6">
        <v>19.100000000000001</v>
      </c>
      <c r="P6">
        <v>18.3</v>
      </c>
    </row>
    <row r="7" spans="1:16" ht="15.75" customHeight="1" x14ac:dyDescent="0.2">
      <c r="E7" s="99"/>
      <c r="F7" s="63">
        <v>2018</v>
      </c>
      <c r="G7" s="59">
        <v>20.7</v>
      </c>
      <c r="H7" s="59">
        <v>16.100000000000001</v>
      </c>
      <c r="I7" s="59">
        <v>14.1</v>
      </c>
      <c r="J7" s="59">
        <v>12.6</v>
      </c>
      <c r="K7" s="59">
        <v>22.1</v>
      </c>
      <c r="L7" s="59">
        <v>18.5</v>
      </c>
      <c r="M7" s="14">
        <v>16.7</v>
      </c>
      <c r="N7" s="14">
        <v>16.100000000000001</v>
      </c>
      <c r="O7">
        <v>18.399999999999999</v>
      </c>
      <c r="P7">
        <v>17.5</v>
      </c>
    </row>
    <row r="8" spans="1:16" x14ac:dyDescent="0.2">
      <c r="E8" s="99"/>
      <c r="F8" s="63">
        <v>2021</v>
      </c>
      <c r="G8" s="59">
        <v>15.1</v>
      </c>
      <c r="H8" s="59">
        <v>13.8</v>
      </c>
      <c r="I8" s="59">
        <v>18.7</v>
      </c>
      <c r="J8" s="59">
        <v>12.2</v>
      </c>
      <c r="K8" s="59">
        <v>17.8</v>
      </c>
      <c r="L8" s="59">
        <v>13.9</v>
      </c>
      <c r="M8" s="14">
        <v>13</v>
      </c>
      <c r="N8" s="14">
        <v>13.1</v>
      </c>
      <c r="O8">
        <v>16.100000000000001</v>
      </c>
      <c r="P8" s="14">
        <v>16</v>
      </c>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A3079F50-8B10-4410-A42A-EDA2E001FA6B}">
      <formula1>"True,False"</formula1>
    </dataValidation>
    <dataValidation type="list" allowBlank="1" showInputMessage="1" showErrorMessage="1" sqref="B2" xr:uid="{833E00B1-664F-4C5E-9CD8-7F044BC5B76D}">
      <formula1>"Table,Figure,Both"</formula1>
    </dataValidation>
    <dataValidation type="list" allowBlank="1" showInputMessage="1" showErrorMessage="1" sqref="B10" xr:uid="{42460DA8-87D0-444E-81D5-48A8F43012C5}">
      <formula1>"Line,Clustered Bar,Stacked Bar,Bar,Horizontal Stacked Bar"</formula1>
    </dataValidation>
    <dataValidation type="list" allowBlank="1" showInputMessage="1" showErrorMessage="1" sqref="P4" xr:uid="{9AC8C674-D452-41BC-907B-F7AE30E35E60}">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5122AF3-4F45-4531-B884-F0424C12BB06}">
          <x14:formula1>
            <xm:f>Dropdowns!$A$1:$A$8</xm:f>
          </x14:formula1>
          <xm:sqref>F4:O4</xm:sqref>
        </x14:dataValidation>
        <x14:dataValidation type="list" allowBlank="1" showInputMessage="1" showErrorMessage="1" xr:uid="{4A10EE52-EB56-4FD1-9286-E1494225D0D9}">
          <x14:formula1>
            <xm:f>Master!$F$2:$F$401</xm:f>
          </x14:formula1>
          <xm:sqref>B1:O1</xm:sqref>
        </x14:dataValidation>
      </x14:dataValidations>
    </ext>
  </extLst>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E586-CA74-4E42-B7E2-579E5992E9D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628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tbl-ed-visit-opioid-aar</v>
      </c>
    </row>
    <row r="4" spans="1:16" x14ac:dyDescent="0.2">
      <c r="A4" s="58" t="s">
        <v>6</v>
      </c>
      <c r="B4" t="str">
        <f>IF($B$1="","",_xlfn.XLOOKUP($B$1,Master!$F$2:$F$308,Master!$H$2:$H$308,""))</f>
        <v>fig-ed-visit-opioid-aar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2019</v>
      </c>
      <c r="G6" s="75">
        <v>98.8</v>
      </c>
      <c r="H6" s="75">
        <v>62.8</v>
      </c>
      <c r="I6" s="75">
        <v>51.6</v>
      </c>
      <c r="J6" s="75">
        <v>29.1</v>
      </c>
      <c r="K6" s="75">
        <v>84.8</v>
      </c>
      <c r="L6" s="75">
        <v>94.1</v>
      </c>
      <c r="M6" s="71">
        <v>35.200000000000003</v>
      </c>
      <c r="N6" s="71">
        <v>53.7</v>
      </c>
      <c r="O6">
        <v>66.7</v>
      </c>
      <c r="P6">
        <v>54.1</v>
      </c>
    </row>
    <row r="7" spans="1:16" ht="15.75" customHeight="1" x14ac:dyDescent="0.2">
      <c r="E7" s="99"/>
      <c r="F7" s="63">
        <v>2020</v>
      </c>
      <c r="G7" s="59">
        <v>88.9</v>
      </c>
      <c r="H7" s="59">
        <v>82.7</v>
      </c>
      <c r="I7" s="59">
        <v>55.7</v>
      </c>
      <c r="J7" s="59">
        <v>38.700000000000003</v>
      </c>
      <c r="K7" s="59">
        <v>154.30000000000001</v>
      </c>
      <c r="L7" s="59">
        <v>127.2</v>
      </c>
      <c r="M7" s="14">
        <v>34.1</v>
      </c>
      <c r="N7" s="14">
        <v>61.8</v>
      </c>
      <c r="O7">
        <v>74.3</v>
      </c>
      <c r="P7">
        <v>61</v>
      </c>
    </row>
    <row r="8" spans="1:16" x14ac:dyDescent="0.2">
      <c r="E8" s="99"/>
      <c r="F8" s="63">
        <v>2021</v>
      </c>
      <c r="G8" s="59">
        <v>83.9</v>
      </c>
      <c r="H8" s="59">
        <v>64</v>
      </c>
      <c r="I8" s="59">
        <v>60.9</v>
      </c>
      <c r="J8" s="59">
        <v>36.1</v>
      </c>
      <c r="K8" s="59">
        <v>136.9</v>
      </c>
      <c r="L8" s="59">
        <v>113.9</v>
      </c>
      <c r="M8" s="14">
        <v>39.4</v>
      </c>
      <c r="N8" s="14">
        <v>58.8</v>
      </c>
      <c r="O8">
        <v>73.099999999999994</v>
      </c>
      <c r="P8" s="14">
        <v>67.2</v>
      </c>
    </row>
    <row r="9" spans="1:16" x14ac:dyDescent="0.2">
      <c r="A9" s="98" t="s">
        <v>893</v>
      </c>
      <c r="B9" s="99"/>
      <c r="E9" s="99"/>
      <c r="F9">
        <v>2022</v>
      </c>
      <c r="G9" s="59">
        <v>77.900000000000006</v>
      </c>
      <c r="H9" s="59">
        <v>64.5</v>
      </c>
      <c r="I9" s="59">
        <v>40.1</v>
      </c>
      <c r="J9" s="59">
        <v>28.4</v>
      </c>
      <c r="K9" s="59">
        <v>123.9</v>
      </c>
      <c r="L9" s="59">
        <v>80.400000000000006</v>
      </c>
      <c r="M9" s="46" t="s">
        <v>1842</v>
      </c>
      <c r="N9" s="46" t="s">
        <v>1843</v>
      </c>
      <c r="O9" s="46" t="s">
        <v>1844</v>
      </c>
      <c r="P9">
        <v>67.099999999999994</v>
      </c>
    </row>
    <row r="10" spans="1:16" x14ac:dyDescent="0.2">
      <c r="A10" t="s">
        <v>894</v>
      </c>
      <c r="B10" t="s">
        <v>972</v>
      </c>
      <c r="E10" s="99"/>
      <c r="F10" s="14"/>
      <c r="G10" s="59"/>
      <c r="H10" s="59"/>
      <c r="I10" s="59"/>
      <c r="J10" s="42"/>
      <c r="K10" s="42"/>
      <c r="L10" s="42"/>
      <c r="M10" s="47"/>
      <c r="N10" s="47"/>
      <c r="O10" s="46"/>
    </row>
    <row r="11" spans="1:16" x14ac:dyDescent="0.2">
      <c r="A11" t="s">
        <v>895</v>
      </c>
      <c r="B11" t="s">
        <v>973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00A5265D-6A12-4EF9-8348-5856D7EB03A6}">
      <formula1>"integer, number, percent1"</formula1>
    </dataValidation>
    <dataValidation type="list" allowBlank="1" showInputMessage="1" showErrorMessage="1" sqref="B10" xr:uid="{06405E0E-6CF8-4AD8-ACE7-77321993A6B5}">
      <formula1>"Line,Clustered Bar,Stacked Bar,Bar,Horizontal Stacked Bar"</formula1>
    </dataValidation>
    <dataValidation type="list" allowBlank="1" showInputMessage="1" showErrorMessage="1" sqref="B2" xr:uid="{0929C1FF-0C47-4D9A-AAE5-0D21C6035513}">
      <formula1>"Table,Figure,Both"</formula1>
    </dataValidation>
    <dataValidation type="list" allowBlank="1" showInputMessage="1" showErrorMessage="1" sqref="B6 B15:B16" xr:uid="{E16BCA23-2629-436F-9831-DFCBC9BED2B4}">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05D204A-DBB7-4C45-BFDE-DD30E5C63F20}">
          <x14:formula1>
            <xm:f>Dropdowns!$A$1:$A$8</xm:f>
          </x14:formula1>
          <xm:sqref>F4:O4</xm:sqref>
        </x14:dataValidation>
        <x14:dataValidation type="list" allowBlank="1" showInputMessage="1" showErrorMessage="1" xr:uid="{8132C06B-805F-495E-89AA-0F40500E9C71}">
          <x14:formula1>
            <xm:f>Master!$F$2:$F$401</xm:f>
          </x14:formula1>
          <xm:sqref>B1:O1</xm:sqref>
        </x14:dataValidation>
      </x14:dataValidations>
    </ext>
  </extLst>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B9C9-9821-49C8-A2FA-7BEEDC48218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629</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tbl-hospital-dc-opioid-aar</v>
      </c>
    </row>
    <row r="4" spans="1:16" x14ac:dyDescent="0.2">
      <c r="A4" s="58" t="s">
        <v>6</v>
      </c>
      <c r="B4" t="str">
        <f>IF($B$1="","",_xlfn.XLOOKUP($B$1,Master!$F$2:$F$308,Master!$H$2:$H$308,""))</f>
        <v>fig-hospital-dc-opioid-aar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47" t="s">
        <v>220</v>
      </c>
      <c r="H5" s="47" t="s">
        <v>18</v>
      </c>
      <c r="I5" s="47" t="s">
        <v>537</v>
      </c>
      <c r="J5" s="47" t="s">
        <v>449</v>
      </c>
      <c r="K5" s="47" t="s">
        <v>409</v>
      </c>
      <c r="L5" s="47" t="s">
        <v>421</v>
      </c>
      <c r="M5" s="47" t="s">
        <v>470</v>
      </c>
      <c r="N5" s="47" t="s">
        <v>898</v>
      </c>
      <c r="O5" s="47" t="s">
        <v>914</v>
      </c>
      <c r="P5" s="60" t="s">
        <v>915</v>
      </c>
    </row>
    <row r="6" spans="1:16" ht="15" customHeight="1" x14ac:dyDescent="0.2">
      <c r="A6" t="s">
        <v>891</v>
      </c>
      <c r="B6" t="b">
        <v>0</v>
      </c>
      <c r="E6" s="99"/>
      <c r="F6" s="90">
        <v>2019</v>
      </c>
      <c r="G6" s="88">
        <v>19.100000000000001</v>
      </c>
      <c r="H6" s="88">
        <v>13.8</v>
      </c>
      <c r="I6" s="88">
        <v>9.3000000000000007</v>
      </c>
      <c r="J6" s="88">
        <v>8.8000000000000007</v>
      </c>
      <c r="K6" s="88">
        <v>16.8</v>
      </c>
      <c r="L6" s="88">
        <v>18.399999999999999</v>
      </c>
      <c r="M6" s="89">
        <v>10.4</v>
      </c>
      <c r="N6" s="89">
        <v>12.6</v>
      </c>
      <c r="O6" s="60">
        <v>13.4</v>
      </c>
      <c r="P6" s="60">
        <v>13.6</v>
      </c>
    </row>
    <row r="7" spans="1:16" ht="15.75" customHeight="1" x14ac:dyDescent="0.2">
      <c r="E7" s="99"/>
      <c r="F7" s="91">
        <v>2020</v>
      </c>
      <c r="G7" s="42">
        <v>17.3</v>
      </c>
      <c r="H7" s="42">
        <v>15</v>
      </c>
      <c r="I7" s="42">
        <v>13.7</v>
      </c>
      <c r="J7" s="42">
        <v>10</v>
      </c>
      <c r="K7" s="42">
        <v>28.1</v>
      </c>
      <c r="L7" s="42">
        <v>16</v>
      </c>
      <c r="M7" s="42">
        <v>10.1</v>
      </c>
      <c r="N7" s="42">
        <v>13</v>
      </c>
      <c r="O7" s="60">
        <v>14.3</v>
      </c>
      <c r="P7" s="60">
        <v>14.9</v>
      </c>
    </row>
    <row r="8" spans="1:16" x14ac:dyDescent="0.2">
      <c r="E8" s="99"/>
      <c r="F8" s="91">
        <v>2021</v>
      </c>
      <c r="G8" s="42">
        <v>17</v>
      </c>
      <c r="H8" s="42">
        <v>11.5</v>
      </c>
      <c r="I8" s="42" t="s">
        <v>1845</v>
      </c>
      <c r="J8" s="42">
        <v>8.5</v>
      </c>
      <c r="K8" s="42">
        <v>22</v>
      </c>
      <c r="L8" s="42">
        <v>19.2</v>
      </c>
      <c r="M8" s="42">
        <v>11.9</v>
      </c>
      <c r="N8" s="42">
        <v>12.9</v>
      </c>
      <c r="O8" s="60">
        <v>13.7</v>
      </c>
      <c r="P8" s="42">
        <v>15.2</v>
      </c>
    </row>
    <row r="9" spans="1:16" x14ac:dyDescent="0.2">
      <c r="A9" s="98" t="s">
        <v>893</v>
      </c>
      <c r="B9" s="99"/>
      <c r="E9" s="99"/>
      <c r="F9" s="60">
        <v>2022</v>
      </c>
      <c r="G9" s="42">
        <v>13.9</v>
      </c>
      <c r="H9" s="42">
        <v>13</v>
      </c>
      <c r="I9" s="42">
        <v>9.9</v>
      </c>
      <c r="J9" s="42">
        <v>9.6</v>
      </c>
      <c r="K9" s="42">
        <v>16.600000000000001</v>
      </c>
      <c r="L9" s="42">
        <v>14.7</v>
      </c>
      <c r="M9" s="47" t="s">
        <v>1467</v>
      </c>
      <c r="N9" s="47" t="s">
        <v>1846</v>
      </c>
      <c r="O9" s="47" t="s">
        <v>1847</v>
      </c>
      <c r="P9" s="60">
        <v>15.8</v>
      </c>
    </row>
    <row r="10" spans="1:16" x14ac:dyDescent="0.2">
      <c r="A10" t="s">
        <v>894</v>
      </c>
      <c r="B10" t="s">
        <v>972</v>
      </c>
      <c r="E10" s="99"/>
      <c r="F10" s="14"/>
      <c r="G10" s="59"/>
      <c r="H10" s="59"/>
      <c r="I10" s="59"/>
      <c r="J10" s="42"/>
      <c r="K10" s="42"/>
      <c r="L10" s="42"/>
      <c r="M10" s="47"/>
      <c r="N10" s="47"/>
      <c r="O10" s="46"/>
    </row>
    <row r="11" spans="1:16" x14ac:dyDescent="0.2">
      <c r="A11" t="s">
        <v>895</v>
      </c>
      <c r="B11" t="s">
        <v>973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6B05242B-EB6A-4CC6-B6B1-BAAF924DF413}">
      <formula1>"True,False"</formula1>
    </dataValidation>
    <dataValidation type="list" allowBlank="1" showInputMessage="1" showErrorMessage="1" sqref="B2" xr:uid="{228AE0E4-E8C3-4D54-9542-5672DCC7B3A3}">
      <formula1>"Table,Figure,Both"</formula1>
    </dataValidation>
    <dataValidation type="list" allowBlank="1" showInputMessage="1" showErrorMessage="1" sqref="B10" xr:uid="{DA9A4BCA-9008-4A5A-B697-115CDCE0B2E4}">
      <formula1>"Line,Clustered Bar,Stacked Bar,Bar,Horizontal Stacked Bar"</formula1>
    </dataValidation>
    <dataValidation type="list" allowBlank="1" showInputMessage="1" showErrorMessage="1" sqref="P4" xr:uid="{04941B5D-501F-408E-9824-2F25880E19F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211698F-18FA-4CDF-A10A-0FA61DEF8AFB}">
          <x14:formula1>
            <xm:f>Dropdowns!$A$1:$A$8</xm:f>
          </x14:formula1>
          <xm:sqref>F4:O4</xm:sqref>
        </x14:dataValidation>
        <x14:dataValidation type="list" allowBlank="1" showInputMessage="1" showErrorMessage="1" xr:uid="{17E453E7-25CD-450B-9850-F32321E7A679}">
          <x14:formula1>
            <xm:f>Master!$F$2:$F$401</xm:f>
          </x14:formula1>
          <xm:sqref>B1:O1</xm:sqref>
        </x14:dataValidation>
      </x14:dataValidations>
    </ext>
  </extLst>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997E-CDF6-4D3A-9FF8-668A7FF106D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630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tbl-treat-prog-opioid-crude</v>
      </c>
    </row>
    <row r="4" spans="1:16" x14ac:dyDescent="0.2">
      <c r="A4" s="58" t="s">
        <v>6</v>
      </c>
      <c r="B4" t="str">
        <f>IF($B$1="","",_xlfn.XLOOKUP($B$1,Master!$F$2:$F$308,Master!$H$2:$H$308,""))</f>
        <v>fig-treat-prog-opioid-crude</v>
      </c>
      <c r="E4" s="13"/>
      <c r="F4" s="16" t="s">
        <v>664</v>
      </c>
      <c r="G4" s="16" t="s">
        <v>679</v>
      </c>
      <c r="H4" s="16" t="s">
        <v>679</v>
      </c>
      <c r="I4" s="16" t="s">
        <v>679</v>
      </c>
      <c r="J4" s="16" t="s">
        <v>679</v>
      </c>
      <c r="K4" s="16" t="s">
        <v>679</v>
      </c>
      <c r="L4" s="16" t="s">
        <v>679</v>
      </c>
      <c r="M4" s="16" t="s">
        <v>679</v>
      </c>
      <c r="N4" s="16"/>
      <c r="O4" s="16"/>
      <c r="P4" s="16"/>
    </row>
    <row r="5" spans="1:16" x14ac:dyDescent="0.2">
      <c r="A5" s="98" t="s">
        <v>885</v>
      </c>
      <c r="B5" s="99"/>
      <c r="E5" s="100" t="s">
        <v>886</v>
      </c>
      <c r="F5" s="82" t="s">
        <v>1123</v>
      </c>
      <c r="G5" s="68" t="s">
        <v>220</v>
      </c>
      <c r="H5" s="68" t="s">
        <v>18</v>
      </c>
      <c r="I5" s="68" t="s">
        <v>537</v>
      </c>
      <c r="J5" s="68" t="s">
        <v>449</v>
      </c>
      <c r="K5" s="68" t="s">
        <v>409</v>
      </c>
      <c r="L5" s="68" t="s">
        <v>421</v>
      </c>
      <c r="M5" s="46" t="s">
        <v>470</v>
      </c>
      <c r="N5" s="46"/>
      <c r="O5" s="46"/>
    </row>
    <row r="6" spans="1:16" ht="15" customHeight="1" x14ac:dyDescent="0.2">
      <c r="A6" t="s">
        <v>891</v>
      </c>
      <c r="B6" t="b">
        <v>0</v>
      </c>
      <c r="E6" s="99"/>
      <c r="F6" s="85">
        <v>2020</v>
      </c>
      <c r="G6" s="75">
        <v>459.9</v>
      </c>
      <c r="H6" s="75">
        <v>405.4</v>
      </c>
      <c r="I6" s="75">
        <v>248.8</v>
      </c>
      <c r="J6" s="75">
        <v>188.9</v>
      </c>
      <c r="K6" s="75">
        <v>693.2</v>
      </c>
      <c r="L6" s="75">
        <v>487.8</v>
      </c>
      <c r="M6" s="71">
        <v>255.1</v>
      </c>
      <c r="N6" s="71"/>
    </row>
    <row r="7" spans="1:16" ht="15.75" customHeight="1" x14ac:dyDescent="0.2">
      <c r="E7" s="99"/>
      <c r="F7" s="63">
        <v>2021</v>
      </c>
      <c r="G7" s="59">
        <v>475</v>
      </c>
      <c r="H7" s="59">
        <v>393.7</v>
      </c>
      <c r="I7" s="59">
        <v>252.1</v>
      </c>
      <c r="J7" s="59">
        <v>197.9</v>
      </c>
      <c r="K7" s="59">
        <v>710.7</v>
      </c>
      <c r="L7" s="59">
        <v>531.20000000000005</v>
      </c>
      <c r="M7" s="14">
        <v>251.9</v>
      </c>
      <c r="N7" s="14"/>
    </row>
    <row r="8" spans="1:16" x14ac:dyDescent="0.2">
      <c r="E8" s="99"/>
      <c r="F8" s="63">
        <v>2022</v>
      </c>
      <c r="G8" s="59">
        <v>460.8</v>
      </c>
      <c r="H8" s="59">
        <v>366.9</v>
      </c>
      <c r="I8" s="59">
        <v>250.1</v>
      </c>
      <c r="J8" s="59">
        <v>188.2</v>
      </c>
      <c r="K8" s="59">
        <v>777.4</v>
      </c>
      <c r="L8" s="59">
        <v>516</v>
      </c>
      <c r="M8" s="14">
        <v>244.4</v>
      </c>
      <c r="N8" s="14"/>
      <c r="P8" s="14"/>
    </row>
    <row r="9" spans="1:16" x14ac:dyDescent="0.2">
      <c r="A9" s="98" t="s">
        <v>893</v>
      </c>
      <c r="B9" s="99"/>
      <c r="E9" s="99"/>
      <c r="F9">
        <v>2023</v>
      </c>
      <c r="G9" s="59">
        <v>447.6</v>
      </c>
      <c r="H9" s="59">
        <v>333.5</v>
      </c>
      <c r="I9" s="59">
        <v>224.5</v>
      </c>
      <c r="J9" s="59">
        <v>190.9</v>
      </c>
      <c r="K9" s="59">
        <v>778.3</v>
      </c>
      <c r="L9" s="59">
        <v>496.4</v>
      </c>
      <c r="M9" s="46" t="s">
        <v>1848</v>
      </c>
      <c r="N9" s="46"/>
      <c r="O9" s="46"/>
    </row>
    <row r="10" spans="1:16" x14ac:dyDescent="0.2">
      <c r="A10" t="s">
        <v>894</v>
      </c>
      <c r="B10" t="s">
        <v>972</v>
      </c>
      <c r="E10" s="99"/>
      <c r="F10" s="14"/>
      <c r="G10" s="59"/>
      <c r="H10" s="59"/>
      <c r="I10" s="59"/>
      <c r="J10" s="42"/>
      <c r="K10" s="42"/>
      <c r="L10" s="42"/>
      <c r="M10" s="47"/>
      <c r="N10" s="47"/>
      <c r="O10" s="46"/>
    </row>
    <row r="11" spans="1:16" x14ac:dyDescent="0.2">
      <c r="A11" t="s">
        <v>895</v>
      </c>
      <c r="B11" t="s">
        <v>973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62329465-D5CD-4E5B-AC23-06929AFA783C}">
      <formula1>"integer, number, percent1"</formula1>
    </dataValidation>
    <dataValidation type="list" allowBlank="1" showInputMessage="1" showErrorMessage="1" sqref="B10" xr:uid="{1C02BB16-9887-4BE9-9FE0-9664CBD16F5E}">
      <formula1>"Line,Clustered Bar,Stacked Bar,Bar,Horizontal Stacked Bar"</formula1>
    </dataValidation>
    <dataValidation type="list" allowBlank="1" showInputMessage="1" showErrorMessage="1" sqref="B2" xr:uid="{05ECBE82-8BC1-40F4-B2F1-7E3E48C28732}">
      <formula1>"Table,Figure,Both"</formula1>
    </dataValidation>
    <dataValidation type="list" allowBlank="1" showInputMessage="1" showErrorMessage="1" sqref="B6 B15:B16" xr:uid="{E1AB5DDF-28CD-4FB2-9252-4668185EE121}">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B8AA57F-9D77-46EA-852C-95D442A5D430}">
          <x14:formula1>
            <xm:f>Dropdowns!$A$1:$A$8</xm:f>
          </x14:formula1>
          <xm:sqref>F4:O4</xm:sqref>
        </x14:dataValidation>
        <x14:dataValidation type="list" allowBlank="1" showInputMessage="1" showErrorMessage="1" xr:uid="{4EDB64AD-DDCA-4FA5-BB5B-41986ED3C439}">
          <x14:formula1>
            <xm:f>Master!$F$2:$F$401</xm:f>
          </x14:formula1>
          <xm:sqref>B1:O1</xm:sqref>
        </x14:dataValidation>
      </x14:dataValidations>
    </ext>
  </extLst>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7347-25B5-47F3-AC6B-823FDAF323E9}">
  <dimension ref="A1:P57"/>
  <sheetViews>
    <sheetView workbookViewId="0">
      <selection activeCell="I20" sqref="I20"/>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625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tbl-oddeath-anydrug-crude-rate</v>
      </c>
    </row>
    <row r="4" spans="1:16" x14ac:dyDescent="0.2">
      <c r="A4" s="58" t="s">
        <v>6</v>
      </c>
      <c r="B4" t="str">
        <f>IF($B$1="","",_xlfn.XLOOKUP($B$1,Master!$F$2:$F$308,Master!$H$2:$H$308,""))</f>
        <v>fig-oddeath-anydrug-crude-rate</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2019</v>
      </c>
      <c r="G6" s="75">
        <v>22.1</v>
      </c>
      <c r="H6" s="75">
        <v>20.7</v>
      </c>
      <c r="I6" s="75">
        <v>12.1</v>
      </c>
      <c r="J6" s="75">
        <v>14.1</v>
      </c>
      <c r="K6" s="75">
        <v>39.799999999999997</v>
      </c>
      <c r="L6" s="75">
        <v>17.899999999999999</v>
      </c>
      <c r="M6" s="71">
        <v>9.4</v>
      </c>
      <c r="N6" s="71">
        <v>15.3</v>
      </c>
      <c r="O6">
        <v>16.100000000000001</v>
      </c>
      <c r="P6">
        <v>15.1</v>
      </c>
    </row>
    <row r="7" spans="1:16" ht="15.75" customHeight="1" x14ac:dyDescent="0.2">
      <c r="E7" s="99"/>
      <c r="F7" s="63">
        <v>2020</v>
      </c>
      <c r="G7" s="59">
        <v>35.700000000000003</v>
      </c>
      <c r="H7" s="59">
        <v>26.9</v>
      </c>
      <c r="I7" s="59">
        <v>18.2</v>
      </c>
      <c r="J7" s="59">
        <v>12.9</v>
      </c>
      <c r="K7" s="59">
        <v>63.7</v>
      </c>
      <c r="L7" s="59">
        <v>31.4</v>
      </c>
      <c r="M7" s="14">
        <v>13.8</v>
      </c>
      <c r="N7" s="14">
        <v>21.8</v>
      </c>
      <c r="O7">
        <v>22.7</v>
      </c>
      <c r="P7">
        <v>21.5</v>
      </c>
    </row>
    <row r="8" spans="1:16" x14ac:dyDescent="0.2">
      <c r="E8" s="99"/>
      <c r="F8" s="63">
        <v>2021</v>
      </c>
      <c r="G8" s="59">
        <v>29.1</v>
      </c>
      <c r="H8" s="59">
        <v>33.799999999999997</v>
      </c>
      <c r="I8" s="59">
        <v>20.399999999999999</v>
      </c>
      <c r="J8" s="59">
        <v>19.100000000000001</v>
      </c>
      <c r="K8" s="59">
        <v>46.4</v>
      </c>
      <c r="L8" s="59">
        <v>25.6</v>
      </c>
      <c r="M8" s="14">
        <v>15</v>
      </c>
      <c r="N8" s="14">
        <v>22.6</v>
      </c>
      <c r="O8">
        <v>25.2</v>
      </c>
      <c r="P8" s="14">
        <v>25.1</v>
      </c>
    </row>
    <row r="9" spans="1:16" x14ac:dyDescent="0.2">
      <c r="A9" s="98" t="s">
        <v>893</v>
      </c>
      <c r="B9" s="99"/>
      <c r="E9" s="99"/>
      <c r="F9">
        <v>2022</v>
      </c>
      <c r="G9" s="59">
        <v>39.299999999999997</v>
      </c>
      <c r="H9" s="59">
        <v>30.5</v>
      </c>
      <c r="I9" s="59">
        <v>22.4</v>
      </c>
      <c r="J9" s="59">
        <v>12.9</v>
      </c>
      <c r="K9" s="59">
        <v>61.5</v>
      </c>
      <c r="L9" s="59">
        <v>35.700000000000003</v>
      </c>
      <c r="M9" s="46" t="s">
        <v>1849</v>
      </c>
      <c r="N9" s="46" t="s">
        <v>1850</v>
      </c>
      <c r="O9" s="46" t="s">
        <v>1851</v>
      </c>
      <c r="P9">
        <v>27.4</v>
      </c>
    </row>
    <row r="10" spans="1:16" x14ac:dyDescent="0.2">
      <c r="A10" t="s">
        <v>894</v>
      </c>
      <c r="B10" t="s">
        <v>972</v>
      </c>
      <c r="E10" s="99"/>
      <c r="F10" s="14"/>
      <c r="G10" s="59"/>
      <c r="H10" s="59"/>
      <c r="I10" s="59"/>
      <c r="J10" s="42"/>
      <c r="K10" s="42"/>
      <c r="L10" s="42"/>
      <c r="M10" s="47"/>
      <c r="N10" s="47"/>
      <c r="O10" s="46"/>
    </row>
    <row r="11" spans="1:16" x14ac:dyDescent="0.2">
      <c r="A11" t="s">
        <v>895</v>
      </c>
      <c r="B11" t="s">
        <v>1852</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C08254AE-567C-4059-A493-2D4C35DF3F2C}">
      <formula1>"True,False"</formula1>
    </dataValidation>
    <dataValidation type="list" allowBlank="1" showInputMessage="1" showErrorMessage="1" sqref="B2" xr:uid="{C1978A2E-DAAB-4782-8230-72006D9A59BD}">
      <formula1>"Table,Figure,Both"</formula1>
    </dataValidation>
    <dataValidation type="list" allowBlank="1" showInputMessage="1" showErrorMessage="1" sqref="B10" xr:uid="{3D7A3311-3A93-40A3-B933-AA932B1A7CD3}">
      <formula1>"Line,Clustered Bar,Stacked Bar,Bar,Horizontal Stacked Bar"</formula1>
    </dataValidation>
    <dataValidation type="list" allowBlank="1" showInputMessage="1" showErrorMessage="1" sqref="P4" xr:uid="{E9E2322C-A76E-403D-81BC-B956F5FEE361}">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08F39B1-88E0-4A44-A598-BFD0ED1E96E8}">
          <x14:formula1>
            <xm:f>Dropdowns!$A$1:$A$8</xm:f>
          </x14:formula1>
          <xm:sqref>F4:O4</xm:sqref>
        </x14:dataValidation>
        <x14:dataValidation type="list" allowBlank="1" showInputMessage="1" showErrorMessage="1" xr:uid="{C105CCF0-9402-42B2-BCA5-0ADAA2B16CB2}">
          <x14:formula1>
            <xm:f>Master!$F$2:$F$401</xm:f>
          </x14:formula1>
          <xm:sqref>B1:O1</xm:sqref>
        </x14:dataValidation>
      </x14:dataValidations>
    </ext>
  </extLst>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BA72-A62A-4E31-A10B-CB4206F55A35}">
  <dimension ref="A1:P57"/>
  <sheetViews>
    <sheetView workbookViewId="0">
      <selection activeCell="J45" sqref="J45"/>
    </sheetView>
  </sheetViews>
  <sheetFormatPr baseColWidth="10" defaultColWidth="8.6640625" defaultRowHeight="15" x14ac:dyDescent="0.2"/>
  <cols>
    <col min="1" max="1" width="20" bestFit="1" customWidth="1"/>
    <col min="2" max="2" width="22.1640625" bestFit="1" customWidth="1"/>
    <col min="5" max="5" width="6.6640625" customWidth="1"/>
    <col min="6" max="6" width="38.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636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tbl-OD-multiple-opioid-aar</v>
      </c>
    </row>
    <row r="4" spans="1:16" x14ac:dyDescent="0.2">
      <c r="A4" s="58" t="s">
        <v>6</v>
      </c>
      <c r="B4" t="str">
        <f>IF($B$1="","",_xlfn.XLOOKUP($B$1,Master!$F$2:$F$308,Master!$H$2:$H$308,""))</f>
        <v>fig-OD-multiple-opioid-aar</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46"/>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t="s">
        <v>1854</v>
      </c>
      <c r="G6" s="75">
        <v>39.6</v>
      </c>
      <c r="H6" s="75">
        <v>31.1</v>
      </c>
      <c r="I6" s="75">
        <v>19.8</v>
      </c>
      <c r="J6" s="75">
        <v>14.2</v>
      </c>
      <c r="K6" s="75">
        <v>62.5</v>
      </c>
      <c r="L6" s="75">
        <v>34.700000000000003</v>
      </c>
      <c r="M6" s="71">
        <v>15.5</v>
      </c>
      <c r="N6" s="71">
        <v>24.1</v>
      </c>
      <c r="O6">
        <v>27.3</v>
      </c>
      <c r="P6">
        <v>26.3</v>
      </c>
    </row>
    <row r="7" spans="1:16" ht="15.75" customHeight="1" x14ac:dyDescent="0.2">
      <c r="E7" s="99"/>
      <c r="F7" s="63" t="s">
        <v>1855</v>
      </c>
      <c r="G7" s="59">
        <v>3.5</v>
      </c>
      <c r="H7" s="59">
        <v>5.9</v>
      </c>
      <c r="I7" s="59">
        <v>2.2000000000000002</v>
      </c>
      <c r="J7" s="59">
        <v>2.2000000000000002</v>
      </c>
      <c r="K7" s="59">
        <v>10.1</v>
      </c>
      <c r="L7" s="59">
        <v>2.8</v>
      </c>
      <c r="M7" s="14">
        <v>2</v>
      </c>
      <c r="N7" s="14">
        <v>3.1</v>
      </c>
      <c r="O7">
        <v>2</v>
      </c>
      <c r="P7">
        <v>4.2</v>
      </c>
    </row>
    <row r="8" spans="1:16" x14ac:dyDescent="0.2">
      <c r="E8" s="99"/>
      <c r="F8" s="63" t="s">
        <v>1856</v>
      </c>
      <c r="G8" s="59">
        <v>37.200000000000003</v>
      </c>
      <c r="H8" s="59">
        <v>28</v>
      </c>
      <c r="I8" s="59">
        <v>18</v>
      </c>
      <c r="J8" s="59">
        <v>12.6</v>
      </c>
      <c r="K8" s="59">
        <v>58.1</v>
      </c>
      <c r="L8" s="59">
        <v>32.6</v>
      </c>
      <c r="M8" s="14">
        <v>13.8</v>
      </c>
      <c r="N8" s="14">
        <v>22</v>
      </c>
      <c r="O8">
        <v>25.4</v>
      </c>
      <c r="P8" s="14">
        <v>24.8</v>
      </c>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1853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7F5FABCC-F8B6-49A1-BB49-7A645C0534F6}">
      <formula1>"integer, number, percent1"</formula1>
    </dataValidation>
    <dataValidation type="list" allowBlank="1" showInputMessage="1" showErrorMessage="1" sqref="B10" xr:uid="{ECC4F532-4E2A-44E4-A411-E38FFC8CEF98}">
      <formula1>"Line,Clustered Bar,Stacked Bar,Bar,Horizontal Stacked Bar"</formula1>
    </dataValidation>
    <dataValidation type="list" allowBlank="1" showInputMessage="1" showErrorMessage="1" sqref="B2" xr:uid="{0C004043-77B9-4531-9B2B-5DE19AE34BFC}">
      <formula1>"Table,Figure,Both"</formula1>
    </dataValidation>
    <dataValidation type="list" allowBlank="1" showInputMessage="1" showErrorMessage="1" sqref="B6 B15:B16" xr:uid="{2DC55666-DB47-49C3-B7FA-6797432BD46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1F901C61-636A-4487-BEC8-5A24A1CDA5DA}">
          <x14:formula1>
            <xm:f>Dropdowns!$A$1:$A$8</xm:f>
          </x14:formula1>
          <xm:sqref>F4:O4</xm:sqref>
        </x14:dataValidation>
        <x14:dataValidation type="list" allowBlank="1" showInputMessage="1" showErrorMessage="1" xr:uid="{4C9530B2-2D54-4AE5-96B4-F0C438EB9881}">
          <x14:formula1>
            <xm:f>Master!$F$2:$F$401</xm:f>
          </x14:formula1>
          <xm:sqref>B1:O1</xm:sqref>
        </x14:dataValidation>
      </x14:dataValidations>
    </ext>
  </extLst>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096D-26F0-4CB2-BBE7-D0011ADEE015}">
  <dimension ref="A1:P57"/>
  <sheetViews>
    <sheetView tabSelected="1"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38.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1832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tbl-18to64-anyop-od-crude</v>
      </c>
    </row>
    <row r="4" spans="1:16" x14ac:dyDescent="0.2">
      <c r="A4" s="58" t="s">
        <v>6</v>
      </c>
      <c r="B4" t="str">
        <f>IF($B$1="","",_xlfn.XLOOKUP($B$1,Master!$F$2:$F$308,Master!$H$2:$H$308,""))</f>
        <v>fig-18to64-anyop-od-crude</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46" t="s">
        <v>1858</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t="s">
        <v>1859</v>
      </c>
      <c r="G6" s="75">
        <v>63.1</v>
      </c>
      <c r="H6" s="75">
        <v>42</v>
      </c>
      <c r="I6" s="75">
        <v>31.9</v>
      </c>
      <c r="J6" s="75">
        <v>21.2</v>
      </c>
      <c r="K6" s="75">
        <v>99.9</v>
      </c>
      <c r="L6" s="75">
        <v>51.6</v>
      </c>
      <c r="M6" s="71">
        <v>24.4</v>
      </c>
      <c r="N6" s="71">
        <v>36.9</v>
      </c>
      <c r="O6">
        <v>42.4</v>
      </c>
      <c r="P6">
        <v>36.700000000000003</v>
      </c>
    </row>
    <row r="7" spans="1:16" ht="15.75" customHeight="1" x14ac:dyDescent="0.2">
      <c r="E7" s="99"/>
      <c r="F7" s="63" t="s">
        <v>1860</v>
      </c>
      <c r="G7" s="59">
        <v>55.4</v>
      </c>
      <c r="H7" s="59">
        <v>51</v>
      </c>
      <c r="I7" s="59">
        <v>34.4</v>
      </c>
      <c r="J7" s="59">
        <v>24.6</v>
      </c>
      <c r="K7" s="59">
        <v>89.3</v>
      </c>
      <c r="L7" s="59">
        <v>53.6</v>
      </c>
      <c r="M7" s="14">
        <v>22.7</v>
      </c>
      <c r="N7" s="14">
        <v>37</v>
      </c>
      <c r="O7">
        <v>39.200000000000003</v>
      </c>
      <c r="P7">
        <v>46.9</v>
      </c>
    </row>
    <row r="8" spans="1:16" x14ac:dyDescent="0.2">
      <c r="E8" s="99"/>
      <c r="F8" s="63"/>
      <c r="G8" s="59"/>
      <c r="H8" s="59"/>
      <c r="I8" s="59"/>
      <c r="J8" s="59"/>
      <c r="K8" s="59"/>
      <c r="L8" s="59"/>
      <c r="M8" s="14"/>
      <c r="N8" s="14"/>
      <c r="P8" s="14"/>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1857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1858</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1501D9B-5752-40E1-A69D-054C110D5997}">
      <formula1>"True,False"</formula1>
    </dataValidation>
    <dataValidation type="list" allowBlank="1" showInputMessage="1" showErrorMessage="1" sqref="B2" xr:uid="{23FFBB3B-CA2C-4AAA-B48D-EB6F2489C480}">
      <formula1>"Table,Figure,Both"</formula1>
    </dataValidation>
    <dataValidation type="list" allowBlank="1" showInputMessage="1" showErrorMessage="1" sqref="B10" xr:uid="{FB7319E4-5955-48AD-82DF-86CBEEFE0055}">
      <formula1>"Line,Clustered Bar,Stacked Bar,Bar,Horizontal Stacked Bar"</formula1>
    </dataValidation>
    <dataValidation type="list" allowBlank="1" showInputMessage="1" showErrorMessage="1" sqref="P4" xr:uid="{220CB705-2B0A-4DDD-93D7-8AEC17DB137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80D17AA-B043-44F2-942D-1228B914EC69}">
          <x14:formula1>
            <xm:f>Dropdowns!$A$1:$A$8</xm:f>
          </x14:formula1>
          <xm:sqref>F4:O4</xm:sqref>
        </x14:dataValidation>
        <x14:dataValidation type="list" allowBlank="1" showInputMessage="1" showErrorMessage="1" xr:uid="{280A45B6-497F-4486-9366-803CF3ADF055}">
          <x14:formula1>
            <xm:f>Master!$F$2:$F$401</xm:f>
          </x14:formula1>
          <xm:sqref>B1:O1</xm:sqref>
        </x14:dataValidation>
      </x14:dataValidations>
    </ext>
  </extLst>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E54D4-BB88-4407-8B65-E29C21A357C6}">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38.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96" t="s">
        <v>1833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tbl-18to64-heroin-od-crude</v>
      </c>
    </row>
    <row r="4" spans="1:16" x14ac:dyDescent="0.2">
      <c r="A4" s="58" t="s">
        <v>6</v>
      </c>
      <c r="B4" t="str">
        <f>IF($B$1="","",_xlfn.XLOOKUP($B$1,Master!$F$2:$F$308,Master!$H$2:$H$308,""))</f>
        <v>fig-18to64-heroin-od-crude</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46" t="s">
        <v>1858</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t="s">
        <v>1859</v>
      </c>
      <c r="G6" s="75" t="s">
        <v>1768</v>
      </c>
      <c r="H6" s="75" t="s">
        <v>1861</v>
      </c>
      <c r="I6" s="75" t="s">
        <v>1862</v>
      </c>
      <c r="J6" s="75" t="s">
        <v>1863</v>
      </c>
      <c r="K6" s="75" t="s">
        <v>1864</v>
      </c>
      <c r="L6" s="75" t="s">
        <v>1246</v>
      </c>
      <c r="M6" s="71">
        <v>3.7</v>
      </c>
      <c r="N6" s="71">
        <v>4.4000000000000004</v>
      </c>
      <c r="O6">
        <v>3.1</v>
      </c>
      <c r="P6">
        <v>4.5</v>
      </c>
    </row>
    <row r="7" spans="1:16" ht="15.75" customHeight="1" x14ac:dyDescent="0.2">
      <c r="E7" s="99"/>
      <c r="F7" s="63" t="s">
        <v>1860</v>
      </c>
      <c r="G7" s="59" t="s">
        <v>1865</v>
      </c>
      <c r="H7" s="59">
        <v>10.8</v>
      </c>
      <c r="I7" s="59" t="s">
        <v>1866</v>
      </c>
      <c r="J7" s="59" t="s">
        <v>1867</v>
      </c>
      <c r="K7" s="59" t="s">
        <v>1868</v>
      </c>
      <c r="L7" s="59" t="s">
        <v>1869</v>
      </c>
      <c r="M7" s="14" t="s">
        <v>1785</v>
      </c>
      <c r="N7" s="14">
        <v>5.8</v>
      </c>
      <c r="O7">
        <v>2.9</v>
      </c>
      <c r="P7">
        <v>9.1</v>
      </c>
    </row>
    <row r="8" spans="1:16" x14ac:dyDescent="0.2">
      <c r="E8" s="99"/>
      <c r="F8" s="63"/>
      <c r="G8" s="59"/>
      <c r="H8" s="59"/>
      <c r="I8" s="59"/>
      <c r="J8" s="59"/>
      <c r="K8" s="59"/>
      <c r="L8" s="59"/>
      <c r="M8" s="14"/>
      <c r="N8" s="14"/>
      <c r="P8" s="14"/>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1858</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1858</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10C4A0DB-027A-40DA-BAE7-08FE47354974}">
      <formula1>"integer, number, percent1"</formula1>
    </dataValidation>
    <dataValidation type="list" allowBlank="1" showInputMessage="1" showErrorMessage="1" sqref="B10" xr:uid="{DF6E5588-30C1-41C7-89DC-85F9E3FF038C}">
      <formula1>"Line,Clustered Bar,Stacked Bar,Bar,Horizontal Stacked Bar"</formula1>
    </dataValidation>
    <dataValidation type="list" allowBlank="1" showInputMessage="1" showErrorMessage="1" sqref="B2" xr:uid="{2CE39C62-6B52-4BFF-B004-7D6E2BB9390F}">
      <formula1>"Table,Figure,Both"</formula1>
    </dataValidation>
    <dataValidation type="list" allowBlank="1" showInputMessage="1" showErrorMessage="1" sqref="B6 B15:B16" xr:uid="{4340A738-F450-4828-9AEA-851D22A45509}">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59C8739-CCA5-46B1-939C-4CD4122006CB}">
          <x14:formula1>
            <xm:f>Dropdowns!$A$1:$A$8</xm:f>
          </x14:formula1>
          <xm:sqref>F4:O4</xm:sqref>
        </x14:dataValidation>
        <x14:dataValidation type="list" allowBlank="1" showInputMessage="1" showErrorMessage="1" xr:uid="{8BBC2CCA-830E-4BC5-A5AC-BA7569FA617E}">
          <x14:formula1>
            <xm:f>Master!$F$2:$F$401</xm:f>
          </x14:formula1>
          <xm:sqref>B1:O1</xm:sqref>
        </x14:dataValidation>
      </x14:dataValidations>
    </ext>
  </extLst>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70C1-E291-4C66-9A7B-6747551E8FC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38.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120" t="s">
        <v>1870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tbl-18to64-opioid-pain-crude</v>
      </c>
    </row>
    <row r="4" spans="1:16" x14ac:dyDescent="0.2">
      <c r="A4" s="58" t="s">
        <v>6</v>
      </c>
      <c r="B4" t="str">
        <f>IF($B$1="","",_xlfn.XLOOKUP($B$1,Master!$F$2:$F$308,Master!$H$2:$H$308,""))</f>
        <v>fig-18to64-opioid-pain-crude</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46" t="s">
        <v>1858</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t="s">
        <v>1859</v>
      </c>
      <c r="G6" s="75">
        <v>63.1</v>
      </c>
      <c r="H6" s="75">
        <v>42</v>
      </c>
      <c r="I6" s="75" t="s">
        <v>1871</v>
      </c>
      <c r="J6" s="75">
        <v>21.2</v>
      </c>
      <c r="K6" s="75">
        <v>99.9</v>
      </c>
      <c r="L6" s="75">
        <v>51.6</v>
      </c>
      <c r="M6" s="71">
        <v>24.4</v>
      </c>
      <c r="N6" s="71">
        <v>36.799999999999997</v>
      </c>
      <c r="O6">
        <v>41.9</v>
      </c>
      <c r="P6">
        <v>36.1</v>
      </c>
    </row>
    <row r="7" spans="1:16" ht="15.75" customHeight="1" x14ac:dyDescent="0.2">
      <c r="E7" s="99"/>
      <c r="F7" s="63" t="s">
        <v>1860</v>
      </c>
      <c r="G7" s="59">
        <v>55.4</v>
      </c>
      <c r="H7" s="59">
        <v>50</v>
      </c>
      <c r="I7" s="59">
        <v>34.4</v>
      </c>
      <c r="J7" s="59">
        <v>24.6</v>
      </c>
      <c r="K7" s="59">
        <v>89.3</v>
      </c>
      <c r="L7" s="59">
        <v>51.6</v>
      </c>
      <c r="M7" s="14">
        <v>22.4</v>
      </c>
      <c r="N7" s="14">
        <v>36.5</v>
      </c>
      <c r="O7">
        <v>38.799999999999997</v>
      </c>
      <c r="P7">
        <v>46.3</v>
      </c>
    </row>
    <row r="8" spans="1:16" x14ac:dyDescent="0.2">
      <c r="E8" s="99"/>
      <c r="F8" s="63"/>
      <c r="G8" s="59"/>
      <c r="H8" s="59"/>
      <c r="I8" s="59"/>
      <c r="J8" s="59"/>
      <c r="K8" s="59"/>
      <c r="L8" s="59"/>
      <c r="M8" s="14"/>
      <c r="N8" s="14"/>
      <c r="P8" s="14"/>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1858</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1858</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EAAE2342-5B4C-4692-AFD6-7EC02EE1E4B3}">
      <formula1>"True,False"</formula1>
    </dataValidation>
    <dataValidation type="list" allowBlank="1" showInputMessage="1" showErrorMessage="1" sqref="B2" xr:uid="{B6B3715F-6B3B-47DB-8EC8-60289CE2F2FC}">
      <formula1>"Table,Figure,Both"</formula1>
    </dataValidation>
    <dataValidation type="list" allowBlank="1" showInputMessage="1" showErrorMessage="1" sqref="B10" xr:uid="{4CC5B1A0-EB6B-4239-8FB1-3354F3BE2798}">
      <formula1>"Line,Clustered Bar,Stacked Bar,Bar,Horizontal Stacked Bar"</formula1>
    </dataValidation>
    <dataValidation type="list" allowBlank="1" showInputMessage="1" showErrorMessage="1" sqref="P4" xr:uid="{2F71CBCA-8689-433C-B5B5-B375B48B769B}">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FC50F08-E74A-49F2-8D11-4090B01439FC}">
          <x14:formula1>
            <xm:f>Dropdowns!$A$1:$A$8</xm:f>
          </x14:formula1>
          <xm:sqref>F4:O4</xm:sqref>
        </x14:dataValidation>
        <x14:dataValidation type="list" allowBlank="1" showInputMessage="1" showErrorMessage="1" xr:uid="{FDB3C9A3-C677-49BE-91F2-24D6CEEEE004}">
          <x14:formula1>
            <xm:f>Master!$F$2:$F$401</xm:f>
          </x14:formula1>
          <xm:sqref>B1:O1</xm:sqref>
        </x14:dataValidation>
      </x14:dataValidations>
    </ext>
  </extLst>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E184-AE7B-4A00-932C-6520B17B3431}">
  <dimension ref="A1:P57"/>
  <sheetViews>
    <sheetView workbookViewId="0">
      <selection activeCell="Z47" sqref="Z47"/>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120" t="s">
        <v>637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tbl-opioid-analgesic-rx-aar</v>
      </c>
    </row>
    <row r="4" spans="1:16" x14ac:dyDescent="0.2">
      <c r="A4" s="58" t="s">
        <v>6</v>
      </c>
      <c r="B4" t="str">
        <f>IF($B$1="","",_xlfn.XLOOKUP($B$1,Master!$F$2:$F$308,Master!$H$2:$H$308,""))</f>
        <v>fig-opioid-analgesic-rx-aar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2020</v>
      </c>
      <c r="G6" s="75">
        <v>348</v>
      </c>
      <c r="H6" s="75">
        <v>321.2</v>
      </c>
      <c r="I6" s="75">
        <v>300.10000000000002</v>
      </c>
      <c r="J6" s="75">
        <v>225.1</v>
      </c>
      <c r="K6" s="75">
        <v>502</v>
      </c>
      <c r="L6" s="75">
        <v>436.9</v>
      </c>
      <c r="M6" s="71">
        <v>202.3</v>
      </c>
      <c r="N6" s="71">
        <v>275.89999999999998</v>
      </c>
      <c r="O6">
        <v>342.4</v>
      </c>
      <c r="P6">
        <v>270.60000000000002</v>
      </c>
    </row>
    <row r="7" spans="1:16" ht="15.75" customHeight="1" x14ac:dyDescent="0.2">
      <c r="E7" s="99"/>
      <c r="F7" s="63">
        <v>2021</v>
      </c>
      <c r="G7" s="59">
        <v>319</v>
      </c>
      <c r="H7" s="59">
        <v>292.5</v>
      </c>
      <c r="I7" s="59">
        <v>288.3</v>
      </c>
      <c r="J7" s="59">
        <v>211.3</v>
      </c>
      <c r="K7" s="59">
        <v>432.6</v>
      </c>
      <c r="L7" s="59">
        <v>398.9</v>
      </c>
      <c r="M7" s="14">
        <v>187.9</v>
      </c>
      <c r="N7" s="14">
        <v>253.7</v>
      </c>
      <c r="O7">
        <v>321.2</v>
      </c>
      <c r="P7">
        <v>254.1</v>
      </c>
    </row>
    <row r="8" spans="1:16" x14ac:dyDescent="0.2">
      <c r="E8" s="99"/>
      <c r="F8" s="63">
        <v>2022</v>
      </c>
      <c r="G8" s="59">
        <v>296.2</v>
      </c>
      <c r="H8" s="59">
        <v>269.60000000000002</v>
      </c>
      <c r="I8" s="59">
        <v>261.7</v>
      </c>
      <c r="J8" s="59">
        <v>193.7</v>
      </c>
      <c r="K8" s="59">
        <v>398.5</v>
      </c>
      <c r="L8" s="59">
        <v>364.7</v>
      </c>
      <c r="M8" s="14">
        <v>173.3</v>
      </c>
      <c r="N8" s="14">
        <v>233.8</v>
      </c>
      <c r="O8">
        <v>300.2</v>
      </c>
      <c r="P8" s="14">
        <v>238.1</v>
      </c>
    </row>
    <row r="9" spans="1:16" x14ac:dyDescent="0.2">
      <c r="A9" s="98" t="s">
        <v>893</v>
      </c>
      <c r="B9" s="99"/>
      <c r="E9" s="99"/>
      <c r="F9">
        <v>2023</v>
      </c>
      <c r="G9" s="59">
        <v>270.7</v>
      </c>
      <c r="H9" s="59">
        <v>250.5</v>
      </c>
      <c r="I9" s="59">
        <v>239.3</v>
      </c>
      <c r="J9" s="59">
        <v>179.4</v>
      </c>
      <c r="K9" s="59">
        <v>352.7</v>
      </c>
      <c r="L9" s="59">
        <v>333.4</v>
      </c>
      <c r="M9" s="46" t="s">
        <v>1873</v>
      </c>
      <c r="N9" s="46" t="s">
        <v>1874</v>
      </c>
      <c r="O9" s="46" t="s">
        <v>1875</v>
      </c>
      <c r="P9">
        <v>225.6</v>
      </c>
    </row>
    <row r="10" spans="1:16" x14ac:dyDescent="0.2">
      <c r="A10" t="s">
        <v>894</v>
      </c>
      <c r="B10" t="s">
        <v>972</v>
      </c>
      <c r="E10" s="99"/>
      <c r="F10" s="14"/>
      <c r="G10" s="59"/>
      <c r="H10" s="59"/>
      <c r="I10" s="59"/>
      <c r="J10" s="42"/>
      <c r="K10" s="42"/>
      <c r="L10" s="42"/>
      <c r="M10" s="47"/>
      <c r="N10" s="47"/>
      <c r="O10" s="46"/>
    </row>
    <row r="11" spans="1:16" x14ac:dyDescent="0.2">
      <c r="A11" t="s">
        <v>895</v>
      </c>
      <c r="B11" t="s">
        <v>1872</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701</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D09094AB-6A22-4A65-93DC-BA81E836902B}">
      <formula1>"integer, number, percent1"</formula1>
    </dataValidation>
    <dataValidation type="list" allowBlank="1" showInputMessage="1" showErrorMessage="1" sqref="B10" xr:uid="{164F4D3E-20D9-48A3-B3B1-FD58FF48C029}">
      <formula1>"Line,Clustered Bar,Stacked Bar,Bar,Horizontal Stacked Bar"</formula1>
    </dataValidation>
    <dataValidation type="list" allowBlank="1" showInputMessage="1" showErrorMessage="1" sqref="B2" xr:uid="{D99BDDD7-2C38-4B67-B243-8C3B10BB68CB}">
      <formula1>"Table,Figure,Both"</formula1>
    </dataValidation>
    <dataValidation type="list" allowBlank="1" showInputMessage="1" showErrorMessage="1" sqref="B6 B15:B16" xr:uid="{3F66F507-B2E5-469E-BCC1-5254D3601C1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05FB042-6F62-47A6-836B-E27F885C0AA1}">
          <x14:formula1>
            <xm:f>Dropdowns!$A$1:$A$8</xm:f>
          </x14:formula1>
          <xm:sqref>F4:O4</xm:sqref>
        </x14:dataValidation>
        <x14:dataValidation type="list" allowBlank="1" showInputMessage="1" showErrorMessage="1" xr:uid="{E2291C39-734A-4335-89D6-FBC894EF85A4}">
          <x14:formula1>
            <xm:f>Master!$F$2:$F$401</xm:f>
          </x14:formula1>
          <xm:sqref>B1:O1</xm:sqref>
        </x14:dataValidation>
      </x14:dataValidations>
    </ext>
  </extLst>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DB19-374A-456D-896D-0F3DFA09DAEC}">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8"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5" width="12.5" bestFit="1" customWidth="1"/>
  </cols>
  <sheetData>
    <row r="1" spans="1:16" x14ac:dyDescent="0.2">
      <c r="A1" s="58" t="s">
        <v>882</v>
      </c>
      <c r="B1" s="120" t="s">
        <v>639</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tbl-at-least-1-bup-aar</v>
      </c>
    </row>
    <row r="4" spans="1:16" x14ac:dyDescent="0.2">
      <c r="A4" s="58" t="s">
        <v>6</v>
      </c>
      <c r="B4" t="str">
        <f>IF($B$1="","",_xlfn.XLOOKUP($B$1,Master!$F$2:$F$308,Master!$H$2:$H$308,""))</f>
        <v>fig-at-least-1-bup-aar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s="68" t="s">
        <v>220</v>
      </c>
      <c r="H5" s="68" t="s">
        <v>18</v>
      </c>
      <c r="I5" s="68" t="s">
        <v>537</v>
      </c>
      <c r="J5" s="68" t="s">
        <v>449</v>
      </c>
      <c r="K5" s="68" t="s">
        <v>409</v>
      </c>
      <c r="L5" s="68" t="s">
        <v>421</v>
      </c>
      <c r="M5" s="46" t="s">
        <v>470</v>
      </c>
      <c r="N5" s="46" t="s">
        <v>898</v>
      </c>
      <c r="O5" s="46" t="s">
        <v>914</v>
      </c>
      <c r="P5" t="s">
        <v>915</v>
      </c>
    </row>
    <row r="6" spans="1:16" ht="15" customHeight="1" x14ac:dyDescent="0.2">
      <c r="A6" t="s">
        <v>891</v>
      </c>
      <c r="B6" t="b">
        <v>0</v>
      </c>
      <c r="E6" s="99"/>
      <c r="F6" s="85">
        <v>2020</v>
      </c>
      <c r="G6" s="75">
        <v>535.70000000000005</v>
      </c>
      <c r="H6" s="75">
        <v>608.70000000000005</v>
      </c>
      <c r="I6" s="75">
        <v>546.4</v>
      </c>
      <c r="J6" s="75">
        <v>251.4</v>
      </c>
      <c r="K6" s="75">
        <v>1392.5</v>
      </c>
      <c r="L6" s="75">
        <v>916.9</v>
      </c>
      <c r="M6" s="71">
        <v>197.2</v>
      </c>
      <c r="N6" s="71">
        <v>422.9</v>
      </c>
      <c r="O6">
        <v>638.4</v>
      </c>
      <c r="P6">
        <v>419.1</v>
      </c>
    </row>
    <row r="7" spans="1:16" ht="15.75" customHeight="1" x14ac:dyDescent="0.2">
      <c r="E7" s="99"/>
      <c r="F7" s="63">
        <v>2021</v>
      </c>
      <c r="G7" s="59">
        <v>544.4</v>
      </c>
      <c r="H7" s="59">
        <v>527.6</v>
      </c>
      <c r="I7" s="59">
        <v>501.8</v>
      </c>
      <c r="J7" s="59">
        <v>237.5</v>
      </c>
      <c r="K7" s="59">
        <v>1261.5</v>
      </c>
      <c r="L7" s="59">
        <v>913.7</v>
      </c>
      <c r="M7" s="14">
        <v>183.3</v>
      </c>
      <c r="N7" s="14">
        <v>398.5</v>
      </c>
      <c r="O7">
        <v>637.70000000000005</v>
      </c>
      <c r="P7">
        <v>419.8</v>
      </c>
    </row>
    <row r="8" spans="1:16" x14ac:dyDescent="0.2">
      <c r="E8" s="99"/>
      <c r="F8" s="63">
        <v>2022</v>
      </c>
      <c r="G8" s="59">
        <v>551.20000000000005</v>
      </c>
      <c r="H8" s="59">
        <v>514.20000000000005</v>
      </c>
      <c r="I8" s="59">
        <v>453.4</v>
      </c>
      <c r="J8" s="59">
        <v>234.2</v>
      </c>
      <c r="K8" s="59">
        <v>1303.8</v>
      </c>
      <c r="L8" s="59">
        <v>976.4</v>
      </c>
      <c r="M8" s="14">
        <v>187.8</v>
      </c>
      <c r="N8" s="14">
        <v>403.9</v>
      </c>
      <c r="O8">
        <v>657.2</v>
      </c>
      <c r="P8" s="14">
        <v>433.9</v>
      </c>
    </row>
    <row r="9" spans="1:16" x14ac:dyDescent="0.2">
      <c r="A9" s="98" t="s">
        <v>893</v>
      </c>
      <c r="B9" s="99"/>
      <c r="E9" s="99"/>
      <c r="F9">
        <v>2023</v>
      </c>
      <c r="G9" s="59">
        <v>609.70000000000005</v>
      </c>
      <c r="H9" s="59">
        <v>520.4</v>
      </c>
      <c r="I9" s="59">
        <v>482.1</v>
      </c>
      <c r="J9" s="59">
        <v>217.9</v>
      </c>
      <c r="K9" s="59">
        <v>1529.8</v>
      </c>
      <c r="L9" s="59">
        <v>1048.4000000000001</v>
      </c>
      <c r="M9" s="46" t="s">
        <v>1876</v>
      </c>
      <c r="N9" s="46" t="s">
        <v>1877</v>
      </c>
      <c r="O9" s="46" t="s">
        <v>1878</v>
      </c>
      <c r="P9">
        <v>464</v>
      </c>
    </row>
    <row r="10" spans="1:16" x14ac:dyDescent="0.2">
      <c r="A10" t="s">
        <v>894</v>
      </c>
      <c r="B10" t="s">
        <v>972</v>
      </c>
      <c r="E10" s="99"/>
      <c r="F10" s="14"/>
      <c r="G10" s="59"/>
      <c r="H10" s="59"/>
      <c r="I10" s="59"/>
      <c r="J10" s="42"/>
      <c r="K10" s="42"/>
      <c r="L10" s="42"/>
      <c r="M10" s="47"/>
      <c r="N10" s="47"/>
      <c r="O10" s="46"/>
    </row>
    <row r="11" spans="1:16" x14ac:dyDescent="0.2">
      <c r="A11" t="s">
        <v>895</v>
      </c>
      <c r="B11" t="s">
        <v>973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AD7BA3A7-768F-4206-B010-110513F26E10}">
      <formula1>"True,False"</formula1>
    </dataValidation>
    <dataValidation type="list" allowBlank="1" showInputMessage="1" showErrorMessage="1" sqref="B2" xr:uid="{9E702176-ED26-4AF9-8EA5-6EE296B70BEC}">
      <formula1>"Table,Figure,Both"</formula1>
    </dataValidation>
    <dataValidation type="list" allowBlank="1" showInputMessage="1" showErrorMessage="1" sqref="B10" xr:uid="{690EE54B-A57D-4AF2-9E6F-D816C5D57C42}">
      <formula1>"Line,Clustered Bar,Stacked Bar,Bar,Horizontal Stacked Bar"</formula1>
    </dataValidation>
    <dataValidation type="list" allowBlank="1" showInputMessage="1" showErrorMessage="1" sqref="P4" xr:uid="{86256B08-8561-49D4-93D3-AECB01F4500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C5FBFB5-F43E-41D2-BD06-711C8C8D8E34}">
          <x14:formula1>
            <xm:f>Dropdowns!$A$1:$A$8</xm:f>
          </x14:formula1>
          <xm:sqref>F4:O4</xm:sqref>
        </x14:dataValidation>
        <x14:dataValidation type="list" allowBlank="1" showInputMessage="1" showErrorMessage="1" xr:uid="{A8ED1390-12E7-445B-867D-59F686423653}">
          <x14:formula1>
            <xm:f>Master!$F$2:$F$401</xm:f>
          </x14:formula1>
          <xm:sqref>B1:O1</xm:sqref>
        </x14:dataValidation>
      </x14:dataValidations>
    </ext>
  </extLst>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97BA-F155-47AB-88FF-BD1AF823EDDE}">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18.664062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6" width="12.5" bestFit="1" customWidth="1"/>
  </cols>
  <sheetData>
    <row r="1" spans="1:16" x14ac:dyDescent="0.2">
      <c r="A1" s="58" t="s">
        <v>882</v>
      </c>
      <c r="B1" s="120" t="s">
        <v>1879</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tbl-15to19-suicide-mortal-crude</v>
      </c>
    </row>
    <row r="4" spans="1:16" x14ac:dyDescent="0.2">
      <c r="A4" s="58" t="s">
        <v>6</v>
      </c>
      <c r="B4" t="str">
        <f>IF($B$1="","",_xlfn.XLOOKUP($B$1,Master!$F$2:$F$308,Master!$H$2:$H$308,""))</f>
        <v>fig-15to19-suicide-mortal-crude</v>
      </c>
      <c r="E4" s="13"/>
      <c r="F4" s="16" t="s">
        <v>671</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G5" s="119" t="s">
        <v>1775</v>
      </c>
      <c r="H5" s="119"/>
      <c r="I5" s="119"/>
      <c r="J5" s="119"/>
      <c r="K5" s="119"/>
      <c r="L5" s="119"/>
      <c r="M5" s="119"/>
      <c r="N5" s="119" t="s">
        <v>1776</v>
      </c>
      <c r="O5" s="119"/>
      <c r="P5" s="119"/>
    </row>
    <row r="6" spans="1:16" ht="15" customHeight="1" x14ac:dyDescent="0.2">
      <c r="A6" t="s">
        <v>891</v>
      </c>
      <c r="B6" t="b">
        <v>1</v>
      </c>
      <c r="E6" s="99"/>
      <c r="F6" s="85" t="s">
        <v>887</v>
      </c>
      <c r="G6" s="88" t="s">
        <v>220</v>
      </c>
      <c r="H6" s="88" t="s">
        <v>18</v>
      </c>
      <c r="I6" s="88" t="s">
        <v>537</v>
      </c>
      <c r="J6" s="88" t="s">
        <v>449</v>
      </c>
      <c r="K6" s="88" t="s">
        <v>409</v>
      </c>
      <c r="L6" s="89" t="s">
        <v>421</v>
      </c>
      <c r="M6" s="89" t="s">
        <v>470</v>
      </c>
      <c r="N6" s="60" t="s">
        <v>898</v>
      </c>
      <c r="O6" s="60" t="s">
        <v>914</v>
      </c>
      <c r="P6" s="60" t="s">
        <v>915</v>
      </c>
    </row>
    <row r="7" spans="1:16" ht="15.75" customHeight="1" x14ac:dyDescent="0.2">
      <c r="E7" s="99"/>
      <c r="F7" s="63" t="s">
        <v>888</v>
      </c>
      <c r="G7" s="42">
        <v>13.8</v>
      </c>
      <c r="H7" s="42">
        <v>9</v>
      </c>
      <c r="I7" s="42">
        <v>9.1</v>
      </c>
      <c r="J7" s="42">
        <v>4.5</v>
      </c>
      <c r="K7" s="42">
        <v>14.9</v>
      </c>
      <c r="L7" s="42">
        <v>14.5</v>
      </c>
      <c r="M7" s="42">
        <v>7.6</v>
      </c>
      <c r="N7" s="42">
        <v>8.6</v>
      </c>
      <c r="O7" s="60">
        <v>9.9</v>
      </c>
      <c r="P7" s="60">
        <v>8.3000000000000007</v>
      </c>
    </row>
    <row r="8" spans="1:16" x14ac:dyDescent="0.2">
      <c r="E8" s="99"/>
      <c r="F8" s="63" t="s">
        <v>1880</v>
      </c>
      <c r="G8" s="42" t="s">
        <v>1861</v>
      </c>
      <c r="H8" s="42" t="s">
        <v>1881</v>
      </c>
      <c r="I8" s="42" t="s">
        <v>1882</v>
      </c>
      <c r="J8" s="42" t="s">
        <v>1869</v>
      </c>
      <c r="K8" s="42" t="s">
        <v>1883</v>
      </c>
      <c r="L8" s="42" t="s">
        <v>1884</v>
      </c>
      <c r="M8" s="42" t="s">
        <v>1785</v>
      </c>
      <c r="N8" s="42" t="s">
        <v>1885</v>
      </c>
      <c r="O8" s="60">
        <v>6.7</v>
      </c>
      <c r="P8" s="42">
        <v>5.2</v>
      </c>
    </row>
    <row r="9" spans="1:16" x14ac:dyDescent="0.2">
      <c r="A9" s="98" t="s">
        <v>893</v>
      </c>
      <c r="B9" s="99"/>
      <c r="E9" s="99"/>
      <c r="G9" s="59"/>
      <c r="H9" s="59"/>
      <c r="I9" s="59"/>
      <c r="J9" s="59"/>
      <c r="K9" s="59"/>
      <c r="L9" s="59"/>
      <c r="M9" s="46"/>
      <c r="N9" s="46"/>
      <c r="O9" s="46"/>
    </row>
    <row r="10" spans="1:16" x14ac:dyDescent="0.2">
      <c r="A10" t="s">
        <v>894</v>
      </c>
      <c r="B10" t="s">
        <v>983</v>
      </c>
      <c r="E10" s="99"/>
      <c r="F10" s="14"/>
      <c r="G10" s="59"/>
      <c r="H10" s="59"/>
      <c r="I10" s="59"/>
      <c r="J10" s="42"/>
      <c r="K10" s="42"/>
      <c r="L10" s="42"/>
      <c r="M10" s="47"/>
      <c r="N10" s="47"/>
      <c r="O10" s="46"/>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G5:M5"/>
    <mergeCell ref="N5:P5"/>
  </mergeCells>
  <dataValidations count="4">
    <dataValidation type="list" allowBlank="1" showInputMessage="1" showErrorMessage="1" sqref="P4" xr:uid="{AE566EA8-E8D6-4786-B99D-2D61503574EE}">
      <formula1>"integer, number, percent1"</formula1>
    </dataValidation>
    <dataValidation type="list" allowBlank="1" showInputMessage="1" showErrorMessage="1" sqref="B10" xr:uid="{A7DE81EE-E6E2-4CC5-ADB2-C69592550BCD}">
      <formula1>"Line,Clustered Bar,Stacked Bar,Bar,Horizontal Stacked Bar"</formula1>
    </dataValidation>
    <dataValidation type="list" allowBlank="1" showInputMessage="1" showErrorMessage="1" sqref="B2" xr:uid="{09515004-F93B-4A6F-AC36-B941B4C4A08B}">
      <formula1>"Table,Figure,Both"</formula1>
    </dataValidation>
    <dataValidation type="list" allowBlank="1" showInputMessage="1" showErrorMessage="1" sqref="B6 B15:B16" xr:uid="{A8AE81A0-382A-4602-B82D-462843A20D2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2F1940D-F0D9-42FA-A587-A5E816755B38}">
          <x14:formula1>
            <xm:f>Dropdowns!$A$1:$A$8</xm:f>
          </x14:formula1>
          <xm:sqref>F4:O4</xm:sqref>
        </x14:dataValidation>
        <x14:dataValidation type="list" allowBlank="1" showInputMessage="1" showErrorMessage="1" xr:uid="{74747352-AD49-4D88-9BC2-3C6826AAF350}">
          <x14:formula1>
            <xm:f>Master!$F$2:$F$401</xm:f>
          </x14:formula1>
          <xm:sqref>B1:O1</xm:sqref>
        </x14:dataValidation>
      </x14:dataValidations>
    </ext>
  </extLst>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5A5E6-4C3E-4A2A-9883-955B2F93F6B0}">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18.664062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6" width="12.5" bestFit="1" customWidth="1"/>
  </cols>
  <sheetData>
    <row r="1" spans="1:16" x14ac:dyDescent="0.2">
      <c r="A1" s="58" t="s">
        <v>882</v>
      </c>
      <c r="B1" s="120" t="s">
        <v>640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tbl-suicide-mortal-aar</v>
      </c>
    </row>
    <row r="4" spans="1:16" x14ac:dyDescent="0.2">
      <c r="A4" s="58" t="s">
        <v>6</v>
      </c>
      <c r="B4" t="str">
        <f>IF($B$1="","",_xlfn.XLOOKUP($B$1,Master!$F$2:$F$308,Master!$H$2:$H$308,""))</f>
        <v>fig-suicide-mortal-aar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G5" s="119" t="s">
        <v>1775</v>
      </c>
      <c r="H5" s="119"/>
      <c r="I5" s="119"/>
      <c r="J5" s="119"/>
      <c r="K5" s="119"/>
      <c r="L5" s="119"/>
      <c r="M5" s="119"/>
      <c r="N5" s="119" t="s">
        <v>1776</v>
      </c>
      <c r="O5" s="119"/>
    </row>
    <row r="6" spans="1:16" ht="15" customHeight="1" x14ac:dyDescent="0.2">
      <c r="A6" t="s">
        <v>891</v>
      </c>
      <c r="B6" t="b">
        <v>1</v>
      </c>
      <c r="E6" s="99"/>
      <c r="F6" s="82" t="s">
        <v>1123</v>
      </c>
      <c r="G6" s="75" t="s">
        <v>220</v>
      </c>
      <c r="H6" s="75" t="s">
        <v>18</v>
      </c>
      <c r="I6" s="75" t="s">
        <v>537</v>
      </c>
      <c r="J6" s="75" t="s">
        <v>449</v>
      </c>
      <c r="K6" s="75" t="s">
        <v>409</v>
      </c>
      <c r="L6" s="75" t="s">
        <v>421</v>
      </c>
      <c r="M6" s="71" t="s">
        <v>470</v>
      </c>
      <c r="N6" s="71" t="s">
        <v>914</v>
      </c>
      <c r="O6" t="s">
        <v>915</v>
      </c>
    </row>
    <row r="7" spans="1:16" ht="15.75" customHeight="1" x14ac:dyDescent="0.2">
      <c r="E7" s="99"/>
      <c r="F7" s="63">
        <v>2018</v>
      </c>
      <c r="G7" s="59">
        <v>12.8</v>
      </c>
      <c r="H7" s="59">
        <v>10.1</v>
      </c>
      <c r="I7" s="59">
        <v>6.2</v>
      </c>
      <c r="J7" s="59">
        <v>7.4</v>
      </c>
      <c r="K7" s="59">
        <v>12.2</v>
      </c>
      <c r="L7" s="59">
        <v>13.2</v>
      </c>
      <c r="M7" s="14">
        <v>6.4</v>
      </c>
      <c r="N7" s="14">
        <v>10</v>
      </c>
      <c r="O7">
        <v>8.1999999999999993</v>
      </c>
    </row>
    <row r="8" spans="1:16" x14ac:dyDescent="0.2">
      <c r="E8" s="99"/>
      <c r="F8" s="63">
        <v>2019</v>
      </c>
      <c r="G8" s="59">
        <v>11.9</v>
      </c>
      <c r="H8" s="59">
        <v>10.1</v>
      </c>
      <c r="I8" s="59">
        <v>5.3</v>
      </c>
      <c r="J8" s="59">
        <v>6.4</v>
      </c>
      <c r="K8" s="59">
        <v>12.6</v>
      </c>
      <c r="L8" s="59">
        <v>13.8</v>
      </c>
      <c r="M8" s="14">
        <v>6.7</v>
      </c>
      <c r="N8" s="14">
        <v>10</v>
      </c>
      <c r="O8">
        <v>8.1999999999999993</v>
      </c>
      <c r="P8" s="14"/>
    </row>
    <row r="9" spans="1:16" x14ac:dyDescent="0.2">
      <c r="A9" s="98" t="s">
        <v>893</v>
      </c>
      <c r="B9" s="99"/>
      <c r="E9" s="99"/>
      <c r="F9">
        <v>2020</v>
      </c>
      <c r="G9" s="59">
        <v>12.6</v>
      </c>
      <c r="H9" s="59">
        <v>9.3000000000000007</v>
      </c>
      <c r="I9" s="59">
        <v>4.5999999999999996</v>
      </c>
      <c r="J9" s="59">
        <v>5.6</v>
      </c>
      <c r="K9" s="59">
        <v>14.3</v>
      </c>
      <c r="L9" s="59">
        <v>13</v>
      </c>
      <c r="M9" s="46" t="s">
        <v>1886</v>
      </c>
      <c r="N9" s="46" t="s">
        <v>1887</v>
      </c>
      <c r="O9" s="46" t="s">
        <v>1888</v>
      </c>
    </row>
    <row r="10" spans="1:16" x14ac:dyDescent="0.2">
      <c r="A10" t="s">
        <v>894</v>
      </c>
      <c r="B10" t="s">
        <v>972</v>
      </c>
      <c r="E10" s="99"/>
      <c r="F10" s="14">
        <v>2021</v>
      </c>
      <c r="G10" s="59">
        <v>12.7</v>
      </c>
      <c r="H10" s="59">
        <v>9</v>
      </c>
      <c r="I10" s="59">
        <v>7.3</v>
      </c>
      <c r="J10" s="42">
        <v>4.7</v>
      </c>
      <c r="K10" s="42">
        <v>12.9</v>
      </c>
      <c r="L10" s="42">
        <v>12.5</v>
      </c>
      <c r="M10" s="47" t="s">
        <v>1889</v>
      </c>
      <c r="N10" s="47" t="s">
        <v>1756</v>
      </c>
      <c r="O10" s="46" t="s">
        <v>1888</v>
      </c>
    </row>
    <row r="11" spans="1:16" x14ac:dyDescent="0.2">
      <c r="A11" t="s">
        <v>895</v>
      </c>
      <c r="B11" t="s">
        <v>973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G5:M5"/>
    <mergeCell ref="N5:O5"/>
  </mergeCells>
  <dataValidations count="4">
    <dataValidation type="list" allowBlank="1" showInputMessage="1" showErrorMessage="1" sqref="B6 B15:B16" xr:uid="{2D5B1D4B-3B53-4BB2-BA45-E1F3997597BE}">
      <formula1>"True,False"</formula1>
    </dataValidation>
    <dataValidation type="list" allowBlank="1" showInputMessage="1" showErrorMessage="1" sqref="B2" xr:uid="{B19AE60C-DCDA-4255-9A0C-FD6C1F51C4F3}">
      <formula1>"Table,Figure,Both"</formula1>
    </dataValidation>
    <dataValidation type="list" allowBlank="1" showInputMessage="1" showErrorMessage="1" sqref="B10" xr:uid="{BEE826D8-BD8D-4D59-96D0-F360B951930E}">
      <formula1>"Line,Clustered Bar,Stacked Bar,Bar,Horizontal Stacked Bar"</formula1>
    </dataValidation>
    <dataValidation type="list" allowBlank="1" showInputMessage="1" showErrorMessage="1" sqref="P4" xr:uid="{772D6A6F-1989-4AC4-AF8A-FB457E58A92D}">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D939567-83F0-4E7A-9090-1D69B515CD2B}">
          <x14:formula1>
            <xm:f>Dropdowns!$A$1:$A$8</xm:f>
          </x14:formula1>
          <xm:sqref>F4:O4</xm:sqref>
        </x14:dataValidation>
        <x14:dataValidation type="list" allowBlank="1" showInputMessage="1" showErrorMessage="1" xr:uid="{F70CA243-1793-42AE-AC59-E906A9CAAFD4}">
          <x14:formula1>
            <xm:f>Master!$F$2:$F$401</xm:f>
          </x14:formula1>
          <xm:sqref>B1:O1</xm:sqref>
        </x14:dataValidation>
      </x14:dataValidations>
    </ext>
  </extLst>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6197-A26D-4C88-8E2C-3E4C75F9A3DA}">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18.6640625" bestFit="1" customWidth="1"/>
    <col min="7" max="7" width="9" bestFit="1" customWidth="1"/>
    <col min="8" max="8" width="13.5" customWidth="1"/>
    <col min="9" max="9" width="8.83203125" bestFit="1" customWidth="1"/>
    <col min="10" max="10" width="9" bestFit="1" customWidth="1"/>
    <col min="11" max="11" width="8.83203125" bestFit="1" customWidth="1"/>
    <col min="12" max="12" width="12.33203125" bestFit="1" customWidth="1"/>
    <col min="13" max="13" width="12.1640625" bestFit="1" customWidth="1"/>
    <col min="14" max="14" width="12.33203125" bestFit="1" customWidth="1"/>
    <col min="15" max="16" width="12.5" bestFit="1" customWidth="1"/>
  </cols>
  <sheetData>
    <row r="1" spans="1:16" x14ac:dyDescent="0.2">
      <c r="A1" s="58" t="s">
        <v>882</v>
      </c>
      <c r="B1" s="120" t="s">
        <v>1890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tbl-agop-hosp-0-4</v>
      </c>
    </row>
    <row r="4" spans="1:16" x14ac:dyDescent="0.2">
      <c r="A4" s="58" t="s">
        <v>6</v>
      </c>
      <c r="B4" t="str">
        <f>IF($B$1="","",_xlfn.XLOOKUP($B$1,Master!$F$2:$F$308,Master!$H$2:$H$308,""))</f>
        <v>fig-agop-hosp-0-4</v>
      </c>
      <c r="E4" s="13"/>
      <c r="F4" s="16" t="s">
        <v>671</v>
      </c>
      <c r="G4" s="16" t="s">
        <v>679</v>
      </c>
      <c r="H4" s="16" t="s">
        <v>679</v>
      </c>
      <c r="I4" s="16" t="s">
        <v>679</v>
      </c>
      <c r="J4" s="16" t="s">
        <v>679</v>
      </c>
      <c r="K4" s="16"/>
      <c r="L4" s="16"/>
      <c r="M4" s="16"/>
      <c r="N4" s="16"/>
      <c r="O4" s="16"/>
      <c r="P4" s="16"/>
    </row>
    <row r="5" spans="1:16" x14ac:dyDescent="0.2">
      <c r="A5" s="98" t="s">
        <v>885</v>
      </c>
      <c r="B5" s="99"/>
      <c r="E5" s="100" t="s">
        <v>886</v>
      </c>
      <c r="F5" t="s">
        <v>1893</v>
      </c>
      <c r="G5" t="s">
        <v>1631</v>
      </c>
      <c r="H5" t="s">
        <v>1632</v>
      </c>
      <c r="I5" t="s">
        <v>1633</v>
      </c>
      <c r="J5" t="s">
        <v>1634</v>
      </c>
    </row>
    <row r="6" spans="1:16" ht="15" customHeight="1" x14ac:dyDescent="0.2">
      <c r="A6" t="s">
        <v>891</v>
      </c>
      <c r="B6" t="b">
        <v>0</v>
      </c>
      <c r="E6" s="99"/>
      <c r="F6" t="s">
        <v>915</v>
      </c>
      <c r="G6">
        <v>24.9</v>
      </c>
      <c r="H6">
        <v>7.7</v>
      </c>
      <c r="I6">
        <v>1</v>
      </c>
      <c r="J6">
        <v>13.4</v>
      </c>
    </row>
    <row r="7" spans="1:16" ht="15.75" customHeight="1" x14ac:dyDescent="0.2">
      <c r="E7" s="99"/>
      <c r="F7" t="s">
        <v>914</v>
      </c>
      <c r="G7">
        <v>17.2</v>
      </c>
      <c r="H7">
        <v>5.3</v>
      </c>
      <c r="I7">
        <v>0.8</v>
      </c>
      <c r="J7">
        <v>11.5</v>
      </c>
    </row>
    <row r="8" spans="1:16" x14ac:dyDescent="0.2">
      <c r="E8" s="99"/>
      <c r="F8" t="s">
        <v>898</v>
      </c>
      <c r="G8">
        <v>18.8</v>
      </c>
      <c r="H8">
        <v>6.8</v>
      </c>
      <c r="I8">
        <v>1</v>
      </c>
      <c r="J8">
        <v>15.2</v>
      </c>
      <c r="P8" s="14"/>
    </row>
    <row r="9" spans="1:16" x14ac:dyDescent="0.2">
      <c r="A9" s="98" t="s">
        <v>893</v>
      </c>
      <c r="B9" s="99"/>
      <c r="E9" s="99"/>
    </row>
    <row r="10" spans="1:16" x14ac:dyDescent="0.2">
      <c r="A10" t="s">
        <v>894</v>
      </c>
      <c r="B10" t="s">
        <v>983</v>
      </c>
      <c r="E10" s="99"/>
    </row>
    <row r="11" spans="1:16" x14ac:dyDescent="0.2">
      <c r="A11" t="s">
        <v>895</v>
      </c>
      <c r="B11" t="s">
        <v>1892</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1893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3943CBCB-1EB3-4D3E-AB36-026714786E1F}">
      <formula1>"integer, number, percent1"</formula1>
    </dataValidation>
    <dataValidation type="list" allowBlank="1" showInputMessage="1" showErrorMessage="1" sqref="B10" xr:uid="{10962023-9AEE-4244-8480-4B350569143D}">
      <formula1>"Line,Clustered Bar,Stacked Bar,Bar,Horizontal Stacked Bar"</formula1>
    </dataValidation>
    <dataValidation type="list" allowBlank="1" showInputMessage="1" showErrorMessage="1" sqref="B2" xr:uid="{C4D6A9E9-ABB7-4512-9983-3AEE4FE03EB2}">
      <formula1>"Table,Figure,Both"</formula1>
    </dataValidation>
    <dataValidation type="list" allowBlank="1" showInputMessage="1" showErrorMessage="1" sqref="B6 B15:B16" xr:uid="{F6D7AABB-394E-4C07-B363-632AFC98CE9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8A9FBC6-E0E0-4C63-B586-F7B8391822B8}">
          <x14:formula1>
            <xm:f>Dropdowns!$A$1:$A$8</xm:f>
          </x14:formula1>
          <xm:sqref>F4:O4</xm:sqref>
        </x14:dataValidation>
        <x14:dataValidation type="list" allowBlank="1" showInputMessage="1" showErrorMessage="1" xr:uid="{38B169AC-EAF6-4D93-8432-4FE99BFC6292}">
          <x14:formula1>
            <xm:f>Master!$F$2:$F$401</xm:f>
          </x14:formula1>
          <xm:sqref>B1:O1</xm:sqref>
        </x14:dataValidation>
      </x14:dataValidations>
    </ext>
  </extLst>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4EA86-4270-0A40-9391-A0969E680365}">
  <dimension ref="A1:P57"/>
  <sheetViews>
    <sheetView workbookViewId="0">
      <selection activeCell="B11" sqref="B11"/>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635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tbl-OD-anyopioid-crude</v>
      </c>
    </row>
    <row r="4" spans="1:16" x14ac:dyDescent="0.2">
      <c r="A4" s="58" t="s">
        <v>6</v>
      </c>
      <c r="B4" t="str">
        <f>IF($B$1="","",_xlfn.XLOOKUP($B$1,Master!$F$2:$F$308,Master!$H$2:$H$308,""))</f>
        <v>fig-OD-anyopioid-crude</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t="s">
        <v>220</v>
      </c>
      <c r="H5" t="s">
        <v>18</v>
      </c>
      <c r="I5" t="s">
        <v>537</v>
      </c>
      <c r="J5" t="s">
        <v>449</v>
      </c>
      <c r="K5" t="s">
        <v>409</v>
      </c>
      <c r="L5" t="s">
        <v>421</v>
      </c>
      <c r="M5" t="s">
        <v>470</v>
      </c>
      <c r="N5" t="s">
        <v>898</v>
      </c>
      <c r="O5" t="s">
        <v>914</v>
      </c>
      <c r="P5" t="s">
        <v>915</v>
      </c>
    </row>
    <row r="6" spans="1:16" ht="15" customHeight="1" x14ac:dyDescent="0.2">
      <c r="A6" t="s">
        <v>891</v>
      </c>
      <c r="B6" t="b">
        <v>0</v>
      </c>
      <c r="E6" s="99"/>
      <c r="F6">
        <v>2019</v>
      </c>
      <c r="G6">
        <v>22.1</v>
      </c>
      <c r="H6">
        <v>20.7</v>
      </c>
      <c r="I6">
        <v>12.1</v>
      </c>
      <c r="J6">
        <v>14.1</v>
      </c>
      <c r="K6">
        <v>39.799999999999997</v>
      </c>
      <c r="L6">
        <v>17.899999999999999</v>
      </c>
      <c r="M6">
        <v>9.4</v>
      </c>
      <c r="N6">
        <v>15.3</v>
      </c>
      <c r="O6">
        <v>16.100000000000001</v>
      </c>
      <c r="P6">
        <v>15.1</v>
      </c>
    </row>
    <row r="7" spans="1:16" ht="15.75" customHeight="1" x14ac:dyDescent="0.2">
      <c r="E7" s="99"/>
      <c r="F7">
        <v>2020</v>
      </c>
      <c r="G7">
        <v>35.700000000000003</v>
      </c>
      <c r="H7">
        <v>26.9</v>
      </c>
      <c r="I7">
        <v>18.2</v>
      </c>
      <c r="J7">
        <v>12.9</v>
      </c>
      <c r="K7">
        <v>63.7</v>
      </c>
      <c r="L7">
        <v>31.4</v>
      </c>
      <c r="M7">
        <v>13.8</v>
      </c>
      <c r="N7">
        <v>21.8</v>
      </c>
      <c r="O7">
        <v>22.7</v>
      </c>
      <c r="P7">
        <v>21.5</v>
      </c>
    </row>
    <row r="8" spans="1:16" x14ac:dyDescent="0.2">
      <c r="E8" s="99"/>
      <c r="F8">
        <v>2021</v>
      </c>
      <c r="G8">
        <v>29.1</v>
      </c>
      <c r="H8">
        <v>33.799999999999997</v>
      </c>
      <c r="I8">
        <v>20.399999999999999</v>
      </c>
      <c r="J8">
        <v>19.100000000000001</v>
      </c>
      <c r="K8">
        <v>46.4</v>
      </c>
      <c r="L8">
        <v>25.6</v>
      </c>
      <c r="M8">
        <v>15</v>
      </c>
      <c r="N8">
        <v>22.6</v>
      </c>
      <c r="O8">
        <v>25.2</v>
      </c>
      <c r="P8" s="14">
        <v>25.1</v>
      </c>
    </row>
    <row r="9" spans="1:16" x14ac:dyDescent="0.2">
      <c r="A9" s="98" t="s">
        <v>893</v>
      </c>
      <c r="B9" s="99"/>
      <c r="E9" s="99"/>
      <c r="F9">
        <v>2022</v>
      </c>
      <c r="G9">
        <v>39.299999999999997</v>
      </c>
      <c r="H9">
        <v>30.5</v>
      </c>
      <c r="I9">
        <v>22.4</v>
      </c>
      <c r="J9">
        <v>12.9</v>
      </c>
      <c r="K9">
        <v>61.5</v>
      </c>
      <c r="L9">
        <v>35.700000000000003</v>
      </c>
      <c r="M9">
        <v>15.4</v>
      </c>
      <c r="N9">
        <v>24</v>
      </c>
      <c r="O9">
        <v>26.3</v>
      </c>
      <c r="P9">
        <v>27.4</v>
      </c>
    </row>
    <row r="10" spans="1:16" x14ac:dyDescent="0.2">
      <c r="A10" t="s">
        <v>894</v>
      </c>
      <c r="B10" t="s">
        <v>972</v>
      </c>
      <c r="E10" s="99"/>
    </row>
    <row r="11" spans="1:16" x14ac:dyDescent="0.2">
      <c r="A11" t="s">
        <v>895</v>
      </c>
      <c r="B11" s="82" t="s">
        <v>1123</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6E3EA221-ED03-9744-86EB-D34116C9A2FD}">
      <formula1>"True,False"</formula1>
    </dataValidation>
    <dataValidation type="list" allowBlank="1" showInputMessage="1" showErrorMessage="1" sqref="B2" xr:uid="{6D7D3170-DA5C-7347-B02A-811C5335B485}">
      <formula1>"Table,Figure,Both"</formula1>
    </dataValidation>
    <dataValidation type="list" allowBlank="1" showInputMessage="1" showErrorMessage="1" sqref="B10" xr:uid="{F3DE089A-F982-CB45-8E15-88B7D76A165C}">
      <formula1>"Line,Clustered Bar,Stacked Bar,Bar,Horizontal Stacked Bar"</formula1>
    </dataValidation>
    <dataValidation type="list" allowBlank="1" showInputMessage="1" showErrorMessage="1" sqref="P4" xr:uid="{8E948E6E-E3AD-B646-AEE1-2ECD8A07238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81FE4940-ABB5-4E40-A907-94E8F920D5E5}">
          <x14:formula1>
            <xm:f>Dropdowns!$A$1:$A$8</xm:f>
          </x14:formula1>
          <xm:sqref>F4:O4</xm:sqref>
        </x14:dataValidation>
        <x14:dataValidation type="list" allowBlank="1" showInputMessage="1" showErrorMessage="1" xr:uid="{0C7726EF-472A-0C4A-940A-F2C4742BC8FF}">
          <x14:formula1>
            <xm:f>Master!$F$2:$F$401</xm:f>
          </x14:formula1>
          <xm:sqref>B1:O1</xm:sqref>
        </x14:dataValidation>
      </x14:dataValidations>
    </ext>
  </extLst>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CD5A-A8FC-9A4B-B271-7F7FFCFA9427}">
  <dimension ref="A1:P57"/>
  <sheetViews>
    <sheetView workbookViewId="0">
      <selection activeCell="B11" sqref="B11"/>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1894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tbl-poison-control-calls</v>
      </c>
    </row>
    <row r="4" spans="1:16" x14ac:dyDescent="0.2">
      <c r="A4" s="58" t="s">
        <v>6</v>
      </c>
      <c r="B4" t="str">
        <f>IF($B$1="","",_xlfn.XLOOKUP($B$1,Master!$F$2:$F$308,Master!$H$2:$H$308,""))</f>
        <v>fig-poison-control-calls</v>
      </c>
      <c r="E4" s="13"/>
      <c r="F4" s="16" t="s">
        <v>664</v>
      </c>
      <c r="G4" s="16" t="s">
        <v>679</v>
      </c>
      <c r="H4" s="16" t="s">
        <v>679</v>
      </c>
      <c r="I4" s="16" t="s">
        <v>679</v>
      </c>
      <c r="J4" s="16" t="s">
        <v>679</v>
      </c>
      <c r="K4" s="16" t="s">
        <v>679</v>
      </c>
      <c r="L4" s="16" t="s">
        <v>679</v>
      </c>
      <c r="M4" s="16" t="s">
        <v>679</v>
      </c>
      <c r="N4" s="16"/>
      <c r="O4" s="16"/>
      <c r="P4" s="16"/>
    </row>
    <row r="5" spans="1:16" x14ac:dyDescent="0.2">
      <c r="A5" s="98" t="s">
        <v>885</v>
      </c>
      <c r="B5" s="99"/>
      <c r="E5" s="100" t="s">
        <v>886</v>
      </c>
      <c r="F5" s="82" t="s">
        <v>1123</v>
      </c>
      <c r="G5" t="s">
        <v>220</v>
      </c>
      <c r="H5" t="s">
        <v>18</v>
      </c>
      <c r="I5" t="s">
        <v>537</v>
      </c>
      <c r="J5" t="s">
        <v>449</v>
      </c>
      <c r="K5" t="s">
        <v>409</v>
      </c>
      <c r="L5" t="s">
        <v>421</v>
      </c>
      <c r="M5" t="s">
        <v>470</v>
      </c>
    </row>
    <row r="6" spans="1:16" ht="15" customHeight="1" x14ac:dyDescent="0.2">
      <c r="A6" t="s">
        <v>891</v>
      </c>
      <c r="B6" t="b">
        <v>0</v>
      </c>
      <c r="E6" s="99"/>
      <c r="F6">
        <v>2020</v>
      </c>
      <c r="G6">
        <v>541</v>
      </c>
      <c r="H6">
        <v>604</v>
      </c>
      <c r="I6">
        <v>237</v>
      </c>
      <c r="J6">
        <v>431</v>
      </c>
      <c r="K6">
        <v>583</v>
      </c>
      <c r="L6">
        <v>609</v>
      </c>
      <c r="M6">
        <v>497</v>
      </c>
    </row>
    <row r="7" spans="1:16" ht="15.75" customHeight="1" x14ac:dyDescent="0.2">
      <c r="E7" s="99"/>
      <c r="F7">
        <v>2021</v>
      </c>
      <c r="G7">
        <v>421</v>
      </c>
      <c r="H7">
        <v>593</v>
      </c>
      <c r="I7">
        <v>220</v>
      </c>
      <c r="J7">
        <v>456</v>
      </c>
      <c r="K7">
        <v>589</v>
      </c>
      <c r="L7">
        <v>494</v>
      </c>
      <c r="M7">
        <v>441</v>
      </c>
    </row>
    <row r="8" spans="1:16" x14ac:dyDescent="0.2">
      <c r="E8" s="99"/>
      <c r="F8">
        <v>2022</v>
      </c>
      <c r="G8">
        <v>436</v>
      </c>
      <c r="H8">
        <v>613</v>
      </c>
      <c r="I8">
        <v>222</v>
      </c>
      <c r="J8">
        <v>470</v>
      </c>
      <c r="K8">
        <v>542</v>
      </c>
      <c r="L8">
        <v>446</v>
      </c>
      <c r="M8">
        <v>408</v>
      </c>
      <c r="P8" s="14"/>
    </row>
    <row r="9" spans="1:16" x14ac:dyDescent="0.2">
      <c r="A9" s="98" t="s">
        <v>893</v>
      </c>
      <c r="B9" s="99"/>
      <c r="E9" s="99"/>
      <c r="F9">
        <v>2023</v>
      </c>
      <c r="G9">
        <v>443</v>
      </c>
      <c r="H9">
        <v>573</v>
      </c>
      <c r="I9">
        <v>230</v>
      </c>
      <c r="J9">
        <v>399</v>
      </c>
      <c r="K9">
        <v>642</v>
      </c>
      <c r="L9">
        <v>444</v>
      </c>
      <c r="M9">
        <v>404</v>
      </c>
    </row>
    <row r="10" spans="1:16" x14ac:dyDescent="0.2">
      <c r="A10" t="s">
        <v>894</v>
      </c>
      <c r="B10" t="s">
        <v>983</v>
      </c>
      <c r="E10" s="99"/>
      <c r="F10">
        <v>2024</v>
      </c>
      <c r="G10">
        <v>464</v>
      </c>
      <c r="H10">
        <v>570</v>
      </c>
      <c r="I10">
        <v>226</v>
      </c>
      <c r="J10">
        <v>366</v>
      </c>
      <c r="K10">
        <v>636</v>
      </c>
      <c r="L10">
        <v>530</v>
      </c>
      <c r="M10">
        <v>388</v>
      </c>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D2DEB26B-A7F7-954B-8FB4-07A9E1207BA7}">
      <formula1>"integer, number, percent1"</formula1>
    </dataValidation>
    <dataValidation type="list" allowBlank="1" showInputMessage="1" showErrorMessage="1" sqref="B10" xr:uid="{286334DA-DF06-C849-8F5E-00268CEC5FAE}">
      <formula1>"Line,Clustered Bar,Stacked Bar,Bar,Horizontal Stacked Bar"</formula1>
    </dataValidation>
    <dataValidation type="list" allowBlank="1" showInputMessage="1" showErrorMessage="1" sqref="B2" xr:uid="{4E68C010-E20E-5E43-8B77-CE6DBBE901DC}">
      <formula1>"Table,Figure,Both"</formula1>
    </dataValidation>
    <dataValidation type="list" allowBlank="1" showInputMessage="1" showErrorMessage="1" sqref="B6 B15:B16" xr:uid="{A91E3863-7DD8-BB44-8A0E-629C9F407DBA}">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C456575-2C2D-2040-BDB9-F67A0A8B0437}">
          <x14:formula1>
            <xm:f>Dropdowns!$A$1:$A$8</xm:f>
          </x14:formula1>
          <xm:sqref>F4:O4</xm:sqref>
        </x14:dataValidation>
        <x14:dataValidation type="list" allowBlank="1" showInputMessage="1" showErrorMessage="1" xr:uid="{AD1136CF-2F12-9B46-BFF2-F89F83658E06}">
          <x14:formula1>
            <xm:f>Master!$F$2:$F$401</xm:f>
          </x14:formula1>
          <xm:sqref>B1:O1</xm:sqref>
        </x14:dataValidation>
      </x14:dataValidations>
    </ext>
  </extLst>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7BD7-B0E6-499C-8915-DA5AB786756B}">
  <dimension ref="A1:P57"/>
  <sheetViews>
    <sheetView workbookViewId="0">
      <selection activeCell="F6" sqref="F6"/>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644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tbl-unint-injury-mortal-aar</v>
      </c>
    </row>
    <row r="4" spans="1:16" x14ac:dyDescent="0.2">
      <c r="A4" s="58" t="s">
        <v>6</v>
      </c>
      <c r="B4" t="str">
        <f>IF($B$1="","",_xlfn.XLOOKUP($B$1,Master!$F$2:$F$308,Master!$H$2:$H$308,""))</f>
        <v>fig-unint-injury-mortal-aar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1775</v>
      </c>
      <c r="H5" s="101"/>
      <c r="I5" s="101"/>
      <c r="J5" s="101"/>
      <c r="K5" s="101"/>
      <c r="L5" s="101"/>
      <c r="M5" s="101"/>
      <c r="N5" s="101" t="s">
        <v>1776</v>
      </c>
      <c r="O5" s="101"/>
    </row>
    <row r="6" spans="1:16" ht="15" customHeight="1" x14ac:dyDescent="0.2">
      <c r="A6" t="s">
        <v>891</v>
      </c>
      <c r="B6" t="b">
        <v>1</v>
      </c>
      <c r="E6" s="99"/>
      <c r="F6" s="82" t="s">
        <v>1123</v>
      </c>
      <c r="G6" t="s">
        <v>220</v>
      </c>
      <c r="H6" t="s">
        <v>18</v>
      </c>
      <c r="I6" t="s">
        <v>537</v>
      </c>
      <c r="J6" t="s">
        <v>449</v>
      </c>
      <c r="K6" t="s">
        <v>409</v>
      </c>
      <c r="L6" t="s">
        <v>421</v>
      </c>
      <c r="M6" t="s">
        <v>470</v>
      </c>
      <c r="N6" t="s">
        <v>914</v>
      </c>
      <c r="O6" t="s">
        <v>915</v>
      </c>
    </row>
    <row r="7" spans="1:16" ht="15.75" customHeight="1" x14ac:dyDescent="0.2">
      <c r="E7" s="99"/>
      <c r="F7">
        <v>2018</v>
      </c>
      <c r="G7">
        <v>49</v>
      </c>
      <c r="H7">
        <v>49</v>
      </c>
      <c r="I7">
        <v>38</v>
      </c>
      <c r="J7">
        <v>32</v>
      </c>
      <c r="K7">
        <v>75</v>
      </c>
      <c r="L7">
        <v>50</v>
      </c>
      <c r="M7">
        <v>27</v>
      </c>
      <c r="N7">
        <v>41</v>
      </c>
      <c r="O7">
        <v>34</v>
      </c>
    </row>
    <row r="8" spans="1:16" x14ac:dyDescent="0.2">
      <c r="E8" s="99"/>
      <c r="F8">
        <v>2019</v>
      </c>
      <c r="G8">
        <v>52</v>
      </c>
      <c r="H8">
        <v>49</v>
      </c>
      <c r="I8">
        <v>34</v>
      </c>
      <c r="J8">
        <v>36</v>
      </c>
      <c r="K8">
        <v>82</v>
      </c>
      <c r="L8">
        <v>57</v>
      </c>
      <c r="M8">
        <v>28</v>
      </c>
      <c r="N8">
        <v>40</v>
      </c>
      <c r="O8">
        <v>34</v>
      </c>
      <c r="P8" s="14"/>
    </row>
    <row r="9" spans="1:16" x14ac:dyDescent="0.2">
      <c r="A9" s="98" t="s">
        <v>893</v>
      </c>
      <c r="B9" s="99"/>
      <c r="E9" s="99"/>
      <c r="F9">
        <v>2020</v>
      </c>
      <c r="G9">
        <v>52</v>
      </c>
      <c r="H9">
        <v>50</v>
      </c>
      <c r="I9">
        <v>36</v>
      </c>
      <c r="J9">
        <v>39</v>
      </c>
      <c r="K9">
        <v>85</v>
      </c>
      <c r="L9">
        <v>59</v>
      </c>
      <c r="M9">
        <v>30</v>
      </c>
      <c r="N9">
        <v>47</v>
      </c>
      <c r="O9">
        <v>41</v>
      </c>
    </row>
    <row r="10" spans="1:16" x14ac:dyDescent="0.2">
      <c r="A10" t="s">
        <v>894</v>
      </c>
      <c r="B10" t="s">
        <v>972</v>
      </c>
      <c r="E10" s="99"/>
      <c r="F10">
        <v>2021</v>
      </c>
      <c r="G10">
        <v>59</v>
      </c>
      <c r="H10">
        <v>56</v>
      </c>
      <c r="I10">
        <v>41</v>
      </c>
      <c r="J10">
        <v>38</v>
      </c>
      <c r="K10">
        <v>92</v>
      </c>
      <c r="L10">
        <v>64</v>
      </c>
      <c r="M10">
        <v>32</v>
      </c>
      <c r="N10">
        <v>52</v>
      </c>
      <c r="O10">
        <v>47</v>
      </c>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0</v>
      </c>
      <c r="E15" s="99"/>
      <c r="G15" s="68"/>
      <c r="H15" s="68"/>
      <c r="I15" s="46"/>
      <c r="J15" s="47"/>
      <c r="K15" s="47"/>
      <c r="L15" s="47"/>
      <c r="M15" s="47"/>
      <c r="N15" s="47"/>
      <c r="O15" s="46"/>
    </row>
    <row r="16" spans="1:16"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N5:O5"/>
    <mergeCell ref="G5:M5"/>
  </mergeCells>
  <dataValidations count="4">
    <dataValidation type="list" allowBlank="1" showInputMessage="1" showErrorMessage="1" sqref="B6 B15:B16" xr:uid="{BDFC4D1F-0BF5-4262-8FCD-E654FF2719EE}">
      <formula1>"True,False"</formula1>
    </dataValidation>
    <dataValidation type="list" allowBlank="1" showInputMessage="1" showErrorMessage="1" sqref="B2" xr:uid="{A25B5043-D813-47D8-B70D-AD2F4C68F916}">
      <formula1>"Table,Figure,Both"</formula1>
    </dataValidation>
    <dataValidation type="list" allowBlank="1" showInputMessage="1" showErrorMessage="1" sqref="B10" xr:uid="{F2A5980A-3FA0-4954-BBCB-2D58E3780B22}">
      <formula1>"Line,Clustered Bar,Stacked Bar,Bar,Horizontal Stacked Bar"</formula1>
    </dataValidation>
    <dataValidation type="list" allowBlank="1" showInputMessage="1" showErrorMessage="1" sqref="P4" xr:uid="{90E5C13C-35A2-4CD4-8F4F-788E0AA9A031}">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0D6B361-1CF1-4017-AA30-5660EF7183BF}">
          <x14:formula1>
            <xm:f>Dropdowns!$A$1:$A$8</xm:f>
          </x14:formula1>
          <xm:sqref>F4:O4</xm:sqref>
        </x14:dataValidation>
        <x14:dataValidation type="list" allowBlank="1" showInputMessage="1" showErrorMessage="1" xr:uid="{E8B52E4A-51CD-43B1-AD70-FC79AF63688F}">
          <x14:formula1>
            <xm:f>Master!$F$2:$F$401</xm:f>
          </x14:formula1>
          <xm:sqref>B1:O1</xm:sqref>
        </x14:dataValidation>
      </x14:dataValidations>
    </ext>
  </extLst>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6A9F4-DA15-44F6-A47F-115FD7BF674B}">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1895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tbl-child-under5-poison-control</v>
      </c>
    </row>
    <row r="4" spans="1:16" x14ac:dyDescent="0.2">
      <c r="A4" s="58" t="s">
        <v>6</v>
      </c>
      <c r="B4" t="str">
        <f>IF($B$1="","",_xlfn.XLOOKUP($B$1,Master!$F$2:$F$308,Master!$H$2:$H$308,""))</f>
        <v>fig-child-under5-poison-control</v>
      </c>
      <c r="E4" s="13"/>
      <c r="F4" s="16" t="s">
        <v>664</v>
      </c>
      <c r="G4" s="16" t="s">
        <v>679</v>
      </c>
      <c r="H4" s="16" t="s">
        <v>679</v>
      </c>
      <c r="I4" s="16" t="s">
        <v>679</v>
      </c>
      <c r="J4" s="16" t="s">
        <v>679</v>
      </c>
      <c r="K4" s="16" t="s">
        <v>679</v>
      </c>
      <c r="L4" s="16" t="s">
        <v>679</v>
      </c>
      <c r="M4" s="16" t="s">
        <v>679</v>
      </c>
      <c r="N4" s="16"/>
      <c r="O4" s="16"/>
      <c r="P4" s="16"/>
    </row>
    <row r="5" spans="1:16" x14ac:dyDescent="0.2">
      <c r="A5" s="98" t="s">
        <v>885</v>
      </c>
      <c r="B5" s="99"/>
      <c r="E5" s="100" t="s">
        <v>886</v>
      </c>
      <c r="F5" s="82" t="s">
        <v>1123</v>
      </c>
      <c r="G5" t="s">
        <v>220</v>
      </c>
      <c r="H5" t="s">
        <v>18</v>
      </c>
      <c r="I5" t="s">
        <v>537</v>
      </c>
      <c r="J5" t="s">
        <v>449</v>
      </c>
      <c r="K5" t="s">
        <v>409</v>
      </c>
      <c r="L5" t="s">
        <v>421</v>
      </c>
      <c r="M5" t="s">
        <v>470</v>
      </c>
    </row>
    <row r="6" spans="1:16" ht="15" customHeight="1" x14ac:dyDescent="0.2">
      <c r="A6" t="s">
        <v>891</v>
      </c>
      <c r="B6" t="b">
        <v>1</v>
      </c>
      <c r="E6" s="99"/>
      <c r="F6">
        <v>2020</v>
      </c>
      <c r="G6">
        <v>29.7</v>
      </c>
      <c r="H6">
        <v>30.9</v>
      </c>
      <c r="I6">
        <v>20.100000000000001</v>
      </c>
      <c r="J6">
        <v>32.700000000000003</v>
      </c>
      <c r="K6">
        <v>34.6</v>
      </c>
      <c r="L6">
        <v>31.1</v>
      </c>
      <c r="M6">
        <v>34.6</v>
      </c>
    </row>
    <row r="7" spans="1:16" ht="15.75" customHeight="1" x14ac:dyDescent="0.2">
      <c r="E7" s="99"/>
      <c r="F7">
        <v>2021</v>
      </c>
      <c r="G7">
        <v>30.9</v>
      </c>
      <c r="H7">
        <v>33.4</v>
      </c>
      <c r="I7">
        <v>26.4</v>
      </c>
      <c r="J7">
        <v>36.1</v>
      </c>
      <c r="K7">
        <v>30.4</v>
      </c>
      <c r="L7">
        <v>30.2</v>
      </c>
      <c r="M7">
        <v>34.200000000000003</v>
      </c>
    </row>
    <row r="8" spans="1:16" x14ac:dyDescent="0.2">
      <c r="E8" s="99"/>
      <c r="F8">
        <v>2022</v>
      </c>
      <c r="G8">
        <v>31.9</v>
      </c>
      <c r="H8">
        <v>35.799999999999997</v>
      </c>
      <c r="I8">
        <v>26.7</v>
      </c>
      <c r="J8">
        <v>36.799999999999997</v>
      </c>
      <c r="K8">
        <v>34</v>
      </c>
      <c r="L8">
        <v>30.3</v>
      </c>
      <c r="M8">
        <v>33.799999999999997</v>
      </c>
      <c r="P8" s="14"/>
    </row>
    <row r="9" spans="1:16" x14ac:dyDescent="0.2">
      <c r="A9" s="98" t="s">
        <v>893</v>
      </c>
      <c r="B9" s="99"/>
      <c r="E9" s="99"/>
      <c r="F9">
        <v>2023</v>
      </c>
      <c r="G9">
        <v>32.6</v>
      </c>
      <c r="H9">
        <v>40.5</v>
      </c>
      <c r="I9">
        <v>26.7</v>
      </c>
      <c r="J9">
        <v>41.3</v>
      </c>
      <c r="K9">
        <v>32.700000000000003</v>
      </c>
      <c r="L9">
        <v>28.8</v>
      </c>
      <c r="M9">
        <v>33.799999999999997</v>
      </c>
    </row>
    <row r="10" spans="1:16" x14ac:dyDescent="0.2">
      <c r="A10" t="s">
        <v>894</v>
      </c>
      <c r="B10" t="s">
        <v>983</v>
      </c>
      <c r="E10" s="99"/>
      <c r="F10">
        <v>2024</v>
      </c>
      <c r="G10">
        <v>30.6</v>
      </c>
      <c r="H10">
        <v>38.5</v>
      </c>
      <c r="I10">
        <v>28.5</v>
      </c>
      <c r="J10">
        <v>38.4</v>
      </c>
      <c r="K10">
        <v>30.8</v>
      </c>
      <c r="L10">
        <v>29</v>
      </c>
      <c r="M10">
        <v>31.6</v>
      </c>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disablePrompts="1" count="4">
    <dataValidation type="list" allowBlank="1" showInputMessage="1" showErrorMessage="1" sqref="P4" xr:uid="{9078306F-79B9-46C1-934C-50009DA1CFFF}">
      <formula1>"integer, number, percent1"</formula1>
    </dataValidation>
    <dataValidation type="list" allowBlank="1" showInputMessage="1" showErrorMessage="1" sqref="B10" xr:uid="{C97BB8B8-B57E-4C90-B06F-8D4ED2E6FDBD}">
      <formula1>"Line,Clustered Bar,Stacked Bar,Bar,Horizontal Stacked Bar"</formula1>
    </dataValidation>
    <dataValidation type="list" allowBlank="1" showInputMessage="1" showErrorMessage="1" sqref="B2" xr:uid="{C44BD102-D562-4C10-BF18-DFA0085DA2B7}">
      <formula1>"Table,Figure,Both"</formula1>
    </dataValidation>
    <dataValidation type="list" allowBlank="1" showInputMessage="1" showErrorMessage="1" sqref="B6 B15:B16" xr:uid="{3B4E3FA4-6ADB-49F9-9507-8360E660366E}">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C6480958-D7E7-4E66-98CC-57A5383EE3C3}">
          <x14:formula1>
            <xm:f>Master!$F$2:$F$401</xm:f>
          </x14:formula1>
          <xm:sqref>B1:O1</xm:sqref>
        </x14:dataValidation>
        <x14:dataValidation type="list" allowBlank="1" showInputMessage="1" showErrorMessage="1" xr:uid="{60F340FA-B1FC-4FF5-8C0F-FC8A59840EE6}">
          <x14:formula1>
            <xm:f>Dropdowns!$A$1:$A$8</xm:f>
          </x14:formula1>
          <xm:sqref>F4:O4</xm:sqref>
        </x14:dataValidation>
      </x14:dataValidations>
    </ext>
  </extLst>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F684-C294-403B-BC66-BA8288C0B8E7}">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7.332031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647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tbl-poison-control-cannabis</v>
      </c>
    </row>
    <row r="4" spans="1:16" x14ac:dyDescent="0.2">
      <c r="A4" s="58" t="s">
        <v>6</v>
      </c>
      <c r="B4" t="str">
        <f>IF($B$1="","",_xlfn.XLOOKUP($B$1,Master!$F$2:$F$308,Master!$H$2:$H$308,""))</f>
        <v>fig-poison-control-cannabis</v>
      </c>
      <c r="E4" s="13"/>
      <c r="F4" s="16" t="s">
        <v>664</v>
      </c>
      <c r="G4" s="16" t="s">
        <v>679</v>
      </c>
      <c r="H4" s="16" t="s">
        <v>679</v>
      </c>
      <c r="I4" s="16" t="s">
        <v>679</v>
      </c>
      <c r="J4" s="16" t="s">
        <v>679</v>
      </c>
      <c r="K4" s="16" t="s">
        <v>679</v>
      </c>
      <c r="L4" s="16" t="s">
        <v>679</v>
      </c>
      <c r="M4" s="16" t="s">
        <v>679</v>
      </c>
      <c r="N4" s="16"/>
      <c r="O4" s="16"/>
      <c r="P4" s="16"/>
    </row>
    <row r="5" spans="1:16" x14ac:dyDescent="0.2">
      <c r="A5" s="98" t="s">
        <v>885</v>
      </c>
      <c r="B5" s="99"/>
      <c r="E5" s="100" t="s">
        <v>886</v>
      </c>
      <c r="F5" s="82" t="s">
        <v>1123</v>
      </c>
      <c r="G5" t="s">
        <v>220</v>
      </c>
      <c r="H5" t="s">
        <v>18</v>
      </c>
      <c r="I5" t="s">
        <v>537</v>
      </c>
      <c r="J5" t="s">
        <v>449</v>
      </c>
      <c r="K5" t="s">
        <v>409</v>
      </c>
      <c r="L5" t="s">
        <v>421</v>
      </c>
      <c r="M5" t="s">
        <v>470</v>
      </c>
    </row>
    <row r="6" spans="1:16" ht="15" customHeight="1" x14ac:dyDescent="0.2">
      <c r="A6" t="s">
        <v>891</v>
      </c>
      <c r="B6" t="b">
        <v>1</v>
      </c>
      <c r="E6" s="99"/>
      <c r="F6">
        <v>2020</v>
      </c>
      <c r="G6">
        <v>1.4</v>
      </c>
      <c r="H6">
        <v>5.8</v>
      </c>
      <c r="I6">
        <v>2</v>
      </c>
      <c r="J6">
        <v>2.2000000000000002</v>
      </c>
      <c r="K6">
        <v>0</v>
      </c>
      <c r="L6">
        <v>1.7</v>
      </c>
      <c r="M6">
        <v>5.5</v>
      </c>
    </row>
    <row r="7" spans="1:16" ht="15.75" customHeight="1" x14ac:dyDescent="0.2">
      <c r="E7" s="99"/>
      <c r="F7">
        <v>2021</v>
      </c>
      <c r="G7">
        <v>3</v>
      </c>
      <c r="H7">
        <v>5.3</v>
      </c>
      <c r="I7">
        <v>2</v>
      </c>
      <c r="J7">
        <v>1.8</v>
      </c>
      <c r="K7">
        <v>10.199999999999999</v>
      </c>
      <c r="L7">
        <v>3.3</v>
      </c>
      <c r="M7">
        <v>7.1</v>
      </c>
    </row>
    <row r="8" spans="1:16" x14ac:dyDescent="0.2">
      <c r="E8" s="99"/>
      <c r="F8">
        <v>2022</v>
      </c>
      <c r="G8">
        <v>5.0999999999999996</v>
      </c>
      <c r="H8">
        <v>7.7</v>
      </c>
      <c r="I8">
        <v>3.1</v>
      </c>
      <c r="J8">
        <v>3.6</v>
      </c>
      <c r="K8">
        <v>7.6</v>
      </c>
      <c r="L8">
        <v>2.7</v>
      </c>
      <c r="M8">
        <v>6.4</v>
      </c>
      <c r="P8" s="14"/>
    </row>
    <row r="9" spans="1:16" x14ac:dyDescent="0.2">
      <c r="A9" s="98" t="s">
        <v>893</v>
      </c>
      <c r="B9" s="99"/>
      <c r="E9" s="99"/>
      <c r="F9">
        <v>2023</v>
      </c>
      <c r="G9">
        <v>5</v>
      </c>
      <c r="H9">
        <v>5.7</v>
      </c>
      <c r="I9">
        <v>3.1</v>
      </c>
      <c r="J9">
        <v>2.4</v>
      </c>
      <c r="K9">
        <v>8.8000000000000007</v>
      </c>
      <c r="L9">
        <v>1.1000000000000001</v>
      </c>
      <c r="M9">
        <v>6.7</v>
      </c>
    </row>
    <row r="10" spans="1:16" x14ac:dyDescent="0.2">
      <c r="A10" t="s">
        <v>894</v>
      </c>
      <c r="B10" t="s">
        <v>983</v>
      </c>
      <c r="E10" s="99"/>
      <c r="F10">
        <v>2024</v>
      </c>
      <c r="G10">
        <v>5.7</v>
      </c>
      <c r="H10">
        <v>6.7</v>
      </c>
      <c r="I10">
        <v>2</v>
      </c>
      <c r="J10">
        <v>1.8</v>
      </c>
      <c r="K10">
        <v>8.8000000000000007</v>
      </c>
      <c r="L10">
        <v>3.3</v>
      </c>
      <c r="M10">
        <v>5.9</v>
      </c>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FC93BBAF-7CA8-41D6-B118-F63F10F8C662}">
      <formula1>"True,False"</formula1>
    </dataValidation>
    <dataValidation type="list" allowBlank="1" showInputMessage="1" showErrorMessage="1" sqref="B2" xr:uid="{F9D77EAE-A285-4ADC-9CC1-DB4E2E6E464C}">
      <formula1>"Table,Figure,Both"</formula1>
    </dataValidation>
    <dataValidation type="list" allowBlank="1" showInputMessage="1" showErrorMessage="1" sqref="B10" xr:uid="{9577D7F3-D88B-43A0-8283-00D1800710F6}">
      <formula1>"Line,Clustered Bar,Stacked Bar,Bar,Horizontal Stacked Bar"</formula1>
    </dataValidation>
    <dataValidation type="list" allowBlank="1" showInputMessage="1" showErrorMessage="1" sqref="P4" xr:uid="{3505C81B-72B4-4A25-9A27-4A7E9A78C7A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DA33C37-8B93-4E24-BF3B-590A3F9E2B26}">
          <x14:formula1>
            <xm:f>Dropdowns!$A$1:$A$8</xm:f>
          </x14:formula1>
          <xm:sqref>F4:O4</xm:sqref>
        </x14:dataValidation>
        <x14:dataValidation type="list" allowBlank="1" showInputMessage="1" showErrorMessage="1" xr:uid="{FE48CF8A-E64D-4B49-9D06-C3248E98178A}">
          <x14:formula1>
            <xm:f>Master!$F$2:$F$401</xm:f>
          </x14:formula1>
          <xm:sqref>B1:O1</xm:sqref>
        </x14:dataValidation>
      </x14:dataValidations>
    </ext>
  </extLst>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32CA-B791-A540-A1B6-4FDF53C8341D}">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9.6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432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tbl-clrd-mortal-aar</v>
      </c>
    </row>
    <row r="4" spans="1:16" x14ac:dyDescent="0.2">
      <c r="A4" s="58" t="s">
        <v>6</v>
      </c>
      <c r="B4" t="str">
        <f>IF($B$1="","",_xlfn.XLOOKUP($B$1,Master!$F$2:$F$308,Master!$H$2:$H$308,""))</f>
        <v>fig-clrd-mortal-aar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t="s">
        <v>220</v>
      </c>
      <c r="H5" t="s">
        <v>18</v>
      </c>
      <c r="I5" t="s">
        <v>537</v>
      </c>
      <c r="J5" t="s">
        <v>449</v>
      </c>
      <c r="K5" t="s">
        <v>409</v>
      </c>
      <c r="L5" t="s">
        <v>421</v>
      </c>
      <c r="M5" t="s">
        <v>470</v>
      </c>
      <c r="N5" t="s">
        <v>898</v>
      </c>
      <c r="O5" t="s">
        <v>914</v>
      </c>
      <c r="P5" t="s">
        <v>915</v>
      </c>
    </row>
    <row r="6" spans="1:16" ht="15" customHeight="1" x14ac:dyDescent="0.2">
      <c r="A6" t="s">
        <v>891</v>
      </c>
      <c r="B6" t="b">
        <v>1</v>
      </c>
      <c r="E6" s="99"/>
      <c r="F6" t="s">
        <v>1628</v>
      </c>
      <c r="G6">
        <v>23.7</v>
      </c>
      <c r="H6">
        <v>32.1</v>
      </c>
      <c r="I6">
        <v>20.7</v>
      </c>
      <c r="J6">
        <v>20.100000000000001</v>
      </c>
      <c r="K6">
        <v>43.5</v>
      </c>
      <c r="L6">
        <v>32.1</v>
      </c>
      <c r="M6">
        <v>17.3</v>
      </c>
      <c r="N6">
        <v>22.8</v>
      </c>
      <c r="O6">
        <v>29.3</v>
      </c>
      <c r="P6">
        <v>23.7</v>
      </c>
    </row>
    <row r="7" spans="1:16" ht="15.75" customHeight="1" x14ac:dyDescent="0.2">
      <c r="E7" s="99"/>
    </row>
    <row r="8" spans="1:16" x14ac:dyDescent="0.2">
      <c r="E8" s="99"/>
      <c r="P8" s="14"/>
    </row>
    <row r="9" spans="1:16" x14ac:dyDescent="0.2">
      <c r="A9" s="98" t="s">
        <v>893</v>
      </c>
      <c r="B9" s="99"/>
      <c r="E9" s="99"/>
    </row>
    <row r="10" spans="1:16" x14ac:dyDescent="0.2">
      <c r="A10" t="s">
        <v>894</v>
      </c>
      <c r="B10" t="s">
        <v>1002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0F063121-3F9E-C744-88DD-358E9C6C1755}">
      <formula1>"integer, number, percent1"</formula1>
    </dataValidation>
    <dataValidation type="list" allowBlank="1" showInputMessage="1" showErrorMessage="1" sqref="B10" xr:uid="{768CD6E8-1C8E-BB4B-9E06-70874254CDCB}">
      <formula1>"Line,Clustered Bar,Stacked Bar,Bar,Horizontal Stacked Bar"</formula1>
    </dataValidation>
    <dataValidation type="list" allowBlank="1" showInputMessage="1" showErrorMessage="1" sqref="B2" xr:uid="{C41E5F40-4F7B-9246-9648-329495AB1EA2}">
      <formula1>"Table,Figure,Both"</formula1>
    </dataValidation>
    <dataValidation type="list" allowBlank="1" showInputMessage="1" showErrorMessage="1" sqref="B6 B15:B16" xr:uid="{4534E3EC-7F5B-D849-AB57-0D44D9637AC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C6A7BD2-F374-6F42-995F-8A684FB8C0DD}">
          <x14:formula1>
            <xm:f>Master!$F$2:$F$401</xm:f>
          </x14:formula1>
          <xm:sqref>B1:O1</xm:sqref>
        </x14:dataValidation>
        <x14:dataValidation type="list" allowBlank="1" showInputMessage="1" showErrorMessage="1" xr:uid="{01538172-9498-8149-9F6F-205EA4684DE7}">
          <x14:formula1>
            <xm:f>Dropdowns!$A$1:$A$8</xm:f>
          </x14:formula1>
          <xm:sqref>F4:O4</xm:sqref>
        </x14:dataValidation>
      </x14:dataValidations>
    </ext>
  </extLst>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C2F3-64A8-AA45-8F69-0D77F59CB87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436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tbl-clrd-mortal-rande-aar</v>
      </c>
    </row>
    <row r="4" spans="1:16" x14ac:dyDescent="0.2">
      <c r="A4" s="58" t="s">
        <v>6</v>
      </c>
      <c r="B4" t="str">
        <f>IF($B$1="","",_xlfn.XLOOKUP($B$1,Master!$F$2:$F$308,Master!$H$2:$H$308,""))</f>
        <v>fig-clrd-mortal-rande-aar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2167</v>
      </c>
      <c r="G5" t="s">
        <v>220</v>
      </c>
      <c r="H5" t="s">
        <v>18</v>
      </c>
      <c r="I5" t="s">
        <v>537</v>
      </c>
      <c r="J5" t="s">
        <v>449</v>
      </c>
      <c r="K5" t="s">
        <v>409</v>
      </c>
      <c r="L5" t="s">
        <v>421</v>
      </c>
      <c r="M5" t="s">
        <v>470</v>
      </c>
      <c r="N5" t="s">
        <v>914</v>
      </c>
      <c r="O5" t="s">
        <v>915</v>
      </c>
    </row>
    <row r="6" spans="1:16" ht="15" customHeight="1" x14ac:dyDescent="0.2">
      <c r="A6" t="s">
        <v>891</v>
      </c>
      <c r="B6" t="b">
        <v>1</v>
      </c>
      <c r="E6" s="99"/>
      <c r="F6" t="s">
        <v>929</v>
      </c>
      <c r="G6">
        <v>25.3</v>
      </c>
      <c r="H6">
        <v>36.299999999999997</v>
      </c>
      <c r="I6">
        <v>22.2</v>
      </c>
      <c r="J6">
        <v>23.3</v>
      </c>
      <c r="K6">
        <v>45.3</v>
      </c>
      <c r="L6">
        <v>32.9</v>
      </c>
      <c r="M6">
        <v>18.3</v>
      </c>
      <c r="N6">
        <v>31.5</v>
      </c>
      <c r="O6">
        <v>27.8</v>
      </c>
    </row>
    <row r="7" spans="1:16" ht="15.75" customHeight="1" x14ac:dyDescent="0.2">
      <c r="E7" s="99"/>
      <c r="F7" t="s">
        <v>1552</v>
      </c>
      <c r="G7">
        <v>17.8</v>
      </c>
      <c r="H7">
        <v>21.4</v>
      </c>
      <c r="I7" t="s">
        <v>1906</v>
      </c>
      <c r="J7">
        <v>12.4</v>
      </c>
      <c r="K7" t="s">
        <v>1907</v>
      </c>
      <c r="L7">
        <v>40.700000000000003</v>
      </c>
      <c r="M7">
        <v>18.899999999999999</v>
      </c>
      <c r="N7">
        <v>22.8</v>
      </c>
      <c r="O7">
        <v>18.2</v>
      </c>
    </row>
    <row r="8" spans="1:16" x14ac:dyDescent="0.2">
      <c r="E8" s="99"/>
      <c r="F8" t="s">
        <v>1553</v>
      </c>
      <c r="G8" t="s">
        <v>1862</v>
      </c>
      <c r="H8" t="s">
        <v>1908</v>
      </c>
      <c r="I8" t="s">
        <v>1906</v>
      </c>
      <c r="J8" t="s">
        <v>1909</v>
      </c>
      <c r="K8" t="s">
        <v>1906</v>
      </c>
      <c r="L8" t="s">
        <v>1906</v>
      </c>
      <c r="M8">
        <v>5.3</v>
      </c>
      <c r="N8">
        <v>6</v>
      </c>
      <c r="O8">
        <v>7.5</v>
      </c>
      <c r="P8" s="14"/>
    </row>
    <row r="9" spans="1:16" x14ac:dyDescent="0.2">
      <c r="A9" s="98" t="s">
        <v>893</v>
      </c>
      <c r="B9" s="99"/>
      <c r="E9" s="99"/>
      <c r="F9" t="s">
        <v>927</v>
      </c>
      <c r="G9">
        <v>14.8</v>
      </c>
      <c r="H9">
        <v>12.5</v>
      </c>
      <c r="I9" t="s">
        <v>1910</v>
      </c>
      <c r="J9" t="s">
        <v>1911</v>
      </c>
      <c r="K9" t="s">
        <v>1912</v>
      </c>
      <c r="L9" t="s">
        <v>1913</v>
      </c>
      <c r="M9">
        <v>10.199999999999999</v>
      </c>
      <c r="N9">
        <v>11.4</v>
      </c>
      <c r="O9">
        <v>13</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2167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DDD48777-67EA-324D-AC40-3ED157BF86AE}">
      <formula1>"True,False"</formula1>
    </dataValidation>
    <dataValidation type="list" allowBlank="1" showInputMessage="1" showErrorMessage="1" sqref="B2" xr:uid="{7C7D3A8D-AC0F-2746-9A89-3274F6AA7AC2}">
      <formula1>"Table,Figure,Both"</formula1>
    </dataValidation>
    <dataValidation type="list" allowBlank="1" showInputMessage="1" showErrorMessage="1" sqref="B10" xr:uid="{92DA81EE-AB07-8C4D-8C5B-84F964203111}">
      <formula1>"Line,Clustered Bar,Stacked Bar,Bar,Horizontal Stacked Bar"</formula1>
    </dataValidation>
    <dataValidation type="list" allowBlank="1" showInputMessage="1" showErrorMessage="1" sqref="P4" xr:uid="{69BD26F5-9982-7140-A086-CFA06ED4667B}">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05D18B6-C83E-8940-B088-1D4664954D1A}">
          <x14:formula1>
            <xm:f>Dropdowns!$A$1:$A$8</xm:f>
          </x14:formula1>
          <xm:sqref>F4:O4</xm:sqref>
        </x14:dataValidation>
        <x14:dataValidation type="list" allowBlank="1" showInputMessage="1" showErrorMessage="1" xr:uid="{9A792DF0-98ED-C044-AB81-5C57439A1664}">
          <x14:formula1>
            <xm:f>Master!$F$2:$F$401</xm:f>
          </x14:formula1>
          <xm:sqref>B1:O1</xm:sqref>
        </x14:dataValidation>
      </x14:dataValidations>
    </ext>
  </extLst>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37AC-C03B-B543-B055-102F61EBE79C}">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1914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tbl-cardiovasdz-hospi-aar</v>
      </c>
    </row>
    <row r="4" spans="1:16" x14ac:dyDescent="0.2">
      <c r="A4" s="58" t="s">
        <v>6</v>
      </c>
      <c r="B4" t="str">
        <f>IF($B$1="","",_xlfn.XLOOKUP($B$1,Master!$F$2:$F$308,Master!$H$2:$H$308,""))</f>
        <v>fig-cardiovasdz-hospi-aar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82" t="s">
        <v>1123</v>
      </c>
      <c r="G5" t="s">
        <v>220</v>
      </c>
      <c r="H5" t="s">
        <v>18</v>
      </c>
      <c r="I5" t="s">
        <v>537</v>
      </c>
      <c r="J5" t="s">
        <v>449</v>
      </c>
      <c r="K5" t="s">
        <v>409</v>
      </c>
      <c r="L5" t="s">
        <v>421</v>
      </c>
      <c r="M5" t="s">
        <v>470</v>
      </c>
      <c r="N5" t="s">
        <v>898</v>
      </c>
      <c r="O5" t="s">
        <v>915</v>
      </c>
    </row>
    <row r="6" spans="1:16" ht="15" customHeight="1" x14ac:dyDescent="0.2">
      <c r="A6" t="s">
        <v>891</v>
      </c>
      <c r="B6" t="b">
        <v>0</v>
      </c>
      <c r="E6" s="99"/>
      <c r="F6" t="s">
        <v>1915</v>
      </c>
      <c r="G6">
        <v>102.3</v>
      </c>
      <c r="H6">
        <v>116.1</v>
      </c>
      <c r="I6">
        <v>76.900000000000006</v>
      </c>
      <c r="J6">
        <v>81.099999999999994</v>
      </c>
      <c r="K6">
        <v>129.9</v>
      </c>
      <c r="L6">
        <v>109.6</v>
      </c>
      <c r="M6">
        <v>90.9</v>
      </c>
      <c r="N6">
        <v>99.3</v>
      </c>
      <c r="O6">
        <v>111.2</v>
      </c>
    </row>
    <row r="7" spans="1:16" ht="15.75" customHeight="1" x14ac:dyDescent="0.2">
      <c r="E7" s="99"/>
    </row>
    <row r="8" spans="1:16" x14ac:dyDescent="0.2">
      <c r="E8" s="99"/>
      <c r="P8" s="14"/>
    </row>
    <row r="9" spans="1:16" x14ac:dyDescent="0.2">
      <c r="A9" s="98" t="s">
        <v>893</v>
      </c>
      <c r="B9" s="99"/>
      <c r="E9" s="99"/>
    </row>
    <row r="10" spans="1:16" x14ac:dyDescent="0.2">
      <c r="A10" t="s">
        <v>894</v>
      </c>
      <c r="B10" t="s">
        <v>1002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708</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06FE321F-B239-F646-BAC5-285D4C8F5E71}">
      <formula1>"integer, number, percent1"</formula1>
    </dataValidation>
    <dataValidation type="list" allowBlank="1" showInputMessage="1" showErrorMessage="1" sqref="B10" xr:uid="{C3DCB29B-7A04-D742-87BF-CEF73944A51E}">
      <formula1>"Line,Clustered Bar,Stacked Bar,Bar,Horizontal Stacked Bar"</formula1>
    </dataValidation>
    <dataValidation type="list" allowBlank="1" showInputMessage="1" showErrorMessage="1" sqref="B2" xr:uid="{B34D3998-CA39-AA40-9EE1-53B47F7E0C75}">
      <formula1>"Table,Figure,Both"</formula1>
    </dataValidation>
    <dataValidation type="list" allowBlank="1" showInputMessage="1" showErrorMessage="1" sqref="B6 B15:B16" xr:uid="{A39B9DDE-46E1-3046-9C9F-E9C95DE8C28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DBAB5AD-0E25-0343-BB9E-6910FDFD80FF}">
          <x14:formula1>
            <xm:f>Master!$F$2:$F$401</xm:f>
          </x14:formula1>
          <xm:sqref>B1:O1</xm:sqref>
        </x14:dataValidation>
        <x14:dataValidation type="list" allowBlank="1" showInputMessage="1" showErrorMessage="1" xr:uid="{A71A7F23-1E67-2B4A-91B3-A1F19ECEE2AF}">
          <x14:formula1>
            <xm:f>Dropdowns!$A$1:$A$8</xm:f>
          </x14:formula1>
          <xm:sqref>F4:O4</xm:sqref>
        </x14:dataValidation>
      </x14:dataValidations>
    </ext>
  </extLst>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789C-0421-7A47-8CAB-6ACFBA973802}">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1916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tbl-adult-highbp-mddx-percent</v>
      </c>
    </row>
    <row r="4" spans="1:16" x14ac:dyDescent="0.2">
      <c r="A4" s="58" t="s">
        <v>6</v>
      </c>
      <c r="B4" t="str">
        <f>IF($B$1="","",_xlfn.XLOOKUP($B$1,Master!$F$2:$F$308,Master!$H$2:$H$308,""))</f>
        <v>fig-adult-highbp-mddx-percent</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t="s">
        <v>220</v>
      </c>
      <c r="H5" t="s">
        <v>18</v>
      </c>
      <c r="I5" t="s">
        <v>537</v>
      </c>
      <c r="J5" t="s">
        <v>449</v>
      </c>
      <c r="K5" t="s">
        <v>409</v>
      </c>
      <c r="L5" t="s">
        <v>421</v>
      </c>
      <c r="M5" t="s">
        <v>470</v>
      </c>
      <c r="N5" t="s">
        <v>898</v>
      </c>
      <c r="O5" t="s">
        <v>914</v>
      </c>
      <c r="P5" t="s">
        <v>915</v>
      </c>
    </row>
    <row r="6" spans="1:16" ht="15" customHeight="1" x14ac:dyDescent="0.2">
      <c r="A6" t="s">
        <v>891</v>
      </c>
      <c r="B6" t="b">
        <v>0</v>
      </c>
      <c r="E6" s="99"/>
      <c r="F6">
        <v>2016</v>
      </c>
      <c r="G6">
        <v>27.5</v>
      </c>
      <c r="H6">
        <v>30.4</v>
      </c>
      <c r="I6">
        <v>21.1</v>
      </c>
      <c r="J6">
        <v>28.1</v>
      </c>
      <c r="K6">
        <v>31.7</v>
      </c>
      <c r="L6">
        <v>29.4</v>
      </c>
      <c r="M6">
        <v>24.2</v>
      </c>
      <c r="N6">
        <v>26.7</v>
      </c>
      <c r="O6">
        <v>29.4</v>
      </c>
      <c r="P6">
        <v>28.9</v>
      </c>
    </row>
    <row r="7" spans="1:16" ht="15.75" customHeight="1" x14ac:dyDescent="0.2">
      <c r="E7" s="99"/>
      <c r="F7">
        <v>2021</v>
      </c>
      <c r="G7">
        <v>28.2</v>
      </c>
      <c r="H7">
        <v>29.1</v>
      </c>
      <c r="I7">
        <v>27.9</v>
      </c>
      <c r="J7">
        <v>26</v>
      </c>
      <c r="K7">
        <v>22.3</v>
      </c>
      <c r="L7">
        <v>27.8</v>
      </c>
      <c r="M7">
        <v>22.9</v>
      </c>
      <c r="N7">
        <v>25.9</v>
      </c>
      <c r="O7">
        <v>27.6</v>
      </c>
      <c r="P7">
        <v>27.6</v>
      </c>
    </row>
    <row r="8" spans="1:16" x14ac:dyDescent="0.2">
      <c r="E8" s="99"/>
      <c r="P8" s="14"/>
    </row>
    <row r="9" spans="1:16" x14ac:dyDescent="0.2">
      <c r="A9" s="98" t="s">
        <v>893</v>
      </c>
      <c r="B9" s="99"/>
      <c r="E9" s="99"/>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D72FF455-9EF4-3849-88F6-F948ECCC023E}">
      <formula1>"True,False"</formula1>
    </dataValidation>
    <dataValidation type="list" allowBlank="1" showInputMessage="1" showErrorMessage="1" sqref="B2" xr:uid="{7B586C07-65E7-F141-A941-A23405E5BFD4}">
      <formula1>"Table,Figure,Both"</formula1>
    </dataValidation>
    <dataValidation type="list" allowBlank="1" showInputMessage="1" showErrorMessage="1" sqref="B10" xr:uid="{833B1DE2-D1B4-8548-8CFD-B3EB26E587B9}">
      <formula1>"Line,Clustered Bar,Stacked Bar,Bar,Horizontal Stacked Bar"</formula1>
    </dataValidation>
    <dataValidation type="list" allowBlank="1" showInputMessage="1" showErrorMessage="1" sqref="P4" xr:uid="{A92FF00D-0C45-9847-8480-9D6AFD54768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A295D73B-6490-AF42-8460-C73447EF169B}">
          <x14:formula1>
            <xm:f>Dropdowns!$A$1:$A$8</xm:f>
          </x14:formula1>
          <xm:sqref>F4:O4</xm:sqref>
        </x14:dataValidation>
        <x14:dataValidation type="list" allowBlank="1" showInputMessage="1" showErrorMessage="1" xr:uid="{94248291-59E3-C241-ACAB-540660E93B39}">
          <x14:formula1>
            <xm:f>Master!$F$2:$F$401</xm:f>
          </x14:formula1>
          <xm:sqref>B1:O1</xm:sqref>
        </x14:dataValidation>
      </x14:dataValidations>
    </ext>
  </extLst>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9391-5D14-1B45-8873-DAE595FC4F4E}">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455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tbl-cerebrovasdz-hospital-aar</v>
      </c>
    </row>
    <row r="4" spans="1:16" x14ac:dyDescent="0.2">
      <c r="A4" s="58" t="s">
        <v>6</v>
      </c>
      <c r="B4" t="str">
        <f>IF($B$1="","",_xlfn.XLOOKUP($B$1,Master!$F$2:$F$308,Master!$H$2:$H$308,""))</f>
        <v>fig-cerebrovasdz-hospital-aar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82" t="s">
        <v>1123</v>
      </c>
      <c r="G5" t="s">
        <v>220</v>
      </c>
      <c r="H5" t="s">
        <v>18</v>
      </c>
      <c r="I5" t="s">
        <v>537</v>
      </c>
      <c r="J5" t="s">
        <v>449</v>
      </c>
      <c r="K5" t="s">
        <v>409</v>
      </c>
      <c r="L5" t="s">
        <v>421</v>
      </c>
      <c r="M5" t="s">
        <v>470</v>
      </c>
      <c r="N5" t="s">
        <v>898</v>
      </c>
      <c r="O5" t="s">
        <v>914</v>
      </c>
    </row>
    <row r="6" spans="1:16" ht="15" customHeight="1" x14ac:dyDescent="0.2">
      <c r="A6" t="s">
        <v>891</v>
      </c>
      <c r="B6" t="b">
        <v>0</v>
      </c>
      <c r="E6" s="99"/>
      <c r="F6" t="s">
        <v>1915</v>
      </c>
      <c r="G6">
        <v>18.7</v>
      </c>
      <c r="H6">
        <v>21.9</v>
      </c>
      <c r="I6">
        <v>14.7</v>
      </c>
      <c r="J6">
        <v>17.7</v>
      </c>
      <c r="K6">
        <v>23.6</v>
      </c>
      <c r="L6">
        <v>19.399999999999999</v>
      </c>
      <c r="M6">
        <v>17.8</v>
      </c>
      <c r="N6">
        <v>18.7</v>
      </c>
      <c r="O6">
        <v>19.899999999999999</v>
      </c>
    </row>
    <row r="7" spans="1:16" ht="15.75" customHeight="1" x14ac:dyDescent="0.2">
      <c r="E7" s="99"/>
    </row>
    <row r="8" spans="1:16" x14ac:dyDescent="0.2">
      <c r="E8" s="99"/>
      <c r="P8" s="14"/>
    </row>
    <row r="9" spans="1:16" x14ac:dyDescent="0.2">
      <c r="A9" s="98" t="s">
        <v>893</v>
      </c>
      <c r="B9" s="99"/>
      <c r="E9" s="99"/>
    </row>
    <row r="10" spans="1:16" x14ac:dyDescent="0.2">
      <c r="A10" t="s">
        <v>894</v>
      </c>
      <c r="B10" t="s">
        <v>1002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708</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DB566D31-4415-A74E-9757-5BB5306F000D}">
      <formula1>"integer, number, percent1"</formula1>
    </dataValidation>
    <dataValidation type="list" allowBlank="1" showInputMessage="1" showErrorMessage="1" sqref="B10" xr:uid="{5481DA19-2132-194A-A3EC-EE63686B0D03}">
      <formula1>"Line,Clustered Bar,Stacked Bar,Bar,Horizontal Stacked Bar"</formula1>
    </dataValidation>
    <dataValidation type="list" allowBlank="1" showInputMessage="1" showErrorMessage="1" sqref="B2" xr:uid="{B13D9789-84F1-3D44-9B45-C2140D0EF67D}">
      <formula1>"Table,Figure,Both"</formula1>
    </dataValidation>
    <dataValidation type="list" allowBlank="1" showInputMessage="1" showErrorMessage="1" sqref="B6 B15:B16" xr:uid="{5A8A87D6-9386-6247-B531-4D2DFD0D3F5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81E3F8C-0F74-D946-A8B2-D6BFA30AB96D}">
          <x14:formula1>
            <xm:f>Master!$F$2:$F$401</xm:f>
          </x14:formula1>
          <xm:sqref>B1:O1</xm:sqref>
        </x14:dataValidation>
        <x14:dataValidation type="list" allowBlank="1" showInputMessage="1" showErrorMessage="1" xr:uid="{8E249423-1A1D-4F4F-9120-475A14D71DA3}">
          <x14:formula1>
            <xm:f>Dropdowns!$A$1:$A$8</xm:f>
          </x14:formula1>
          <xm:sqref>F4:O4</xm:sqref>
        </x14:dataValidation>
      </x14:dataValidations>
    </ext>
  </extLst>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909F-21E2-CC48-BC3D-7E8C5EB370E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458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tbl-cerebrovasdz-hospital-rande-aar</v>
      </c>
    </row>
    <row r="4" spans="1:16" x14ac:dyDescent="0.2">
      <c r="A4" s="58" t="s">
        <v>6</v>
      </c>
      <c r="B4" t="str">
        <f>IF($B$1="","",_xlfn.XLOOKUP($B$1,Master!$F$2:$F$308,Master!$H$2:$H$308,""))</f>
        <v>fig-cerebrovasdz-hospital-rande-aar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2167</v>
      </c>
      <c r="G5" t="s">
        <v>220</v>
      </c>
      <c r="H5" t="s">
        <v>18</v>
      </c>
      <c r="I5" t="s">
        <v>537</v>
      </c>
      <c r="J5" t="s">
        <v>449</v>
      </c>
      <c r="K5" t="s">
        <v>409</v>
      </c>
      <c r="L5" t="s">
        <v>421</v>
      </c>
      <c r="M5" t="s">
        <v>470</v>
      </c>
      <c r="N5" t="s">
        <v>914</v>
      </c>
      <c r="O5" t="s">
        <v>915</v>
      </c>
    </row>
    <row r="6" spans="1:16" ht="15" customHeight="1" x14ac:dyDescent="0.2">
      <c r="A6" t="s">
        <v>891</v>
      </c>
      <c r="B6" t="b">
        <v>0</v>
      </c>
      <c r="E6" s="99"/>
      <c r="F6" t="s">
        <v>929</v>
      </c>
      <c r="G6">
        <v>15.7</v>
      </c>
      <c r="H6">
        <v>17.600000000000001</v>
      </c>
      <c r="I6">
        <v>12.8</v>
      </c>
      <c r="J6">
        <v>12.6</v>
      </c>
      <c r="K6">
        <v>20.8</v>
      </c>
      <c r="L6">
        <v>17.3</v>
      </c>
      <c r="M6">
        <v>11.8</v>
      </c>
      <c r="N6">
        <v>16.7</v>
      </c>
      <c r="O6">
        <v>15.4</v>
      </c>
    </row>
    <row r="7" spans="1:16" ht="15.75" customHeight="1" x14ac:dyDescent="0.2">
      <c r="E7" s="99"/>
      <c r="F7" t="s">
        <v>1552</v>
      </c>
      <c r="G7">
        <v>12.8</v>
      </c>
      <c r="H7">
        <v>29.4</v>
      </c>
      <c r="I7" t="s">
        <v>1918</v>
      </c>
      <c r="J7">
        <v>21.1</v>
      </c>
      <c r="K7">
        <v>36.5</v>
      </c>
      <c r="L7">
        <v>20.399999999999999</v>
      </c>
      <c r="M7">
        <v>27.8</v>
      </c>
      <c r="N7">
        <v>33.1</v>
      </c>
      <c r="O7">
        <v>27</v>
      </c>
    </row>
    <row r="8" spans="1:16" x14ac:dyDescent="0.2">
      <c r="E8" s="99"/>
      <c r="F8" t="s">
        <v>1814</v>
      </c>
      <c r="G8">
        <v>5</v>
      </c>
      <c r="H8">
        <v>16</v>
      </c>
      <c r="I8">
        <v>13.6</v>
      </c>
      <c r="J8">
        <v>6.9</v>
      </c>
      <c r="K8" t="s">
        <v>1919</v>
      </c>
      <c r="L8" t="s">
        <v>1920</v>
      </c>
      <c r="M8">
        <v>7.7</v>
      </c>
      <c r="N8">
        <v>11.2</v>
      </c>
      <c r="O8">
        <v>11.2</v>
      </c>
      <c r="P8" s="14"/>
    </row>
    <row r="9" spans="1:16" x14ac:dyDescent="0.2">
      <c r="A9" s="98" t="s">
        <v>893</v>
      </c>
      <c r="B9" s="99"/>
      <c r="E9" s="99"/>
      <c r="F9" t="s">
        <v>927</v>
      </c>
      <c r="G9">
        <v>9.1</v>
      </c>
      <c r="H9">
        <v>15.4</v>
      </c>
      <c r="I9">
        <v>11</v>
      </c>
      <c r="J9">
        <v>15.1</v>
      </c>
      <c r="K9">
        <v>12.8</v>
      </c>
      <c r="L9">
        <v>11.2</v>
      </c>
      <c r="M9">
        <v>10.5</v>
      </c>
      <c r="N9">
        <v>15.4</v>
      </c>
      <c r="O9">
        <v>16.399999999999999</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2167</v>
      </c>
      <c r="E13" s="99"/>
      <c r="F13" s="47"/>
      <c r="G13" s="47"/>
      <c r="H13" s="47"/>
      <c r="I13" s="46"/>
      <c r="J13" s="46"/>
      <c r="K13" s="46"/>
      <c r="L13" s="46"/>
      <c r="M13" s="46"/>
      <c r="N13" s="46"/>
      <c r="O13" s="46"/>
    </row>
    <row r="14" spans="1:16" x14ac:dyDescent="0.2">
      <c r="A14" t="s">
        <v>899</v>
      </c>
      <c r="B14" t="s">
        <v>708</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CD4AAD2A-4759-AD4B-843E-E9F2D0F406B9}">
      <formula1>"True,False"</formula1>
    </dataValidation>
    <dataValidation type="list" allowBlank="1" showInputMessage="1" showErrorMessage="1" sqref="B2" xr:uid="{FB5B29F8-1828-CE47-8677-0F46D6F59117}">
      <formula1>"Table,Figure,Both"</formula1>
    </dataValidation>
    <dataValidation type="list" allowBlank="1" showInputMessage="1" showErrorMessage="1" sqref="B10" xr:uid="{7F87B352-AB46-734D-AEF1-31E2DFEF5B70}">
      <formula1>"Line,Clustered Bar,Stacked Bar,Bar,Horizontal Stacked Bar"</formula1>
    </dataValidation>
    <dataValidation type="list" allowBlank="1" showInputMessage="1" showErrorMessage="1" sqref="P4" xr:uid="{8B1965C1-2F3A-4B4F-B78F-B6164FA1E0AD}">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1C7866A-619D-6845-A584-1F5EDF2664B6}">
          <x14:formula1>
            <xm:f>Dropdowns!$A$1:$A$8</xm:f>
          </x14:formula1>
          <xm:sqref>F4:O4</xm:sqref>
        </x14:dataValidation>
        <x14:dataValidation type="list" allowBlank="1" showInputMessage="1" showErrorMessage="1" xr:uid="{DBC64A7F-34DF-7347-97F0-4CFD7E6ECB3B}">
          <x14:formula1>
            <xm:f>Master!$F$2:$F$401</xm:f>
          </x14:formula1>
          <xm:sqref>B1:O1</xm:sqref>
        </x14:dataValidation>
      </x14:dataValidations>
    </ext>
  </extLst>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B43D-FE06-D842-9148-D4C2E6CD7F07}">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460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tbl-cerebrovasdz-mortal-aar</v>
      </c>
    </row>
    <row r="4" spans="1:16" x14ac:dyDescent="0.2">
      <c r="A4" s="58" t="s">
        <v>6</v>
      </c>
      <c r="B4" t="str">
        <f>IF($B$1="","",_xlfn.XLOOKUP($B$1,Master!$F$2:$F$308,Master!$H$2:$H$308,""))</f>
        <v>fig-cerebrovasdz-mortal-aar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1921</v>
      </c>
      <c r="O5" s="101"/>
    </row>
    <row r="6" spans="1:16" ht="15" customHeight="1" x14ac:dyDescent="0.2">
      <c r="A6" t="s">
        <v>891</v>
      </c>
      <c r="B6" t="b">
        <v>1</v>
      </c>
      <c r="E6" s="99"/>
      <c r="F6" s="82" t="s">
        <v>1123</v>
      </c>
      <c r="G6" t="s">
        <v>220</v>
      </c>
      <c r="H6" t="s">
        <v>18</v>
      </c>
      <c r="I6" t="s">
        <v>537</v>
      </c>
      <c r="J6" t="s">
        <v>449</v>
      </c>
      <c r="K6" t="s">
        <v>409</v>
      </c>
      <c r="L6" t="s">
        <v>421</v>
      </c>
      <c r="M6" t="s">
        <v>470</v>
      </c>
      <c r="N6" t="s">
        <v>914</v>
      </c>
      <c r="O6" t="s">
        <v>915</v>
      </c>
    </row>
    <row r="7" spans="1:16" ht="15.75" customHeight="1" x14ac:dyDescent="0.2">
      <c r="E7" s="99"/>
      <c r="F7">
        <v>2018</v>
      </c>
      <c r="G7">
        <v>22.8</v>
      </c>
      <c r="H7">
        <v>25</v>
      </c>
      <c r="I7">
        <v>20.100000000000001</v>
      </c>
      <c r="J7">
        <v>24.3</v>
      </c>
      <c r="K7">
        <v>26.2</v>
      </c>
      <c r="L7">
        <v>26.1</v>
      </c>
      <c r="M7">
        <v>21.6</v>
      </c>
      <c r="N7">
        <v>27.3</v>
      </c>
      <c r="O7">
        <v>24.1</v>
      </c>
    </row>
    <row r="8" spans="1:16" x14ac:dyDescent="0.2">
      <c r="E8" s="99"/>
      <c r="F8">
        <v>2019</v>
      </c>
      <c r="G8">
        <v>22.1</v>
      </c>
      <c r="H8">
        <v>25.7</v>
      </c>
      <c r="I8">
        <v>19.399999999999999</v>
      </c>
      <c r="J8">
        <v>22.1</v>
      </c>
      <c r="K8">
        <v>24.9</v>
      </c>
      <c r="L8">
        <v>24.2</v>
      </c>
      <c r="M8">
        <v>21.6</v>
      </c>
      <c r="N8">
        <v>27</v>
      </c>
      <c r="O8">
        <v>23.9</v>
      </c>
      <c r="P8" s="14"/>
    </row>
    <row r="9" spans="1:16" x14ac:dyDescent="0.2">
      <c r="A9" s="98" t="s">
        <v>893</v>
      </c>
      <c r="B9" s="99"/>
      <c r="E9" s="99"/>
      <c r="F9">
        <v>2020</v>
      </c>
      <c r="G9">
        <v>22.7</v>
      </c>
      <c r="H9">
        <v>25.1</v>
      </c>
      <c r="I9">
        <v>21.3</v>
      </c>
      <c r="J9">
        <v>24.3</v>
      </c>
      <c r="K9">
        <v>23.6</v>
      </c>
      <c r="L9">
        <v>25.1</v>
      </c>
      <c r="M9">
        <v>20.8</v>
      </c>
      <c r="N9">
        <v>26.7</v>
      </c>
      <c r="O9">
        <v>25.1</v>
      </c>
    </row>
    <row r="10" spans="1:16" x14ac:dyDescent="0.2">
      <c r="A10" t="s">
        <v>894</v>
      </c>
      <c r="B10" t="s">
        <v>972</v>
      </c>
      <c r="E10" s="99"/>
      <c r="F10">
        <v>2021</v>
      </c>
      <c r="G10">
        <v>21.8</v>
      </c>
      <c r="H10">
        <v>26</v>
      </c>
      <c r="I10">
        <v>21.4</v>
      </c>
      <c r="J10">
        <v>23.1</v>
      </c>
      <c r="K10">
        <v>23.5</v>
      </c>
      <c r="L10">
        <v>25.3</v>
      </c>
      <c r="M10">
        <v>22.2</v>
      </c>
      <c r="N10">
        <v>28.7</v>
      </c>
      <c r="O10">
        <v>25.7</v>
      </c>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N5:O5"/>
    <mergeCell ref="G5:M5"/>
  </mergeCells>
  <dataValidations count="4">
    <dataValidation type="list" allowBlank="1" showInputMessage="1" showErrorMessage="1" sqref="P4" xr:uid="{56A1DCE1-9079-4344-89F9-1D48BADD898B}">
      <formula1>"integer, number, percent1"</formula1>
    </dataValidation>
    <dataValidation type="list" allowBlank="1" showInputMessage="1" showErrorMessage="1" sqref="B10" xr:uid="{907DF234-B0D0-BA44-8174-D4EDA7AB0C7D}">
      <formula1>"Line,Clustered Bar,Stacked Bar,Bar,Horizontal Stacked Bar"</formula1>
    </dataValidation>
    <dataValidation type="list" allowBlank="1" showInputMessage="1" showErrorMessage="1" sqref="B2" xr:uid="{DB1E06A2-D3A1-534C-BE6A-2E15FA2EF6B9}">
      <formula1>"Table,Figure,Both"</formula1>
    </dataValidation>
    <dataValidation type="list" allowBlank="1" showInputMessage="1" showErrorMessage="1" sqref="B6 B15:B16" xr:uid="{86FF41F7-FD10-0E4B-8E56-77D54711F7B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BC8B2517-3570-B64B-B6B5-B375B2EFA0CB}">
          <x14:formula1>
            <xm:f>Master!$F$2:$F$401</xm:f>
          </x14:formula1>
          <xm:sqref>B1:O1</xm:sqref>
        </x14:dataValidation>
        <x14:dataValidation type="list" allowBlank="1" showInputMessage="1" showErrorMessage="1" xr:uid="{2CE62745-FD06-0B49-8780-BF6E16F8A9A0}">
          <x14:formula1>
            <xm:f>Dropdowns!$A$1:$A$8</xm:f>
          </x14:formula1>
          <xm:sqref>F4:O4</xm:sqref>
        </x14:dataValidation>
      </x14:dataValidations>
    </ext>
  </extLst>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56B8-9C28-5547-B03A-F904B6D7651E}">
  <dimension ref="A1:P57"/>
  <sheetViews>
    <sheetView workbookViewId="0">
      <selection activeCell="M26" sqref="M26"/>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462</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tbl-cerebrovasdz-mortal-rande-aar</v>
      </c>
    </row>
    <row r="4" spans="1:16" x14ac:dyDescent="0.2">
      <c r="A4" s="58" t="s">
        <v>6</v>
      </c>
      <c r="B4" t="str">
        <f>IF($B$1="","",_xlfn.XLOOKUP($B$1,Master!$F$2:$F$308,Master!$H$2:$H$308,""))</f>
        <v>fig-cerebrovasdz-mortal-rande-aar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s="101" t="s">
        <v>1622</v>
      </c>
      <c r="H5" s="101"/>
      <c r="I5" s="101"/>
      <c r="J5" s="101"/>
      <c r="K5" s="101"/>
      <c r="L5" s="101"/>
      <c r="M5" s="101"/>
      <c r="N5" s="101" t="s">
        <v>1921</v>
      </c>
      <c r="O5" s="101"/>
    </row>
    <row r="6" spans="1:16" ht="15" customHeight="1" x14ac:dyDescent="0.2">
      <c r="A6" t="s">
        <v>891</v>
      </c>
      <c r="B6" t="b">
        <v>1</v>
      </c>
      <c r="E6" s="99"/>
      <c r="F6" s="82" t="s">
        <v>1123</v>
      </c>
      <c r="G6" t="s">
        <v>220</v>
      </c>
      <c r="H6" t="s">
        <v>18</v>
      </c>
      <c r="I6" t="s">
        <v>537</v>
      </c>
      <c r="J6" t="s">
        <v>449</v>
      </c>
      <c r="K6" t="s">
        <v>409</v>
      </c>
      <c r="L6" t="s">
        <v>421</v>
      </c>
      <c r="M6" t="s">
        <v>470</v>
      </c>
      <c r="N6" t="s">
        <v>914</v>
      </c>
      <c r="O6" t="s">
        <v>915</v>
      </c>
    </row>
    <row r="7" spans="1:16" ht="15.75" customHeight="1" x14ac:dyDescent="0.2">
      <c r="E7" s="99"/>
      <c r="F7">
        <v>2018</v>
      </c>
      <c r="G7">
        <v>22.8</v>
      </c>
      <c r="H7">
        <v>25</v>
      </c>
      <c r="I7">
        <v>20.100000000000001</v>
      </c>
      <c r="J7">
        <v>24.3</v>
      </c>
      <c r="K7">
        <v>26.2</v>
      </c>
      <c r="L7">
        <v>26.1</v>
      </c>
      <c r="M7">
        <v>21.6</v>
      </c>
      <c r="N7">
        <v>27.3</v>
      </c>
      <c r="O7">
        <v>24.1</v>
      </c>
    </row>
    <row r="8" spans="1:16" x14ac:dyDescent="0.2">
      <c r="E8" s="99"/>
      <c r="F8">
        <v>2019</v>
      </c>
      <c r="G8">
        <v>22.1</v>
      </c>
      <c r="H8">
        <v>25.7</v>
      </c>
      <c r="I8">
        <v>19.399999999999999</v>
      </c>
      <c r="J8">
        <v>22.1</v>
      </c>
      <c r="K8">
        <v>24.9</v>
      </c>
      <c r="L8">
        <v>24.2</v>
      </c>
      <c r="M8">
        <v>21.6</v>
      </c>
      <c r="N8">
        <v>27</v>
      </c>
      <c r="O8">
        <v>23.9</v>
      </c>
      <c r="P8" s="14"/>
    </row>
    <row r="9" spans="1:16" x14ac:dyDescent="0.2">
      <c r="A9" s="98" t="s">
        <v>893</v>
      </c>
      <c r="B9" s="99"/>
      <c r="E9" s="99"/>
      <c r="F9">
        <v>2020</v>
      </c>
      <c r="G9">
        <v>22.7</v>
      </c>
      <c r="H9">
        <v>25.1</v>
      </c>
      <c r="I9">
        <v>21.3</v>
      </c>
      <c r="J9">
        <v>24.3</v>
      </c>
      <c r="K9">
        <v>23.6</v>
      </c>
      <c r="L9">
        <v>25.1</v>
      </c>
      <c r="M9">
        <v>20.8</v>
      </c>
      <c r="N9">
        <v>26.7</v>
      </c>
      <c r="O9">
        <v>25.1</v>
      </c>
    </row>
    <row r="10" spans="1:16" x14ac:dyDescent="0.2">
      <c r="A10" t="s">
        <v>894</v>
      </c>
      <c r="B10" t="s">
        <v>972</v>
      </c>
      <c r="E10" s="99"/>
      <c r="F10">
        <v>2021</v>
      </c>
      <c r="G10">
        <v>21.8</v>
      </c>
      <c r="H10">
        <v>26</v>
      </c>
      <c r="I10">
        <v>21.4</v>
      </c>
      <c r="J10">
        <v>23.1</v>
      </c>
      <c r="K10">
        <v>23.5</v>
      </c>
      <c r="L10">
        <v>25.3</v>
      </c>
      <c r="M10">
        <v>22.2</v>
      </c>
      <c r="N10">
        <v>28.7</v>
      </c>
      <c r="O10">
        <v>25.7</v>
      </c>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G5:M5"/>
    <mergeCell ref="N5:O5"/>
    <mergeCell ref="A9:B9"/>
    <mergeCell ref="A18:B18"/>
    <mergeCell ref="A27:B27"/>
  </mergeCells>
  <dataValidations count="4">
    <dataValidation type="list" allowBlank="1" showInputMessage="1" showErrorMessage="1" sqref="B6 B15:B16" xr:uid="{B006238B-7EEE-1B44-9A89-D3353F2C2D32}">
      <formula1>"True,False"</formula1>
    </dataValidation>
    <dataValidation type="list" allowBlank="1" showInputMessage="1" showErrorMessage="1" sqref="B2" xr:uid="{379FCA73-4075-074F-91E9-E1D4DB3A3822}">
      <formula1>"Table,Figure,Both"</formula1>
    </dataValidation>
    <dataValidation type="list" allowBlank="1" showInputMessage="1" showErrorMessage="1" sqref="B10" xr:uid="{CB1F9CA5-C739-1B47-9E53-63BA3E0FA66B}">
      <formula1>"Line,Clustered Bar,Stacked Bar,Bar,Horizontal Stacked Bar"</formula1>
    </dataValidation>
    <dataValidation type="list" allowBlank="1" showInputMessage="1" showErrorMessage="1" sqref="P4" xr:uid="{5B706B45-F65B-194D-BF92-E223B883B08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A855889F-332E-994C-82AF-50F227114719}">
          <x14:formula1>
            <xm:f>Dropdowns!$A$1:$A$8</xm:f>
          </x14:formula1>
          <xm:sqref>F4:O4</xm:sqref>
        </x14:dataValidation>
        <x14:dataValidation type="list" allowBlank="1" showInputMessage="1" showErrorMessage="1" xr:uid="{1D014A4E-82AB-B04E-8F4B-2C0E9718EA77}">
          <x14:formula1>
            <xm:f>Master!$F$2:$F$401</xm:f>
          </x14:formula1>
          <xm:sqref>B1:O1</xm:sqref>
        </x14:dataValidation>
      </x14:dataValidations>
    </ext>
  </extLst>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EC9F-862B-6640-B5CB-2FCA6B1649CD}">
  <dimension ref="A1:P57"/>
  <sheetViews>
    <sheetView workbookViewId="0">
      <selection activeCell="O35" sqref="O35"/>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130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tbl-language-proficiency</v>
      </c>
    </row>
    <row r="4" spans="1:16" x14ac:dyDescent="0.2">
      <c r="A4" s="58" t="s">
        <v>6</v>
      </c>
      <c r="B4" t="str">
        <f>IF($B$1="","",_xlfn.XLOOKUP($B$1,Master!$F$2:$F$308,Master!$H$2:$H$308,""))</f>
        <v>fig-language-proficiency</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F5" s="82" t="s">
        <v>1123</v>
      </c>
      <c r="G5" t="s">
        <v>220</v>
      </c>
      <c r="H5" t="s">
        <v>18</v>
      </c>
      <c r="I5" t="s">
        <v>537</v>
      </c>
      <c r="J5" t="s">
        <v>449</v>
      </c>
      <c r="K5" t="s">
        <v>409</v>
      </c>
      <c r="L5" t="s">
        <v>421</v>
      </c>
      <c r="M5" t="s">
        <v>470</v>
      </c>
      <c r="N5" t="s">
        <v>915</v>
      </c>
    </row>
    <row r="6" spans="1:16" ht="15" customHeight="1" x14ac:dyDescent="0.2">
      <c r="A6" t="s">
        <v>891</v>
      </c>
      <c r="B6" t="b">
        <v>0</v>
      </c>
      <c r="E6" s="99"/>
      <c r="F6">
        <v>2021</v>
      </c>
      <c r="G6">
        <v>4.7</v>
      </c>
      <c r="H6">
        <v>10.6</v>
      </c>
      <c r="I6">
        <v>5.3</v>
      </c>
      <c r="J6">
        <v>18.600000000000001</v>
      </c>
      <c r="K6">
        <v>5.9</v>
      </c>
      <c r="L6">
        <v>2.9</v>
      </c>
      <c r="M6">
        <v>12.7</v>
      </c>
      <c r="N6">
        <v>13.1</v>
      </c>
    </row>
    <row r="7" spans="1:16" ht="15.75" customHeight="1" x14ac:dyDescent="0.2">
      <c r="E7" s="99"/>
      <c r="F7">
        <v>2022</v>
      </c>
      <c r="G7">
        <v>4.8</v>
      </c>
      <c r="H7">
        <v>11.3</v>
      </c>
      <c r="I7">
        <v>5.6</v>
      </c>
      <c r="J7">
        <v>18.8</v>
      </c>
      <c r="K7">
        <v>7.3</v>
      </c>
      <c r="L7">
        <v>3</v>
      </c>
      <c r="M7">
        <v>12.2</v>
      </c>
      <c r="N7">
        <v>13.1</v>
      </c>
    </row>
    <row r="8" spans="1:16" x14ac:dyDescent="0.2">
      <c r="E8" s="99"/>
      <c r="F8">
        <v>2023</v>
      </c>
      <c r="G8">
        <v>5.4</v>
      </c>
      <c r="H8">
        <v>12.2</v>
      </c>
      <c r="I8">
        <v>6</v>
      </c>
      <c r="J8">
        <v>20</v>
      </c>
      <c r="K8">
        <v>8</v>
      </c>
      <c r="L8">
        <v>3.4</v>
      </c>
      <c r="M8">
        <v>12.4</v>
      </c>
      <c r="N8">
        <v>13.3</v>
      </c>
      <c r="P8" s="14"/>
    </row>
    <row r="9" spans="1:16" x14ac:dyDescent="0.2">
      <c r="A9" s="98" t="s">
        <v>893</v>
      </c>
      <c r="B9" s="99"/>
      <c r="E9" s="99"/>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C0DF2B35-EDBC-834D-A4C9-C0389925A493}">
      <formula1>"True,False"</formula1>
    </dataValidation>
    <dataValidation type="list" allowBlank="1" showInputMessage="1" showErrorMessage="1" sqref="B2" xr:uid="{77A7B477-D742-834B-B293-391AD8DCA789}">
      <formula1>"Table,Figure,Both"</formula1>
    </dataValidation>
    <dataValidation type="list" allowBlank="1" showInputMessage="1" showErrorMessage="1" sqref="B10" xr:uid="{CD89C359-80D2-FB41-8B42-F5207CF638A5}">
      <formula1>"Line,Clustered Bar,Stacked Bar,Bar,Horizontal Stacked Bar"</formula1>
    </dataValidation>
    <dataValidation type="list" allowBlank="1" showInputMessage="1" showErrorMessage="1" sqref="P4" xr:uid="{83364352-9981-024A-9C91-310EA232175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8CCC12F-9C5A-A448-8D1E-F32C82E971DC}">
          <x14:formula1>
            <xm:f>Dropdowns!$A$1:$A$8</xm:f>
          </x14:formula1>
          <xm:sqref>F4:O4</xm:sqref>
        </x14:dataValidation>
        <x14:dataValidation type="list" allowBlank="1" showInputMessage="1" showErrorMessage="1" xr:uid="{CA80C681-ACF0-9E49-AB66-28FDE7ECAB47}">
          <x14:formula1>
            <xm:f>Master!$F$2:$F$401</xm:f>
          </x14:formula1>
          <xm:sqref>B1:O1</xm:sqref>
        </x14:dataValidation>
      </x14:dataValidations>
    </ext>
  </extLst>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AAC9-1496-7C4D-85CE-C60BE5A75FAA}">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1546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tbl-heartattack-hospital-aar</v>
      </c>
    </row>
    <row r="4" spans="1:16" x14ac:dyDescent="0.2">
      <c r="A4" s="58" t="s">
        <v>6</v>
      </c>
      <c r="B4" t="str">
        <f>IF($B$1="","",_xlfn.XLOOKUP($B$1,Master!$F$2:$F$308,Master!$H$2:$H$308,""))</f>
        <v>fig-heartattack-hospital-aar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t="s">
        <v>220</v>
      </c>
      <c r="H5" t="s">
        <v>18</v>
      </c>
      <c r="I5" t="s">
        <v>537</v>
      </c>
      <c r="J5" t="s">
        <v>449</v>
      </c>
      <c r="K5" t="s">
        <v>409</v>
      </c>
      <c r="L5" t="s">
        <v>421</v>
      </c>
      <c r="M5" t="s">
        <v>470</v>
      </c>
      <c r="N5" t="s">
        <v>898</v>
      </c>
      <c r="O5" t="s">
        <v>914</v>
      </c>
      <c r="P5" t="s">
        <v>915</v>
      </c>
    </row>
    <row r="6" spans="1:16" ht="15" customHeight="1" x14ac:dyDescent="0.2">
      <c r="A6" t="s">
        <v>891</v>
      </c>
      <c r="B6" t="b">
        <v>0</v>
      </c>
      <c r="E6" s="99"/>
      <c r="F6">
        <v>2021</v>
      </c>
      <c r="G6">
        <v>10.9</v>
      </c>
      <c r="H6">
        <v>14.4</v>
      </c>
      <c r="I6">
        <v>7.9</v>
      </c>
      <c r="J6">
        <v>8.6</v>
      </c>
      <c r="K6">
        <v>20</v>
      </c>
      <c r="L6">
        <v>12</v>
      </c>
      <c r="M6">
        <v>8.6999999999999993</v>
      </c>
      <c r="N6">
        <v>10.4</v>
      </c>
      <c r="O6">
        <v>12</v>
      </c>
      <c r="P6">
        <v>10.9</v>
      </c>
    </row>
    <row r="7" spans="1:16" ht="15.75" customHeight="1" x14ac:dyDescent="0.2">
      <c r="E7" s="99"/>
    </row>
    <row r="8" spans="1:16" x14ac:dyDescent="0.2">
      <c r="E8" s="99"/>
      <c r="P8" s="14"/>
    </row>
    <row r="9" spans="1:16" x14ac:dyDescent="0.2">
      <c r="A9" s="98" t="s">
        <v>893</v>
      </c>
      <c r="B9" s="99"/>
      <c r="E9" s="99"/>
    </row>
    <row r="10" spans="1:16" x14ac:dyDescent="0.2">
      <c r="A10" t="s">
        <v>894</v>
      </c>
      <c r="B10" t="s">
        <v>1002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F6A1D1E0-0E53-BF4F-9D9A-D944AD65D892}">
      <formula1>"integer, number, percent1"</formula1>
    </dataValidation>
    <dataValidation type="list" allowBlank="1" showInputMessage="1" showErrorMessage="1" sqref="B10" xr:uid="{C865975B-9156-E94D-A9C8-E481D623CACF}">
      <formula1>"Line,Clustered Bar,Stacked Bar,Bar,Horizontal Stacked Bar"</formula1>
    </dataValidation>
    <dataValidation type="list" allowBlank="1" showInputMessage="1" showErrorMessage="1" sqref="B2" xr:uid="{8DFD2671-D58F-854E-81BF-5E72177643CD}">
      <formula1>"Table,Figure,Both"</formula1>
    </dataValidation>
    <dataValidation type="list" allowBlank="1" showInputMessage="1" showErrorMessage="1" sqref="B6 B15:B16" xr:uid="{3138ECDC-CA7E-AD49-AD17-3A509D161D4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15073D30-8BA5-1444-9CBB-9AF381CE2BCB}">
          <x14:formula1>
            <xm:f>Master!$F$2:$F$401</xm:f>
          </x14:formula1>
          <xm:sqref>B1:O1</xm:sqref>
        </x14:dataValidation>
        <x14:dataValidation type="list" allowBlank="1" showInputMessage="1" showErrorMessage="1" xr:uid="{CD940325-DAA4-0647-BFF1-C61EDC969704}">
          <x14:formula1>
            <xm:f>Dropdowns!$A$1:$A$8</xm:f>
          </x14:formula1>
          <xm:sqref>F4:O4</xm:sqref>
        </x14:dataValidation>
      </x14:dataValidations>
    </ext>
  </extLst>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90B5-45D0-7549-9E65-8205D2931B97}">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476</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tbl-dm-hospital-rande-aar</v>
      </c>
    </row>
    <row r="4" spans="1:16" x14ac:dyDescent="0.2">
      <c r="A4" s="58" t="s">
        <v>6</v>
      </c>
      <c r="B4" t="str">
        <f>IF($B$1="","",_xlfn.XLOOKUP($B$1,Master!$F$2:$F$308,Master!$H$2:$H$308,""))</f>
        <v>fig-dm-hospital-rande-aar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2167</v>
      </c>
      <c r="G5" t="s">
        <v>220</v>
      </c>
      <c r="H5" t="s">
        <v>18</v>
      </c>
      <c r="I5" t="s">
        <v>537</v>
      </c>
      <c r="J5" t="s">
        <v>449</v>
      </c>
      <c r="K5" t="s">
        <v>409</v>
      </c>
      <c r="L5" t="s">
        <v>421</v>
      </c>
      <c r="M5" t="s">
        <v>470</v>
      </c>
      <c r="N5" t="s">
        <v>914</v>
      </c>
      <c r="O5" t="s">
        <v>915</v>
      </c>
    </row>
    <row r="6" spans="1:16" ht="15" customHeight="1" x14ac:dyDescent="0.2">
      <c r="A6" t="s">
        <v>891</v>
      </c>
      <c r="B6" t="b">
        <v>0</v>
      </c>
      <c r="E6" s="99"/>
      <c r="F6" t="s">
        <v>929</v>
      </c>
      <c r="G6">
        <v>140.6</v>
      </c>
      <c r="H6">
        <v>157.19999999999999</v>
      </c>
      <c r="I6">
        <v>105.3</v>
      </c>
      <c r="J6">
        <v>113.7</v>
      </c>
      <c r="K6">
        <v>188.1</v>
      </c>
      <c r="L6">
        <v>149.69999999999999</v>
      </c>
      <c r="M6">
        <v>87.6</v>
      </c>
      <c r="N6">
        <v>145.5</v>
      </c>
      <c r="O6">
        <v>136.30000000000001</v>
      </c>
    </row>
    <row r="7" spans="1:16" ht="15.75" customHeight="1" x14ac:dyDescent="0.2">
      <c r="E7" s="99"/>
      <c r="F7" t="s">
        <v>1552</v>
      </c>
      <c r="G7">
        <v>122.9</v>
      </c>
      <c r="H7">
        <v>298.3</v>
      </c>
      <c r="I7">
        <v>67.8</v>
      </c>
      <c r="J7">
        <v>251.3</v>
      </c>
      <c r="K7">
        <v>372.4</v>
      </c>
      <c r="L7">
        <v>251.8</v>
      </c>
      <c r="M7">
        <v>272.2</v>
      </c>
      <c r="N7">
        <v>334.5</v>
      </c>
      <c r="O7">
        <v>295.3</v>
      </c>
    </row>
    <row r="8" spans="1:16" x14ac:dyDescent="0.2">
      <c r="E8" s="99"/>
      <c r="F8" t="s">
        <v>1814</v>
      </c>
      <c r="G8">
        <v>59.5</v>
      </c>
      <c r="H8">
        <v>91.1</v>
      </c>
      <c r="I8">
        <v>49.4</v>
      </c>
      <c r="J8">
        <v>87.3</v>
      </c>
      <c r="K8">
        <v>93.6</v>
      </c>
      <c r="L8">
        <v>79.7</v>
      </c>
      <c r="M8">
        <v>66.5</v>
      </c>
      <c r="N8">
        <v>112</v>
      </c>
      <c r="O8">
        <v>110.2</v>
      </c>
      <c r="P8" s="14"/>
    </row>
    <row r="9" spans="1:16" x14ac:dyDescent="0.2">
      <c r="A9" s="98" t="s">
        <v>893</v>
      </c>
      <c r="B9" s="99"/>
      <c r="E9" s="99"/>
      <c r="F9" t="s">
        <v>927</v>
      </c>
      <c r="G9">
        <v>127.6</v>
      </c>
      <c r="H9">
        <v>185.6</v>
      </c>
      <c r="I9">
        <v>87.2</v>
      </c>
      <c r="J9">
        <v>176.8</v>
      </c>
      <c r="K9">
        <v>207.2</v>
      </c>
      <c r="L9">
        <v>172.9</v>
      </c>
      <c r="M9">
        <v>118.6</v>
      </c>
      <c r="N9">
        <v>183.9</v>
      </c>
      <c r="O9">
        <v>233.8</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2167</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F34BA997-0D34-DB45-87D3-326016B4FACB}">
      <formula1>"True,False"</formula1>
    </dataValidation>
    <dataValidation type="list" allowBlank="1" showInputMessage="1" showErrorMessage="1" sqref="B2" xr:uid="{F5990C1A-72FD-7B4C-9B6B-58E33286CFA4}">
      <formula1>"Table,Figure,Both"</formula1>
    </dataValidation>
    <dataValidation type="list" allowBlank="1" showInputMessage="1" showErrorMessage="1" sqref="B10" xr:uid="{2616793A-3856-B24C-87A4-EB8E1A657823}">
      <formula1>"Line,Clustered Bar,Stacked Bar,Bar,Horizontal Stacked Bar"</formula1>
    </dataValidation>
    <dataValidation type="list" allowBlank="1" showInputMessage="1" showErrorMessage="1" sqref="P4" xr:uid="{7A04AA22-B7FE-EE44-AD2D-03D34DD3830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4C92FF7-6AEE-7F4A-AC4B-11187B7E4C5F}">
          <x14:formula1>
            <xm:f>Dropdowns!$A$1:$A$8</xm:f>
          </x14:formula1>
          <xm:sqref>F4:O4</xm:sqref>
        </x14:dataValidation>
        <x14:dataValidation type="list" allowBlank="1" showInputMessage="1" showErrorMessage="1" xr:uid="{1A05B576-E9A2-BE47-BBED-59F8A6E9A187}">
          <x14:formula1>
            <xm:f>Master!$F$2:$F$401</xm:f>
          </x14:formula1>
          <xm:sqref>B1:O1</xm:sqref>
        </x14:dataValidation>
      </x14:dataValidations>
    </ext>
  </extLst>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70FF-4186-2648-8A49-7DB0C80E9A4F}">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473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tbl-mddx-predm-dm-percent</v>
      </c>
    </row>
    <row r="4" spans="1:16" x14ac:dyDescent="0.2">
      <c r="A4" s="58" t="s">
        <v>6</v>
      </c>
      <c r="B4" t="str">
        <f>IF($B$1="","",_xlfn.XLOOKUP($B$1,Master!$F$2:$F$308,Master!$H$2:$H$308,""))</f>
        <v>fig-mddx-predm-dm-percent</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1929</v>
      </c>
      <c r="G5" t="s">
        <v>220</v>
      </c>
      <c r="H5" t="s">
        <v>18</v>
      </c>
      <c r="I5" t="s">
        <v>537</v>
      </c>
      <c r="J5" t="s">
        <v>449</v>
      </c>
      <c r="K5" t="s">
        <v>409</v>
      </c>
      <c r="L5" t="s">
        <v>421</v>
      </c>
      <c r="M5" t="s">
        <v>470</v>
      </c>
      <c r="N5" t="s">
        <v>898</v>
      </c>
      <c r="O5" t="s">
        <v>914</v>
      </c>
      <c r="P5" t="s">
        <v>915</v>
      </c>
    </row>
    <row r="6" spans="1:16" ht="15" customHeight="1" x14ac:dyDescent="0.2">
      <c r="A6" t="s">
        <v>891</v>
      </c>
      <c r="B6" t="b">
        <v>0</v>
      </c>
      <c r="E6" s="99"/>
      <c r="F6" t="s">
        <v>1930</v>
      </c>
      <c r="G6">
        <v>12.7</v>
      </c>
      <c r="H6">
        <v>12.4</v>
      </c>
      <c r="I6">
        <v>6.7</v>
      </c>
      <c r="J6">
        <v>12.6</v>
      </c>
      <c r="K6">
        <v>13.3</v>
      </c>
      <c r="L6">
        <v>6</v>
      </c>
      <c r="M6">
        <v>10.7</v>
      </c>
      <c r="N6">
        <v>10.6</v>
      </c>
      <c r="O6">
        <v>10.1</v>
      </c>
      <c r="P6">
        <v>11.4</v>
      </c>
    </row>
    <row r="7" spans="1:16" ht="15.75" customHeight="1" x14ac:dyDescent="0.2">
      <c r="E7" s="99"/>
      <c r="F7" t="s">
        <v>1052</v>
      </c>
      <c r="G7">
        <v>9.1</v>
      </c>
      <c r="H7">
        <v>7.3</v>
      </c>
      <c r="I7">
        <v>4.7</v>
      </c>
      <c r="J7">
        <v>9.4</v>
      </c>
      <c r="K7">
        <v>7.9</v>
      </c>
      <c r="L7">
        <v>11.4</v>
      </c>
      <c r="M7">
        <v>8.6</v>
      </c>
      <c r="N7">
        <v>9</v>
      </c>
      <c r="O7">
        <v>9.4</v>
      </c>
      <c r="P7">
        <v>10.199999999999999</v>
      </c>
    </row>
    <row r="8" spans="1:16" x14ac:dyDescent="0.2">
      <c r="E8" s="99"/>
      <c r="P8" s="14"/>
    </row>
    <row r="9" spans="1:16" x14ac:dyDescent="0.2">
      <c r="A9" s="98" t="s">
        <v>893</v>
      </c>
      <c r="B9" s="99"/>
      <c r="E9" s="99"/>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1929</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DB406A7D-C640-EB46-879C-84FBE8583942}">
      <formula1>"integer, number, percent1"</formula1>
    </dataValidation>
    <dataValidation type="list" allowBlank="1" showInputMessage="1" showErrorMessage="1" sqref="B10" xr:uid="{3FEE846E-DD27-DE44-B4AE-0259B28BC5AE}">
      <formula1>"Line,Clustered Bar,Stacked Bar,Bar,Horizontal Stacked Bar"</formula1>
    </dataValidation>
    <dataValidation type="list" allowBlank="1" showInputMessage="1" showErrorMessage="1" sqref="B2" xr:uid="{18E63754-C87C-4740-A9C7-C677221AC76F}">
      <formula1>"Table,Figure,Both"</formula1>
    </dataValidation>
    <dataValidation type="list" allowBlank="1" showInputMessage="1" showErrorMessage="1" sqref="B6 B15:B16" xr:uid="{F65237B4-759F-D243-9C14-8FFBA167C944}">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10FDE996-02B4-014C-BC43-F5411E440CE0}">
          <x14:formula1>
            <xm:f>Master!$F$2:$F$401</xm:f>
          </x14:formula1>
          <xm:sqref>B1:O1</xm:sqref>
        </x14:dataValidation>
        <x14:dataValidation type="list" allowBlank="1" showInputMessage="1" showErrorMessage="1" xr:uid="{B624B60F-B1E1-C542-8A50-C212CC56CE6C}">
          <x14:formula1>
            <xm:f>Dropdowns!$A$1:$A$8</xm:f>
          </x14:formula1>
          <xm:sqref>F4:O4</xm:sqref>
        </x14:dataValidation>
      </x14:dataValidations>
    </ext>
  </extLst>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DFC6-D3CF-AC42-BAFA-B6AA210FAE1C}">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473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tbl-mddx-predm-dm-percent</v>
      </c>
    </row>
    <row r="4" spans="1:16" x14ac:dyDescent="0.2">
      <c r="A4" s="58" t="s">
        <v>6</v>
      </c>
      <c r="B4" t="str">
        <f>IF($B$1="","",_xlfn.XLOOKUP($B$1,Master!$F$2:$F$308,Master!$H$2:$H$308,""))</f>
        <v>fig-mddx-predm-dm-percent</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82" t="s">
        <v>1123</v>
      </c>
      <c r="G5" t="s">
        <v>220</v>
      </c>
      <c r="H5" t="s">
        <v>18</v>
      </c>
      <c r="I5" t="s">
        <v>537</v>
      </c>
      <c r="J5" t="s">
        <v>449</v>
      </c>
      <c r="K5" t="s">
        <v>409</v>
      </c>
      <c r="L5" t="s">
        <v>421</v>
      </c>
      <c r="M5" t="s">
        <v>470</v>
      </c>
      <c r="N5" t="s">
        <v>914</v>
      </c>
      <c r="O5" t="s">
        <v>915</v>
      </c>
    </row>
    <row r="6" spans="1:16" ht="15" customHeight="1" x14ac:dyDescent="0.2">
      <c r="A6" t="s">
        <v>891</v>
      </c>
      <c r="B6" t="b">
        <v>0</v>
      </c>
      <c r="E6" s="99"/>
      <c r="F6">
        <v>2021</v>
      </c>
      <c r="G6">
        <v>168.5</v>
      </c>
      <c r="H6">
        <v>195.4</v>
      </c>
      <c r="I6">
        <v>115.1</v>
      </c>
      <c r="J6">
        <v>158.1</v>
      </c>
      <c r="K6">
        <v>213.3</v>
      </c>
      <c r="L6">
        <v>170.5</v>
      </c>
      <c r="M6">
        <v>157.30000000000001</v>
      </c>
      <c r="N6">
        <v>165.5</v>
      </c>
      <c r="O6">
        <v>176.6</v>
      </c>
    </row>
    <row r="7" spans="1:16" ht="15.75" customHeight="1" x14ac:dyDescent="0.2">
      <c r="E7" s="99"/>
    </row>
    <row r="8" spans="1:16" x14ac:dyDescent="0.2">
      <c r="E8" s="99"/>
      <c r="P8" s="14"/>
    </row>
    <row r="9" spans="1:16" x14ac:dyDescent="0.2">
      <c r="A9" s="98" t="s">
        <v>893</v>
      </c>
      <c r="B9" s="99"/>
      <c r="E9" s="99"/>
    </row>
    <row r="10" spans="1:16" x14ac:dyDescent="0.2">
      <c r="A10" t="s">
        <v>894</v>
      </c>
      <c r="B10" t="s">
        <v>1002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FAD8FD5B-5272-5F41-88AF-7EA306E6C465}">
      <formula1>"True,False"</formula1>
    </dataValidation>
    <dataValidation type="list" allowBlank="1" showInputMessage="1" showErrorMessage="1" sqref="B2" xr:uid="{D236DA11-AE5D-1440-953E-EDE3B9EDCE48}">
      <formula1>"Table,Figure,Both"</formula1>
    </dataValidation>
    <dataValidation type="list" allowBlank="1" showInputMessage="1" showErrorMessage="1" sqref="B10" xr:uid="{F44D1AAB-2419-6B4D-8111-26F6FC19864D}">
      <formula1>"Line,Clustered Bar,Stacked Bar,Bar,Horizontal Stacked Bar"</formula1>
    </dataValidation>
    <dataValidation type="list" allowBlank="1" showInputMessage="1" showErrorMessage="1" sqref="P4" xr:uid="{BF8CAC3A-3608-904D-82D3-56B2318F78C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EF9DFBE-BB7F-054C-A492-C072B7103A27}">
          <x14:formula1>
            <xm:f>Dropdowns!$A$1:$A$8</xm:f>
          </x14:formula1>
          <xm:sqref>F4:O4</xm:sqref>
        </x14:dataValidation>
        <x14:dataValidation type="list" allowBlank="1" showInputMessage="1" showErrorMessage="1" xr:uid="{7EE1C50A-5AA9-4341-886C-9E6552CB64AE}">
          <x14:formula1>
            <xm:f>Master!$F$2:$F$401</xm:f>
          </x14:formula1>
          <xm:sqref>B1:O1</xm:sqref>
        </x14:dataValidation>
      </x14:dataValidations>
    </ext>
  </extLst>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B2A4-883D-DF47-BE59-9DEED040F769}">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477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tbl-highbs-dm-percent</v>
      </c>
    </row>
    <row r="4" spans="1:16" x14ac:dyDescent="0.2">
      <c r="A4" s="58" t="s">
        <v>6</v>
      </c>
      <c r="B4" t="str">
        <f>IF($B$1="","",_xlfn.XLOOKUP($B$1,Master!$F$2:$F$308,Master!$H$2:$H$308,""))</f>
        <v>fig-highbs-dm-percent</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s="82" t="s">
        <v>1123</v>
      </c>
      <c r="G5" t="s">
        <v>220</v>
      </c>
      <c r="H5" t="s">
        <v>18</v>
      </c>
      <c r="I5" t="s">
        <v>537</v>
      </c>
      <c r="J5" t="s">
        <v>449</v>
      </c>
      <c r="K5" t="s">
        <v>409</v>
      </c>
      <c r="L5" t="s">
        <v>421</v>
      </c>
      <c r="M5" t="s">
        <v>470</v>
      </c>
      <c r="N5" t="s">
        <v>898</v>
      </c>
      <c r="O5" t="s">
        <v>914</v>
      </c>
      <c r="P5" t="s">
        <v>915</v>
      </c>
    </row>
    <row r="6" spans="1:16" ht="15" customHeight="1" x14ac:dyDescent="0.2">
      <c r="A6" t="s">
        <v>891</v>
      </c>
      <c r="B6" t="b">
        <v>0</v>
      </c>
      <c r="E6" s="99"/>
      <c r="F6" t="s">
        <v>1931</v>
      </c>
      <c r="G6">
        <v>56.4</v>
      </c>
      <c r="H6">
        <v>57.7</v>
      </c>
      <c r="I6">
        <v>59.3</v>
      </c>
      <c r="J6">
        <v>59.5</v>
      </c>
      <c r="K6">
        <v>55.5</v>
      </c>
      <c r="L6">
        <v>51.8</v>
      </c>
      <c r="M6">
        <v>57.8</v>
      </c>
      <c r="N6">
        <v>57.4</v>
      </c>
      <c r="O6">
        <v>57.2</v>
      </c>
      <c r="P6">
        <v>59.1</v>
      </c>
    </row>
    <row r="7" spans="1:16" ht="15.75" customHeight="1" x14ac:dyDescent="0.2">
      <c r="E7" s="99"/>
      <c r="F7">
        <v>2016</v>
      </c>
      <c r="G7">
        <v>60.8</v>
      </c>
      <c r="H7">
        <v>59.5</v>
      </c>
      <c r="I7">
        <v>55.9</v>
      </c>
      <c r="J7">
        <v>57.9</v>
      </c>
      <c r="K7">
        <v>61.8</v>
      </c>
      <c r="L7">
        <v>55.3</v>
      </c>
      <c r="M7">
        <v>55.2</v>
      </c>
      <c r="N7">
        <v>57.4</v>
      </c>
      <c r="O7">
        <v>56.8</v>
      </c>
      <c r="P7">
        <v>57.9</v>
      </c>
    </row>
    <row r="8" spans="1:16" x14ac:dyDescent="0.2">
      <c r="E8" s="99"/>
      <c r="F8">
        <v>2018</v>
      </c>
      <c r="G8">
        <v>48.1</v>
      </c>
      <c r="H8">
        <v>50.7</v>
      </c>
      <c r="I8">
        <v>50</v>
      </c>
      <c r="J8">
        <v>53.2</v>
      </c>
      <c r="K8">
        <v>55.6</v>
      </c>
      <c r="L8">
        <v>45.4</v>
      </c>
      <c r="M8">
        <v>51.1</v>
      </c>
      <c r="N8">
        <v>50.2</v>
      </c>
      <c r="O8">
        <v>48</v>
      </c>
      <c r="P8" s="14">
        <v>51</v>
      </c>
    </row>
    <row r="9" spans="1:16" x14ac:dyDescent="0.2">
      <c r="A9" s="98" t="s">
        <v>893</v>
      </c>
      <c r="B9" s="99"/>
      <c r="E9" s="99"/>
      <c r="F9">
        <v>2021</v>
      </c>
      <c r="G9">
        <v>47.7</v>
      </c>
      <c r="H9">
        <v>55.3</v>
      </c>
      <c r="I9">
        <v>57.7</v>
      </c>
      <c r="J9">
        <v>45.4</v>
      </c>
      <c r="K9">
        <v>53.9</v>
      </c>
      <c r="L9">
        <v>47</v>
      </c>
      <c r="M9">
        <v>51.3</v>
      </c>
      <c r="N9">
        <v>49.7</v>
      </c>
      <c r="O9">
        <v>49.2</v>
      </c>
      <c r="P9">
        <v>50.2</v>
      </c>
    </row>
    <row r="10" spans="1:16" x14ac:dyDescent="0.2">
      <c r="A10" t="s">
        <v>894</v>
      </c>
      <c r="B10" t="s">
        <v>972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4BFAF307-92E5-E040-BB08-102817E2BF75}">
      <formula1>"integer, number, percent1"</formula1>
    </dataValidation>
    <dataValidation type="list" allowBlank="1" showInputMessage="1" showErrorMessage="1" sqref="B10" xr:uid="{CBC99EFC-BC57-AB45-A0EE-47E522EEEF21}">
      <formula1>"Line,Clustered Bar,Stacked Bar,Bar,Horizontal Stacked Bar"</formula1>
    </dataValidation>
    <dataValidation type="list" allowBlank="1" showInputMessage="1" showErrorMessage="1" sqref="B2" xr:uid="{FBD3F38A-8D4E-884F-A61B-B1B63CEA2AC9}">
      <formula1>"Table,Figure,Both"</formula1>
    </dataValidation>
    <dataValidation type="list" allowBlank="1" showInputMessage="1" showErrorMessage="1" sqref="B6 B15:B16" xr:uid="{FE1D7AA9-52B0-074A-BA79-2FA459A57B3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CEC03E8-459C-8141-B8D7-AEBE820EDB15}">
          <x14:formula1>
            <xm:f>Master!$F$2:$F$401</xm:f>
          </x14:formula1>
          <xm:sqref>B1:O1</xm:sqref>
        </x14:dataValidation>
        <x14:dataValidation type="list" allowBlank="1" showInputMessage="1" showErrorMessage="1" xr:uid="{F7A632C9-8CB7-7E48-B12B-B8947F044F5C}">
          <x14:formula1>
            <xm:f>Dropdowns!$A$1:$A$8</xm:f>
          </x14:formula1>
          <xm:sqref>F4:O4</xm:sqref>
        </x14:dataValidation>
      </x14:dataValidations>
    </ext>
  </extLst>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9CC4-1DE1-2346-A19D-8D73D4C39766}">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478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tbl-dm-mortal-aar</v>
      </c>
    </row>
    <row r="4" spans="1:16" x14ac:dyDescent="0.2">
      <c r="A4" s="58" t="s">
        <v>6</v>
      </c>
      <c r="B4" t="str">
        <f>IF($B$1="","",_xlfn.XLOOKUP($B$1,Master!$F$2:$F$308,Master!$H$2:$H$308,""))</f>
        <v>fig-dm-mortal-aar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s="82" t="s">
        <v>1123</v>
      </c>
      <c r="G5" t="s">
        <v>220</v>
      </c>
      <c r="H5" t="s">
        <v>18</v>
      </c>
      <c r="I5" t="s">
        <v>537</v>
      </c>
      <c r="J5" t="s">
        <v>449</v>
      </c>
      <c r="K5" t="s">
        <v>409</v>
      </c>
      <c r="L5" t="s">
        <v>421</v>
      </c>
      <c r="M5" t="s">
        <v>470</v>
      </c>
      <c r="N5" t="s">
        <v>914</v>
      </c>
      <c r="O5" t="s">
        <v>915</v>
      </c>
    </row>
    <row r="6" spans="1:16" ht="15" customHeight="1" x14ac:dyDescent="0.2">
      <c r="A6" t="s">
        <v>891</v>
      </c>
      <c r="B6" t="b">
        <v>0</v>
      </c>
      <c r="E6" s="99"/>
      <c r="F6">
        <v>2018</v>
      </c>
      <c r="G6">
        <v>13.4</v>
      </c>
      <c r="H6">
        <v>16.2</v>
      </c>
      <c r="I6">
        <v>9.1999999999999993</v>
      </c>
      <c r="J6">
        <v>12.4</v>
      </c>
      <c r="K6">
        <v>21.6</v>
      </c>
      <c r="L6">
        <v>15</v>
      </c>
      <c r="M6">
        <v>11.2</v>
      </c>
      <c r="N6">
        <v>16.600000000000001</v>
      </c>
      <c r="O6">
        <v>18</v>
      </c>
    </row>
    <row r="7" spans="1:16" ht="15.75" customHeight="1" x14ac:dyDescent="0.2">
      <c r="E7" s="99"/>
      <c r="F7">
        <v>2019</v>
      </c>
      <c r="G7">
        <v>13.9</v>
      </c>
      <c r="H7">
        <v>17.399999999999999</v>
      </c>
      <c r="I7">
        <v>13.9</v>
      </c>
      <c r="J7">
        <v>13.1</v>
      </c>
      <c r="K7">
        <v>20.9</v>
      </c>
      <c r="L7">
        <v>15.7</v>
      </c>
      <c r="M7">
        <v>13.2</v>
      </c>
      <c r="N7" t="s">
        <v>900</v>
      </c>
      <c r="O7">
        <v>18.100000000000001</v>
      </c>
    </row>
    <row r="8" spans="1:16" x14ac:dyDescent="0.2">
      <c r="E8" s="99"/>
      <c r="F8">
        <v>2020</v>
      </c>
      <c r="G8">
        <v>13.9</v>
      </c>
      <c r="H8">
        <v>17.899999999999999</v>
      </c>
      <c r="I8">
        <v>17.2</v>
      </c>
      <c r="J8">
        <v>13</v>
      </c>
      <c r="K8">
        <v>23.3</v>
      </c>
      <c r="L8">
        <v>16</v>
      </c>
      <c r="M8">
        <v>13.6</v>
      </c>
      <c r="N8" t="s">
        <v>900</v>
      </c>
      <c r="O8">
        <v>21.6</v>
      </c>
      <c r="P8" s="14"/>
    </row>
    <row r="9" spans="1:16" x14ac:dyDescent="0.2">
      <c r="A9" s="98" t="s">
        <v>893</v>
      </c>
      <c r="B9" s="99"/>
      <c r="E9" s="99"/>
      <c r="F9">
        <v>2021</v>
      </c>
      <c r="G9">
        <v>14</v>
      </c>
      <c r="H9">
        <v>18.399999999999999</v>
      </c>
      <c r="I9">
        <v>18.600000000000001</v>
      </c>
      <c r="J9">
        <v>15.2</v>
      </c>
      <c r="K9">
        <v>25.5</v>
      </c>
      <c r="L9">
        <v>15.9</v>
      </c>
      <c r="M9">
        <v>13.5</v>
      </c>
      <c r="N9">
        <v>19.899999999999999</v>
      </c>
      <c r="O9">
        <v>18.7</v>
      </c>
    </row>
    <row r="10" spans="1:16" x14ac:dyDescent="0.2">
      <c r="A10" t="s">
        <v>894</v>
      </c>
      <c r="B10" t="s">
        <v>972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s="82" t="s">
        <v>1123</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DCCFCBC-CB75-D745-B39C-3B8314F4A631}">
      <formula1>"True,False"</formula1>
    </dataValidation>
    <dataValidation type="list" allowBlank="1" showInputMessage="1" showErrorMessage="1" sqref="B2" xr:uid="{432617F8-F874-AA40-B2CE-BBF5978F9F1B}">
      <formula1>"Table,Figure,Both"</formula1>
    </dataValidation>
    <dataValidation type="list" allowBlank="1" showInputMessage="1" showErrorMessage="1" sqref="B10" xr:uid="{3F2C52D1-D8EF-134A-8984-BED408C927F7}">
      <formula1>"Line,Clustered Bar,Stacked Bar,Bar,Horizontal Stacked Bar"</formula1>
    </dataValidation>
    <dataValidation type="list" allowBlank="1" showInputMessage="1" showErrorMessage="1" sqref="P4" xr:uid="{4A8BD701-EDF1-0945-B360-1AD7C1B7868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E0C4F3E-F048-D740-A351-F8973F11C447}">
          <x14:formula1>
            <xm:f>Dropdowns!$A$1:$A$8</xm:f>
          </x14:formula1>
          <xm:sqref>F4:O4</xm:sqref>
        </x14:dataValidation>
        <x14:dataValidation type="list" allowBlank="1" showInputMessage="1" showErrorMessage="1" xr:uid="{38F05AE6-47B0-5646-957C-480D8528442C}">
          <x14:formula1>
            <xm:f>Master!$F$2:$F$401</xm:f>
          </x14:formula1>
          <xm:sqref>B1:O1</xm:sqref>
        </x14:dataValidation>
      </x14:dataValidations>
    </ext>
  </extLst>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21D0-6AD4-FA48-97E8-80AAF3DF51C0}">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480</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tbl-dm-mortal-rande-aar</v>
      </c>
    </row>
    <row r="4" spans="1:16" x14ac:dyDescent="0.2">
      <c r="A4" s="58" t="s">
        <v>6</v>
      </c>
      <c r="B4" t="str">
        <f>IF($B$1="","",_xlfn.XLOOKUP($B$1,Master!$F$2:$F$308,Master!$H$2:$H$308,""))</f>
        <v>fig-dm-mortal-rande-aar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2167</v>
      </c>
      <c r="G5" t="s">
        <v>220</v>
      </c>
      <c r="H5" t="s">
        <v>18</v>
      </c>
      <c r="I5" t="s">
        <v>537</v>
      </c>
      <c r="J5" t="s">
        <v>449</v>
      </c>
      <c r="K5" t="s">
        <v>409</v>
      </c>
      <c r="L5" t="s">
        <v>421</v>
      </c>
      <c r="M5" t="s">
        <v>470</v>
      </c>
      <c r="N5" t="s">
        <v>914</v>
      </c>
      <c r="O5" t="s">
        <v>915</v>
      </c>
    </row>
    <row r="6" spans="1:16" ht="15" customHeight="1" x14ac:dyDescent="0.2">
      <c r="A6" t="s">
        <v>891</v>
      </c>
      <c r="B6" t="b">
        <v>0</v>
      </c>
      <c r="E6" s="99"/>
      <c r="F6" t="s">
        <v>929</v>
      </c>
      <c r="G6">
        <v>12</v>
      </c>
      <c r="H6">
        <v>16.600000000000001</v>
      </c>
      <c r="I6">
        <v>18.600000000000001</v>
      </c>
      <c r="J6">
        <v>11.6</v>
      </c>
      <c r="K6">
        <v>23.7</v>
      </c>
      <c r="L6">
        <v>14.9</v>
      </c>
      <c r="M6">
        <v>9.8000000000000007</v>
      </c>
      <c r="N6">
        <v>18.5</v>
      </c>
      <c r="O6">
        <v>16.7</v>
      </c>
    </row>
    <row r="7" spans="1:16" ht="15.75" customHeight="1" x14ac:dyDescent="0.2">
      <c r="E7" s="99"/>
      <c r="F7" t="s">
        <v>1552</v>
      </c>
      <c r="G7">
        <v>40.799999999999997</v>
      </c>
      <c r="H7">
        <v>33.299999999999997</v>
      </c>
      <c r="I7" t="s">
        <v>1932</v>
      </c>
      <c r="J7">
        <v>29.4</v>
      </c>
      <c r="K7">
        <v>74.8</v>
      </c>
      <c r="L7" t="s">
        <v>1933</v>
      </c>
      <c r="M7">
        <v>30.7</v>
      </c>
      <c r="N7">
        <v>38.700000000000003</v>
      </c>
      <c r="O7">
        <v>33.6</v>
      </c>
    </row>
    <row r="8" spans="1:16" x14ac:dyDescent="0.2">
      <c r="E8" s="99"/>
      <c r="F8" t="s">
        <v>1814</v>
      </c>
      <c r="G8" t="s">
        <v>1934</v>
      </c>
      <c r="H8" t="s">
        <v>1908</v>
      </c>
      <c r="I8" t="s">
        <v>1935</v>
      </c>
      <c r="J8">
        <v>17.8</v>
      </c>
      <c r="K8" t="s">
        <v>1936</v>
      </c>
      <c r="L8" t="s">
        <v>1937</v>
      </c>
      <c r="M8">
        <v>8.1999999999999993</v>
      </c>
      <c r="N8">
        <v>16.5</v>
      </c>
      <c r="O8">
        <v>13.7</v>
      </c>
      <c r="P8" s="14"/>
    </row>
    <row r="9" spans="1:16" x14ac:dyDescent="0.2">
      <c r="A9" s="98" t="s">
        <v>893</v>
      </c>
      <c r="B9" s="99"/>
      <c r="E9" s="99"/>
      <c r="F9" t="s">
        <v>927</v>
      </c>
      <c r="G9">
        <v>4</v>
      </c>
      <c r="H9">
        <v>25.6</v>
      </c>
      <c r="I9" t="s">
        <v>1938</v>
      </c>
      <c r="J9">
        <v>11.8</v>
      </c>
      <c r="K9" t="s">
        <v>1939</v>
      </c>
      <c r="L9" t="s">
        <v>1939</v>
      </c>
      <c r="M9">
        <v>16.5</v>
      </c>
      <c r="N9">
        <v>17.600000000000001</v>
      </c>
      <c r="O9">
        <v>19.399999999999999</v>
      </c>
    </row>
    <row r="10" spans="1:16" x14ac:dyDescent="0.2">
      <c r="A10" t="s">
        <v>894</v>
      </c>
      <c r="B10" t="s">
        <v>972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2167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085F5EE6-6C57-9E47-8A6A-E14A9C6510B4}">
      <formula1>"integer, number, percent1"</formula1>
    </dataValidation>
    <dataValidation type="list" allowBlank="1" showInputMessage="1" showErrorMessage="1" sqref="B10" xr:uid="{B38B2237-0333-2A4B-BAEA-8A9C274502E4}">
      <formula1>"Line,Clustered Bar,Stacked Bar,Bar,Horizontal Stacked Bar"</formula1>
    </dataValidation>
    <dataValidation type="list" allowBlank="1" showInputMessage="1" showErrorMessage="1" sqref="B2" xr:uid="{19135EB2-044F-0849-AC2D-A4CB228CB5C6}">
      <formula1>"Table,Figure,Both"</formula1>
    </dataValidation>
    <dataValidation type="list" allowBlank="1" showInputMessage="1" showErrorMessage="1" sqref="B6 B15:B16" xr:uid="{146776EB-388B-F741-9AC0-027C2B299251}">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0D7A1AF-40B7-E945-B210-CF52FFE0E3CC}">
          <x14:formula1>
            <xm:f>Master!$F$2:$F$401</xm:f>
          </x14:formula1>
          <xm:sqref>B1:O1</xm:sqref>
        </x14:dataValidation>
        <x14:dataValidation type="list" allowBlank="1" showInputMessage="1" showErrorMessage="1" xr:uid="{70D1EF51-BF7C-D649-ADE9-AEC1E30D1230}">
          <x14:formula1>
            <xm:f>Dropdowns!$A$1:$A$8</xm:f>
          </x14:formula1>
          <xm:sqref>F4:O4</xm:sqref>
        </x14:dataValidation>
      </x14:dataValidations>
    </ext>
  </extLst>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6CDB-CCB8-6E48-9B3E-75B657DC2010}">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481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tbl-adult-oando-percent</v>
      </c>
    </row>
    <row r="4" spans="1:16" x14ac:dyDescent="0.2">
      <c r="A4" s="58" t="s">
        <v>6</v>
      </c>
      <c r="B4" t="str">
        <f>IF($B$1="","",_xlfn.XLOOKUP($B$1,Master!$F$2:$F$308,Master!$H$2:$H$308,""))</f>
        <v>fig-adult-oando-percent</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t="s">
        <v>220</v>
      </c>
      <c r="H5" t="s">
        <v>18</v>
      </c>
      <c r="I5" t="s">
        <v>537</v>
      </c>
      <c r="J5" t="s">
        <v>449</v>
      </c>
      <c r="K5" t="s">
        <v>409</v>
      </c>
      <c r="L5" t="s">
        <v>421</v>
      </c>
      <c r="M5" t="s">
        <v>470</v>
      </c>
      <c r="N5" t="s">
        <v>914</v>
      </c>
      <c r="O5" t="s">
        <v>915</v>
      </c>
    </row>
    <row r="6" spans="1:16" ht="15" customHeight="1" x14ac:dyDescent="0.2">
      <c r="A6" t="s">
        <v>891</v>
      </c>
      <c r="B6" t="b">
        <v>0</v>
      </c>
      <c r="E6" s="99"/>
      <c r="F6" t="s">
        <v>1940</v>
      </c>
      <c r="G6">
        <v>63.7</v>
      </c>
      <c r="H6">
        <v>67.599999999999994</v>
      </c>
      <c r="I6">
        <v>59</v>
      </c>
      <c r="J6">
        <v>64.2</v>
      </c>
      <c r="K6">
        <v>63</v>
      </c>
      <c r="L6">
        <v>59.9</v>
      </c>
      <c r="M6">
        <v>58.2</v>
      </c>
      <c r="N6">
        <v>62.3</v>
      </c>
      <c r="O6">
        <v>62.3</v>
      </c>
    </row>
    <row r="7" spans="1:16" ht="15.75" customHeight="1" x14ac:dyDescent="0.2">
      <c r="E7" s="99"/>
      <c r="F7">
        <v>2016</v>
      </c>
      <c r="G7">
        <v>61.2</v>
      </c>
      <c r="H7">
        <v>69.599999999999994</v>
      </c>
      <c r="I7">
        <v>52.5</v>
      </c>
      <c r="J7">
        <v>55.6</v>
      </c>
      <c r="K7">
        <v>64.599999999999994</v>
      </c>
      <c r="L7">
        <v>64.400000000000006</v>
      </c>
      <c r="M7">
        <v>56.2</v>
      </c>
      <c r="N7">
        <v>63.6</v>
      </c>
      <c r="O7">
        <v>63.6</v>
      </c>
    </row>
    <row r="8" spans="1:16" x14ac:dyDescent="0.2">
      <c r="E8" s="99"/>
      <c r="F8">
        <v>2018</v>
      </c>
      <c r="G8">
        <v>61.6</v>
      </c>
      <c r="H8">
        <v>64.7</v>
      </c>
      <c r="I8">
        <v>63.7</v>
      </c>
      <c r="J8">
        <v>59.4</v>
      </c>
      <c r="K8">
        <v>69.900000000000006</v>
      </c>
      <c r="L8">
        <v>63.2</v>
      </c>
      <c r="M8">
        <v>59.7</v>
      </c>
      <c r="N8">
        <v>64.400000000000006</v>
      </c>
      <c r="O8">
        <v>64.400000000000006</v>
      </c>
      <c r="P8" s="14"/>
    </row>
    <row r="9" spans="1:16" x14ac:dyDescent="0.2">
      <c r="A9" s="98" t="s">
        <v>893</v>
      </c>
      <c r="B9" s="99"/>
      <c r="E9" s="99"/>
      <c r="F9">
        <v>2021</v>
      </c>
      <c r="G9">
        <v>67.099999999999994</v>
      </c>
      <c r="H9">
        <v>75.099999999999994</v>
      </c>
      <c r="I9">
        <v>65.099999999999994</v>
      </c>
      <c r="J9">
        <v>62.5</v>
      </c>
      <c r="K9">
        <v>64.900000000000006</v>
      </c>
      <c r="L9">
        <v>62.5</v>
      </c>
      <c r="M9">
        <v>59.4</v>
      </c>
      <c r="N9">
        <v>66.7</v>
      </c>
      <c r="O9">
        <v>66.7</v>
      </c>
    </row>
    <row r="10" spans="1:16" x14ac:dyDescent="0.2">
      <c r="A10" t="s">
        <v>894</v>
      </c>
      <c r="B10" t="s">
        <v>972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2AB19B6-9320-7943-8954-F853F4C5EA42}">
      <formula1>"True,False"</formula1>
    </dataValidation>
    <dataValidation type="list" allowBlank="1" showInputMessage="1" showErrorMessage="1" sqref="B2" xr:uid="{EA3593B8-63E6-4B45-84BA-3FFA573CBB65}">
      <formula1>"Table,Figure,Both"</formula1>
    </dataValidation>
    <dataValidation type="list" allowBlank="1" showInputMessage="1" showErrorMessage="1" sqref="B10" xr:uid="{3AF3712E-F080-A449-837E-2CCB75C2858B}">
      <formula1>"Line,Clustered Bar,Stacked Bar,Bar,Horizontal Stacked Bar"</formula1>
    </dataValidation>
    <dataValidation type="list" allowBlank="1" showInputMessage="1" showErrorMessage="1" sqref="P4" xr:uid="{5866F6AE-242B-2041-A931-DE6ECC0CC17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5631987-9CE3-3B48-B378-5930FC109D2F}">
          <x14:formula1>
            <xm:f>Dropdowns!$A$1:$A$8</xm:f>
          </x14:formula1>
          <xm:sqref>F4:O4</xm:sqref>
        </x14:dataValidation>
        <x14:dataValidation type="list" allowBlank="1" showInputMessage="1" showErrorMessage="1" xr:uid="{4564C111-A868-6849-ADD3-DDE042590247}">
          <x14:formula1>
            <xm:f>Master!$F$2:$F$401</xm:f>
          </x14:formula1>
          <xm:sqref>B1:O1</xm:sqref>
        </x14:dataValidation>
      </x14:dataValidations>
    </ext>
  </extLst>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49F3-100C-EE48-A47E-DB527AAD1261}">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483</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tbl-adult-obese-percent</v>
      </c>
    </row>
    <row r="4" spans="1:16" x14ac:dyDescent="0.2">
      <c r="A4" s="58" t="s">
        <v>6</v>
      </c>
      <c r="B4" t="str">
        <f>IF($B$1="","",_xlfn.XLOOKUP($B$1,Master!$F$2:$F$308,Master!$H$2:$H$308,""))</f>
        <v>fig-adult-obese-percent</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F5" t="s">
        <v>1123</v>
      </c>
      <c r="G5" t="s">
        <v>220</v>
      </c>
      <c r="H5" t="s">
        <v>18</v>
      </c>
      <c r="I5" t="s">
        <v>537</v>
      </c>
      <c r="J5" t="s">
        <v>449</v>
      </c>
      <c r="K5" t="s">
        <v>409</v>
      </c>
      <c r="L5" t="s">
        <v>421</v>
      </c>
      <c r="M5" t="s">
        <v>470</v>
      </c>
      <c r="N5" t="s">
        <v>914</v>
      </c>
      <c r="O5" t="s">
        <v>915</v>
      </c>
    </row>
    <row r="6" spans="1:16" ht="15" customHeight="1" x14ac:dyDescent="0.2">
      <c r="A6" t="s">
        <v>891</v>
      </c>
      <c r="B6" t="b">
        <v>0</v>
      </c>
      <c r="E6" s="99"/>
      <c r="F6" t="s">
        <v>1940</v>
      </c>
      <c r="G6">
        <v>25.5</v>
      </c>
      <c r="H6">
        <v>32.5</v>
      </c>
      <c r="I6">
        <v>20.5</v>
      </c>
      <c r="J6">
        <v>23.1</v>
      </c>
      <c r="K6">
        <v>27.7</v>
      </c>
      <c r="L6">
        <v>26.4</v>
      </c>
      <c r="M6">
        <v>21</v>
      </c>
      <c r="N6" t="s">
        <v>900</v>
      </c>
      <c r="O6">
        <v>27.4</v>
      </c>
    </row>
    <row r="7" spans="1:16" ht="15.75" customHeight="1" x14ac:dyDescent="0.2">
      <c r="E7" s="99"/>
      <c r="F7">
        <v>2016</v>
      </c>
      <c r="G7">
        <v>27</v>
      </c>
      <c r="H7">
        <v>29.7</v>
      </c>
      <c r="I7">
        <v>19.2</v>
      </c>
      <c r="J7">
        <v>20.7</v>
      </c>
      <c r="K7">
        <v>32.9</v>
      </c>
      <c r="L7">
        <v>31.8</v>
      </c>
      <c r="M7">
        <v>17.7</v>
      </c>
      <c r="N7">
        <v>23.1</v>
      </c>
      <c r="O7">
        <v>27.5</v>
      </c>
    </row>
    <row r="8" spans="1:16" x14ac:dyDescent="0.2">
      <c r="E8" s="99"/>
      <c r="F8">
        <v>2018</v>
      </c>
      <c r="G8">
        <v>27.4</v>
      </c>
      <c r="H8">
        <v>24.3</v>
      </c>
      <c r="I8">
        <v>27.8</v>
      </c>
      <c r="J8">
        <v>27</v>
      </c>
      <c r="K8">
        <v>38.9</v>
      </c>
      <c r="L8">
        <v>28</v>
      </c>
      <c r="M8">
        <v>24.1</v>
      </c>
      <c r="N8">
        <v>25.3</v>
      </c>
      <c r="O8">
        <v>29.7</v>
      </c>
      <c r="P8" s="14"/>
    </row>
    <row r="9" spans="1:16" x14ac:dyDescent="0.2">
      <c r="A9" s="98" t="s">
        <v>893</v>
      </c>
      <c r="B9" s="99"/>
      <c r="E9" s="99"/>
      <c r="F9">
        <v>2021</v>
      </c>
      <c r="G9">
        <v>31.4</v>
      </c>
      <c r="H9">
        <v>38.5</v>
      </c>
      <c r="I9">
        <v>31.6</v>
      </c>
      <c r="J9">
        <v>23.1</v>
      </c>
      <c r="K9">
        <v>33.299999999999997</v>
      </c>
      <c r="L9">
        <v>32.299999999999997</v>
      </c>
      <c r="M9">
        <v>26.5</v>
      </c>
      <c r="N9">
        <v>29.8</v>
      </c>
      <c r="O9">
        <v>32.1</v>
      </c>
    </row>
    <row r="10" spans="1:16" x14ac:dyDescent="0.2">
      <c r="A10" t="s">
        <v>894</v>
      </c>
      <c r="B10" t="s">
        <v>972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AC307063-2C42-424F-9AD7-2E4247A4EA29}">
      <formula1>"integer, number, percent1"</formula1>
    </dataValidation>
    <dataValidation type="list" allowBlank="1" showInputMessage="1" showErrorMessage="1" sqref="B10" xr:uid="{E7B447B8-A790-BA45-BE4C-8721BD8742A8}">
      <formula1>"Line,Clustered Bar,Stacked Bar,Bar,Horizontal Stacked Bar"</formula1>
    </dataValidation>
    <dataValidation type="list" allowBlank="1" showInputMessage="1" showErrorMessage="1" sqref="B2" xr:uid="{FC70DA13-D968-D541-9A59-97C267343A43}">
      <formula1>"Table,Figure,Both"</formula1>
    </dataValidation>
    <dataValidation type="list" allowBlank="1" showInputMessage="1" showErrorMessage="1" sqref="B6 B15:B16" xr:uid="{DDF93A85-86A4-544D-BEB3-4DBA04395E6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73E3932-5B64-734D-92A1-436B46A7381D}">
          <x14:formula1>
            <xm:f>Master!$F$2:$F$401</xm:f>
          </x14:formula1>
          <xm:sqref>B1:O1</xm:sqref>
        </x14:dataValidation>
        <x14:dataValidation type="list" allowBlank="1" showInputMessage="1" showErrorMessage="1" xr:uid="{0EDBDCE4-9BEF-3244-B0A5-CA746AF7FD3E}">
          <x14:formula1>
            <xm:f>Dropdowns!$A$1:$A$8</xm:f>
          </x14:formula1>
          <xm:sqref>F4:O4</xm:sqref>
        </x14:dataValidation>
      </x14:dataValidations>
    </ext>
  </extLst>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79FE-7F9E-C54B-90D8-49A09677EC37}">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484</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tbl-child-oando-percent</v>
      </c>
    </row>
    <row r="4" spans="1:16" x14ac:dyDescent="0.2">
      <c r="A4" s="58" t="s">
        <v>6</v>
      </c>
      <c r="B4" t="str">
        <f>IF($B$1="","",_xlfn.XLOOKUP($B$1,Master!$F$2:$F$308,Master!$H$2:$H$308,""))</f>
        <v>fig-child-oando-percent</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F5" t="s">
        <v>1123</v>
      </c>
      <c r="G5" t="s">
        <v>220</v>
      </c>
      <c r="H5" t="s">
        <v>18</v>
      </c>
      <c r="I5" t="s">
        <v>537</v>
      </c>
      <c r="J5" t="s">
        <v>449</v>
      </c>
      <c r="K5" t="s">
        <v>409</v>
      </c>
      <c r="L5" t="s">
        <v>421</v>
      </c>
      <c r="M5" t="s">
        <v>470</v>
      </c>
      <c r="N5" t="s">
        <v>914</v>
      </c>
    </row>
    <row r="6" spans="1:16" ht="15" customHeight="1" x14ac:dyDescent="0.2">
      <c r="A6" t="s">
        <v>891</v>
      </c>
      <c r="B6" t="b">
        <v>0</v>
      </c>
      <c r="E6" s="99"/>
      <c r="F6" t="s">
        <v>1941</v>
      </c>
      <c r="G6">
        <v>33.799999999999997</v>
      </c>
      <c r="H6">
        <v>33</v>
      </c>
      <c r="I6">
        <v>31.4</v>
      </c>
      <c r="J6">
        <v>34.200000000000003</v>
      </c>
      <c r="K6">
        <v>39</v>
      </c>
      <c r="L6">
        <v>37</v>
      </c>
      <c r="M6">
        <v>27.8</v>
      </c>
      <c r="N6">
        <v>33.9</v>
      </c>
    </row>
    <row r="7" spans="1:16" ht="15.75" customHeight="1" x14ac:dyDescent="0.2">
      <c r="E7" s="99"/>
      <c r="F7" t="s">
        <v>1942</v>
      </c>
      <c r="G7">
        <v>33.5</v>
      </c>
      <c r="H7">
        <v>36.200000000000003</v>
      </c>
      <c r="I7">
        <v>32.1</v>
      </c>
      <c r="J7">
        <v>33.9</v>
      </c>
      <c r="K7">
        <v>37.700000000000003</v>
      </c>
      <c r="L7">
        <v>37</v>
      </c>
      <c r="M7">
        <v>28.6</v>
      </c>
      <c r="N7">
        <v>33.700000000000003</v>
      </c>
    </row>
    <row r="8" spans="1:16" x14ac:dyDescent="0.2">
      <c r="E8" s="99"/>
      <c r="F8" t="s">
        <v>1618</v>
      </c>
      <c r="G8">
        <v>35.5</v>
      </c>
      <c r="H8">
        <v>35.200000000000003</v>
      </c>
      <c r="I8">
        <v>32.9</v>
      </c>
      <c r="J8">
        <v>34</v>
      </c>
      <c r="K8">
        <v>41.2</v>
      </c>
      <c r="L8">
        <v>38.200000000000003</v>
      </c>
      <c r="M8">
        <v>31</v>
      </c>
      <c r="N8">
        <v>34.799999999999997</v>
      </c>
      <c r="P8" s="14"/>
    </row>
    <row r="9" spans="1:16" x14ac:dyDescent="0.2">
      <c r="A9" s="98" t="s">
        <v>893</v>
      </c>
      <c r="B9" s="99"/>
      <c r="E9" s="99"/>
      <c r="F9" t="s">
        <v>1943</v>
      </c>
      <c r="G9">
        <v>35.700000000000003</v>
      </c>
      <c r="H9">
        <v>38.700000000000003</v>
      </c>
      <c r="I9">
        <v>34.700000000000003</v>
      </c>
      <c r="J9">
        <v>36.1</v>
      </c>
      <c r="K9">
        <v>41.6</v>
      </c>
      <c r="L9">
        <v>40.4</v>
      </c>
      <c r="M9">
        <v>29.6</v>
      </c>
      <c r="N9" t="s">
        <v>900</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694</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F8B1E307-F2DE-9649-AA7D-CCD46ED93C8D}">
      <formula1>"True,False"</formula1>
    </dataValidation>
    <dataValidation type="list" allowBlank="1" showInputMessage="1" showErrorMessage="1" sqref="B2" xr:uid="{236874C9-D600-C749-A224-AF5C1344AF93}">
      <formula1>"Table,Figure,Both"</formula1>
    </dataValidation>
    <dataValidation type="list" allowBlank="1" showInputMessage="1" showErrorMessage="1" sqref="B10" xr:uid="{3BEFEC5C-2AE4-B24D-B3CD-F09D99B1EB18}">
      <formula1>"Line,Clustered Bar,Stacked Bar,Bar,Horizontal Stacked Bar"</formula1>
    </dataValidation>
    <dataValidation type="list" allowBlank="1" showInputMessage="1" showErrorMessage="1" sqref="P4" xr:uid="{F3250A74-148A-1D4C-9808-9DCE729AEDE4}">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F1E303D-5BD3-DD4D-ADC9-4DFB4DC76D44}">
          <x14:formula1>
            <xm:f>Dropdowns!$A$1:$A$8</xm:f>
          </x14:formula1>
          <xm:sqref>F4:O4</xm:sqref>
        </x14:dataValidation>
        <x14:dataValidation type="list" allowBlank="1" showInputMessage="1" showErrorMessage="1" xr:uid="{7DD7F1B5-C304-9648-8A1E-B8F654C7BB72}">
          <x14:formula1>
            <xm:f>Master!$F$2:$F$401</xm:f>
          </x14:formula1>
          <xm:sqref>B1:O1</xm:sqref>
        </x14:dataValidation>
      </x14:dataValidations>
    </ext>
  </extLst>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135D-46E6-AD4D-BAEA-E84434C686E3}">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488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tbl-cirrhosis-hospital-aar</v>
      </c>
    </row>
    <row r="4" spans="1:16" x14ac:dyDescent="0.2">
      <c r="A4" s="58" t="s">
        <v>6</v>
      </c>
      <c r="B4" t="str">
        <f>IF($B$1="","",_xlfn.XLOOKUP($B$1,Master!$F$2:$F$308,Master!$H$2:$H$308,""))</f>
        <v>fig-cirrhosis-hospital-aar</v>
      </c>
      <c r="E4" s="13"/>
      <c r="F4" s="16" t="s">
        <v>664</v>
      </c>
      <c r="G4" s="16" t="s">
        <v>679</v>
      </c>
      <c r="H4" s="16" t="s">
        <v>679</v>
      </c>
      <c r="I4" s="16" t="s">
        <v>679</v>
      </c>
      <c r="J4" s="16" t="s">
        <v>679</v>
      </c>
      <c r="K4" s="16" t="s">
        <v>679</v>
      </c>
      <c r="L4" s="16" t="s">
        <v>679</v>
      </c>
      <c r="M4" s="16" t="s">
        <v>679</v>
      </c>
      <c r="N4" s="16" t="s">
        <v>679</v>
      </c>
      <c r="O4" s="16" t="s">
        <v>679</v>
      </c>
      <c r="P4" s="16" t="s">
        <v>679</v>
      </c>
    </row>
    <row r="5" spans="1:16" x14ac:dyDescent="0.2">
      <c r="A5" s="98" t="s">
        <v>885</v>
      </c>
      <c r="B5" s="99"/>
      <c r="E5" s="100" t="s">
        <v>886</v>
      </c>
      <c r="F5" t="s">
        <v>1123</v>
      </c>
      <c r="G5" t="s">
        <v>220</v>
      </c>
      <c r="H5" t="s">
        <v>18</v>
      </c>
      <c r="I5" t="s">
        <v>537</v>
      </c>
      <c r="J5" t="s">
        <v>449</v>
      </c>
      <c r="K5" t="s">
        <v>409</v>
      </c>
      <c r="L5" t="s">
        <v>421</v>
      </c>
      <c r="M5" t="s">
        <v>470</v>
      </c>
      <c r="N5" t="s">
        <v>898</v>
      </c>
      <c r="O5" t="s">
        <v>914</v>
      </c>
      <c r="P5" t="s">
        <v>915</v>
      </c>
    </row>
    <row r="6" spans="1:16" ht="15" customHeight="1" x14ac:dyDescent="0.2">
      <c r="A6" t="s">
        <v>891</v>
      </c>
      <c r="B6" t="b">
        <v>0</v>
      </c>
      <c r="E6" s="99"/>
      <c r="F6" t="s">
        <v>1391</v>
      </c>
      <c r="G6">
        <v>4.5999999999999996</v>
      </c>
      <c r="H6">
        <v>4</v>
      </c>
      <c r="I6">
        <v>3</v>
      </c>
      <c r="J6">
        <v>3</v>
      </c>
      <c r="K6">
        <v>2.9</v>
      </c>
      <c r="L6">
        <v>5.0999999999999996</v>
      </c>
      <c r="M6">
        <v>3.4</v>
      </c>
      <c r="N6">
        <v>3.7</v>
      </c>
      <c r="O6">
        <v>3.8</v>
      </c>
      <c r="P6">
        <v>3.9</v>
      </c>
    </row>
    <row r="7" spans="1:16" ht="15.75" customHeight="1" x14ac:dyDescent="0.2">
      <c r="E7" s="99"/>
    </row>
    <row r="8" spans="1:16" x14ac:dyDescent="0.2">
      <c r="E8" s="99"/>
      <c r="P8" s="14"/>
    </row>
    <row r="9" spans="1:16" x14ac:dyDescent="0.2">
      <c r="A9" s="98" t="s">
        <v>893</v>
      </c>
      <c r="B9" s="99"/>
      <c r="E9" s="99"/>
    </row>
    <row r="10" spans="1:16" x14ac:dyDescent="0.2">
      <c r="A10" t="s">
        <v>894</v>
      </c>
      <c r="B10" t="s">
        <v>1002</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1123</v>
      </c>
      <c r="E13" s="99"/>
      <c r="F13" s="47"/>
      <c r="G13" s="47"/>
      <c r="H13" s="47"/>
      <c r="I13" s="46"/>
      <c r="J13" s="46"/>
      <c r="K13" s="46"/>
      <c r="L13" s="46"/>
      <c r="M13" s="46"/>
      <c r="N13" s="46"/>
      <c r="O13" s="46"/>
    </row>
    <row r="14" spans="1:16" x14ac:dyDescent="0.2">
      <c r="A14" t="s">
        <v>899</v>
      </c>
      <c r="B14" t="s">
        <v>708</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disablePrompts="1" count="4">
    <dataValidation type="list" allowBlank="1" showInputMessage="1" showErrorMessage="1" sqref="P4" xr:uid="{6D8E214B-F4AA-1C44-A7F4-642F5028A7FB}">
      <formula1>"integer, number, percent1"</formula1>
    </dataValidation>
    <dataValidation type="list" allowBlank="1" showInputMessage="1" showErrorMessage="1" sqref="B10" xr:uid="{BB7FCAE9-1FC3-A846-85EE-7D26D1D00A81}">
      <formula1>"Line,Clustered Bar,Stacked Bar,Bar,Horizontal Stacked Bar"</formula1>
    </dataValidation>
    <dataValidation type="list" allowBlank="1" showInputMessage="1" showErrorMessage="1" sqref="B2" xr:uid="{8D2B8E06-87E9-8940-ACA7-A3E36EEAE58B}">
      <formula1>"Table,Figure,Both"</formula1>
    </dataValidation>
    <dataValidation type="list" allowBlank="1" showInputMessage="1" showErrorMessage="1" sqref="B6 B15:B16" xr:uid="{9CC53744-7928-1847-A16F-226DC9AFAA5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1A89094-016E-CE4E-9C5F-3F8C08883838}">
          <x14:formula1>
            <xm:f>Master!$F$2:$F$401</xm:f>
          </x14:formula1>
          <xm:sqref>B1:O1</xm:sqref>
        </x14:dataValidation>
        <x14:dataValidation type="list" allowBlank="1" showInputMessage="1" showErrorMessage="1" xr:uid="{60D621E3-181F-3647-9177-E34BACCDD826}">
          <x14:formula1>
            <xm:f>Dropdowns!$A$1:$A$8</xm:f>
          </x14:formula1>
          <xm:sqref>F4:O4</xm:sqref>
        </x14:dataValidation>
      </x14:dataValidations>
    </ext>
  </extLst>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3414-76EC-794B-B0FB-9FD9A367D509}">
  <dimension ref="A1:P57"/>
  <sheetViews>
    <sheetView workbookViewId="0">
      <selection activeCell="B13" sqref="B1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488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tbl-cirrhosis-hospital-aar</v>
      </c>
    </row>
    <row r="4" spans="1:16" x14ac:dyDescent="0.2">
      <c r="A4" s="58" t="s">
        <v>6</v>
      </c>
      <c r="B4" t="str">
        <f>IF($B$1="","",_xlfn.XLOOKUP($B$1,Master!$F$2:$F$308,Master!$H$2:$H$308,""))</f>
        <v>fig-cirrhosis-hospital-aar</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G5" s="101" t="s">
        <v>1775</v>
      </c>
      <c r="H5" s="101"/>
      <c r="I5" s="101"/>
      <c r="J5" s="101"/>
      <c r="K5" s="101"/>
      <c r="L5" s="101"/>
      <c r="M5" s="101"/>
      <c r="N5" t="s">
        <v>1776</v>
      </c>
    </row>
    <row r="6" spans="1:16" ht="15" customHeight="1" x14ac:dyDescent="0.2">
      <c r="A6" t="s">
        <v>891</v>
      </c>
      <c r="B6" t="b">
        <v>1</v>
      </c>
      <c r="E6" s="99"/>
      <c r="F6" t="s">
        <v>1123</v>
      </c>
      <c r="G6" t="s">
        <v>220</v>
      </c>
      <c r="H6" t="s">
        <v>18</v>
      </c>
      <c r="I6" t="s">
        <v>537</v>
      </c>
      <c r="J6" t="s">
        <v>449</v>
      </c>
      <c r="K6" t="s">
        <v>409</v>
      </c>
      <c r="L6" t="s">
        <v>421</v>
      </c>
      <c r="M6" t="s">
        <v>470</v>
      </c>
      <c r="N6" t="s">
        <v>915</v>
      </c>
    </row>
    <row r="7" spans="1:16" ht="15.75" customHeight="1" x14ac:dyDescent="0.2">
      <c r="E7" s="99"/>
      <c r="F7">
        <v>2014</v>
      </c>
      <c r="G7">
        <v>6.9</v>
      </c>
      <c r="H7">
        <v>6.6</v>
      </c>
      <c r="I7">
        <v>7</v>
      </c>
      <c r="J7">
        <v>5.5</v>
      </c>
      <c r="K7">
        <v>8.4</v>
      </c>
      <c r="L7">
        <v>6</v>
      </c>
      <c r="M7">
        <v>4.5999999999999996</v>
      </c>
      <c r="N7">
        <v>6.7</v>
      </c>
    </row>
    <row r="8" spans="1:16" x14ac:dyDescent="0.2">
      <c r="E8" s="99"/>
      <c r="F8">
        <v>2015</v>
      </c>
      <c r="G8">
        <v>6.1</v>
      </c>
      <c r="H8">
        <v>6</v>
      </c>
      <c r="I8">
        <v>8.3000000000000007</v>
      </c>
      <c r="J8">
        <v>5.8</v>
      </c>
      <c r="K8">
        <v>9.1999999999999993</v>
      </c>
      <c r="L8">
        <v>8.1999999999999993</v>
      </c>
      <c r="M8">
        <v>4.5999999999999996</v>
      </c>
      <c r="N8">
        <v>6.7</v>
      </c>
      <c r="P8" s="14"/>
    </row>
    <row r="9" spans="1:16" x14ac:dyDescent="0.2">
      <c r="A9" s="98" t="s">
        <v>893</v>
      </c>
      <c r="B9" s="99"/>
      <c r="E9" s="99"/>
      <c r="F9">
        <v>2016</v>
      </c>
      <c r="G9">
        <v>5.8</v>
      </c>
      <c r="H9">
        <v>6.4</v>
      </c>
      <c r="I9">
        <v>8.3000000000000007</v>
      </c>
      <c r="J9">
        <v>6.4</v>
      </c>
      <c r="K9">
        <v>7.2</v>
      </c>
      <c r="L9">
        <v>8.1999999999999993</v>
      </c>
      <c r="M9">
        <v>5.4</v>
      </c>
      <c r="N9">
        <v>6.9</v>
      </c>
    </row>
    <row r="10" spans="1:16" x14ac:dyDescent="0.2">
      <c r="A10" t="s">
        <v>894</v>
      </c>
      <c r="B10" t="s">
        <v>972</v>
      </c>
      <c r="E10" s="99"/>
      <c r="F10">
        <v>2017</v>
      </c>
      <c r="G10">
        <v>5.4</v>
      </c>
      <c r="H10">
        <v>7.1</v>
      </c>
      <c r="I10">
        <v>5.8</v>
      </c>
      <c r="J10">
        <v>5.2</v>
      </c>
      <c r="K10">
        <v>7.1</v>
      </c>
      <c r="L10">
        <v>8.5</v>
      </c>
      <c r="M10">
        <v>5.7</v>
      </c>
      <c r="N10">
        <v>7</v>
      </c>
    </row>
    <row r="11" spans="1:16" x14ac:dyDescent="0.2">
      <c r="A11" t="s">
        <v>895</v>
      </c>
      <c r="B11" t="s">
        <v>887</v>
      </c>
      <c r="E11" s="99"/>
      <c r="F11" s="46" t="s">
        <v>1944</v>
      </c>
      <c r="G11" s="59">
        <v>4.9000000000000004</v>
      </c>
      <c r="H11" s="59">
        <v>7.5</v>
      </c>
      <c r="I11" s="59">
        <v>4.8</v>
      </c>
      <c r="J11" s="42">
        <v>4.7</v>
      </c>
      <c r="K11" s="42">
        <v>6.9</v>
      </c>
      <c r="L11" s="42">
        <v>7.3</v>
      </c>
      <c r="M11" s="47" t="s">
        <v>1945</v>
      </c>
      <c r="N11" s="47" t="s">
        <v>1466</v>
      </c>
      <c r="O11" s="46"/>
    </row>
    <row r="12" spans="1:16" x14ac:dyDescent="0.2">
      <c r="A12" t="s">
        <v>896</v>
      </c>
      <c r="E12" s="99"/>
      <c r="F12" s="74" t="s">
        <v>1946</v>
      </c>
      <c r="G12" s="42">
        <v>6.3</v>
      </c>
      <c r="H12" s="42">
        <v>7.3</v>
      </c>
      <c r="I12" s="59">
        <v>5.3</v>
      </c>
      <c r="J12" s="59">
        <v>4.3</v>
      </c>
      <c r="K12" s="59">
        <v>6.7</v>
      </c>
      <c r="L12" s="59">
        <v>7.5</v>
      </c>
      <c r="M12" s="46" t="s">
        <v>1947</v>
      </c>
      <c r="N12" s="46" t="s">
        <v>1466</v>
      </c>
      <c r="O12" s="46"/>
    </row>
    <row r="13" spans="1:16" x14ac:dyDescent="0.2">
      <c r="A13" t="s">
        <v>897</v>
      </c>
      <c r="B13" t="s">
        <v>1123</v>
      </c>
      <c r="E13" s="99"/>
      <c r="F13" s="47" t="s">
        <v>1948</v>
      </c>
      <c r="G13" s="47" t="s">
        <v>1464</v>
      </c>
      <c r="H13" s="47" t="s">
        <v>1949</v>
      </c>
      <c r="I13" s="46" t="s">
        <v>1463</v>
      </c>
      <c r="J13" s="46" t="s">
        <v>1950</v>
      </c>
      <c r="K13" s="46" t="s">
        <v>1951</v>
      </c>
      <c r="L13" s="46" t="s">
        <v>1466</v>
      </c>
      <c r="M13" s="46" t="s">
        <v>1760</v>
      </c>
      <c r="N13" s="46" t="s">
        <v>1467</v>
      </c>
      <c r="O13" s="46"/>
    </row>
    <row r="14" spans="1:16" x14ac:dyDescent="0.2">
      <c r="A14" t="s">
        <v>899</v>
      </c>
      <c r="B14" t="s">
        <v>715</v>
      </c>
      <c r="E14" s="99"/>
      <c r="F14" s="68" t="s">
        <v>1142</v>
      </c>
      <c r="G14" s="68" t="s">
        <v>1468</v>
      </c>
      <c r="H14" s="68" t="s">
        <v>1463</v>
      </c>
      <c r="I14" s="46" t="s">
        <v>1463</v>
      </c>
      <c r="J14" s="47" t="s">
        <v>1952</v>
      </c>
      <c r="K14" s="47" t="s">
        <v>1953</v>
      </c>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7">
    <mergeCell ref="B1:O1"/>
    <mergeCell ref="A5:B5"/>
    <mergeCell ref="E5:E57"/>
    <mergeCell ref="A9:B9"/>
    <mergeCell ref="A18:B18"/>
    <mergeCell ref="A27:B27"/>
    <mergeCell ref="G5:M5"/>
  </mergeCells>
  <dataValidations count="4">
    <dataValidation type="list" allowBlank="1" showInputMessage="1" showErrorMessage="1" sqref="B6 B15:B16" xr:uid="{A36167E2-F5C7-EE41-A1CF-F3CDA26642D8}">
      <formula1>"True,False"</formula1>
    </dataValidation>
    <dataValidation type="list" allowBlank="1" showInputMessage="1" showErrorMessage="1" sqref="B2" xr:uid="{3AC22705-0D56-9A47-AE7A-976E5D549A38}">
      <formula1>"Table,Figure,Both"</formula1>
    </dataValidation>
    <dataValidation type="list" allowBlank="1" showInputMessage="1" showErrorMessage="1" sqref="B10" xr:uid="{9864E99A-0FE5-EF44-992F-E307A95DDA78}">
      <formula1>"Line,Clustered Bar,Stacked Bar,Bar,Horizontal Stacked Bar"</formula1>
    </dataValidation>
    <dataValidation type="list" allowBlank="1" showInputMessage="1" showErrorMessage="1" sqref="P4" xr:uid="{8F364CBF-544D-A147-926E-68BFBCC8571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592F547-81B5-174D-93FD-24AF4EDDA0FE}">
          <x14:formula1>
            <xm:f>Dropdowns!$A$1:$A$8</xm:f>
          </x14:formula1>
          <xm:sqref>F4:O4</xm:sqref>
        </x14:dataValidation>
        <x14:dataValidation type="list" allowBlank="1" showInputMessage="1" showErrorMessage="1" xr:uid="{C751C837-F4FD-BA49-AA99-E7A1912D1FD6}">
          <x14:formula1>
            <xm:f>Master!$F$2:$F$401</xm:f>
          </x14:formula1>
          <xm:sqref>B1:O1</xm:sqref>
        </x14:dataValidation>
      </x14:dataValidations>
    </ext>
  </extLst>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BA66E-F340-BC41-A1C8-CD42C98670D6}">
  <dimension ref="A1:P57"/>
  <sheetViews>
    <sheetView workbookViewId="0">
      <selection activeCell="C10" sqref="C10"/>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491</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tbl-allca-incident-mortal-aar</v>
      </c>
    </row>
    <row r="4" spans="1:16" x14ac:dyDescent="0.2">
      <c r="A4" s="58" t="s">
        <v>6</v>
      </c>
      <c r="B4" t="str">
        <f>IF($B$1="","",_xlfn.XLOOKUP($B$1,Master!$F$2:$F$308,Master!$H$2:$H$308,""))</f>
        <v>fig-allca-incident-mortal-aar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t="s">
        <v>220</v>
      </c>
      <c r="H5" t="s">
        <v>18</v>
      </c>
      <c r="I5" t="s">
        <v>537</v>
      </c>
      <c r="J5" t="s">
        <v>449</v>
      </c>
      <c r="K5" t="s">
        <v>409</v>
      </c>
      <c r="L5" t="s">
        <v>421</v>
      </c>
      <c r="M5" t="s">
        <v>470</v>
      </c>
      <c r="N5" t="s">
        <v>898</v>
      </c>
      <c r="O5" t="s">
        <v>915</v>
      </c>
    </row>
    <row r="6" spans="1:16" ht="15" customHeight="1" x14ac:dyDescent="0.2">
      <c r="A6" t="s">
        <v>891</v>
      </c>
      <c r="B6" t="b">
        <v>0</v>
      </c>
      <c r="E6" s="99"/>
      <c r="F6" t="s">
        <v>1958</v>
      </c>
      <c r="G6">
        <v>458.2</v>
      </c>
      <c r="H6">
        <v>462.4</v>
      </c>
      <c r="I6">
        <v>483.6</v>
      </c>
      <c r="J6">
        <v>453.2</v>
      </c>
      <c r="K6">
        <v>438.4</v>
      </c>
      <c r="L6">
        <v>454.1</v>
      </c>
      <c r="M6">
        <v>444.7</v>
      </c>
      <c r="N6">
        <v>452.4</v>
      </c>
      <c r="O6">
        <v>458.2</v>
      </c>
    </row>
    <row r="7" spans="1:16" ht="15.75" customHeight="1" x14ac:dyDescent="0.2">
      <c r="E7" s="99"/>
      <c r="F7" t="s">
        <v>1821</v>
      </c>
      <c r="G7">
        <v>132.19999999999999</v>
      </c>
      <c r="H7">
        <v>156.4</v>
      </c>
      <c r="I7">
        <v>117.4</v>
      </c>
      <c r="J7">
        <v>101.6</v>
      </c>
      <c r="K7">
        <v>142.30000000000001</v>
      </c>
      <c r="L7">
        <v>138.30000000000001</v>
      </c>
      <c r="M7">
        <v>104.5</v>
      </c>
      <c r="N7">
        <v>119.9</v>
      </c>
      <c r="O7">
        <v>124.8</v>
      </c>
    </row>
    <row r="8" spans="1:16" x14ac:dyDescent="0.2">
      <c r="E8" s="99"/>
      <c r="P8" s="14"/>
    </row>
    <row r="9" spans="1:16" x14ac:dyDescent="0.2">
      <c r="A9" s="98" t="s">
        <v>893</v>
      </c>
      <c r="B9" s="99"/>
      <c r="E9" s="99"/>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B698C5FE-992F-1B47-BDB7-FC780010D7CD}">
      <formula1>"integer, number, percent1"</formula1>
    </dataValidation>
    <dataValidation type="list" allowBlank="1" showInputMessage="1" showErrorMessage="1" sqref="B10" xr:uid="{3ACEC427-0A34-BB4C-8B5C-D22ECB6B8B45}">
      <formula1>"Line,Clustered Bar,Stacked Bar,Bar,Horizontal Stacked Bar"</formula1>
    </dataValidation>
    <dataValidation type="list" allowBlank="1" showInputMessage="1" showErrorMessage="1" sqref="B2" xr:uid="{19DE0DAF-512A-DC4A-9F93-591CB1552345}">
      <formula1>"Table,Figure,Both"</formula1>
    </dataValidation>
    <dataValidation type="list" allowBlank="1" showInputMessage="1" showErrorMessage="1" sqref="B6 B15:B16" xr:uid="{57E74CDF-B1A8-E74D-A4A7-874A7F0FE89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185E14A5-B431-2847-9A5D-A021CD266086}">
          <x14:formula1>
            <xm:f>Master!$F$2:$F$401</xm:f>
          </x14:formula1>
          <xm:sqref>B1:O1</xm:sqref>
        </x14:dataValidation>
        <x14:dataValidation type="list" allowBlank="1" showInputMessage="1" showErrorMessage="1" xr:uid="{D9E1AA7E-AFCD-6448-B0A8-BA83572C8C94}">
          <x14:formula1>
            <xm:f>Dropdowns!$A$1:$A$8</xm:f>
          </x14:formula1>
          <xm:sqref>F4:O4</xm:sqref>
        </x14:dataValidation>
      </x14:dataValidations>
    </ext>
  </extLst>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67B5C-52CF-F74B-B3C0-B2CE814EF729}">
  <dimension ref="A1:P57"/>
  <sheetViews>
    <sheetView workbookViewId="0">
      <selection activeCell="J23" sqref="J23"/>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495</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tbl-allca-incident-mortal-sex-aar</v>
      </c>
    </row>
    <row r="4" spans="1:16" x14ac:dyDescent="0.2">
      <c r="A4" s="58" t="s">
        <v>6</v>
      </c>
      <c r="B4" t="str">
        <f>IF($B$1="","",_xlfn.XLOOKUP($B$1,Master!$F$2:$F$308,Master!$H$2:$H$308,""))</f>
        <v>fig-allca-incident-mortal-sex-aar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t="s">
        <v>220</v>
      </c>
      <c r="H5" t="s">
        <v>18</v>
      </c>
      <c r="I5" t="s">
        <v>537</v>
      </c>
      <c r="J5" t="s">
        <v>449</v>
      </c>
      <c r="K5" t="s">
        <v>409</v>
      </c>
      <c r="L5" t="s">
        <v>421</v>
      </c>
      <c r="M5" t="s">
        <v>470</v>
      </c>
      <c r="N5" t="s">
        <v>915</v>
      </c>
      <c r="O5" t="s">
        <v>914</v>
      </c>
    </row>
    <row r="6" spans="1:16" ht="15" customHeight="1" x14ac:dyDescent="0.2">
      <c r="A6" t="s">
        <v>891</v>
      </c>
      <c r="B6" t="b">
        <v>0</v>
      </c>
      <c r="E6" s="99"/>
      <c r="F6" t="s">
        <v>1954</v>
      </c>
      <c r="G6">
        <v>505</v>
      </c>
      <c r="H6">
        <v>505.8</v>
      </c>
      <c r="I6">
        <v>507.1</v>
      </c>
      <c r="J6">
        <v>502.8</v>
      </c>
      <c r="K6">
        <v>470.6</v>
      </c>
      <c r="L6">
        <v>481.5</v>
      </c>
      <c r="M6">
        <v>490.4</v>
      </c>
      <c r="N6">
        <v>506.1</v>
      </c>
      <c r="O6">
        <v>541.29999999999995</v>
      </c>
    </row>
    <row r="7" spans="1:16" ht="15.75" customHeight="1" x14ac:dyDescent="0.2">
      <c r="E7" s="99"/>
      <c r="F7" t="s">
        <v>1955</v>
      </c>
      <c r="G7">
        <v>445.6</v>
      </c>
      <c r="H7">
        <v>447.5</v>
      </c>
      <c r="I7">
        <v>493.6</v>
      </c>
      <c r="J7">
        <v>442.2</v>
      </c>
      <c r="K7">
        <v>433.4</v>
      </c>
      <c r="L7">
        <v>442.6</v>
      </c>
      <c r="M7">
        <v>440.2</v>
      </c>
      <c r="N7">
        <v>442</v>
      </c>
      <c r="O7">
        <v>471.2</v>
      </c>
    </row>
    <row r="8" spans="1:16" x14ac:dyDescent="0.2">
      <c r="E8" s="99"/>
      <c r="F8" t="s">
        <v>1956</v>
      </c>
      <c r="G8">
        <v>154.9</v>
      </c>
      <c r="H8">
        <v>186.5</v>
      </c>
      <c r="I8">
        <v>135.19999999999999</v>
      </c>
      <c r="J8">
        <v>116.1</v>
      </c>
      <c r="K8">
        <v>152.4</v>
      </c>
      <c r="L8">
        <v>163.30000000000001</v>
      </c>
      <c r="M8">
        <v>120.7</v>
      </c>
      <c r="N8">
        <v>146.69999999999999</v>
      </c>
      <c r="O8">
        <v>160.1</v>
      </c>
      <c r="P8" s="14"/>
    </row>
    <row r="9" spans="1:16" x14ac:dyDescent="0.2">
      <c r="A9" s="98" t="s">
        <v>893</v>
      </c>
      <c r="B9" s="99"/>
      <c r="E9" s="99"/>
      <c r="F9" t="s">
        <v>1957</v>
      </c>
      <c r="G9">
        <v>119.1</v>
      </c>
      <c r="H9">
        <v>155.5</v>
      </c>
      <c r="I9">
        <v>103.3</v>
      </c>
      <c r="J9">
        <v>96.2</v>
      </c>
      <c r="K9">
        <v>135</v>
      </c>
      <c r="L9">
        <v>123.7</v>
      </c>
      <c r="M9">
        <v>94.8</v>
      </c>
      <c r="N9">
        <v>112.8</v>
      </c>
      <c r="O9">
        <v>123.7</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69143651-CBAC-024A-9F0A-96A4A8CFE788}">
      <formula1>"True,False"</formula1>
    </dataValidation>
    <dataValidation type="list" allowBlank="1" showInputMessage="1" showErrorMessage="1" sqref="B2" xr:uid="{2114D30F-CE30-CA47-A4A0-FBA862157221}">
      <formula1>"Table,Figure,Both"</formula1>
    </dataValidation>
    <dataValidation type="list" allowBlank="1" showInputMessage="1" showErrorMessage="1" sqref="B10" xr:uid="{061AF235-B775-684E-B5BE-4FDE1D993AE7}">
      <formula1>"Line,Clustered Bar,Stacked Bar,Bar,Horizontal Stacked Bar"</formula1>
    </dataValidation>
    <dataValidation type="list" allowBlank="1" showInputMessage="1" showErrorMessage="1" sqref="P4" xr:uid="{638C001F-879E-0B41-8ED5-37E4F4601E6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5CE96F6-99A7-8A43-9B3F-53EAADBE327E}">
          <x14:formula1>
            <xm:f>Dropdowns!$A$1:$A$8</xm:f>
          </x14:formula1>
          <xm:sqref>F4:O4</xm:sqref>
        </x14:dataValidation>
        <x14:dataValidation type="list" allowBlank="1" showInputMessage="1" showErrorMessage="1" xr:uid="{EAA09585-0798-9640-9048-75AAB2038EB9}">
          <x14:formula1>
            <xm:f>Master!$F$2:$F$401</xm:f>
          </x14:formula1>
          <xm:sqref>B1:O1</xm:sqref>
        </x14:dataValidation>
      </x14:dataValidations>
    </ext>
  </extLst>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E031-18B8-D842-89A6-B3C44BF3BA33}">
  <dimension ref="A1:P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497</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tbl-colonrectca-incident-mortal-aar</v>
      </c>
    </row>
    <row r="4" spans="1:16" x14ac:dyDescent="0.2">
      <c r="A4" s="58" t="s">
        <v>6</v>
      </c>
      <c r="B4" t="str">
        <f>IF($B$1="","",_xlfn.XLOOKUP($B$1,Master!$F$2:$F$308,Master!$H$2:$H$308,""))</f>
        <v>fig-colonrectca-incident-mortal-aar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t="s">
        <v>220</v>
      </c>
      <c r="H5" t="s">
        <v>18</v>
      </c>
      <c r="I5" t="s">
        <v>537</v>
      </c>
      <c r="J5" t="s">
        <v>449</v>
      </c>
      <c r="K5" t="s">
        <v>409</v>
      </c>
      <c r="L5" t="s">
        <v>421</v>
      </c>
      <c r="M5" t="s">
        <v>470</v>
      </c>
      <c r="N5" t="s">
        <v>898</v>
      </c>
      <c r="O5" t="s">
        <v>915</v>
      </c>
    </row>
    <row r="6" spans="1:16" ht="15" customHeight="1" x14ac:dyDescent="0.2">
      <c r="A6" t="s">
        <v>891</v>
      </c>
      <c r="B6" t="b">
        <v>0</v>
      </c>
      <c r="E6" s="99"/>
      <c r="F6" t="s">
        <v>1958</v>
      </c>
      <c r="G6">
        <v>33.5</v>
      </c>
      <c r="H6">
        <v>35</v>
      </c>
      <c r="I6">
        <v>28.7</v>
      </c>
      <c r="J6">
        <v>36</v>
      </c>
      <c r="K6">
        <v>37.299999999999997</v>
      </c>
      <c r="L6">
        <v>37.200000000000003</v>
      </c>
      <c r="M6">
        <v>30.6</v>
      </c>
      <c r="N6">
        <v>33.1</v>
      </c>
      <c r="O6">
        <v>35</v>
      </c>
    </row>
    <row r="7" spans="1:16" ht="15.75" customHeight="1" x14ac:dyDescent="0.2">
      <c r="E7" s="99"/>
      <c r="F7" t="s">
        <v>1821</v>
      </c>
      <c r="G7">
        <v>9.3000000000000007</v>
      </c>
      <c r="H7">
        <v>13.6</v>
      </c>
      <c r="I7">
        <v>9.6999999999999993</v>
      </c>
      <c r="J7">
        <v>9.3000000000000007</v>
      </c>
      <c r="K7">
        <v>13.4</v>
      </c>
      <c r="L7">
        <v>12.7</v>
      </c>
      <c r="M7">
        <v>8.8000000000000007</v>
      </c>
      <c r="N7">
        <v>10.1</v>
      </c>
      <c r="O7">
        <v>10.8</v>
      </c>
    </row>
    <row r="8" spans="1:16" x14ac:dyDescent="0.2">
      <c r="E8" s="99"/>
      <c r="P8" s="14"/>
    </row>
    <row r="9" spans="1:16" x14ac:dyDescent="0.2">
      <c r="A9" s="98" t="s">
        <v>893</v>
      </c>
      <c r="B9" s="99"/>
      <c r="E9" s="99"/>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07B88C5B-DC8B-C043-AC20-8B2287D36B42}">
      <formula1>"integer, number, percent1"</formula1>
    </dataValidation>
    <dataValidation type="list" allowBlank="1" showInputMessage="1" showErrorMessage="1" sqref="B10" xr:uid="{696D7FB8-B8A7-BB47-BB0C-DBB53B6D053D}">
      <formula1>"Line,Clustered Bar,Stacked Bar,Bar,Horizontal Stacked Bar"</formula1>
    </dataValidation>
    <dataValidation type="list" allowBlank="1" showInputMessage="1" showErrorMessage="1" sqref="B2" xr:uid="{63B161FF-7301-9748-AF95-A9675C44E157}">
      <formula1>"Table,Figure,Both"</formula1>
    </dataValidation>
    <dataValidation type="list" allowBlank="1" showInputMessage="1" showErrorMessage="1" sqref="B6 B15:B16" xr:uid="{1617AC8F-3018-CF47-9F0B-80015928FB3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3A5982C-D6F7-C94B-AB9D-C3EEBF1EE17E}">
          <x14:formula1>
            <xm:f>Master!$F$2:$F$401</xm:f>
          </x14:formula1>
          <xm:sqref>B1:O1</xm:sqref>
        </x14:dataValidation>
        <x14:dataValidation type="list" allowBlank="1" showInputMessage="1" showErrorMessage="1" xr:uid="{9D611A26-9009-A14C-9A23-BBAE33845D24}">
          <x14:formula1>
            <xm:f>Dropdowns!$A$1:$A$8</xm:f>
          </x14:formula1>
          <xm:sqref>F4:O4</xm:sqref>
        </x14:dataValidation>
      </x14:dataValidations>
    </ext>
  </extLst>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9467-C8F8-D245-8B39-5EB6E76D87F2}">
  <dimension ref="A1:P57"/>
  <sheetViews>
    <sheetView zoomScale="129" zoomScaleNormal="129"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6.1640625"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498</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tbl-colonrectca-incident-mortal-sex-aar</v>
      </c>
    </row>
    <row r="4" spans="1:16" x14ac:dyDescent="0.2">
      <c r="A4" s="58" t="s">
        <v>6</v>
      </c>
      <c r="B4" t="str">
        <f>IF($B$1="","",_xlfn.XLOOKUP($B$1,Master!$F$2:$F$308,Master!$H$2:$H$308,""))</f>
        <v>fig-colonrectca-incident-mortal-sex-aar</v>
      </c>
      <c r="E4" s="13"/>
      <c r="F4" s="16" t="s">
        <v>664</v>
      </c>
      <c r="G4" s="16" t="s">
        <v>679</v>
      </c>
      <c r="H4" s="16" t="s">
        <v>679</v>
      </c>
      <c r="I4" s="16" t="s">
        <v>679</v>
      </c>
      <c r="J4" s="16" t="s">
        <v>679</v>
      </c>
      <c r="K4" s="16" t="s">
        <v>679</v>
      </c>
      <c r="L4" s="16" t="s">
        <v>679</v>
      </c>
      <c r="M4" s="16" t="s">
        <v>679</v>
      </c>
      <c r="N4" s="16" t="s">
        <v>679</v>
      </c>
      <c r="O4" s="16" t="s">
        <v>679</v>
      </c>
      <c r="P4" s="16"/>
    </row>
    <row r="5" spans="1:16" x14ac:dyDescent="0.2">
      <c r="A5" s="98" t="s">
        <v>885</v>
      </c>
      <c r="B5" s="99"/>
      <c r="E5" s="100" t="s">
        <v>886</v>
      </c>
      <c r="G5" t="s">
        <v>220</v>
      </c>
      <c r="H5" t="s">
        <v>18</v>
      </c>
      <c r="I5" t="s">
        <v>537</v>
      </c>
      <c r="J5" t="s">
        <v>449</v>
      </c>
      <c r="K5" t="s">
        <v>409</v>
      </c>
      <c r="L5" t="s">
        <v>421</v>
      </c>
      <c r="M5" t="s">
        <v>470</v>
      </c>
      <c r="N5" t="s">
        <v>914</v>
      </c>
      <c r="O5" t="s">
        <v>915</v>
      </c>
    </row>
    <row r="6" spans="1:16" ht="15" customHeight="1" x14ac:dyDescent="0.2">
      <c r="A6" t="s">
        <v>891</v>
      </c>
      <c r="B6" t="b">
        <v>0</v>
      </c>
      <c r="E6" s="99"/>
      <c r="F6" t="s">
        <v>1954</v>
      </c>
      <c r="G6">
        <v>39.6</v>
      </c>
      <c r="H6">
        <v>40.700000000000003</v>
      </c>
      <c r="I6">
        <v>27.3</v>
      </c>
      <c r="J6">
        <v>41</v>
      </c>
      <c r="K6">
        <v>47.3</v>
      </c>
      <c r="L6">
        <v>41.3</v>
      </c>
      <c r="M6">
        <v>35.799999999999997</v>
      </c>
      <c r="N6">
        <v>41.4</v>
      </c>
      <c r="O6">
        <v>40.700000000000003</v>
      </c>
    </row>
    <row r="7" spans="1:16" ht="15.75" customHeight="1" x14ac:dyDescent="0.2">
      <c r="E7" s="99"/>
      <c r="F7" t="s">
        <v>1955</v>
      </c>
      <c r="G7">
        <v>30.3</v>
      </c>
      <c r="H7">
        <v>31.8</v>
      </c>
      <c r="I7">
        <v>29.9</v>
      </c>
      <c r="J7">
        <v>33.299999999999997</v>
      </c>
      <c r="K7">
        <v>28.7</v>
      </c>
      <c r="L7">
        <v>31.7</v>
      </c>
      <c r="M7">
        <v>30.1</v>
      </c>
      <c r="N7">
        <v>32.799999999999997</v>
      </c>
      <c r="O7">
        <v>31.6</v>
      </c>
    </row>
    <row r="8" spans="1:16" x14ac:dyDescent="0.2">
      <c r="E8" s="99"/>
      <c r="F8" t="s">
        <v>1956</v>
      </c>
      <c r="G8">
        <v>10.3</v>
      </c>
      <c r="H8">
        <v>17.399999999999999</v>
      </c>
      <c r="I8">
        <v>10.3</v>
      </c>
      <c r="J8">
        <v>10.199999999999999</v>
      </c>
      <c r="K8">
        <v>12.3</v>
      </c>
      <c r="L8">
        <v>14.9</v>
      </c>
      <c r="M8">
        <v>10.3</v>
      </c>
      <c r="N8">
        <v>13.4</v>
      </c>
      <c r="O8">
        <v>12.9</v>
      </c>
      <c r="P8" s="14"/>
    </row>
    <row r="9" spans="1:16" x14ac:dyDescent="0.2">
      <c r="A9" s="98" t="s">
        <v>893</v>
      </c>
      <c r="B9" s="99"/>
      <c r="E9" s="99"/>
      <c r="F9" t="s">
        <v>1957</v>
      </c>
      <c r="G9">
        <v>7.5</v>
      </c>
      <c r="H9">
        <v>12.7</v>
      </c>
      <c r="I9">
        <v>7.6</v>
      </c>
      <c r="J9">
        <v>8.8000000000000007</v>
      </c>
      <c r="K9">
        <v>9.8000000000000007</v>
      </c>
      <c r="L9">
        <v>11</v>
      </c>
      <c r="M9">
        <v>7.5</v>
      </c>
      <c r="N9">
        <v>9.8000000000000007</v>
      </c>
      <c r="O9">
        <v>9.3000000000000007</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4F3D20D0-0F64-1345-889B-687F410C5037}">
      <formula1>"True,False"</formula1>
    </dataValidation>
    <dataValidation type="list" allowBlank="1" showInputMessage="1" showErrorMessage="1" sqref="B2" xr:uid="{AAF7A86A-4AFC-5E41-9A14-B8379B3B1FBC}">
      <formula1>"Table,Figure,Both"</formula1>
    </dataValidation>
    <dataValidation type="list" allowBlank="1" showInputMessage="1" showErrorMessage="1" sqref="B10" xr:uid="{51CBAF66-D0A2-9B4B-AAAB-7BAF657E0E24}">
      <formula1>"Line,Clustered Bar,Stacked Bar,Bar,Horizontal Stacked Bar"</formula1>
    </dataValidation>
    <dataValidation type="list" allowBlank="1" showInputMessage="1" showErrorMessage="1" sqref="P4" xr:uid="{13EBD980-2968-834D-9A78-9B29F9A37C2F}">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EF9B496-D379-B944-89D4-4CAB6880CD20}">
          <x14:formula1>
            <xm:f>Dropdowns!$A$1:$A$8</xm:f>
          </x14:formula1>
          <xm:sqref>F4:O4</xm:sqref>
        </x14:dataValidation>
        <x14:dataValidation type="list" allowBlank="1" showInputMessage="1" showErrorMessage="1" xr:uid="{AA2084C8-809D-A842-B77E-90DAF1886902}">
          <x14:formula1>
            <xm:f>Master!$F$2:$F$401</xm:f>
          </x14:formula1>
          <xm:sqref>B1:O1</xm:sqref>
        </x14:dataValidation>
      </x14:dataValidations>
    </ext>
  </extLst>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04D1-2426-A943-88B9-2D369C58C9DE}">
  <dimension ref="A1:P57"/>
  <sheetViews>
    <sheetView workbookViewId="0">
      <selection activeCell="N27" sqref="N2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6" x14ac:dyDescent="0.2">
      <c r="A1" s="58" t="s">
        <v>882</v>
      </c>
      <c r="B1" s="120" t="s">
        <v>499</v>
      </c>
      <c r="C1" s="97"/>
      <c r="D1" s="97"/>
      <c r="E1" s="97"/>
      <c r="F1" s="97"/>
      <c r="G1" s="97"/>
      <c r="H1" s="97"/>
      <c r="I1" s="97"/>
      <c r="J1" s="97"/>
      <c r="K1" s="97"/>
      <c r="L1" s="97"/>
      <c r="M1" s="97"/>
      <c r="N1" s="97"/>
      <c r="O1" s="97"/>
    </row>
    <row r="2" spans="1:16" x14ac:dyDescent="0.2">
      <c r="A2" s="58" t="s">
        <v>883</v>
      </c>
      <c r="B2" t="s">
        <v>1120</v>
      </c>
    </row>
    <row r="3" spans="1:16" x14ac:dyDescent="0.2">
      <c r="A3" s="58" t="s">
        <v>884</v>
      </c>
      <c r="B3" t="str">
        <f>IF($B$1="","",_xlfn.XLOOKUP($B$1,Master!$F$2:$F$308,Master!$G$2:$G$308,""))</f>
        <v>tbl-colorectalca-incidence-rande-aar</v>
      </c>
    </row>
    <row r="4" spans="1:16" x14ac:dyDescent="0.2">
      <c r="A4" s="58" t="s">
        <v>6</v>
      </c>
      <c r="B4" t="str">
        <f>IF($B$1="","",_xlfn.XLOOKUP($B$1,Master!$F$2:$F$308,Master!$H$2:$H$308,""))</f>
        <v>fig-colorectalca-incidence-rande-aar</v>
      </c>
      <c r="E4" s="13"/>
      <c r="F4" s="16" t="s">
        <v>664</v>
      </c>
      <c r="G4" s="16" t="s">
        <v>679</v>
      </c>
      <c r="H4" s="16" t="s">
        <v>679</v>
      </c>
      <c r="I4" s="16" t="s">
        <v>679</v>
      </c>
      <c r="J4" s="16" t="s">
        <v>679</v>
      </c>
      <c r="K4" s="16" t="s">
        <v>679</v>
      </c>
      <c r="L4" s="16" t="s">
        <v>679</v>
      </c>
      <c r="M4" s="16" t="s">
        <v>679</v>
      </c>
      <c r="N4" s="16" t="s">
        <v>679</v>
      </c>
      <c r="O4" s="16"/>
      <c r="P4" s="16"/>
    </row>
    <row r="5" spans="1:16" x14ac:dyDescent="0.2">
      <c r="A5" s="98" t="s">
        <v>885</v>
      </c>
      <c r="B5" s="99"/>
      <c r="E5" s="100" t="s">
        <v>886</v>
      </c>
      <c r="F5" t="s">
        <v>2167</v>
      </c>
      <c r="G5" t="s">
        <v>220</v>
      </c>
      <c r="H5" t="s">
        <v>18</v>
      </c>
      <c r="I5" t="s">
        <v>537</v>
      </c>
      <c r="J5" t="s">
        <v>449</v>
      </c>
      <c r="K5" t="s">
        <v>409</v>
      </c>
      <c r="L5" t="s">
        <v>421</v>
      </c>
      <c r="M5" t="s">
        <v>470</v>
      </c>
      <c r="N5" t="s">
        <v>915</v>
      </c>
    </row>
    <row r="6" spans="1:16" ht="15" customHeight="1" x14ac:dyDescent="0.2">
      <c r="A6" t="s">
        <v>891</v>
      </c>
      <c r="B6" t="b">
        <v>0</v>
      </c>
      <c r="E6" s="99"/>
      <c r="F6" t="s">
        <v>929</v>
      </c>
      <c r="G6">
        <v>35.1</v>
      </c>
      <c r="H6">
        <v>37.799999999999997</v>
      </c>
      <c r="I6">
        <v>29.7</v>
      </c>
      <c r="J6">
        <v>37.5</v>
      </c>
      <c r="K6">
        <v>39.200000000000003</v>
      </c>
      <c r="L6">
        <v>39.5</v>
      </c>
      <c r="M6">
        <v>31.9</v>
      </c>
      <c r="N6">
        <v>36.4</v>
      </c>
    </row>
    <row r="7" spans="1:16" ht="15.75" customHeight="1" x14ac:dyDescent="0.2">
      <c r="E7" s="99"/>
      <c r="F7" t="s">
        <v>1552</v>
      </c>
      <c r="G7">
        <v>30.5</v>
      </c>
      <c r="H7">
        <v>22.2</v>
      </c>
      <c r="I7">
        <v>0</v>
      </c>
      <c r="J7">
        <v>31.1</v>
      </c>
      <c r="K7" t="s">
        <v>754</v>
      </c>
      <c r="L7" t="s">
        <v>754</v>
      </c>
      <c r="M7">
        <v>30.9</v>
      </c>
      <c r="N7">
        <v>36.5</v>
      </c>
    </row>
    <row r="8" spans="1:16" x14ac:dyDescent="0.2">
      <c r="E8" s="99"/>
      <c r="F8" t="s">
        <v>1553</v>
      </c>
      <c r="G8" t="s">
        <v>754</v>
      </c>
      <c r="H8" t="s">
        <v>754</v>
      </c>
      <c r="I8" t="s">
        <v>754</v>
      </c>
      <c r="J8">
        <v>23.7</v>
      </c>
      <c r="K8" t="s">
        <v>754</v>
      </c>
      <c r="L8" t="s">
        <v>754</v>
      </c>
      <c r="M8">
        <v>23.4</v>
      </c>
      <c r="N8">
        <v>28.2</v>
      </c>
      <c r="P8" s="14"/>
    </row>
    <row r="9" spans="1:16" x14ac:dyDescent="0.2">
      <c r="A9" s="98" t="s">
        <v>893</v>
      </c>
      <c r="B9" s="99"/>
      <c r="E9" s="99"/>
      <c r="F9" t="s">
        <v>927</v>
      </c>
      <c r="G9">
        <v>24.6</v>
      </c>
      <c r="H9">
        <v>29</v>
      </c>
      <c r="I9" t="s">
        <v>754</v>
      </c>
      <c r="J9">
        <v>38.5</v>
      </c>
      <c r="K9" t="s">
        <v>754</v>
      </c>
      <c r="L9" t="s">
        <v>754</v>
      </c>
      <c r="M9">
        <v>27.6</v>
      </c>
      <c r="N9">
        <v>29.3</v>
      </c>
    </row>
    <row r="10" spans="1:16" x14ac:dyDescent="0.2">
      <c r="A10" t="s">
        <v>894</v>
      </c>
      <c r="B10" t="s">
        <v>983</v>
      </c>
      <c r="E10" s="99"/>
    </row>
    <row r="11" spans="1:16" x14ac:dyDescent="0.2">
      <c r="A11" t="s">
        <v>895</v>
      </c>
      <c r="B11" t="s">
        <v>887</v>
      </c>
      <c r="E11" s="99"/>
      <c r="F11" s="46"/>
      <c r="G11" s="59"/>
      <c r="H11" s="59"/>
      <c r="I11" s="59"/>
      <c r="J11" s="42"/>
      <c r="K11" s="42"/>
      <c r="L11" s="42"/>
      <c r="M11" s="47"/>
      <c r="N11" s="47"/>
      <c r="O11" s="46"/>
    </row>
    <row r="12" spans="1:16" x14ac:dyDescent="0.2">
      <c r="A12" t="s">
        <v>896</v>
      </c>
      <c r="E12" s="99"/>
      <c r="F12" s="74"/>
      <c r="G12" s="42"/>
      <c r="H12" s="42"/>
      <c r="I12" s="59"/>
      <c r="J12" s="59"/>
      <c r="K12" s="59"/>
      <c r="L12" s="59"/>
      <c r="M12" s="46"/>
      <c r="N12" s="46"/>
      <c r="O12" s="46"/>
    </row>
    <row r="13" spans="1:16" x14ac:dyDescent="0.2">
      <c r="A13" t="s">
        <v>897</v>
      </c>
      <c r="B13" t="s">
        <v>2167</v>
      </c>
      <c r="E13" s="99"/>
      <c r="F13" s="47"/>
      <c r="G13" s="47"/>
      <c r="H13" s="47"/>
      <c r="I13" s="46"/>
      <c r="J13" s="46"/>
      <c r="K13" s="46"/>
      <c r="L13" s="46"/>
      <c r="M13" s="46"/>
      <c r="N13" s="46"/>
      <c r="O13" s="46"/>
    </row>
    <row r="14" spans="1:16" x14ac:dyDescent="0.2">
      <c r="A14" t="s">
        <v>899</v>
      </c>
      <c r="B14" t="s">
        <v>715</v>
      </c>
      <c r="E14" s="99"/>
      <c r="F14" s="68"/>
      <c r="G14" s="68"/>
      <c r="H14" s="68"/>
      <c r="I14" s="46"/>
      <c r="J14" s="47"/>
      <c r="K14" s="47"/>
      <c r="L14" s="47"/>
      <c r="M14" s="47"/>
      <c r="N14" s="47"/>
      <c r="O14" s="46"/>
    </row>
    <row r="15" spans="1:16" x14ac:dyDescent="0.2">
      <c r="A15" t="s">
        <v>901</v>
      </c>
      <c r="B15" t="b">
        <v>1</v>
      </c>
      <c r="E15" s="99"/>
      <c r="G15" s="68"/>
      <c r="H15" s="68"/>
      <c r="I15" s="46"/>
      <c r="J15" s="47"/>
      <c r="K15" s="47"/>
      <c r="L15" s="47"/>
      <c r="M15" s="47"/>
      <c r="N15" s="47"/>
      <c r="O15" s="46"/>
    </row>
    <row r="16" spans="1:16"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 xr:uid="{8DA2812B-2DA3-AD45-A178-95B6647D2550}">
      <formula1>"integer, number, percent1"</formula1>
    </dataValidation>
    <dataValidation type="list" allowBlank="1" showInputMessage="1" showErrorMessage="1" sqref="B10" xr:uid="{2A628586-8E37-4447-B033-2EB99C446CF8}">
      <formula1>"Line,Clustered Bar,Stacked Bar,Bar,Horizontal Stacked Bar"</formula1>
    </dataValidation>
    <dataValidation type="list" allowBlank="1" showInputMessage="1" showErrorMessage="1" sqref="B2" xr:uid="{07921ACD-0F2E-2B42-9DC9-0F8BF2B23B9F}">
      <formula1>"Table,Figure,Both"</formula1>
    </dataValidation>
    <dataValidation type="list" allowBlank="1" showInputMessage="1" showErrorMessage="1" sqref="B6 B15:B16" xr:uid="{184A58C9-6B2A-1744-AF56-35667DE4377C}">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6606352-75B3-8440-A50D-2A2F1F1EE53A}">
          <x14:formula1>
            <xm:f>Master!$F$2:$F$401</xm:f>
          </x14:formula1>
          <xm:sqref>B1:O1</xm:sqref>
        </x14:dataValidation>
        <x14:dataValidation type="list" allowBlank="1" showInputMessage="1" showErrorMessage="1" xr:uid="{6250C508-6677-D846-83A7-38396B5CC47D}">
          <x14:formula1>
            <xm:f>Dropdowns!$A$1:$A$8</xm:f>
          </x14:formula1>
          <xm:sqref>F4:O4</xm:sqref>
        </x14:dataValidation>
      </x14:dataValidations>
    </ext>
  </extLst>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36E1-5B1F-4D0A-90AD-924462B1BC9D}">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501</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tbl-adult-50to64-colorectalca-screening-percent</v>
      </c>
    </row>
    <row r="4" spans="1:17" x14ac:dyDescent="0.2">
      <c r="A4" s="58" t="s">
        <v>6</v>
      </c>
      <c r="B4" t="str">
        <f>IF($B$1="","",_xlfn.XLOOKUP($B$1,Master!$F$2:$F$308,Master!$H$2:$H$308,""))</f>
        <v>fig-adult-50to64-colorectalca-screening-percent</v>
      </c>
      <c r="E4" s="13"/>
      <c r="F4" s="16" t="s">
        <v>664</v>
      </c>
      <c r="G4" s="16" t="s">
        <v>679</v>
      </c>
      <c r="H4" s="16" t="s">
        <v>679</v>
      </c>
      <c r="I4" s="16" t="s">
        <v>679</v>
      </c>
      <c r="J4" s="16" t="s">
        <v>679</v>
      </c>
      <c r="K4" s="16" t="s">
        <v>679</v>
      </c>
      <c r="L4" s="16" t="s">
        <v>679</v>
      </c>
      <c r="M4" s="16" t="s">
        <v>679</v>
      </c>
      <c r="N4" s="16" t="s">
        <v>679</v>
      </c>
      <c r="O4" s="16" t="s">
        <v>679</v>
      </c>
      <c r="P4" s="16" t="s">
        <v>679</v>
      </c>
      <c r="Q4" s="16" t="s">
        <v>679</v>
      </c>
    </row>
    <row r="5" spans="1:17" x14ac:dyDescent="0.2">
      <c r="A5" s="98" t="s">
        <v>885</v>
      </c>
      <c r="B5" s="99"/>
      <c r="E5" s="100" t="s">
        <v>886</v>
      </c>
      <c r="F5" t="s">
        <v>1123</v>
      </c>
      <c r="G5" t="s">
        <v>220</v>
      </c>
      <c r="H5" t="s">
        <v>18</v>
      </c>
      <c r="I5" t="s">
        <v>537</v>
      </c>
      <c r="J5" t="s">
        <v>449</v>
      </c>
      <c r="K5" t="s">
        <v>409</v>
      </c>
      <c r="L5" t="s">
        <v>421</v>
      </c>
      <c r="M5" t="s">
        <v>470</v>
      </c>
      <c r="N5" t="s">
        <v>898</v>
      </c>
      <c r="O5" t="s">
        <v>914</v>
      </c>
      <c r="P5" t="s">
        <v>915</v>
      </c>
      <c r="Q5" t="s">
        <v>1959</v>
      </c>
    </row>
    <row r="6" spans="1:17" ht="15" customHeight="1" x14ac:dyDescent="0.2">
      <c r="A6" t="s">
        <v>891</v>
      </c>
      <c r="B6" t="b">
        <v>0</v>
      </c>
      <c r="E6" s="99"/>
      <c r="F6">
        <v>2016</v>
      </c>
      <c r="G6">
        <v>62.2</v>
      </c>
      <c r="H6">
        <v>68.8</v>
      </c>
      <c r="I6">
        <v>64.7</v>
      </c>
      <c r="J6">
        <v>61.9</v>
      </c>
      <c r="K6">
        <v>48.1</v>
      </c>
      <c r="L6">
        <v>60.2</v>
      </c>
      <c r="M6">
        <v>63.7</v>
      </c>
      <c r="N6">
        <v>63.3</v>
      </c>
      <c r="O6">
        <v>63.7</v>
      </c>
      <c r="P6">
        <v>63.1</v>
      </c>
      <c r="Q6">
        <v>66.3</v>
      </c>
    </row>
    <row r="7" spans="1:17" ht="15.75" customHeight="1" x14ac:dyDescent="0.2">
      <c r="E7" s="99"/>
      <c r="F7">
        <v>2018</v>
      </c>
      <c r="G7">
        <v>60.6</v>
      </c>
      <c r="H7">
        <v>61.7</v>
      </c>
      <c r="I7">
        <v>86.3</v>
      </c>
      <c r="J7">
        <v>62.3</v>
      </c>
      <c r="K7">
        <v>58.8</v>
      </c>
      <c r="L7">
        <v>68.8</v>
      </c>
      <c r="M7">
        <v>70</v>
      </c>
      <c r="N7">
        <v>64.099999999999994</v>
      </c>
      <c r="O7">
        <v>66.5</v>
      </c>
      <c r="P7">
        <v>65.400000000000006</v>
      </c>
      <c r="Q7">
        <v>66.3</v>
      </c>
    </row>
    <row r="8" spans="1:17" x14ac:dyDescent="0.2">
      <c r="E8" s="99"/>
      <c r="P8" s="14"/>
    </row>
    <row r="9" spans="1:17" x14ac:dyDescent="0.2">
      <c r="A9" s="98" t="s">
        <v>893</v>
      </c>
      <c r="B9" s="99"/>
      <c r="E9" s="99"/>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218BAC3D-68CA-4715-B64F-190BD98BBFB7}">
      <formula1>"True,False"</formula1>
    </dataValidation>
    <dataValidation type="list" allowBlank="1" showInputMessage="1" showErrorMessage="1" sqref="B2" xr:uid="{667D7A09-FC7D-4E6D-88BE-1EDB5B0BE9DE}">
      <formula1>"Table,Figure,Both"</formula1>
    </dataValidation>
    <dataValidation type="list" allowBlank="1" showInputMessage="1" showErrorMessage="1" sqref="B10" xr:uid="{D37D6F0F-913A-44AA-BD58-D62DADCEDA91}">
      <formula1>"Line,Clustered Bar,Stacked Bar,Bar,Horizontal Stacked Bar"</formula1>
    </dataValidation>
    <dataValidation type="list" allowBlank="1" showInputMessage="1" showErrorMessage="1" sqref="P4:Q4" xr:uid="{B4655675-260C-43DB-9E5F-ABA0508E6634}">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6657FCE-1CBA-4FAD-B418-891263386C98}">
          <x14:formula1>
            <xm:f>Dropdowns!$A$1:$A$8</xm:f>
          </x14:formula1>
          <xm:sqref>F4:O4</xm:sqref>
        </x14:dataValidation>
        <x14:dataValidation type="list" allowBlank="1" showInputMessage="1" showErrorMessage="1" xr:uid="{56698C59-0618-42AA-A354-F77F28462B40}">
          <x14:formula1>
            <xm:f>Master!$F$2:$F$401</xm:f>
          </x14:formula1>
          <xm:sqref>B1:O1</xm:sqref>
        </x14:dataValidation>
      </x14:dataValidations>
    </ext>
  </extLst>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632-2CCA-4A37-9D47-4C0B9DAE3741}">
  <dimension ref="A1:Q57"/>
  <sheetViews>
    <sheetView workbookViewId="0">
      <selection activeCell="O26" sqref="O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506</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tbl-lungbronchca-incident-mortal-aar</v>
      </c>
    </row>
    <row r="4" spans="1:17" x14ac:dyDescent="0.2">
      <c r="A4" s="58" t="s">
        <v>6</v>
      </c>
      <c r="B4" t="str">
        <f>IF($B$1="","",_xlfn.XLOOKUP($B$1,Master!$F$2:$F$308,Master!$H$2:$H$308,""))</f>
        <v>fig-lungbronchca-incident-mortal-aar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t="s">
        <v>220</v>
      </c>
      <c r="H5" t="s">
        <v>18</v>
      </c>
      <c r="I5" t="s">
        <v>537</v>
      </c>
      <c r="J5" t="s">
        <v>449</v>
      </c>
      <c r="K5" t="s">
        <v>409</v>
      </c>
      <c r="L5" t="s">
        <v>421</v>
      </c>
      <c r="M5" t="s">
        <v>470</v>
      </c>
      <c r="N5" t="s">
        <v>914</v>
      </c>
      <c r="O5" t="s">
        <v>915</v>
      </c>
    </row>
    <row r="6" spans="1:17" ht="15" customHeight="1" x14ac:dyDescent="0.2">
      <c r="A6" t="s">
        <v>891</v>
      </c>
      <c r="B6" t="b">
        <v>0</v>
      </c>
      <c r="E6" s="99"/>
      <c r="F6" t="s">
        <v>1958</v>
      </c>
      <c r="G6">
        <v>56.5</v>
      </c>
      <c r="H6">
        <v>59.9</v>
      </c>
      <c r="I6">
        <v>57.6</v>
      </c>
      <c r="J6">
        <v>44.9</v>
      </c>
      <c r="K6">
        <v>62.9</v>
      </c>
      <c r="L6">
        <v>55.1</v>
      </c>
      <c r="M6">
        <v>42</v>
      </c>
      <c r="N6">
        <v>59.9</v>
      </c>
      <c r="O6">
        <v>52.4</v>
      </c>
    </row>
    <row r="7" spans="1:17" ht="15.75" customHeight="1" x14ac:dyDescent="0.2">
      <c r="E7" s="99"/>
      <c r="F7" t="s">
        <v>1821</v>
      </c>
      <c r="G7">
        <v>29.1</v>
      </c>
      <c r="H7">
        <v>37.9</v>
      </c>
      <c r="I7">
        <v>27.7</v>
      </c>
      <c r="J7">
        <v>21.7</v>
      </c>
      <c r="K7">
        <v>35.6</v>
      </c>
      <c r="L7">
        <v>32.6</v>
      </c>
      <c r="M7">
        <v>18.8</v>
      </c>
      <c r="N7">
        <v>31.3</v>
      </c>
      <c r="O7">
        <v>26.5</v>
      </c>
    </row>
    <row r="8" spans="1:17" x14ac:dyDescent="0.2">
      <c r="E8" s="99"/>
      <c r="P8" s="14"/>
    </row>
    <row r="9" spans="1:17" x14ac:dyDescent="0.2">
      <c r="A9" s="98" t="s">
        <v>893</v>
      </c>
      <c r="B9" s="99"/>
      <c r="E9" s="99"/>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FBB6DC3E-9875-4FD5-93C1-29A0AD4D76C6}">
      <formula1>"integer, number, percent1"</formula1>
    </dataValidation>
    <dataValidation type="list" allowBlank="1" showInputMessage="1" showErrorMessage="1" sqref="B10" xr:uid="{B548E570-91DF-412B-804C-5B60C131931C}">
      <formula1>"Line,Clustered Bar,Stacked Bar,Bar,Horizontal Stacked Bar"</formula1>
    </dataValidation>
    <dataValidation type="list" allowBlank="1" showInputMessage="1" showErrorMessage="1" sqref="B2" xr:uid="{0701E132-AEC3-41B5-8692-81616B8998F1}">
      <formula1>"Table,Figure,Both"</formula1>
    </dataValidation>
    <dataValidation type="list" allowBlank="1" showInputMessage="1" showErrorMessage="1" sqref="B6 B15:B16" xr:uid="{1C145068-B53F-4E2F-A322-8272D6C3200F}">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D6A44B5-C9DA-469A-9A68-251F699478B2}">
          <x14:formula1>
            <xm:f>Master!$F$2:$F$401</xm:f>
          </x14:formula1>
          <xm:sqref>B1:O1</xm:sqref>
        </x14:dataValidation>
        <x14:dataValidation type="list" allowBlank="1" showInputMessage="1" showErrorMessage="1" xr:uid="{C1038F44-F1F5-4FBF-B004-7B99BD37E71E}">
          <x14:formula1>
            <xm:f>Dropdowns!$A$1:$A$8</xm:f>
          </x14:formula1>
          <xm:sqref>F4:O4</xm:sqref>
        </x14:dataValidation>
      </x14:dataValidations>
    </ext>
  </extLst>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D0F7-FF43-4162-BBB7-269D73759425}">
  <dimension ref="A1:Q57"/>
  <sheetViews>
    <sheetView workbookViewId="0">
      <selection activeCell="G5" sqref="G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508</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tbl-lungbronchca-incident-mortal-sex-aar</v>
      </c>
    </row>
    <row r="4" spans="1:17" x14ac:dyDescent="0.2">
      <c r="A4" s="58" t="s">
        <v>6</v>
      </c>
      <c r="B4" t="str">
        <f>IF($B$1="","",_xlfn.XLOOKUP($B$1,Master!$F$2:$F$308,Master!$H$2:$H$308,""))</f>
        <v>fig-lungbronchca-incident-mortal-sex-aar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t="s">
        <v>220</v>
      </c>
      <c r="H5" t="s">
        <v>18</v>
      </c>
      <c r="I5" t="s">
        <v>537</v>
      </c>
      <c r="J5" t="s">
        <v>449</v>
      </c>
      <c r="K5" t="s">
        <v>409</v>
      </c>
      <c r="L5" t="s">
        <v>421</v>
      </c>
      <c r="M5" t="s">
        <v>470</v>
      </c>
      <c r="N5" t="s">
        <v>914</v>
      </c>
      <c r="O5" t="s">
        <v>915</v>
      </c>
    </row>
    <row r="6" spans="1:17" ht="15" customHeight="1" x14ac:dyDescent="0.2">
      <c r="A6" t="s">
        <v>891</v>
      </c>
      <c r="B6" t="b">
        <v>0</v>
      </c>
      <c r="E6" s="99"/>
      <c r="F6" t="s">
        <v>1960</v>
      </c>
      <c r="G6">
        <v>56.2</v>
      </c>
      <c r="H6">
        <v>63</v>
      </c>
      <c r="I6">
        <v>55.9</v>
      </c>
      <c r="J6">
        <v>45.2</v>
      </c>
      <c r="K6">
        <v>56.9</v>
      </c>
      <c r="L6">
        <v>57.8</v>
      </c>
      <c r="M6">
        <v>43</v>
      </c>
      <c r="N6">
        <v>62.2</v>
      </c>
      <c r="O6">
        <v>56.5</v>
      </c>
    </row>
    <row r="7" spans="1:17" ht="15.75" customHeight="1" x14ac:dyDescent="0.2">
      <c r="E7" s="99"/>
      <c r="F7" t="s">
        <v>1961</v>
      </c>
      <c r="G7">
        <v>56.8</v>
      </c>
      <c r="H7">
        <v>58.2</v>
      </c>
      <c r="I7">
        <v>59.5</v>
      </c>
      <c r="J7">
        <v>45.3</v>
      </c>
      <c r="K7">
        <v>69.2</v>
      </c>
      <c r="L7">
        <v>52.9</v>
      </c>
      <c r="M7">
        <v>41.6</v>
      </c>
      <c r="N7">
        <v>58.6</v>
      </c>
      <c r="O7">
        <v>49.6</v>
      </c>
    </row>
    <row r="8" spans="1:17" x14ac:dyDescent="0.2">
      <c r="E8" s="99"/>
      <c r="F8" t="s">
        <v>1962</v>
      </c>
      <c r="G8">
        <v>31.6</v>
      </c>
      <c r="H8">
        <v>42.9</v>
      </c>
      <c r="I8">
        <v>31</v>
      </c>
      <c r="J8">
        <v>25.1</v>
      </c>
      <c r="K8">
        <v>35.700000000000003</v>
      </c>
      <c r="L8">
        <v>38.799999999999997</v>
      </c>
      <c r="M8">
        <v>21.5</v>
      </c>
      <c r="N8">
        <v>35.5</v>
      </c>
      <c r="O8">
        <v>31.3</v>
      </c>
      <c r="P8" s="14"/>
    </row>
    <row r="9" spans="1:17" x14ac:dyDescent="0.2">
      <c r="A9" s="98" t="s">
        <v>893</v>
      </c>
      <c r="B9" s="99"/>
      <c r="E9" s="99"/>
      <c r="F9" t="s">
        <v>1963</v>
      </c>
      <c r="G9">
        <v>27.3</v>
      </c>
      <c r="H9">
        <v>34.5</v>
      </c>
      <c r="I9">
        <v>25.2</v>
      </c>
      <c r="J9">
        <v>19.2</v>
      </c>
      <c r="K9">
        <v>35.700000000000003</v>
      </c>
      <c r="L9">
        <v>26.9</v>
      </c>
      <c r="M9">
        <v>16.8</v>
      </c>
      <c r="N9">
        <v>28.2</v>
      </c>
      <c r="O9">
        <v>23.1</v>
      </c>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017695A9-6C51-4582-8142-722039930A54}">
      <formula1>"True,False"</formula1>
    </dataValidation>
    <dataValidation type="list" allowBlank="1" showInputMessage="1" showErrorMessage="1" sqref="B2" xr:uid="{984DC35D-3E08-43F7-B24F-800A67748899}">
      <formula1>"Table,Figure,Both"</formula1>
    </dataValidation>
    <dataValidation type="list" allowBlank="1" showInputMessage="1" showErrorMessage="1" sqref="B10" xr:uid="{99BF5BFB-E01E-4467-BCFA-652D8A04098C}">
      <formula1>"Line,Clustered Bar,Stacked Bar,Bar,Horizontal Stacked Bar"</formula1>
    </dataValidation>
    <dataValidation type="list" allowBlank="1" showInputMessage="1" showErrorMessage="1" sqref="P4:Q4" xr:uid="{E129E4E7-185D-4F51-9858-0D2007F9DC0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5F4EEAF-6983-40DF-B557-F2A24A903FFF}">
          <x14:formula1>
            <xm:f>Dropdowns!$A$1:$A$8</xm:f>
          </x14:formula1>
          <xm:sqref>F4:O4</xm:sqref>
        </x14:dataValidation>
        <x14:dataValidation type="list" allowBlank="1" showInputMessage="1" showErrorMessage="1" xr:uid="{32FC646D-62AB-48A5-84D7-D22802E17F65}">
          <x14:formula1>
            <xm:f>Master!$F$2:$F$401</xm:f>
          </x14:formula1>
          <xm:sqref>B1:O1</xm:sqref>
        </x14:dataValidation>
      </x14:dataValidations>
    </ext>
  </extLst>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491A-46DC-4390-9C5E-8BF57B275FC4}">
  <dimension ref="A1:Q57"/>
  <sheetViews>
    <sheetView workbookViewId="0">
      <selection activeCell="I14" sqref="I1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509</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tbl-lungca-incidence-rande-aar</v>
      </c>
    </row>
    <row r="4" spans="1:17" x14ac:dyDescent="0.2">
      <c r="A4" s="58" t="s">
        <v>6</v>
      </c>
      <c r="B4" t="str">
        <f>IF($B$1="","",_xlfn.XLOOKUP($B$1,Master!$F$2:$F$308,Master!$H$2:$H$308,""))</f>
        <v>fig-lungca-incidence-rande-aar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2167</v>
      </c>
      <c r="G5" t="s">
        <v>220</v>
      </c>
      <c r="H5" s="55" t="s">
        <v>18</v>
      </c>
      <c r="I5" s="55" t="s">
        <v>537</v>
      </c>
      <c r="J5" s="55" t="s">
        <v>449</v>
      </c>
      <c r="K5" s="55" t="s">
        <v>409</v>
      </c>
      <c r="L5" s="55" t="s">
        <v>421</v>
      </c>
      <c r="M5" s="55" t="s">
        <v>470</v>
      </c>
      <c r="N5" s="55" t="s">
        <v>914</v>
      </c>
      <c r="O5" s="55" t="s">
        <v>915</v>
      </c>
    </row>
    <row r="6" spans="1:17" ht="15" customHeight="1" x14ac:dyDescent="0.2">
      <c r="A6" t="s">
        <v>891</v>
      </c>
      <c r="B6" t="b">
        <v>0</v>
      </c>
      <c r="E6" s="99"/>
      <c r="F6" t="s">
        <v>929</v>
      </c>
      <c r="G6" s="55">
        <v>59.3</v>
      </c>
      <c r="H6" s="55">
        <v>65.900000000000006</v>
      </c>
      <c r="I6" s="55">
        <v>60.3</v>
      </c>
      <c r="J6" s="55">
        <v>51.6</v>
      </c>
      <c r="K6" s="55">
        <v>63.1</v>
      </c>
      <c r="L6" s="55">
        <v>58.5</v>
      </c>
      <c r="M6" s="55">
        <v>44</v>
      </c>
      <c r="N6" s="55">
        <v>61.6</v>
      </c>
      <c r="O6" s="55">
        <v>58.1</v>
      </c>
    </row>
    <row r="7" spans="1:17" ht="15.75" customHeight="1" x14ac:dyDescent="0.2">
      <c r="E7" s="99"/>
      <c r="F7" t="s">
        <v>1552</v>
      </c>
      <c r="G7" s="55">
        <v>67.099999999999994</v>
      </c>
      <c r="H7" s="55">
        <v>40.700000000000003</v>
      </c>
      <c r="I7" s="55" t="s">
        <v>754</v>
      </c>
      <c r="J7" s="55">
        <v>30.2</v>
      </c>
      <c r="K7" s="55" t="s">
        <v>754</v>
      </c>
      <c r="L7" s="55">
        <v>61.7</v>
      </c>
      <c r="M7" s="55">
        <v>35.799999999999997</v>
      </c>
      <c r="N7" s="55">
        <v>53.4</v>
      </c>
      <c r="O7" s="55">
        <v>42.2</v>
      </c>
    </row>
    <row r="8" spans="1:17" x14ac:dyDescent="0.2">
      <c r="E8" s="99"/>
      <c r="F8" t="s">
        <v>1814</v>
      </c>
      <c r="G8" s="55" t="s">
        <v>754</v>
      </c>
      <c r="H8" s="55" t="s">
        <v>754</v>
      </c>
      <c r="I8" s="55" t="s">
        <v>754</v>
      </c>
      <c r="J8" s="55">
        <v>28.2</v>
      </c>
      <c r="K8" s="55">
        <v>0</v>
      </c>
      <c r="L8" s="55" t="s">
        <v>754</v>
      </c>
      <c r="M8" s="55">
        <v>27</v>
      </c>
      <c r="N8" s="55">
        <v>31.5</v>
      </c>
      <c r="O8" s="55">
        <v>41.6</v>
      </c>
      <c r="P8" s="14"/>
    </row>
    <row r="9" spans="1:17" x14ac:dyDescent="0.2">
      <c r="A9" s="98" t="s">
        <v>893</v>
      </c>
      <c r="B9" s="99"/>
      <c r="E9" s="99"/>
      <c r="F9" t="s">
        <v>927</v>
      </c>
      <c r="G9" s="55">
        <v>31.3</v>
      </c>
      <c r="H9" s="55">
        <v>37.299999999999997</v>
      </c>
      <c r="I9" s="55" t="s">
        <v>754</v>
      </c>
      <c r="J9" s="55">
        <v>31.4</v>
      </c>
      <c r="K9" s="55" t="s">
        <v>754</v>
      </c>
      <c r="L9" s="55" t="s">
        <v>754</v>
      </c>
      <c r="M9" s="55">
        <v>27.5</v>
      </c>
      <c r="N9" s="55">
        <v>32.799999999999997</v>
      </c>
      <c r="O9" s="55">
        <v>28</v>
      </c>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09A34F01-0DE7-4FD4-BA51-A87AED0A150A}">
      <formula1>"integer, number, percent1"</formula1>
    </dataValidation>
    <dataValidation type="list" allowBlank="1" showInputMessage="1" showErrorMessage="1" sqref="B10" xr:uid="{F26F2B78-72D2-499E-A217-D647DF66E236}">
      <formula1>"Line,Clustered Bar,Stacked Bar,Bar,Horizontal Stacked Bar"</formula1>
    </dataValidation>
    <dataValidation type="list" allowBlank="1" showInputMessage="1" showErrorMessage="1" sqref="B2" xr:uid="{83957EAC-98EC-487C-80C3-F903C25989A0}">
      <formula1>"Table,Figure,Both"</formula1>
    </dataValidation>
    <dataValidation type="list" allowBlank="1" showInputMessage="1" showErrorMessage="1" sqref="B6 B15:B16" xr:uid="{8A8400C2-5032-4664-B227-CEDBB82C267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0F58B33-A390-4140-BA78-62CB13E974D4}">
          <x14:formula1>
            <xm:f>Master!$F$2:$F$401</xm:f>
          </x14:formula1>
          <xm:sqref>B1:O1</xm:sqref>
        </x14:dataValidation>
        <x14:dataValidation type="list" allowBlank="1" showInputMessage="1" showErrorMessage="1" xr:uid="{BA6BFAA4-3DCA-4190-B09B-172DDE48239D}">
          <x14:formula1>
            <xm:f>Dropdowns!$A$1:$A$8</xm:f>
          </x14:formula1>
          <xm:sqref>F4:O4</xm:sqref>
        </x14:dataValidation>
      </x14:dataValidations>
    </ext>
  </extLst>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85EB-0BB2-4EDF-B8A2-0DE37835F5B7}">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510</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tbl-male-prostateca-incidence-mortal-aar</v>
      </c>
    </row>
    <row r="4" spans="1:17" x14ac:dyDescent="0.2">
      <c r="A4" s="58" t="s">
        <v>6</v>
      </c>
      <c r="B4" t="str">
        <f>IF($B$1="","",_xlfn.XLOOKUP($B$1,Master!$F$2:$F$308,Master!$H$2:$H$308,""))</f>
        <v>fig-male-prostateca-incidence-mortal-aar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t="s">
        <v>220</v>
      </c>
      <c r="H5" s="55" t="s">
        <v>18</v>
      </c>
      <c r="I5" s="55" t="s">
        <v>537</v>
      </c>
      <c r="J5" s="55" t="s">
        <v>449</v>
      </c>
      <c r="K5" s="55" t="s">
        <v>409</v>
      </c>
      <c r="L5" s="55" t="s">
        <v>421</v>
      </c>
      <c r="M5" s="55" t="s">
        <v>470</v>
      </c>
      <c r="N5" s="55" t="s">
        <v>914</v>
      </c>
      <c r="O5" s="55" t="s">
        <v>915</v>
      </c>
    </row>
    <row r="6" spans="1:17" ht="15" customHeight="1" x14ac:dyDescent="0.2">
      <c r="A6" t="s">
        <v>891</v>
      </c>
      <c r="B6" t="b">
        <v>0</v>
      </c>
      <c r="E6" s="99"/>
      <c r="F6" t="s">
        <v>1958</v>
      </c>
      <c r="G6" s="55">
        <v>139.80000000000001</v>
      </c>
      <c r="H6" s="55">
        <v>126.9</v>
      </c>
      <c r="I6" s="55">
        <v>124.5</v>
      </c>
      <c r="J6" s="55">
        <v>137.9</v>
      </c>
      <c r="K6" s="55">
        <v>93.4</v>
      </c>
      <c r="L6" s="55">
        <v>115.5</v>
      </c>
      <c r="M6" s="55">
        <v>141.30000000000001</v>
      </c>
      <c r="N6" s="55">
        <v>140.19999999999999</v>
      </c>
      <c r="O6" s="55">
        <v>135.5</v>
      </c>
    </row>
    <row r="7" spans="1:17" ht="15.75" customHeight="1" x14ac:dyDescent="0.2">
      <c r="E7" s="99"/>
      <c r="F7" t="s">
        <v>1821</v>
      </c>
      <c r="G7" s="55">
        <v>18</v>
      </c>
      <c r="H7" s="55">
        <v>18.2</v>
      </c>
      <c r="I7" s="55">
        <v>10.4</v>
      </c>
      <c r="J7" s="55">
        <v>10.9</v>
      </c>
      <c r="K7" s="55">
        <v>12.4</v>
      </c>
      <c r="L7" s="55">
        <v>16.3</v>
      </c>
      <c r="M7" s="55">
        <v>12.7</v>
      </c>
      <c r="N7" s="55">
        <v>15.9</v>
      </c>
      <c r="O7" s="55">
        <v>15.5</v>
      </c>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679A741-D963-49EE-8A5D-BDC87DD8F0D4}">
      <formula1>"True,False"</formula1>
    </dataValidation>
    <dataValidation type="list" allowBlank="1" showInputMessage="1" showErrorMessage="1" sqref="B2" xr:uid="{3F3EDD87-1705-4DEB-AE0C-C109136EAF43}">
      <formula1>"Table,Figure,Both"</formula1>
    </dataValidation>
    <dataValidation type="list" allowBlank="1" showInputMessage="1" showErrorMessage="1" sqref="B10" xr:uid="{2DEE85D7-D1AF-40D9-8A9C-5162AB61A7D6}">
      <formula1>"Line,Clustered Bar,Stacked Bar,Bar,Horizontal Stacked Bar"</formula1>
    </dataValidation>
    <dataValidation type="list" allowBlank="1" showInputMessage="1" showErrorMessage="1" sqref="P4:Q4" xr:uid="{6364C91A-F6E4-4EA8-9DE4-C4AC91FDB8A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1823F14-DC0D-48BE-B7F8-A9BDC3D518FF}">
          <x14:formula1>
            <xm:f>Dropdowns!$A$1:$A$8</xm:f>
          </x14:formula1>
          <xm:sqref>F4:O4</xm:sqref>
        </x14:dataValidation>
        <x14:dataValidation type="list" allowBlank="1" showInputMessage="1" showErrorMessage="1" xr:uid="{7F1D3785-CD97-4F14-8438-9F158933417A}">
          <x14:formula1>
            <xm:f>Master!$F$2:$F$401</xm:f>
          </x14:formula1>
          <xm:sqref>B1:O1</xm:sqref>
        </x14:dataValidation>
      </x14:dataValidations>
    </ext>
  </extLst>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AE9E-F642-441F-8772-188CE47D32E9}">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512</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tbl-female-breastca-incidence-mortal-aar</v>
      </c>
    </row>
    <row r="4" spans="1:17" x14ac:dyDescent="0.2">
      <c r="A4" s="58" t="s">
        <v>6</v>
      </c>
      <c r="B4" t="str">
        <f>IF($B$1="","",_xlfn.XLOOKUP($B$1,Master!$F$2:$F$308,Master!$H$2:$H$308,""))</f>
        <v>fig-female-breastca-incidence-mortal-aar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t="s">
        <v>220</v>
      </c>
      <c r="H5" t="s">
        <v>18</v>
      </c>
      <c r="I5" s="55" t="s">
        <v>537</v>
      </c>
      <c r="J5" s="55" t="s">
        <v>449</v>
      </c>
      <c r="K5" s="55" t="s">
        <v>409</v>
      </c>
      <c r="L5" s="55" t="s">
        <v>421</v>
      </c>
      <c r="M5" s="55" t="s">
        <v>470</v>
      </c>
      <c r="N5" s="55" t="s">
        <v>914</v>
      </c>
      <c r="O5" s="55" t="s">
        <v>915</v>
      </c>
    </row>
    <row r="6" spans="1:17" ht="15" customHeight="1" x14ac:dyDescent="0.2">
      <c r="A6" t="s">
        <v>891</v>
      </c>
      <c r="B6" t="b">
        <v>0</v>
      </c>
      <c r="E6" s="99"/>
      <c r="F6" t="s">
        <v>1958</v>
      </c>
      <c r="G6" s="55">
        <v>135.1</v>
      </c>
      <c r="H6" s="55">
        <v>129.6</v>
      </c>
      <c r="I6" s="55">
        <v>160.69999999999999</v>
      </c>
      <c r="J6" s="55">
        <v>134.30000000000001</v>
      </c>
      <c r="K6" s="55">
        <v>114.3</v>
      </c>
      <c r="L6" s="55">
        <v>133.6</v>
      </c>
      <c r="M6" s="55">
        <v>144.69999999999999</v>
      </c>
      <c r="N6" s="55">
        <v>141.19999999999999</v>
      </c>
      <c r="O6" s="55">
        <v>135.5</v>
      </c>
    </row>
    <row r="7" spans="1:17" ht="15.75" customHeight="1" x14ac:dyDescent="0.2">
      <c r="E7" s="99"/>
      <c r="F7" t="s">
        <v>1821</v>
      </c>
      <c r="G7" s="55">
        <v>21.5</v>
      </c>
      <c r="H7" s="55">
        <v>23.5</v>
      </c>
      <c r="I7" s="55">
        <v>12</v>
      </c>
      <c r="J7" s="55">
        <v>16.2</v>
      </c>
      <c r="K7" s="55">
        <v>20</v>
      </c>
      <c r="L7" s="55">
        <v>20.7</v>
      </c>
      <c r="M7" s="55">
        <v>15.3</v>
      </c>
      <c r="N7" s="55">
        <v>17.7</v>
      </c>
      <c r="O7" s="55">
        <v>17</v>
      </c>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C1C66200-E4B5-444B-A92B-E47E7DF0148D}">
      <formula1>"integer, number, percent1"</formula1>
    </dataValidation>
    <dataValidation type="list" allowBlank="1" showInputMessage="1" showErrorMessage="1" sqref="B10" xr:uid="{00D68B5B-1805-48A2-8031-27E15CAD61FB}">
      <formula1>"Line,Clustered Bar,Stacked Bar,Bar,Horizontal Stacked Bar"</formula1>
    </dataValidation>
    <dataValidation type="list" allowBlank="1" showInputMessage="1" showErrorMessage="1" sqref="B2" xr:uid="{37B49B37-751A-4295-8D99-56CB2BE7EEE9}">
      <formula1>"Table,Figure,Both"</formula1>
    </dataValidation>
    <dataValidation type="list" allowBlank="1" showInputMessage="1" showErrorMessage="1" sqref="B6 B15:B16" xr:uid="{B9789332-7EC1-4BA6-94ED-E38EBBF9849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645C44C-261A-4096-86E2-D75A04DAB53C}">
          <x14:formula1>
            <xm:f>Master!$F$2:$F$401</xm:f>
          </x14:formula1>
          <xm:sqref>B1:O1</xm:sqref>
        </x14:dataValidation>
        <x14:dataValidation type="list" allowBlank="1" showInputMessage="1" showErrorMessage="1" xr:uid="{AA18302B-9A87-414F-81E0-9C157FD3BF89}">
          <x14:formula1>
            <xm:f>Dropdowns!$A$1:$A$8</xm:f>
          </x14:formula1>
          <xm:sqref>F4:O4</xm:sqref>
        </x14:dataValidation>
      </x14:dataValidations>
    </ext>
  </extLst>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70BD-4A5B-488D-A549-8A627F1F1282}">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512</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tbl-female-breastca-incidence-mortal-aar</v>
      </c>
    </row>
    <row r="4" spans="1:17" x14ac:dyDescent="0.2">
      <c r="A4" s="58" t="s">
        <v>6</v>
      </c>
      <c r="B4" t="str">
        <f>IF($B$1="","",_xlfn.XLOOKUP($B$1,Master!$F$2:$F$308,Master!$H$2:$H$308,""))</f>
        <v>fig-female-breastca-incidence-mortal-aar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1123</v>
      </c>
      <c r="G5" t="s">
        <v>220</v>
      </c>
      <c r="H5" t="s">
        <v>18</v>
      </c>
      <c r="I5" s="55" t="s">
        <v>537</v>
      </c>
      <c r="J5" s="55" t="s">
        <v>449</v>
      </c>
      <c r="K5" s="55" t="s">
        <v>409</v>
      </c>
      <c r="L5" s="55" t="s">
        <v>421</v>
      </c>
      <c r="M5" s="55" t="s">
        <v>470</v>
      </c>
      <c r="N5" s="55" t="s">
        <v>914</v>
      </c>
      <c r="O5" s="55" t="s">
        <v>915</v>
      </c>
    </row>
    <row r="6" spans="1:17" ht="15" customHeight="1" x14ac:dyDescent="0.2">
      <c r="A6" t="s">
        <v>891</v>
      </c>
      <c r="B6" t="b">
        <v>0</v>
      </c>
      <c r="E6" s="99"/>
      <c r="F6" t="s">
        <v>1940</v>
      </c>
      <c r="G6" s="55">
        <v>83.7</v>
      </c>
      <c r="H6" s="55">
        <v>76.8</v>
      </c>
      <c r="I6" s="55">
        <v>77.7</v>
      </c>
      <c r="J6" s="55">
        <v>81.7</v>
      </c>
      <c r="K6" s="55">
        <v>68.599999999999994</v>
      </c>
      <c r="L6" s="55">
        <v>66</v>
      </c>
      <c r="M6" s="55">
        <v>84.5</v>
      </c>
      <c r="N6" s="55">
        <v>80.400000000000006</v>
      </c>
      <c r="O6" s="55">
        <v>80.900000000000006</v>
      </c>
    </row>
    <row r="7" spans="1:17" ht="15.75" customHeight="1" x14ac:dyDescent="0.2">
      <c r="E7" s="99"/>
      <c r="F7">
        <v>2016</v>
      </c>
      <c r="G7" s="55">
        <v>87.2</v>
      </c>
      <c r="H7" s="55">
        <v>74.5</v>
      </c>
      <c r="I7" s="55">
        <v>69.5</v>
      </c>
      <c r="J7" s="55">
        <v>72</v>
      </c>
      <c r="K7" s="55">
        <v>64</v>
      </c>
      <c r="L7" s="55">
        <v>72.3</v>
      </c>
      <c r="M7" s="55">
        <v>84.8</v>
      </c>
      <c r="N7" s="55">
        <v>79.2</v>
      </c>
      <c r="O7" s="55">
        <v>79.7</v>
      </c>
    </row>
    <row r="8" spans="1:17" x14ac:dyDescent="0.2">
      <c r="E8" s="99"/>
      <c r="F8">
        <v>2018</v>
      </c>
      <c r="G8" s="55">
        <v>78</v>
      </c>
      <c r="H8" s="55">
        <v>78.8</v>
      </c>
      <c r="I8" s="55">
        <v>80.2</v>
      </c>
      <c r="J8" s="55">
        <v>69.8</v>
      </c>
      <c r="K8" s="55">
        <v>66.099999999999994</v>
      </c>
      <c r="L8" s="55">
        <v>73.3</v>
      </c>
      <c r="M8" s="55">
        <v>79.3</v>
      </c>
      <c r="N8" s="55">
        <v>80.900000000000006</v>
      </c>
      <c r="O8" s="55">
        <v>82.1</v>
      </c>
      <c r="P8" s="14"/>
    </row>
    <row r="9" spans="1:17" x14ac:dyDescent="0.2">
      <c r="A9" s="98" t="s">
        <v>893</v>
      </c>
      <c r="B9" s="99"/>
      <c r="E9" s="99"/>
      <c r="F9">
        <v>2021</v>
      </c>
      <c r="G9" s="55">
        <v>88.5</v>
      </c>
      <c r="H9" s="55">
        <v>73.3</v>
      </c>
      <c r="I9" s="55">
        <v>80.2</v>
      </c>
      <c r="J9" s="55">
        <v>72.7</v>
      </c>
      <c r="K9" s="55">
        <v>52.2</v>
      </c>
      <c r="L9" s="55">
        <v>77.099999999999994</v>
      </c>
      <c r="M9" s="55">
        <v>77.3</v>
      </c>
      <c r="N9" s="55">
        <v>78.8</v>
      </c>
      <c r="O9" s="55">
        <v>78.2</v>
      </c>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A50A6FB-178C-48F9-876B-F51D9C2E8171}">
      <formula1>"True,False"</formula1>
    </dataValidation>
    <dataValidation type="list" allowBlank="1" showInputMessage="1" showErrorMessage="1" sqref="B2" xr:uid="{05D813B1-A7EB-4072-AEC4-465B3CB8E35D}">
      <formula1>"Table,Figure,Both"</formula1>
    </dataValidation>
    <dataValidation type="list" allowBlank="1" showInputMessage="1" showErrorMessage="1" sqref="B10" xr:uid="{D277F164-C501-4DA1-ADAD-998FD1DDC67D}">
      <formula1>"Line,Clustered Bar,Stacked Bar,Bar,Horizontal Stacked Bar"</formula1>
    </dataValidation>
    <dataValidation type="list" allowBlank="1" showInputMessage="1" showErrorMessage="1" sqref="P4:Q4" xr:uid="{052708DD-5402-4E2F-A281-FC4F9EA8A5A9}">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5A3908D-A761-448D-A41C-D7B948A77D30}">
          <x14:formula1>
            <xm:f>Dropdowns!$A$1:$A$8</xm:f>
          </x14:formula1>
          <xm:sqref>F4:O4</xm:sqref>
        </x14:dataValidation>
        <x14:dataValidation type="list" allowBlank="1" showInputMessage="1" showErrorMessage="1" xr:uid="{7202A05E-8B34-4C7D-9792-A6506E66B750}">
          <x14:formula1>
            <xm:f>Master!$F$2:$F$401</xm:f>
          </x14:formula1>
          <xm:sqref>B1:O1</xm:sqref>
        </x14:dataValidation>
      </x14:dataValidations>
    </ext>
  </extLst>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F8E7-F6CD-4058-ADD3-5788A3E35244}">
  <dimension ref="A1:Q57"/>
  <sheetViews>
    <sheetView workbookViewId="0">
      <selection activeCell="J21" sqref="J2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514</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tbl-cervutca-incident-mortal-aar</v>
      </c>
    </row>
    <row r="4" spans="1:17" x14ac:dyDescent="0.2">
      <c r="A4" s="58" t="s">
        <v>6</v>
      </c>
      <c r="B4" t="str">
        <f>IF($B$1="","",_xlfn.XLOOKUP($B$1,Master!$F$2:$F$308,Master!$H$2:$H$308,""))</f>
        <v>fig-cervutca-incident-mortal-aar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t="s">
        <v>220</v>
      </c>
      <c r="H5" t="s">
        <v>18</v>
      </c>
      <c r="I5" t="s">
        <v>537</v>
      </c>
      <c r="J5" s="55" t="s">
        <v>449</v>
      </c>
      <c r="K5" s="55" t="s">
        <v>409</v>
      </c>
      <c r="L5" s="55" t="s">
        <v>421</v>
      </c>
      <c r="M5" s="55" t="s">
        <v>470</v>
      </c>
      <c r="N5" s="55" t="s">
        <v>914</v>
      </c>
      <c r="O5" s="55" t="s">
        <v>915</v>
      </c>
    </row>
    <row r="6" spans="1:17" ht="15" customHeight="1" x14ac:dyDescent="0.2">
      <c r="A6" t="s">
        <v>891</v>
      </c>
      <c r="B6" t="b">
        <v>0</v>
      </c>
      <c r="E6" s="99"/>
      <c r="F6" t="s">
        <v>1958</v>
      </c>
      <c r="G6" s="55">
        <v>6.1</v>
      </c>
      <c r="H6" s="55">
        <v>7.5</v>
      </c>
      <c r="I6" s="55" t="s">
        <v>754</v>
      </c>
      <c r="J6" s="55">
        <v>7.5</v>
      </c>
      <c r="K6" s="55">
        <v>14</v>
      </c>
      <c r="L6" s="55">
        <v>8.6999999999999993</v>
      </c>
      <c r="M6" s="55">
        <v>5.9</v>
      </c>
      <c r="N6" s="55">
        <v>6.9</v>
      </c>
      <c r="O6" s="55">
        <v>6.4</v>
      </c>
    </row>
    <row r="7" spans="1:17" ht="15.75" customHeight="1" x14ac:dyDescent="0.2">
      <c r="E7" s="99"/>
      <c r="F7" t="s">
        <v>1821</v>
      </c>
      <c r="G7" s="55" t="s">
        <v>754</v>
      </c>
      <c r="H7" s="55">
        <v>2.7</v>
      </c>
      <c r="I7" s="55" t="s">
        <v>754</v>
      </c>
      <c r="J7" s="55" t="s">
        <v>754</v>
      </c>
      <c r="K7" s="55" t="s">
        <v>754</v>
      </c>
      <c r="L7" s="55" t="s">
        <v>754</v>
      </c>
      <c r="M7" s="55">
        <v>1.1000000000000001</v>
      </c>
      <c r="N7" s="55">
        <v>1.7</v>
      </c>
      <c r="O7" s="55">
        <v>1.6</v>
      </c>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C9CABE2F-FAFE-439E-A1FF-90710A67B541}">
      <formula1>"integer, number, percent1"</formula1>
    </dataValidation>
    <dataValidation type="list" allowBlank="1" showInputMessage="1" showErrorMessage="1" sqref="B10" xr:uid="{3694B375-61AD-4A2D-A9BD-C20B34D25215}">
      <formula1>"Line,Clustered Bar,Stacked Bar,Bar,Horizontal Stacked Bar"</formula1>
    </dataValidation>
    <dataValidation type="list" allowBlank="1" showInputMessage="1" showErrorMessage="1" sqref="B2" xr:uid="{AD0C271F-9083-4A1E-9387-154BFE4414B0}">
      <formula1>"Table,Figure,Both"</formula1>
    </dataValidation>
    <dataValidation type="list" allowBlank="1" showInputMessage="1" showErrorMessage="1" sqref="B6 B15:B16" xr:uid="{EA2E4F4F-BAB7-47AF-91DC-073BA4C3556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11AEC2D6-989B-445F-97B9-17E50B551422}">
          <x14:formula1>
            <xm:f>Master!$F$2:$F$401</xm:f>
          </x14:formula1>
          <xm:sqref>B1:O1</xm:sqref>
        </x14:dataValidation>
        <x14:dataValidation type="list" allowBlank="1" showInputMessage="1" showErrorMessage="1" xr:uid="{B8CD27AA-9021-4EBA-8DD3-6637D52DBEC4}">
          <x14:formula1>
            <xm:f>Dropdowns!$A$1:$A$8</xm:f>
          </x14:formula1>
          <xm:sqref>F4:O4</xm:sqref>
        </x14:dataValidation>
      </x14:dataValidations>
    </ext>
  </extLst>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25AD-DA61-4857-BF7F-C4133E0153CB}">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514</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tbl-cervutca-incident-mortal-aar</v>
      </c>
    </row>
    <row r="4" spans="1:17" x14ac:dyDescent="0.2">
      <c r="A4" s="58" t="s">
        <v>6</v>
      </c>
      <c r="B4" t="str">
        <f>IF($B$1="","",_xlfn.XLOOKUP($B$1,Master!$F$2:$F$308,Master!$H$2:$H$308,""))</f>
        <v>fig-cervutca-incident-mortal-aar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1123</v>
      </c>
      <c r="G5" t="s">
        <v>220</v>
      </c>
      <c r="H5" t="s">
        <v>18</v>
      </c>
      <c r="I5" t="s">
        <v>537</v>
      </c>
      <c r="J5" s="55" t="s">
        <v>449</v>
      </c>
      <c r="K5" s="55" t="s">
        <v>409</v>
      </c>
      <c r="L5" s="55" t="s">
        <v>421</v>
      </c>
      <c r="M5" s="55" t="s">
        <v>470</v>
      </c>
      <c r="N5" s="55" t="s">
        <v>898</v>
      </c>
      <c r="O5" s="55" t="s">
        <v>915</v>
      </c>
    </row>
    <row r="6" spans="1:17" ht="15" customHeight="1" x14ac:dyDescent="0.2">
      <c r="A6" t="s">
        <v>891</v>
      </c>
      <c r="B6" t="b">
        <v>0</v>
      </c>
      <c r="E6" s="99"/>
      <c r="F6">
        <v>2018</v>
      </c>
      <c r="G6" s="55">
        <v>90.6</v>
      </c>
      <c r="H6" s="55">
        <v>88.8</v>
      </c>
      <c r="I6" s="55">
        <v>96.2</v>
      </c>
      <c r="J6" s="55">
        <v>80.599999999999994</v>
      </c>
      <c r="K6" s="55">
        <v>81.7</v>
      </c>
      <c r="L6" s="55">
        <v>86.1</v>
      </c>
      <c r="M6" s="55">
        <v>87.8</v>
      </c>
      <c r="N6" s="55">
        <v>86.5</v>
      </c>
      <c r="O6" s="55">
        <v>84.7</v>
      </c>
    </row>
    <row r="7" spans="1:17" ht="15.75" customHeight="1" x14ac:dyDescent="0.2">
      <c r="E7" s="99"/>
      <c r="G7" s="55"/>
      <c r="H7" s="55"/>
      <c r="I7" s="55"/>
      <c r="J7" s="55"/>
      <c r="K7" s="55"/>
      <c r="L7" s="55"/>
      <c r="M7" s="55"/>
      <c r="N7" s="55"/>
      <c r="O7" s="55"/>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1002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B2E2F967-4C1A-4B06-9EBC-97401BE086DB}">
      <formula1>"True,False"</formula1>
    </dataValidation>
    <dataValidation type="list" allowBlank="1" showInputMessage="1" showErrorMessage="1" sqref="B2" xr:uid="{A20AB35E-65DD-4852-A6D6-DFFE39F297C9}">
      <formula1>"Table,Figure,Both"</formula1>
    </dataValidation>
    <dataValidation type="list" allowBlank="1" showInputMessage="1" showErrorMessage="1" sqref="B10" xr:uid="{234A491F-DD63-45EA-91C5-C012948C5096}">
      <formula1>"Line,Clustered Bar,Stacked Bar,Bar,Horizontal Stacked Bar"</formula1>
    </dataValidation>
    <dataValidation type="list" allowBlank="1" showInputMessage="1" showErrorMessage="1" sqref="P4:Q4" xr:uid="{4512165C-6C2E-4102-BF3B-9E6EDD901E6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7B3D0E0-0185-4E12-AD2B-891A6831A712}">
          <x14:formula1>
            <xm:f>Dropdowns!$A$1:$A$8</xm:f>
          </x14:formula1>
          <xm:sqref>F4:O4</xm:sqref>
        </x14:dataValidation>
        <x14:dataValidation type="list" allowBlank="1" showInputMessage="1" showErrorMessage="1" xr:uid="{F3B87F20-FBC6-437C-AAA4-D0F00D2FBA07}">
          <x14:formula1>
            <xm:f>Master!$F$2:$F$401</xm:f>
          </x14:formula1>
          <xm:sqref>B1:O1</xm:sqref>
        </x14:dataValidation>
      </x14:dataValidations>
    </ext>
  </extLst>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7D9D-49B3-429C-996B-DCD82E3AB07C}">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518</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tbl-24to35mo-child-vaccine-series-percent</v>
      </c>
    </row>
    <row r="4" spans="1:17" x14ac:dyDescent="0.2">
      <c r="A4" s="58" t="s">
        <v>6</v>
      </c>
      <c r="B4" t="str">
        <f>IF($B$1="","",_xlfn.XLOOKUP($B$1,Master!$F$2:$F$308,Master!$H$2:$H$308,""))</f>
        <v>fig-24to35mo-child-vaccine-series-percent</v>
      </c>
      <c r="E4" s="13"/>
      <c r="F4" s="16" t="s">
        <v>664</v>
      </c>
      <c r="G4" s="16" t="s">
        <v>679</v>
      </c>
      <c r="H4" s="16" t="s">
        <v>679</v>
      </c>
      <c r="I4" s="16" t="s">
        <v>679</v>
      </c>
      <c r="J4" s="16" t="s">
        <v>679</v>
      </c>
      <c r="K4" s="16" t="s">
        <v>679</v>
      </c>
      <c r="L4" s="16" t="s">
        <v>679</v>
      </c>
      <c r="M4" s="16" t="s">
        <v>679</v>
      </c>
      <c r="N4" s="16" t="s">
        <v>679</v>
      </c>
      <c r="O4" s="16" t="s">
        <v>679</v>
      </c>
      <c r="P4" s="16" t="s">
        <v>679</v>
      </c>
      <c r="Q4" s="16"/>
    </row>
    <row r="5" spans="1:17" x14ac:dyDescent="0.2">
      <c r="A5" s="98" t="s">
        <v>885</v>
      </c>
      <c r="B5" s="99"/>
      <c r="E5" s="100" t="s">
        <v>886</v>
      </c>
      <c r="F5" t="s">
        <v>1123</v>
      </c>
      <c r="G5" t="s">
        <v>220</v>
      </c>
      <c r="H5" t="s">
        <v>18</v>
      </c>
      <c r="I5" t="s">
        <v>537</v>
      </c>
      <c r="J5" s="55" t="s">
        <v>449</v>
      </c>
      <c r="K5" s="55" t="s">
        <v>409</v>
      </c>
      <c r="L5" s="55" t="s">
        <v>421</v>
      </c>
      <c r="M5" s="55" t="s">
        <v>470</v>
      </c>
      <c r="N5" s="55" t="s">
        <v>914</v>
      </c>
      <c r="O5" s="55" t="s">
        <v>915</v>
      </c>
      <c r="P5" t="s">
        <v>1959</v>
      </c>
    </row>
    <row r="6" spans="1:17" ht="15" customHeight="1" x14ac:dyDescent="0.2">
      <c r="A6" t="s">
        <v>891</v>
      </c>
      <c r="B6" t="b">
        <v>0</v>
      </c>
      <c r="E6" s="99"/>
      <c r="F6">
        <v>2019</v>
      </c>
      <c r="G6" s="55">
        <v>62.2</v>
      </c>
      <c r="H6" s="55">
        <v>43.1</v>
      </c>
      <c r="I6" s="55">
        <v>59.2</v>
      </c>
      <c r="J6" s="55">
        <v>37.4</v>
      </c>
      <c r="K6" s="55">
        <v>48.6</v>
      </c>
      <c r="L6" s="55">
        <v>57.4</v>
      </c>
      <c r="M6" s="55">
        <v>51.6</v>
      </c>
      <c r="N6" s="55">
        <v>60.1</v>
      </c>
      <c r="O6" s="55">
        <v>56.7</v>
      </c>
      <c r="P6">
        <v>62.3</v>
      </c>
    </row>
    <row r="7" spans="1:17" ht="15.75" customHeight="1" x14ac:dyDescent="0.2">
      <c r="E7" s="99"/>
      <c r="F7">
        <v>2020</v>
      </c>
      <c r="G7" s="55">
        <v>60</v>
      </c>
      <c r="H7" s="55">
        <v>41.8</v>
      </c>
      <c r="I7" s="55">
        <v>58.4</v>
      </c>
      <c r="J7" s="55">
        <v>35.799999999999997</v>
      </c>
      <c r="K7" s="55">
        <v>44.2</v>
      </c>
      <c r="L7" s="55">
        <v>58</v>
      </c>
      <c r="M7" s="55">
        <v>51.1</v>
      </c>
      <c r="N7" s="55">
        <v>60</v>
      </c>
      <c r="O7" s="55">
        <v>56.4</v>
      </c>
      <c r="P7">
        <v>62.3</v>
      </c>
    </row>
    <row r="8" spans="1:17" x14ac:dyDescent="0.2">
      <c r="E8" s="99"/>
      <c r="F8">
        <v>2021</v>
      </c>
      <c r="G8" s="55">
        <v>60.5</v>
      </c>
      <c r="H8" s="55">
        <v>39.200000000000003</v>
      </c>
      <c r="I8" s="55">
        <v>59.8</v>
      </c>
      <c r="J8" s="55">
        <v>34.6</v>
      </c>
      <c r="K8" s="55">
        <v>42.5</v>
      </c>
      <c r="L8" s="55">
        <v>56.9</v>
      </c>
      <c r="M8" s="55">
        <v>52.6</v>
      </c>
      <c r="N8" s="55">
        <v>60.1</v>
      </c>
      <c r="O8" s="55">
        <v>55.6</v>
      </c>
      <c r="P8" s="14">
        <v>62.3</v>
      </c>
    </row>
    <row r="9" spans="1:17" x14ac:dyDescent="0.2">
      <c r="A9" s="98" t="s">
        <v>893</v>
      </c>
      <c r="B9" s="99"/>
      <c r="E9" s="99"/>
      <c r="F9">
        <v>2022</v>
      </c>
      <c r="G9" s="55">
        <v>58.9</v>
      </c>
      <c r="H9" s="55">
        <v>40.4</v>
      </c>
      <c r="I9" s="55">
        <v>63.7</v>
      </c>
      <c r="J9" s="55">
        <v>35.200000000000003</v>
      </c>
      <c r="K9" s="55">
        <v>42.5</v>
      </c>
      <c r="L9" s="55">
        <v>55.6</v>
      </c>
      <c r="M9" s="55">
        <v>54.8</v>
      </c>
      <c r="N9" s="55">
        <v>59.4</v>
      </c>
      <c r="O9" s="55">
        <v>55.8</v>
      </c>
      <c r="P9">
        <v>62.3</v>
      </c>
    </row>
    <row r="10" spans="1:17" x14ac:dyDescent="0.2">
      <c r="A10" t="s">
        <v>894</v>
      </c>
      <c r="B10" t="s">
        <v>972</v>
      </c>
      <c r="E10" s="99"/>
      <c r="F10">
        <v>2023</v>
      </c>
      <c r="G10">
        <v>62.2</v>
      </c>
      <c r="H10">
        <v>39</v>
      </c>
      <c r="I10">
        <v>64.8</v>
      </c>
      <c r="J10">
        <v>32.200000000000003</v>
      </c>
      <c r="K10">
        <v>45.6</v>
      </c>
      <c r="L10">
        <v>58.2</v>
      </c>
      <c r="M10">
        <v>53.5</v>
      </c>
      <c r="N10">
        <v>59.1</v>
      </c>
      <c r="O10">
        <v>56.9</v>
      </c>
      <c r="P10">
        <v>62.3</v>
      </c>
    </row>
    <row r="11" spans="1:17" x14ac:dyDescent="0.2">
      <c r="A11" t="s">
        <v>895</v>
      </c>
      <c r="B11" t="s">
        <v>887</v>
      </c>
      <c r="E11" s="99"/>
      <c r="F11" s="46" t="s">
        <v>1964</v>
      </c>
      <c r="G11" s="59">
        <v>65.2</v>
      </c>
      <c r="H11" s="59">
        <v>44.1</v>
      </c>
      <c r="I11" s="59">
        <v>66.2</v>
      </c>
      <c r="J11" s="42">
        <v>36.799999999999997</v>
      </c>
      <c r="K11" s="42">
        <v>48.1</v>
      </c>
      <c r="L11" s="42">
        <v>64</v>
      </c>
      <c r="M11" s="47" t="s">
        <v>1965</v>
      </c>
      <c r="N11" s="47" t="s">
        <v>1966</v>
      </c>
      <c r="O11" s="46" t="s">
        <v>1478</v>
      </c>
      <c r="P11">
        <v>62.3</v>
      </c>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BC781897-9741-4A5B-83AD-908D2119792B}">
      <formula1>"integer, number, percent1"</formula1>
    </dataValidation>
    <dataValidation type="list" allowBlank="1" showInputMessage="1" showErrorMessage="1" sqref="B10" xr:uid="{34ABAE09-083F-4F97-9E08-43CA1684CEB6}">
      <formula1>"Line,Clustered Bar,Stacked Bar,Bar,Horizontal Stacked Bar"</formula1>
    </dataValidation>
    <dataValidation type="list" allowBlank="1" showInputMessage="1" showErrorMessage="1" sqref="B2" xr:uid="{335779FE-13FE-4F5A-9FE8-B67B45BB9344}">
      <formula1>"Table,Figure,Both"</formula1>
    </dataValidation>
    <dataValidation type="list" allowBlank="1" showInputMessage="1" showErrorMessage="1" sqref="B6 B15:B16" xr:uid="{6AC65FDE-2E50-4C2B-9206-820DDADEBFC6}">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B5E82E4-1B8E-42CA-BCC0-C6092483CF76}">
          <x14:formula1>
            <xm:f>Master!$F$2:$F$401</xm:f>
          </x14:formula1>
          <xm:sqref>B1:O1</xm:sqref>
        </x14:dataValidation>
        <x14:dataValidation type="list" allowBlank="1" showInputMessage="1" showErrorMessage="1" xr:uid="{544D0BF6-6DD3-4603-A3E8-DC2BF1DFE317}">
          <x14:formula1>
            <xm:f>Dropdowns!$A$1:$A$8</xm:f>
          </x14:formula1>
          <xm:sqref>F4:O4</xm:sqref>
        </x14:dataValidation>
      </x14:dataValidations>
    </ext>
  </extLst>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5416C-D6ED-4FD5-93CE-E9D8079D27FA}">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1830</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tbl-covid-mort-aar</v>
      </c>
    </row>
    <row r="4" spans="1:17" x14ac:dyDescent="0.2">
      <c r="A4" s="58" t="s">
        <v>6</v>
      </c>
      <c r="B4" t="str">
        <f>IF($B$1="","",_xlfn.XLOOKUP($B$1,Master!$F$2:$F$308,Master!$H$2:$H$308,""))</f>
        <v>fig-covid-mort-aar</v>
      </c>
      <c r="E4" s="13"/>
      <c r="F4" s="16" t="s">
        <v>664</v>
      </c>
      <c r="G4" s="16" t="s">
        <v>679</v>
      </c>
      <c r="H4" s="16" t="s">
        <v>679</v>
      </c>
      <c r="I4" s="16" t="s">
        <v>679</v>
      </c>
      <c r="J4" s="16" t="s">
        <v>679</v>
      </c>
      <c r="K4" s="16" t="s">
        <v>679</v>
      </c>
      <c r="L4" s="16" t="s">
        <v>679</v>
      </c>
      <c r="M4" s="16" t="s">
        <v>679</v>
      </c>
      <c r="N4" s="16" t="s">
        <v>679</v>
      </c>
      <c r="O4" s="16" t="s">
        <v>679</v>
      </c>
      <c r="P4" s="16" t="s">
        <v>679</v>
      </c>
      <c r="Q4" s="16"/>
    </row>
    <row r="5" spans="1:17" x14ac:dyDescent="0.2">
      <c r="A5" s="98" t="s">
        <v>885</v>
      </c>
      <c r="B5" s="99"/>
      <c r="E5" s="100" t="s">
        <v>886</v>
      </c>
      <c r="F5" t="s">
        <v>1123</v>
      </c>
      <c r="G5" t="s">
        <v>220</v>
      </c>
      <c r="H5" t="s">
        <v>18</v>
      </c>
      <c r="I5" t="s">
        <v>537</v>
      </c>
      <c r="J5" s="55" t="s">
        <v>449</v>
      </c>
      <c r="K5" s="55" t="s">
        <v>409</v>
      </c>
      <c r="L5" s="55" t="s">
        <v>421</v>
      </c>
      <c r="M5" s="55" t="s">
        <v>470</v>
      </c>
      <c r="N5" s="55" t="s">
        <v>898</v>
      </c>
      <c r="O5" s="55" t="s">
        <v>914</v>
      </c>
      <c r="P5" t="s">
        <v>915</v>
      </c>
    </row>
    <row r="6" spans="1:17" ht="15" customHeight="1" x14ac:dyDescent="0.2">
      <c r="A6" t="s">
        <v>891</v>
      </c>
      <c r="B6" t="b">
        <v>0</v>
      </c>
      <c r="E6" s="99"/>
      <c r="F6">
        <v>2020</v>
      </c>
      <c r="G6" s="55">
        <v>63.1</v>
      </c>
      <c r="H6" s="55">
        <v>142</v>
      </c>
      <c r="I6" s="55">
        <v>95.7</v>
      </c>
      <c r="J6" s="55">
        <v>204.4</v>
      </c>
      <c r="K6" s="55">
        <v>62.2</v>
      </c>
      <c r="L6" s="55">
        <v>58.4</v>
      </c>
      <c r="M6" s="55">
        <v>143</v>
      </c>
      <c r="N6" s="55">
        <v>128.1</v>
      </c>
      <c r="O6" s="55">
        <v>92.7</v>
      </c>
      <c r="P6">
        <v>144.4</v>
      </c>
    </row>
    <row r="7" spans="1:17" ht="15.75" customHeight="1" x14ac:dyDescent="0.2">
      <c r="E7" s="99"/>
      <c r="F7">
        <v>2021</v>
      </c>
      <c r="G7" s="55">
        <v>83</v>
      </c>
      <c r="H7" s="55">
        <v>90.5</v>
      </c>
      <c r="I7" s="55">
        <v>41.6</v>
      </c>
      <c r="J7" s="55">
        <v>67.400000000000006</v>
      </c>
      <c r="K7" s="55">
        <v>83.4</v>
      </c>
      <c r="L7" s="55">
        <v>77.5</v>
      </c>
      <c r="M7" s="55">
        <v>68.400000000000006</v>
      </c>
      <c r="N7" s="55">
        <v>73.5</v>
      </c>
      <c r="O7" s="55">
        <v>86</v>
      </c>
      <c r="P7">
        <v>84.1</v>
      </c>
    </row>
    <row r="8" spans="1:17" x14ac:dyDescent="0.2">
      <c r="E8" s="99"/>
      <c r="F8">
        <v>2022</v>
      </c>
      <c r="G8" s="55">
        <v>42.8</v>
      </c>
      <c r="H8" s="55">
        <v>53.2</v>
      </c>
      <c r="I8" s="55">
        <v>28.9</v>
      </c>
      <c r="J8" s="55">
        <v>45.5</v>
      </c>
      <c r="K8" s="55">
        <v>60</v>
      </c>
      <c r="L8" s="55">
        <v>34</v>
      </c>
      <c r="M8" s="55">
        <v>35.5</v>
      </c>
      <c r="N8" s="55">
        <v>40.799999999999997</v>
      </c>
      <c r="O8" s="55">
        <v>42.3</v>
      </c>
      <c r="P8" s="14">
        <v>42.6</v>
      </c>
    </row>
    <row r="9" spans="1:17" x14ac:dyDescent="0.2">
      <c r="A9" s="98" t="s">
        <v>893</v>
      </c>
      <c r="B9" s="99"/>
      <c r="E9" s="99"/>
      <c r="G9" s="55"/>
      <c r="H9" s="55"/>
      <c r="I9" s="55"/>
      <c r="J9" s="55"/>
      <c r="K9" s="55"/>
      <c r="L9" s="55"/>
      <c r="M9" s="55"/>
      <c r="N9" s="55"/>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43C6F97A-E60B-4F10-9332-BAD3606863FB}">
      <formula1>"True,False"</formula1>
    </dataValidation>
    <dataValidation type="list" allowBlank="1" showInputMessage="1" showErrorMessage="1" sqref="B2" xr:uid="{D18A3BF9-C3B7-4F78-917B-34AEF4BBFFE3}">
      <formula1>"Table,Figure,Both"</formula1>
    </dataValidation>
    <dataValidation type="list" allowBlank="1" showInputMessage="1" showErrorMessage="1" sqref="B10" xr:uid="{C300E8DD-5C2B-45EF-AAAC-B48B042BECA9}">
      <formula1>"Line,Clustered Bar,Stacked Bar,Bar,Horizontal Stacked Bar"</formula1>
    </dataValidation>
    <dataValidation type="list" allowBlank="1" showInputMessage="1" showErrorMessage="1" sqref="P4:Q4" xr:uid="{9B4D0F87-3622-4FEF-AA4F-5C8673D1BB48}">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A00E68C0-8075-4393-9423-2FDCDDE1BC9D}">
          <x14:formula1>
            <xm:f>Dropdowns!$A$1:$A$8</xm:f>
          </x14:formula1>
          <xm:sqref>F4:O4</xm:sqref>
        </x14:dataValidation>
        <x14:dataValidation type="list" allowBlank="1" showInputMessage="1" showErrorMessage="1" xr:uid="{5D9633EA-F85F-4C3E-80FC-D72F135AE9E6}">
          <x14:formula1>
            <xm:f>Master!$F$2:$F$401</xm:f>
          </x14:formula1>
          <xm:sqref>B1:O1</xm:sqref>
        </x14:dataValidation>
      </x14:dataValidations>
    </ext>
  </extLst>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4D39-30C5-4CC9-A3E5-11CEC863B8BB}">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530</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
      </c>
    </row>
    <row r="4" spans="1:17" x14ac:dyDescent="0.2">
      <c r="A4" s="58" t="s">
        <v>6</v>
      </c>
      <c r="B4" t="str">
        <f>IF($B$1="","",_xlfn.XLOOKUP($B$1,Master!$F$2:$F$308,Master!$H$2:$H$308,""))</f>
        <v/>
      </c>
      <c r="E4" s="13"/>
      <c r="F4" s="16" t="s">
        <v>664</v>
      </c>
      <c r="G4" s="16" t="s">
        <v>679</v>
      </c>
      <c r="H4" s="16" t="s">
        <v>679</v>
      </c>
      <c r="I4" s="16" t="s">
        <v>679</v>
      </c>
      <c r="J4" s="16" t="s">
        <v>679</v>
      </c>
      <c r="K4" s="16" t="s">
        <v>679</v>
      </c>
      <c r="L4" s="16" t="s">
        <v>679</v>
      </c>
      <c r="M4" s="16" t="s">
        <v>679</v>
      </c>
      <c r="N4" s="16" t="s">
        <v>679</v>
      </c>
      <c r="O4" s="16" t="s">
        <v>679</v>
      </c>
      <c r="P4" s="16" t="s">
        <v>679</v>
      </c>
      <c r="Q4" s="16"/>
    </row>
    <row r="5" spans="1:17" x14ac:dyDescent="0.2">
      <c r="A5" s="98" t="s">
        <v>885</v>
      </c>
      <c r="B5" s="99"/>
      <c r="E5" s="100" t="s">
        <v>886</v>
      </c>
      <c r="F5" s="82" t="s">
        <v>1123</v>
      </c>
      <c r="G5" t="s">
        <v>220</v>
      </c>
      <c r="H5" t="s">
        <v>18</v>
      </c>
      <c r="I5" t="s">
        <v>537</v>
      </c>
      <c r="J5" s="55" t="s">
        <v>449</v>
      </c>
      <c r="K5" s="55" t="s">
        <v>409</v>
      </c>
      <c r="L5" s="55" t="s">
        <v>421</v>
      </c>
      <c r="M5" s="55" t="s">
        <v>470</v>
      </c>
      <c r="N5" s="55" t="s">
        <v>914</v>
      </c>
      <c r="O5" s="55" t="s">
        <v>915</v>
      </c>
      <c r="P5" t="s">
        <v>1959</v>
      </c>
    </row>
    <row r="6" spans="1:17" ht="15" customHeight="1" x14ac:dyDescent="0.2">
      <c r="A6" t="s">
        <v>891</v>
      </c>
      <c r="B6" t="b">
        <v>0</v>
      </c>
      <c r="E6" s="99"/>
      <c r="F6">
        <v>2019</v>
      </c>
      <c r="G6" s="55">
        <v>17.5</v>
      </c>
      <c r="H6" s="55">
        <v>21.5</v>
      </c>
      <c r="I6" s="55">
        <v>20.100000000000001</v>
      </c>
      <c r="J6" s="55">
        <v>15.1</v>
      </c>
      <c r="K6" s="55">
        <v>21.6</v>
      </c>
      <c r="L6" s="55">
        <v>15.6</v>
      </c>
      <c r="M6" s="55">
        <v>19.600000000000001</v>
      </c>
      <c r="N6" s="55">
        <v>23.6</v>
      </c>
      <c r="O6" s="55">
        <v>24.9</v>
      </c>
      <c r="P6">
        <v>28.7</v>
      </c>
    </row>
    <row r="7" spans="1:17" ht="15.75" customHeight="1" x14ac:dyDescent="0.2">
      <c r="E7" s="99"/>
      <c r="F7">
        <v>2020</v>
      </c>
      <c r="G7" s="55">
        <v>16.899999999999999</v>
      </c>
      <c r="H7" s="55">
        <v>20.2</v>
      </c>
      <c r="I7" s="55">
        <v>19.600000000000001</v>
      </c>
      <c r="J7" s="55">
        <v>15.7</v>
      </c>
      <c r="K7" s="55">
        <v>19.3</v>
      </c>
      <c r="L7" s="55">
        <v>15.7</v>
      </c>
      <c r="M7" s="55">
        <v>19.3</v>
      </c>
      <c r="N7" s="55">
        <v>24.1</v>
      </c>
      <c r="O7" s="55">
        <v>25.2</v>
      </c>
      <c r="P7">
        <v>28.7</v>
      </c>
    </row>
    <row r="8" spans="1:17" x14ac:dyDescent="0.2">
      <c r="E8" s="99"/>
      <c r="F8">
        <v>2021</v>
      </c>
      <c r="G8" s="55">
        <v>18.899999999999999</v>
      </c>
      <c r="H8" s="55">
        <v>20.2</v>
      </c>
      <c r="I8" s="55">
        <v>17</v>
      </c>
      <c r="J8" s="55">
        <v>15.3</v>
      </c>
      <c r="K8" s="55">
        <v>19.100000000000001</v>
      </c>
      <c r="L8" s="55">
        <v>15.4</v>
      </c>
      <c r="M8" s="55">
        <v>21.3</v>
      </c>
      <c r="N8" s="55">
        <v>25.1</v>
      </c>
      <c r="O8" s="55">
        <v>25.8</v>
      </c>
      <c r="P8" s="14">
        <v>28.7</v>
      </c>
    </row>
    <row r="9" spans="1:17" x14ac:dyDescent="0.2">
      <c r="A9" s="98" t="s">
        <v>893</v>
      </c>
      <c r="B9" s="99"/>
      <c r="E9" s="99"/>
      <c r="F9">
        <v>2022</v>
      </c>
      <c r="G9" s="55">
        <v>16.899999999999999</v>
      </c>
      <c r="H9" s="55">
        <v>19.7</v>
      </c>
      <c r="I9" s="55">
        <v>15.2</v>
      </c>
      <c r="J9" s="55">
        <v>15.2</v>
      </c>
      <c r="K9" s="55">
        <v>20.3</v>
      </c>
      <c r="L9" s="55">
        <v>16.399999999999999</v>
      </c>
      <c r="M9" s="55">
        <v>21.1</v>
      </c>
      <c r="N9" s="55">
        <v>24.6</v>
      </c>
      <c r="O9" s="55">
        <v>25.3</v>
      </c>
      <c r="P9">
        <v>28.7</v>
      </c>
    </row>
    <row r="10" spans="1:17" x14ac:dyDescent="0.2">
      <c r="A10" t="s">
        <v>894</v>
      </c>
      <c r="B10" t="s">
        <v>972</v>
      </c>
      <c r="E10" s="99"/>
      <c r="F10">
        <v>2023</v>
      </c>
      <c r="G10">
        <v>15.2</v>
      </c>
      <c r="H10">
        <v>15.2</v>
      </c>
      <c r="I10">
        <v>15.9</v>
      </c>
      <c r="J10">
        <v>15</v>
      </c>
      <c r="K10">
        <v>20.3</v>
      </c>
      <c r="L10">
        <v>16.100000000000001</v>
      </c>
      <c r="M10">
        <v>22.1</v>
      </c>
      <c r="N10">
        <v>24.5</v>
      </c>
      <c r="O10">
        <v>25.6</v>
      </c>
      <c r="P10">
        <v>28.7</v>
      </c>
    </row>
    <row r="11" spans="1:17" x14ac:dyDescent="0.2">
      <c r="A11" t="s">
        <v>895</v>
      </c>
      <c r="B11" t="s">
        <v>887</v>
      </c>
      <c r="E11" s="99"/>
      <c r="F11" s="46" t="s">
        <v>1964</v>
      </c>
      <c r="G11" s="59">
        <v>16.100000000000001</v>
      </c>
      <c r="H11" s="59">
        <v>18.7</v>
      </c>
      <c r="I11" s="59">
        <v>14.5</v>
      </c>
      <c r="J11" s="42">
        <v>16.100000000000001</v>
      </c>
      <c r="K11" s="42">
        <v>19.8</v>
      </c>
      <c r="L11" s="42">
        <v>14.5</v>
      </c>
      <c r="M11" s="47" t="s">
        <v>1505</v>
      </c>
      <c r="N11" s="47" t="s">
        <v>1967</v>
      </c>
      <c r="O11" s="46" t="s">
        <v>1968</v>
      </c>
      <c r="P11">
        <v>28.7</v>
      </c>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FF8C9994-51F0-4646-A94F-D2C1ADD81D90}">
      <formula1>"integer, number, percent1"</formula1>
    </dataValidation>
    <dataValidation type="list" allowBlank="1" showInputMessage="1" showErrorMessage="1" sqref="B10" xr:uid="{13CA69D9-E04E-48ED-97CD-C884519AE361}">
      <formula1>"Line,Clustered Bar,Stacked Bar,Bar,Horizontal Stacked Bar"</formula1>
    </dataValidation>
    <dataValidation type="list" allowBlank="1" showInputMessage="1" showErrorMessage="1" sqref="B2" xr:uid="{13EA3689-644B-4AE5-810E-B32E41B5D799}">
      <formula1>"Table,Figure,Both"</formula1>
    </dataValidation>
    <dataValidation type="list" allowBlank="1" showInputMessage="1" showErrorMessage="1" sqref="B6 B15:B16" xr:uid="{CA5185D3-8EB6-493A-83FE-3F8478B93B80}">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B84872F7-4C76-4F37-927D-ACB7DE43E25F}">
          <x14:formula1>
            <xm:f>Master!$F$2:$F$401</xm:f>
          </x14:formula1>
          <xm:sqref>B1:O1</xm:sqref>
        </x14:dataValidation>
        <x14:dataValidation type="list" allowBlank="1" showInputMessage="1" showErrorMessage="1" xr:uid="{E021886F-DEAB-46B0-9D94-5A8D557AF61C}">
          <x14:formula1>
            <xm:f>Dropdowns!$A$1:$A$8</xm:f>
          </x14:formula1>
          <xm:sqref>F4:O4</xm:sqref>
        </x14:dataValidation>
      </x14:dataValidations>
    </ext>
  </extLst>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F7F6-962D-4FD2-B502-C3E76EFFEC7B}">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531</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tbl-adult-flu-immi-lastyear-percent</v>
      </c>
    </row>
    <row r="4" spans="1:17" x14ac:dyDescent="0.2">
      <c r="A4" s="58" t="s">
        <v>6</v>
      </c>
      <c r="B4" t="str">
        <f>IF($B$1="","",_xlfn.XLOOKUP($B$1,Master!$F$2:$F$308,Master!$H$2:$H$308,""))</f>
        <v>fig-adult-flu-immi-lastyear-percent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t="s">
        <v>220</v>
      </c>
      <c r="H5" t="s">
        <v>18</v>
      </c>
      <c r="I5" t="s">
        <v>537</v>
      </c>
      <c r="J5" s="55" t="s">
        <v>449</v>
      </c>
      <c r="K5" s="55" t="s">
        <v>409</v>
      </c>
      <c r="L5" s="55" t="s">
        <v>421</v>
      </c>
      <c r="M5" s="55" t="s">
        <v>470</v>
      </c>
      <c r="N5" s="55" t="s">
        <v>914</v>
      </c>
      <c r="O5" s="55" t="s">
        <v>915</v>
      </c>
    </row>
    <row r="6" spans="1:17" ht="15" customHeight="1" x14ac:dyDescent="0.2">
      <c r="A6" t="s">
        <v>891</v>
      </c>
      <c r="B6" t="b">
        <v>0</v>
      </c>
      <c r="E6" s="99"/>
      <c r="F6">
        <v>2016</v>
      </c>
      <c r="G6" s="55">
        <v>36.6</v>
      </c>
      <c r="H6" s="55">
        <v>34.700000000000003</v>
      </c>
      <c r="I6" s="55">
        <v>32.5</v>
      </c>
      <c r="J6" s="55">
        <v>38.700000000000003</v>
      </c>
      <c r="K6" s="55">
        <v>40</v>
      </c>
      <c r="L6" s="55">
        <v>35.700000000000003</v>
      </c>
      <c r="M6" s="55">
        <v>38.9</v>
      </c>
      <c r="N6" s="55">
        <v>38.9</v>
      </c>
      <c r="O6" s="55">
        <v>38.700000000000003</v>
      </c>
    </row>
    <row r="7" spans="1:17" ht="15.75" customHeight="1" x14ac:dyDescent="0.2">
      <c r="E7" s="99"/>
      <c r="F7">
        <v>2018</v>
      </c>
      <c r="G7" s="55">
        <v>22.4</v>
      </c>
      <c r="H7" s="55">
        <v>27.4</v>
      </c>
      <c r="I7" s="55">
        <v>28.9</v>
      </c>
      <c r="J7" s="55">
        <v>27.9</v>
      </c>
      <c r="K7" s="55">
        <v>27.8</v>
      </c>
      <c r="L7" s="55">
        <v>23.2</v>
      </c>
      <c r="M7" s="55">
        <v>29.5</v>
      </c>
      <c r="N7" s="55">
        <v>25.9</v>
      </c>
      <c r="O7" s="55">
        <v>26.9</v>
      </c>
    </row>
    <row r="8" spans="1:17" x14ac:dyDescent="0.2">
      <c r="E8" s="99"/>
      <c r="F8">
        <v>2021</v>
      </c>
      <c r="G8" s="55">
        <v>41.1</v>
      </c>
      <c r="H8" s="55">
        <v>40.700000000000003</v>
      </c>
      <c r="I8" s="55">
        <v>43.8</v>
      </c>
      <c r="J8" s="55">
        <v>42.9</v>
      </c>
      <c r="K8" s="55">
        <v>28.2</v>
      </c>
      <c r="L8" s="55">
        <v>44.5</v>
      </c>
      <c r="M8" s="55">
        <v>45.5</v>
      </c>
      <c r="N8" s="55">
        <v>44.7</v>
      </c>
      <c r="O8" s="55">
        <v>44.5</v>
      </c>
      <c r="P8" s="14"/>
    </row>
    <row r="9" spans="1:17" x14ac:dyDescent="0.2">
      <c r="A9" s="98" t="s">
        <v>893</v>
      </c>
      <c r="B9" s="99"/>
      <c r="E9" s="99"/>
      <c r="G9" s="55"/>
      <c r="H9" s="55"/>
      <c r="I9" s="55"/>
      <c r="J9" s="55"/>
      <c r="K9" s="55"/>
      <c r="L9" s="55"/>
      <c r="M9" s="55"/>
      <c r="N9" s="55"/>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E3C05B4-1452-4CB5-9F7D-F5C7202F7C6D}">
      <formula1>"True,False"</formula1>
    </dataValidation>
    <dataValidation type="list" allowBlank="1" showInputMessage="1" showErrorMessage="1" sqref="B2" xr:uid="{BDF7461F-0F78-40D2-9B65-A7754E178847}">
      <formula1>"Table,Figure,Both"</formula1>
    </dataValidation>
    <dataValidation type="list" allowBlank="1" showInputMessage="1" showErrorMessage="1" sqref="B10" xr:uid="{69C6B4B8-940F-4ABA-9357-73E71B8859DF}">
      <formula1>"Line,Clustered Bar,Stacked Bar,Bar,Horizontal Stacked Bar"</formula1>
    </dataValidation>
    <dataValidation type="list" allowBlank="1" showInputMessage="1" showErrorMessage="1" sqref="P4:Q4" xr:uid="{4435FFD0-58BA-45A9-ACF6-DB526446AB7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863D9A8-C2DF-4A61-8FAE-840CE7684E4E}">
          <x14:formula1>
            <xm:f>Dropdowns!$A$1:$A$8</xm:f>
          </x14:formula1>
          <xm:sqref>F4:O4</xm:sqref>
        </x14:dataValidation>
        <x14:dataValidation type="list" allowBlank="1" showInputMessage="1" showErrorMessage="1" xr:uid="{EFE887C7-C916-4151-8DBA-077423B388E7}">
          <x14:formula1>
            <xm:f>Master!$F$2:$F$401</xm:f>
          </x14:formula1>
          <xm:sqref>B1:O1</xm:sqref>
        </x14:dataValidation>
      </x14:dataValidations>
    </ext>
  </extLst>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C44A-C10B-4410-9F31-004EE2EC22AB}">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532</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tbl-65+-flu-immi-percent</v>
      </c>
    </row>
    <row r="4" spans="1:17" x14ac:dyDescent="0.2">
      <c r="A4" s="58" t="s">
        <v>6</v>
      </c>
      <c r="B4" t="str">
        <f>IF($B$1="","",_xlfn.XLOOKUP($B$1,Master!$F$2:$F$308,Master!$H$2:$H$308,""))</f>
        <v>fig-65+-flu-immi-percent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t="s">
        <v>220</v>
      </c>
      <c r="H5" t="s">
        <v>18</v>
      </c>
      <c r="I5" t="s">
        <v>537</v>
      </c>
      <c r="J5" s="55" t="s">
        <v>449</v>
      </c>
      <c r="K5" s="55" t="s">
        <v>409</v>
      </c>
      <c r="L5" s="55" t="s">
        <v>421</v>
      </c>
      <c r="M5" s="55" t="s">
        <v>470</v>
      </c>
      <c r="N5" s="55" t="s">
        <v>914</v>
      </c>
      <c r="O5" s="55" t="s">
        <v>915</v>
      </c>
    </row>
    <row r="6" spans="1:17" ht="15" customHeight="1" x14ac:dyDescent="0.2">
      <c r="A6" t="s">
        <v>891</v>
      </c>
      <c r="B6" t="b">
        <v>0</v>
      </c>
      <c r="E6" s="99"/>
      <c r="F6">
        <v>2016</v>
      </c>
      <c r="G6" s="55">
        <v>36.6</v>
      </c>
      <c r="H6" s="55">
        <v>34.700000000000003</v>
      </c>
      <c r="I6" s="55">
        <v>32.5</v>
      </c>
      <c r="J6" s="55">
        <v>38.700000000000003</v>
      </c>
      <c r="K6" s="55">
        <v>40</v>
      </c>
      <c r="L6" s="55">
        <v>35.700000000000003</v>
      </c>
      <c r="M6" s="55">
        <v>38.9</v>
      </c>
      <c r="N6" s="55">
        <v>38.9</v>
      </c>
      <c r="O6" s="55">
        <v>38.700000000000003</v>
      </c>
    </row>
    <row r="7" spans="1:17" ht="15.75" customHeight="1" x14ac:dyDescent="0.2">
      <c r="E7" s="99"/>
      <c r="F7">
        <v>2018</v>
      </c>
      <c r="G7" s="55">
        <v>22.4</v>
      </c>
      <c r="H7" s="55">
        <v>27.4</v>
      </c>
      <c r="I7" s="55">
        <v>28.9</v>
      </c>
      <c r="J7" s="55">
        <v>27.9</v>
      </c>
      <c r="K7" s="55">
        <v>27.8</v>
      </c>
      <c r="L7" s="55">
        <v>23.2</v>
      </c>
      <c r="M7" s="55">
        <v>29.5</v>
      </c>
      <c r="N7" s="55">
        <v>25.9</v>
      </c>
      <c r="O7" s="55">
        <v>26.9</v>
      </c>
    </row>
    <row r="8" spans="1:17" x14ac:dyDescent="0.2">
      <c r="E8" s="99"/>
      <c r="F8">
        <v>2021</v>
      </c>
      <c r="G8" s="55">
        <v>41.1</v>
      </c>
      <c r="H8" s="55">
        <v>40.700000000000003</v>
      </c>
      <c r="I8" s="55">
        <v>43.8</v>
      </c>
      <c r="J8" s="55">
        <v>42.9</v>
      </c>
      <c r="K8" s="55">
        <v>28.2</v>
      </c>
      <c r="L8" s="55">
        <v>44.5</v>
      </c>
      <c r="M8" s="55">
        <v>45.5</v>
      </c>
      <c r="N8" s="55">
        <v>44.7</v>
      </c>
      <c r="O8" s="55">
        <v>44.5</v>
      </c>
      <c r="P8" s="14"/>
    </row>
    <row r="9" spans="1:17" x14ac:dyDescent="0.2">
      <c r="A9" s="98" t="s">
        <v>893</v>
      </c>
      <c r="B9" s="99"/>
      <c r="E9" s="99"/>
      <c r="G9" s="55"/>
      <c r="H9" s="55"/>
      <c r="I9" s="55"/>
      <c r="J9" s="55"/>
      <c r="K9" s="55"/>
      <c r="L9" s="55"/>
      <c r="M9" s="55"/>
      <c r="N9" s="55"/>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661858F7-2BDB-4906-BAE4-304B4F424548}">
      <formula1>"integer, number, percent1"</formula1>
    </dataValidation>
    <dataValidation type="list" allowBlank="1" showInputMessage="1" showErrorMessage="1" sqref="B10" xr:uid="{08E3F355-0751-4AB8-8CDC-F1993839E751}">
      <formula1>"Line,Clustered Bar,Stacked Bar,Bar,Horizontal Stacked Bar"</formula1>
    </dataValidation>
    <dataValidation type="list" allowBlank="1" showInputMessage="1" showErrorMessage="1" sqref="B2" xr:uid="{B55A469D-CC47-424E-B336-C1ED7D68610F}">
      <formula1>"Table,Figure,Both"</formula1>
    </dataValidation>
    <dataValidation type="list" allowBlank="1" showInputMessage="1" showErrorMessage="1" sqref="B6 B15:B16" xr:uid="{66C2B392-29B3-41B4-B04D-3904E740B00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F49239C-A923-436E-B54F-4CEF29824C29}">
          <x14:formula1>
            <xm:f>Master!$F$2:$F$401</xm:f>
          </x14:formula1>
          <xm:sqref>B1:O1</xm:sqref>
        </x14:dataValidation>
        <x14:dataValidation type="list" allowBlank="1" showInputMessage="1" showErrorMessage="1" xr:uid="{BAE5452D-5FF2-4C33-B935-9ACCA0BFDAA5}">
          <x14:formula1>
            <xm:f>Dropdowns!$A$1:$A$8</xm:f>
          </x14:formula1>
          <xm:sqref>F4:O4</xm:sqref>
        </x14:dataValidation>
      </x14:dataValidations>
    </ext>
  </extLst>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8B73-9A4D-43B1-952D-03C6B57496B2}">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533</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tbl-65+-pneumo-immi-percent</v>
      </c>
    </row>
    <row r="4" spans="1:17" x14ac:dyDescent="0.2">
      <c r="A4" s="58" t="s">
        <v>6</v>
      </c>
      <c r="B4" t="str">
        <f>IF($B$1="","",_xlfn.XLOOKUP($B$1,Master!$F$2:$F$308,Master!$H$2:$H$308,""))</f>
        <v>fig-65+-pneumo-immi-percent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t="s">
        <v>220</v>
      </c>
      <c r="H5" t="s">
        <v>18</v>
      </c>
      <c r="I5" t="s">
        <v>537</v>
      </c>
      <c r="J5" s="55" t="s">
        <v>449</v>
      </c>
      <c r="K5" s="55" t="s">
        <v>409</v>
      </c>
      <c r="L5" s="55" t="s">
        <v>421</v>
      </c>
      <c r="M5" s="55" t="s">
        <v>470</v>
      </c>
      <c r="N5" s="55" t="s">
        <v>914</v>
      </c>
      <c r="O5" s="55" t="s">
        <v>915</v>
      </c>
    </row>
    <row r="6" spans="1:17" ht="15" customHeight="1" x14ac:dyDescent="0.2">
      <c r="A6" t="s">
        <v>891</v>
      </c>
      <c r="B6" t="b">
        <v>0</v>
      </c>
      <c r="E6" s="99"/>
      <c r="F6">
        <v>2016</v>
      </c>
      <c r="G6" s="55" t="s">
        <v>1969</v>
      </c>
      <c r="H6" s="55">
        <v>74.8</v>
      </c>
      <c r="I6" s="55">
        <v>71.099999999999994</v>
      </c>
      <c r="J6" s="55" t="s">
        <v>1970</v>
      </c>
      <c r="K6" s="55" t="s">
        <v>1970</v>
      </c>
      <c r="L6" s="55">
        <v>60.7</v>
      </c>
      <c r="M6" s="55">
        <v>72.7</v>
      </c>
      <c r="N6" s="55">
        <v>73.8</v>
      </c>
      <c r="O6" s="55">
        <v>69.3</v>
      </c>
    </row>
    <row r="7" spans="1:17" ht="15.75" customHeight="1" x14ac:dyDescent="0.2">
      <c r="E7" s="99"/>
      <c r="F7">
        <v>2018</v>
      </c>
      <c r="G7" s="55">
        <v>75</v>
      </c>
      <c r="H7" s="55" t="s">
        <v>1971</v>
      </c>
      <c r="I7" s="55" t="s">
        <v>1972</v>
      </c>
      <c r="J7" s="55" t="s">
        <v>1972</v>
      </c>
      <c r="K7" s="55" t="s">
        <v>1973</v>
      </c>
      <c r="L7" s="55" t="s">
        <v>1974</v>
      </c>
      <c r="M7" s="55">
        <v>69.2</v>
      </c>
      <c r="N7" s="55">
        <v>69.400000000000006</v>
      </c>
      <c r="O7" s="55">
        <v>64</v>
      </c>
    </row>
    <row r="8" spans="1:17" x14ac:dyDescent="0.2">
      <c r="E8" s="99"/>
      <c r="F8">
        <v>2021</v>
      </c>
      <c r="G8" s="55">
        <v>65</v>
      </c>
      <c r="H8" s="55">
        <v>67</v>
      </c>
      <c r="I8" s="55">
        <v>75.7</v>
      </c>
      <c r="J8" s="55" t="s">
        <v>1975</v>
      </c>
      <c r="K8" s="55" t="s">
        <v>1976</v>
      </c>
      <c r="L8" s="55" t="s">
        <v>1977</v>
      </c>
      <c r="M8" s="55">
        <v>65</v>
      </c>
      <c r="N8" s="55">
        <v>70.099999999999994</v>
      </c>
      <c r="O8" s="55">
        <v>65.599999999999994</v>
      </c>
      <c r="P8" s="14"/>
    </row>
    <row r="9" spans="1:17" x14ac:dyDescent="0.2">
      <c r="A9" s="98" t="s">
        <v>893</v>
      </c>
      <c r="B9" s="99"/>
      <c r="E9" s="99"/>
      <c r="G9" s="55"/>
      <c r="H9" s="55"/>
      <c r="I9" s="55"/>
      <c r="J9" s="55"/>
      <c r="K9" s="55"/>
      <c r="L9" s="55"/>
      <c r="M9" s="55"/>
      <c r="N9" s="55"/>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30931F97-DD3D-481A-9D84-3C150D16CD97}">
      <formula1>"True,False"</formula1>
    </dataValidation>
    <dataValidation type="list" allowBlank="1" showInputMessage="1" showErrorMessage="1" sqref="B2" xr:uid="{19DA8111-A21C-414A-AC46-B31D98AA402B}">
      <formula1>"Table,Figure,Both"</formula1>
    </dataValidation>
    <dataValidation type="list" allowBlank="1" showInputMessage="1" showErrorMessage="1" sqref="B10" xr:uid="{EF0D5402-1DF2-4F15-9C7B-613CAD7CEE4A}">
      <formula1>"Line,Clustered Bar,Stacked Bar,Bar,Horizontal Stacked Bar"</formula1>
    </dataValidation>
    <dataValidation type="list" allowBlank="1" showInputMessage="1" showErrorMessage="1" sqref="P4:Q4" xr:uid="{336D8640-FECC-444D-B31A-D58FF204D36D}">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0C75756-4F08-4C6C-A6C7-B3B2A178302D}">
          <x14:formula1>
            <xm:f>Dropdowns!$A$1:$A$8</xm:f>
          </x14:formula1>
          <xm:sqref>F4:O4</xm:sqref>
        </x14:dataValidation>
        <x14:dataValidation type="list" allowBlank="1" showInputMessage="1" showErrorMessage="1" xr:uid="{F8C4EF49-C333-4ACA-BAF7-9C6A316B74CF}">
          <x14:formula1>
            <xm:f>Master!$F$2:$F$401</xm:f>
          </x14:formula1>
          <xm:sqref>B1:O1</xm:sqref>
        </x14:dataValidation>
      </x14:dataValidations>
    </ext>
  </extLst>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A756-3ACE-4455-8853-B90F1EA9D7A6}">
  <dimension ref="A1:Q57"/>
  <sheetViews>
    <sheetView workbookViewId="0">
      <selection activeCell="P4" sqref="P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535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tbl-hiv-incident-aar</v>
      </c>
    </row>
    <row r="4" spans="1:17" x14ac:dyDescent="0.2">
      <c r="A4" s="58" t="s">
        <v>6</v>
      </c>
      <c r="B4" t="str">
        <f>IF($B$1="","",_xlfn.XLOOKUP($B$1,Master!$F$2:$F$308,Master!$H$2:$H$308,""))</f>
        <v>fig-hiv-incident-aar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1776</v>
      </c>
      <c r="O5" s="101"/>
    </row>
    <row r="6" spans="1:17" ht="15" customHeight="1" x14ac:dyDescent="0.2">
      <c r="A6" t="s">
        <v>891</v>
      </c>
      <c r="B6" t="b">
        <v>1</v>
      </c>
      <c r="E6" s="99"/>
      <c r="F6" t="s">
        <v>1123</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7.7</v>
      </c>
      <c r="H7" s="55">
        <v>3.9</v>
      </c>
      <c r="I7" s="55" t="s">
        <v>1978</v>
      </c>
      <c r="J7" s="55">
        <v>8.1999999999999993</v>
      </c>
      <c r="K7" s="55">
        <v>9.4</v>
      </c>
      <c r="L7" s="55">
        <v>5.5</v>
      </c>
      <c r="M7" s="55">
        <v>11.8</v>
      </c>
      <c r="N7" s="55">
        <v>7.8</v>
      </c>
      <c r="O7" s="55">
        <v>18</v>
      </c>
    </row>
    <row r="8" spans="1:17" x14ac:dyDescent="0.2">
      <c r="E8" s="99"/>
      <c r="F8">
        <v>2015</v>
      </c>
      <c r="G8" s="55">
        <v>7.7</v>
      </c>
      <c r="H8" s="55">
        <v>5.3</v>
      </c>
      <c r="I8" s="55" t="s">
        <v>1979</v>
      </c>
      <c r="J8" s="55">
        <v>7.9</v>
      </c>
      <c r="K8" s="55">
        <v>9.8000000000000007</v>
      </c>
      <c r="L8" s="55">
        <v>5.0999999999999996</v>
      </c>
      <c r="M8" s="55">
        <v>11.9</v>
      </c>
      <c r="N8" s="55">
        <v>6.8</v>
      </c>
      <c r="O8" s="55">
        <v>16.899999999999999</v>
      </c>
      <c r="P8" s="14"/>
    </row>
    <row r="9" spans="1:17" x14ac:dyDescent="0.2">
      <c r="A9" s="98" t="s">
        <v>893</v>
      </c>
      <c r="B9" s="99"/>
      <c r="E9" s="99"/>
      <c r="F9">
        <v>2016</v>
      </c>
      <c r="G9" s="55">
        <v>6.2</v>
      </c>
      <c r="H9" s="55">
        <v>6.8</v>
      </c>
      <c r="I9" s="55" t="s">
        <v>1980</v>
      </c>
      <c r="J9" s="55">
        <v>7.1</v>
      </c>
      <c r="K9" s="55">
        <v>6.7</v>
      </c>
      <c r="L9" s="55">
        <v>4.4000000000000004</v>
      </c>
      <c r="M9" s="55">
        <v>11.7</v>
      </c>
      <c r="N9" s="55">
        <v>7</v>
      </c>
      <c r="O9" s="55">
        <v>15.7</v>
      </c>
    </row>
    <row r="10" spans="1:17" x14ac:dyDescent="0.2">
      <c r="A10" t="s">
        <v>894</v>
      </c>
      <c r="B10" t="s">
        <v>972</v>
      </c>
      <c r="E10" s="99"/>
      <c r="F10">
        <v>2017</v>
      </c>
      <c r="G10">
        <v>5.8</v>
      </c>
      <c r="H10">
        <v>8.4</v>
      </c>
      <c r="I10" t="s">
        <v>1981</v>
      </c>
      <c r="J10">
        <v>8.3000000000000007</v>
      </c>
      <c r="K10">
        <v>5.6</v>
      </c>
      <c r="L10">
        <v>5.7</v>
      </c>
      <c r="M10">
        <v>10.9</v>
      </c>
      <c r="N10">
        <v>6.8</v>
      </c>
      <c r="O10">
        <v>15.5</v>
      </c>
    </row>
    <row r="11" spans="1:17" x14ac:dyDescent="0.2">
      <c r="A11" t="s">
        <v>895</v>
      </c>
      <c r="B11" t="s">
        <v>887</v>
      </c>
      <c r="E11" s="99"/>
      <c r="F11" s="46" t="s">
        <v>1944</v>
      </c>
      <c r="G11" s="59">
        <v>5.4</v>
      </c>
      <c r="H11" s="59">
        <v>8.1</v>
      </c>
      <c r="I11" s="59">
        <v>3.5</v>
      </c>
      <c r="J11" s="42">
        <v>8.4</v>
      </c>
      <c r="K11" s="42">
        <v>5.2</v>
      </c>
      <c r="L11" s="42">
        <v>5.7</v>
      </c>
      <c r="M11" s="47" t="s">
        <v>1982</v>
      </c>
      <c r="N11" s="47" t="s">
        <v>1760</v>
      </c>
      <c r="O11" s="46" t="s">
        <v>1762</v>
      </c>
    </row>
    <row r="12" spans="1:17" x14ac:dyDescent="0.2">
      <c r="A12" t="s">
        <v>896</v>
      </c>
      <c r="E12" s="99"/>
      <c r="F12" s="74" t="s">
        <v>1946</v>
      </c>
      <c r="G12" s="42">
        <v>5.0999999999999996</v>
      </c>
      <c r="H12" s="42">
        <v>6</v>
      </c>
      <c r="I12" s="59">
        <v>3.5</v>
      </c>
      <c r="J12" s="59">
        <v>7.4</v>
      </c>
      <c r="K12" s="59">
        <v>5.2</v>
      </c>
      <c r="L12" s="59">
        <v>5.5</v>
      </c>
      <c r="M12" s="46" t="s">
        <v>1467</v>
      </c>
      <c r="N12" s="46" t="s">
        <v>1983</v>
      </c>
      <c r="O12" s="46" t="s">
        <v>1984</v>
      </c>
    </row>
    <row r="13" spans="1:17" x14ac:dyDescent="0.2">
      <c r="A13" t="s">
        <v>897</v>
      </c>
      <c r="E13" s="99"/>
      <c r="F13" s="47" t="s">
        <v>1948</v>
      </c>
      <c r="G13" s="47" t="s">
        <v>1985</v>
      </c>
      <c r="H13" s="47" t="s">
        <v>1760</v>
      </c>
      <c r="I13" s="46" t="s">
        <v>1986</v>
      </c>
      <c r="J13" s="46" t="s">
        <v>1987</v>
      </c>
      <c r="K13" s="46" t="s">
        <v>1988</v>
      </c>
      <c r="L13" s="46" t="s">
        <v>1501</v>
      </c>
      <c r="M13" s="46" t="s">
        <v>1989</v>
      </c>
      <c r="N13" s="46" t="s">
        <v>1990</v>
      </c>
      <c r="O13" s="46" t="s">
        <v>1991</v>
      </c>
    </row>
    <row r="14" spans="1:17" x14ac:dyDescent="0.2">
      <c r="A14" t="s">
        <v>899</v>
      </c>
      <c r="B14" t="s">
        <v>715</v>
      </c>
      <c r="E14" s="99"/>
      <c r="F14" s="68" t="s">
        <v>1142</v>
      </c>
      <c r="G14" s="68" t="s">
        <v>1992</v>
      </c>
      <c r="H14" s="68" t="s">
        <v>1993</v>
      </c>
      <c r="I14" s="46" t="s">
        <v>1866</v>
      </c>
      <c r="J14" s="47" t="s">
        <v>1952</v>
      </c>
      <c r="K14" s="47" t="s">
        <v>1994</v>
      </c>
      <c r="L14" s="47" t="s">
        <v>1995</v>
      </c>
      <c r="M14" s="47" t="s">
        <v>1996</v>
      </c>
      <c r="N14" s="47" t="s">
        <v>1506</v>
      </c>
      <c r="O14" s="46" t="s">
        <v>1997</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N5:O5"/>
    <mergeCell ref="G5:M5"/>
  </mergeCells>
  <dataValidations count="4">
    <dataValidation type="list" allowBlank="1" showInputMessage="1" showErrorMessage="1" sqref="P4:Q4" xr:uid="{DE383DEA-7CD0-4B8E-8589-96C89C2FEC78}">
      <formula1>"integer, number, percent1"</formula1>
    </dataValidation>
    <dataValidation type="list" allowBlank="1" showInputMessage="1" showErrorMessage="1" sqref="B10" xr:uid="{5CBE03E1-4D1B-45D1-927E-680670746C83}">
      <formula1>"Line,Clustered Bar,Stacked Bar,Bar,Horizontal Stacked Bar"</formula1>
    </dataValidation>
    <dataValidation type="list" allowBlank="1" showInputMessage="1" showErrorMessage="1" sqref="B2" xr:uid="{EED0B3C4-7838-44D3-B775-367F8FD29D55}">
      <formula1>"Table,Figure,Both"</formula1>
    </dataValidation>
    <dataValidation type="list" allowBlank="1" showInputMessage="1" showErrorMessage="1" sqref="B6 B15:B16" xr:uid="{55AE757E-7C08-43B3-8C28-82BA0E0A6096}">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52A86D5-51A2-4312-B1B9-196D970A962F}">
          <x14:formula1>
            <xm:f>Master!$F$2:$F$401</xm:f>
          </x14:formula1>
          <xm:sqref>B1:O1</xm:sqref>
        </x14:dataValidation>
        <x14:dataValidation type="list" allowBlank="1" showInputMessage="1" showErrorMessage="1" xr:uid="{290C00D1-B8E8-4D02-BDED-263BEF00E364}">
          <x14:formula1>
            <xm:f>Dropdowns!$A$1:$A$8</xm:f>
          </x14:formula1>
          <xm:sqref>F4:O4</xm:sqref>
        </x14:dataValidation>
      </x14:dataValidations>
    </ext>
  </extLst>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0C5D2-EA44-45BE-A573-7E38D1710BAC}">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543</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tbl-gono-incident-aar</v>
      </c>
    </row>
    <row r="4" spans="1:17" x14ac:dyDescent="0.2">
      <c r="A4" s="58" t="s">
        <v>6</v>
      </c>
      <c r="B4" t="str">
        <f>IF($B$1="","",_xlfn.XLOOKUP($B$1,Master!$F$2:$F$308,Master!$H$2:$H$308,""))</f>
        <v>fig-gono-incident-aar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t="s">
        <v>220</v>
      </c>
      <c r="H5" t="s">
        <v>18</v>
      </c>
      <c r="I5" t="s">
        <v>537</v>
      </c>
      <c r="J5" t="s">
        <v>449</v>
      </c>
      <c r="K5" t="s">
        <v>409</v>
      </c>
      <c r="L5" t="s">
        <v>421</v>
      </c>
      <c r="M5" t="s">
        <v>470</v>
      </c>
      <c r="N5" t="s">
        <v>898</v>
      </c>
      <c r="O5" t="s">
        <v>914</v>
      </c>
    </row>
    <row r="6" spans="1:17" ht="15" customHeight="1" x14ac:dyDescent="0.2">
      <c r="A6" t="s">
        <v>891</v>
      </c>
      <c r="B6" t="b">
        <v>1</v>
      </c>
      <c r="E6" s="99"/>
      <c r="F6">
        <v>2017</v>
      </c>
      <c r="G6" s="55">
        <v>74</v>
      </c>
      <c r="H6" s="55">
        <v>80</v>
      </c>
      <c r="I6" s="55">
        <v>29</v>
      </c>
      <c r="J6" s="55">
        <v>41</v>
      </c>
      <c r="K6" s="55">
        <v>113</v>
      </c>
      <c r="L6" s="55">
        <v>75</v>
      </c>
      <c r="M6" s="55">
        <v>76</v>
      </c>
      <c r="N6" s="55">
        <v>71</v>
      </c>
      <c r="O6" s="55">
        <v>101.2</v>
      </c>
    </row>
    <row r="7" spans="1:17" ht="15.75" customHeight="1" x14ac:dyDescent="0.2">
      <c r="E7" s="99"/>
      <c r="F7">
        <v>2018</v>
      </c>
      <c r="G7" s="55">
        <v>63</v>
      </c>
      <c r="H7" s="55">
        <v>66</v>
      </c>
      <c r="I7" s="55">
        <v>25</v>
      </c>
      <c r="J7" s="55">
        <v>38</v>
      </c>
      <c r="K7" s="55">
        <v>52</v>
      </c>
      <c r="L7" s="55">
        <v>60</v>
      </c>
      <c r="M7" s="55">
        <v>87</v>
      </c>
      <c r="N7" s="55">
        <v>68</v>
      </c>
      <c r="O7" s="55">
        <v>107</v>
      </c>
    </row>
    <row r="8" spans="1:17" x14ac:dyDescent="0.2">
      <c r="E8" s="99"/>
      <c r="F8">
        <v>2019</v>
      </c>
      <c r="G8" s="55">
        <v>75</v>
      </c>
      <c r="H8" s="55">
        <v>77</v>
      </c>
      <c r="I8" s="55">
        <v>36</v>
      </c>
      <c r="J8" s="55">
        <v>47</v>
      </c>
      <c r="K8" s="55">
        <v>69</v>
      </c>
      <c r="L8" s="55">
        <v>71</v>
      </c>
      <c r="M8" s="55">
        <v>105</v>
      </c>
      <c r="N8" s="55">
        <v>81</v>
      </c>
      <c r="O8" s="55">
        <v>114.9</v>
      </c>
      <c r="P8" s="14"/>
    </row>
    <row r="9" spans="1:17" x14ac:dyDescent="0.2">
      <c r="A9" s="98" t="s">
        <v>893</v>
      </c>
      <c r="B9" s="99"/>
      <c r="E9" s="99"/>
      <c r="F9">
        <v>2020</v>
      </c>
      <c r="G9" s="55">
        <v>109</v>
      </c>
      <c r="H9" s="55">
        <v>109</v>
      </c>
      <c r="I9" s="55">
        <v>35</v>
      </c>
      <c r="J9" s="55">
        <v>38</v>
      </c>
      <c r="K9" s="55">
        <v>161</v>
      </c>
      <c r="L9" s="55">
        <v>93</v>
      </c>
      <c r="M9" s="55">
        <v>119</v>
      </c>
      <c r="N9" s="55">
        <v>101</v>
      </c>
      <c r="O9" s="55">
        <v>168.8</v>
      </c>
    </row>
    <row r="10" spans="1:17" x14ac:dyDescent="0.2">
      <c r="A10" t="s">
        <v>894</v>
      </c>
      <c r="B10" t="s">
        <v>972</v>
      </c>
      <c r="E10" s="99"/>
      <c r="F10">
        <v>2021</v>
      </c>
      <c r="G10">
        <v>83</v>
      </c>
      <c r="H10">
        <v>87</v>
      </c>
      <c r="I10">
        <v>40</v>
      </c>
      <c r="J10">
        <v>63</v>
      </c>
      <c r="K10">
        <v>99</v>
      </c>
      <c r="L10">
        <v>89</v>
      </c>
      <c r="M10">
        <v>113</v>
      </c>
      <c r="N10">
        <v>92</v>
      </c>
      <c r="O10">
        <v>141.6</v>
      </c>
    </row>
    <row r="11" spans="1:17" x14ac:dyDescent="0.2">
      <c r="A11" t="s">
        <v>895</v>
      </c>
      <c r="B11" t="s">
        <v>887</v>
      </c>
      <c r="E11" s="99"/>
      <c r="F11" s="46" t="s">
        <v>1143</v>
      </c>
      <c r="G11" s="59">
        <v>103</v>
      </c>
      <c r="H11" s="59">
        <v>74</v>
      </c>
      <c r="I11" s="59">
        <v>38</v>
      </c>
      <c r="J11" s="42">
        <v>57</v>
      </c>
      <c r="K11" s="42">
        <v>63</v>
      </c>
      <c r="L11" s="42">
        <v>81</v>
      </c>
      <c r="M11" s="47" t="s">
        <v>1650</v>
      </c>
      <c r="N11" s="47" t="s">
        <v>1998</v>
      </c>
      <c r="O11" s="46" t="s">
        <v>1999</v>
      </c>
    </row>
    <row r="12" spans="1:17" x14ac:dyDescent="0.2">
      <c r="A12" t="s">
        <v>896</v>
      </c>
      <c r="E12" s="99"/>
      <c r="F12" s="74" t="s">
        <v>1144</v>
      </c>
      <c r="G12" s="42">
        <v>147</v>
      </c>
      <c r="H12" s="42">
        <v>94</v>
      </c>
      <c r="I12" s="59">
        <v>41</v>
      </c>
      <c r="J12" s="59">
        <v>74</v>
      </c>
      <c r="K12" s="59">
        <v>85</v>
      </c>
      <c r="L12" s="59">
        <v>80</v>
      </c>
      <c r="M12" s="46" t="s">
        <v>2000</v>
      </c>
      <c r="N12" s="46" t="s">
        <v>2001</v>
      </c>
      <c r="O12" s="46" t="s">
        <v>2002</v>
      </c>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8A0C95FF-F28D-4D9C-AF2A-418C1230B858}">
      <formula1>"True,False"</formula1>
    </dataValidation>
    <dataValidation type="list" allowBlank="1" showInputMessage="1" showErrorMessage="1" sqref="B2" xr:uid="{4F62874F-CE32-4427-9E6E-B0BD7EAA7C72}">
      <formula1>"Table,Figure,Both"</formula1>
    </dataValidation>
    <dataValidation type="list" allowBlank="1" showInputMessage="1" showErrorMessage="1" sqref="B10" xr:uid="{AD20B2C9-94C8-4DA5-BB06-6C81C028883F}">
      <formula1>"Line,Clustered Bar,Stacked Bar,Bar,Horizontal Stacked Bar"</formula1>
    </dataValidation>
    <dataValidation type="list" allowBlank="1" showInputMessage="1" showErrorMessage="1" sqref="P4:Q4" xr:uid="{58D56785-3BD0-46FF-8FDA-5F0FF8C064BB}">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43B6CAF-75DE-4A14-880B-72DC282AA1C8}">
          <x14:formula1>
            <xm:f>Dropdowns!$A$1:$A$8</xm:f>
          </x14:formula1>
          <xm:sqref>F4:O4</xm:sqref>
        </x14:dataValidation>
        <x14:dataValidation type="list" allowBlank="1" showInputMessage="1" showErrorMessage="1" xr:uid="{49C4611B-3F9D-4D88-93FD-944D1A604E8E}">
          <x14:formula1>
            <xm:f>Master!$F$2:$F$401</xm:f>
          </x14:formula1>
          <xm:sqref>B1:O1</xm:sqref>
        </x14:dataValidation>
      </x14:dataValidations>
    </ext>
  </extLst>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8D12D-71DA-4AD1-A933-13F88C25F28A}">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555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tbl-chlamy-incident-aar</v>
      </c>
    </row>
    <row r="4" spans="1:17" x14ac:dyDescent="0.2">
      <c r="A4" s="58" t="s">
        <v>6</v>
      </c>
      <c r="B4" t="str">
        <f>IF($B$1="","",_xlfn.XLOOKUP($B$1,Master!$F$2:$F$308,Master!$H$2:$H$308,""))</f>
        <v>fig-chlamy-incident-aar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t="s">
        <v>220</v>
      </c>
      <c r="H5" t="s">
        <v>18</v>
      </c>
      <c r="I5" t="s">
        <v>537</v>
      </c>
      <c r="J5" t="s">
        <v>449</v>
      </c>
      <c r="K5" t="s">
        <v>409</v>
      </c>
      <c r="L5" t="s">
        <v>421</v>
      </c>
      <c r="M5" t="s">
        <v>470</v>
      </c>
      <c r="N5" t="s">
        <v>898</v>
      </c>
      <c r="O5" t="s">
        <v>914</v>
      </c>
    </row>
    <row r="6" spans="1:17" ht="15" customHeight="1" x14ac:dyDescent="0.2">
      <c r="A6" t="s">
        <v>891</v>
      </c>
      <c r="B6" t="b">
        <v>1</v>
      </c>
      <c r="E6" s="99"/>
      <c r="F6">
        <v>2017</v>
      </c>
      <c r="G6" s="55">
        <v>360</v>
      </c>
      <c r="H6" s="55">
        <v>402</v>
      </c>
      <c r="I6" s="55">
        <v>209</v>
      </c>
      <c r="J6" s="55">
        <v>307</v>
      </c>
      <c r="K6" s="55">
        <v>417</v>
      </c>
      <c r="L6" s="55">
        <v>345</v>
      </c>
      <c r="M6" s="55">
        <v>428</v>
      </c>
      <c r="N6" s="55">
        <v>382</v>
      </c>
      <c r="O6" s="55">
        <v>421</v>
      </c>
    </row>
    <row r="7" spans="1:17" ht="15.75" customHeight="1" x14ac:dyDescent="0.2">
      <c r="E7" s="99"/>
      <c r="F7">
        <v>2018</v>
      </c>
      <c r="G7" s="55">
        <v>395</v>
      </c>
      <c r="H7" s="55">
        <v>402</v>
      </c>
      <c r="I7" s="55">
        <v>207</v>
      </c>
      <c r="J7" s="55">
        <v>358</v>
      </c>
      <c r="K7" s="55">
        <v>418</v>
      </c>
      <c r="L7" s="55">
        <v>367</v>
      </c>
      <c r="M7" s="55">
        <v>440</v>
      </c>
      <c r="N7" s="55">
        <v>401</v>
      </c>
      <c r="O7" s="55">
        <v>444</v>
      </c>
    </row>
    <row r="8" spans="1:17" x14ac:dyDescent="0.2">
      <c r="E8" s="99"/>
      <c r="F8">
        <v>2019</v>
      </c>
      <c r="G8" s="55">
        <v>401</v>
      </c>
      <c r="H8" s="55">
        <v>450</v>
      </c>
      <c r="I8" s="55">
        <v>243</v>
      </c>
      <c r="J8" s="55">
        <v>384</v>
      </c>
      <c r="K8" s="55">
        <v>435</v>
      </c>
      <c r="L8" s="55">
        <v>380</v>
      </c>
      <c r="M8" s="55">
        <v>491</v>
      </c>
      <c r="N8" s="55">
        <v>437</v>
      </c>
      <c r="O8" s="55">
        <v>458</v>
      </c>
      <c r="P8" s="14"/>
    </row>
    <row r="9" spans="1:17" x14ac:dyDescent="0.2">
      <c r="A9" s="98" t="s">
        <v>893</v>
      </c>
      <c r="B9" s="99"/>
      <c r="E9" s="99"/>
      <c r="F9">
        <v>2020</v>
      </c>
      <c r="G9" s="55">
        <v>313</v>
      </c>
      <c r="H9" s="55">
        <v>373</v>
      </c>
      <c r="I9" s="55">
        <v>163</v>
      </c>
      <c r="J9" s="55">
        <v>311</v>
      </c>
      <c r="K9" s="55">
        <v>328</v>
      </c>
      <c r="L9" s="55">
        <v>301</v>
      </c>
      <c r="M9" s="55">
        <v>349</v>
      </c>
      <c r="N9" s="55">
        <v>331</v>
      </c>
      <c r="O9" s="55">
        <v>394</v>
      </c>
    </row>
    <row r="10" spans="1:17" x14ac:dyDescent="0.2">
      <c r="A10" t="s">
        <v>894</v>
      </c>
      <c r="B10" t="s">
        <v>972</v>
      </c>
      <c r="E10" s="99"/>
      <c r="F10">
        <v>2021</v>
      </c>
      <c r="G10">
        <v>308</v>
      </c>
      <c r="H10">
        <v>361</v>
      </c>
      <c r="I10">
        <v>204</v>
      </c>
      <c r="J10">
        <v>323</v>
      </c>
      <c r="K10">
        <v>292</v>
      </c>
      <c r="L10">
        <v>240</v>
      </c>
      <c r="M10">
        <v>397</v>
      </c>
      <c r="N10">
        <v>346</v>
      </c>
      <c r="O10">
        <v>370</v>
      </c>
    </row>
    <row r="11" spans="1:17" x14ac:dyDescent="0.2">
      <c r="A11" t="s">
        <v>895</v>
      </c>
      <c r="B11" t="s">
        <v>887</v>
      </c>
      <c r="E11" s="99"/>
      <c r="F11" s="46" t="s">
        <v>1143</v>
      </c>
      <c r="G11" s="59">
        <v>334</v>
      </c>
      <c r="H11" s="59">
        <v>340</v>
      </c>
      <c r="I11" s="59">
        <v>210</v>
      </c>
      <c r="J11" s="42">
        <v>305</v>
      </c>
      <c r="K11" s="42">
        <v>305</v>
      </c>
      <c r="L11" s="42">
        <v>284</v>
      </c>
      <c r="M11" s="47" t="s">
        <v>2003</v>
      </c>
      <c r="N11" s="47" t="s">
        <v>2004</v>
      </c>
      <c r="O11" s="46" t="s">
        <v>2005</v>
      </c>
    </row>
    <row r="12" spans="1:17" x14ac:dyDescent="0.2">
      <c r="A12" t="s">
        <v>896</v>
      </c>
      <c r="E12" s="99"/>
      <c r="F12" s="74" t="s">
        <v>1144</v>
      </c>
      <c r="G12" s="42">
        <v>374</v>
      </c>
      <c r="H12" s="42">
        <v>375</v>
      </c>
      <c r="I12" s="59">
        <v>237</v>
      </c>
      <c r="J12" s="59">
        <v>330</v>
      </c>
      <c r="K12" s="59">
        <v>346</v>
      </c>
      <c r="L12" s="59">
        <v>334</v>
      </c>
      <c r="M12" s="46" t="s">
        <v>2006</v>
      </c>
      <c r="N12" s="46" t="s">
        <v>2007</v>
      </c>
      <c r="O12" s="46" t="s">
        <v>2008</v>
      </c>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650E150D-3696-4892-9E8D-6759997F0F2B}">
      <formula1>"integer, number, percent1"</formula1>
    </dataValidation>
    <dataValidation type="list" allowBlank="1" showInputMessage="1" showErrorMessage="1" sqref="B10" xr:uid="{011E1719-7811-46FB-AB56-0862C4CFD1C5}">
      <formula1>"Line,Clustered Bar,Stacked Bar,Bar,Horizontal Stacked Bar"</formula1>
    </dataValidation>
    <dataValidation type="list" allowBlank="1" showInputMessage="1" showErrorMessage="1" sqref="B2" xr:uid="{A4CC4CD2-BD2C-46EB-B194-203E52A6561E}">
      <formula1>"Table,Figure,Both"</formula1>
    </dataValidation>
    <dataValidation type="list" allowBlank="1" showInputMessage="1" showErrorMessage="1" sqref="B6 B15:B16" xr:uid="{3274090C-13FA-4B5A-86B4-3E7B6FE473FF}">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99FF4BB-D53F-4926-81F0-3E8D13EDE182}">
          <x14:formula1>
            <xm:f>Master!$F$2:$F$401</xm:f>
          </x14:formula1>
          <xm:sqref>B1:O1</xm:sqref>
        </x14:dataValidation>
        <x14:dataValidation type="list" allowBlank="1" showInputMessage="1" showErrorMessage="1" xr:uid="{4B5F2977-0BF2-461E-A87F-4A3B94D77068}">
          <x14:formula1>
            <xm:f>Dropdowns!$A$1:$A$8</xm:f>
          </x14:formula1>
          <xm:sqref>F4:O4</xm:sqref>
        </x14:dataValidation>
      </x14:dataValidations>
    </ext>
  </extLst>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D197-E74D-470E-997D-D3069DE64887}">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556</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tbl-syph-early-aar</v>
      </c>
    </row>
    <row r="4" spans="1:17" x14ac:dyDescent="0.2">
      <c r="A4" s="58" t="s">
        <v>6</v>
      </c>
      <c r="B4" t="str">
        <f>IF($B$1="","",_xlfn.XLOOKUP($B$1,Master!$F$2:$F$308,Master!$H$2:$H$308,""))</f>
        <v>fig-syph-early-aar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s="55" t="s">
        <v>220</v>
      </c>
      <c r="H5" s="55" t="s">
        <v>18</v>
      </c>
      <c r="I5" s="55" t="s">
        <v>537</v>
      </c>
      <c r="J5" s="55" t="s">
        <v>449</v>
      </c>
      <c r="K5" s="55" t="s">
        <v>409</v>
      </c>
      <c r="L5" s="55" t="s">
        <v>421</v>
      </c>
      <c r="M5" s="55" t="s">
        <v>470</v>
      </c>
      <c r="N5" s="55" t="s">
        <v>2009</v>
      </c>
      <c r="O5" s="55" t="s">
        <v>914</v>
      </c>
    </row>
    <row r="6" spans="1:17" ht="15" customHeight="1" x14ac:dyDescent="0.2">
      <c r="A6" t="s">
        <v>891</v>
      </c>
      <c r="B6" t="b">
        <v>1</v>
      </c>
      <c r="E6" s="99"/>
      <c r="F6" s="55">
        <v>2017</v>
      </c>
      <c r="G6" s="55">
        <v>22</v>
      </c>
      <c r="H6" s="55">
        <v>14</v>
      </c>
      <c r="I6" s="55">
        <v>11</v>
      </c>
      <c r="J6" s="55">
        <v>10</v>
      </c>
      <c r="K6" s="55">
        <v>13</v>
      </c>
      <c r="L6" s="55">
        <v>8</v>
      </c>
      <c r="M6" s="55">
        <v>16</v>
      </c>
      <c r="N6" s="55">
        <v>15</v>
      </c>
      <c r="O6" s="55">
        <v>10</v>
      </c>
    </row>
    <row r="7" spans="1:17" ht="15.75" customHeight="1" x14ac:dyDescent="0.2">
      <c r="E7" s="99"/>
      <c r="F7" s="55">
        <v>2018</v>
      </c>
      <c r="G7" s="55">
        <v>17</v>
      </c>
      <c r="H7" s="55">
        <v>17</v>
      </c>
      <c r="I7" s="55">
        <v>17</v>
      </c>
      <c r="J7" s="55">
        <v>11</v>
      </c>
      <c r="K7" s="55">
        <v>11</v>
      </c>
      <c r="L7" s="55">
        <v>12</v>
      </c>
      <c r="M7" s="55">
        <v>14</v>
      </c>
      <c r="N7" s="55">
        <v>15</v>
      </c>
      <c r="O7" s="55">
        <v>11</v>
      </c>
    </row>
    <row r="8" spans="1:17" x14ac:dyDescent="0.2">
      <c r="E8" s="99"/>
      <c r="F8" s="55">
        <v>2019</v>
      </c>
      <c r="G8" s="55">
        <v>34</v>
      </c>
      <c r="H8" s="55">
        <v>29</v>
      </c>
      <c r="I8" s="55">
        <v>9</v>
      </c>
      <c r="J8" s="55">
        <v>14</v>
      </c>
      <c r="K8" s="55">
        <v>13</v>
      </c>
      <c r="L8" s="55">
        <v>18</v>
      </c>
      <c r="M8" s="55">
        <v>16</v>
      </c>
      <c r="N8" s="55">
        <v>20</v>
      </c>
      <c r="O8" s="55">
        <v>14</v>
      </c>
      <c r="P8" s="14"/>
    </row>
    <row r="9" spans="1:17" x14ac:dyDescent="0.2">
      <c r="A9" s="98" t="s">
        <v>893</v>
      </c>
      <c r="B9" s="99"/>
      <c r="E9" s="99"/>
      <c r="F9" s="55">
        <v>2020</v>
      </c>
      <c r="G9" s="55">
        <v>25</v>
      </c>
      <c r="H9" s="55">
        <v>27</v>
      </c>
      <c r="I9" s="55">
        <v>14</v>
      </c>
      <c r="J9" s="55">
        <v>12</v>
      </c>
      <c r="K9" s="55">
        <v>12</v>
      </c>
      <c r="L9" s="55">
        <v>14</v>
      </c>
      <c r="M9" s="55">
        <v>19</v>
      </c>
      <c r="N9" s="55">
        <v>19</v>
      </c>
      <c r="O9" s="55">
        <v>13</v>
      </c>
    </row>
    <row r="10" spans="1:17" x14ac:dyDescent="0.2">
      <c r="A10" t="s">
        <v>894</v>
      </c>
      <c r="B10" t="s">
        <v>972</v>
      </c>
      <c r="E10" s="99"/>
      <c r="F10" s="55">
        <v>2021</v>
      </c>
      <c r="G10" s="55">
        <v>29</v>
      </c>
      <c r="H10" s="55">
        <v>29</v>
      </c>
      <c r="I10" s="55">
        <v>15</v>
      </c>
      <c r="J10" s="55">
        <v>14</v>
      </c>
      <c r="K10" s="55">
        <v>14</v>
      </c>
      <c r="L10" s="55">
        <v>14</v>
      </c>
      <c r="M10" s="55">
        <v>24</v>
      </c>
      <c r="N10" s="55">
        <v>23</v>
      </c>
      <c r="O10" s="55">
        <v>22</v>
      </c>
    </row>
    <row r="11" spans="1:17" x14ac:dyDescent="0.2">
      <c r="A11" t="s">
        <v>895</v>
      </c>
      <c r="B11" t="s">
        <v>887</v>
      </c>
      <c r="E11" s="99"/>
      <c r="F11" s="68" t="s">
        <v>1143</v>
      </c>
      <c r="G11" s="59">
        <v>24</v>
      </c>
      <c r="H11" s="59">
        <v>27</v>
      </c>
      <c r="I11" s="59">
        <v>16</v>
      </c>
      <c r="J11" s="42">
        <v>18</v>
      </c>
      <c r="K11" s="42">
        <v>30</v>
      </c>
      <c r="L11" s="42">
        <v>19</v>
      </c>
      <c r="M11" s="47" t="s">
        <v>2010</v>
      </c>
      <c r="N11" s="47" t="s">
        <v>2010</v>
      </c>
      <c r="O11" s="68" t="s">
        <v>2011</v>
      </c>
    </row>
    <row r="12" spans="1:17" x14ac:dyDescent="0.2">
      <c r="A12" t="s">
        <v>896</v>
      </c>
      <c r="E12" s="99"/>
      <c r="F12" s="47" t="s">
        <v>1144</v>
      </c>
      <c r="G12" s="42">
        <v>29</v>
      </c>
      <c r="H12" s="42">
        <v>22</v>
      </c>
      <c r="I12" s="59">
        <v>15</v>
      </c>
      <c r="J12" s="59">
        <v>13</v>
      </c>
      <c r="K12" s="59">
        <v>29</v>
      </c>
      <c r="L12" s="59">
        <v>11</v>
      </c>
      <c r="M12" s="68" t="s">
        <v>2012</v>
      </c>
      <c r="N12" s="68" t="s">
        <v>2012</v>
      </c>
      <c r="O12" s="68" t="s">
        <v>2013</v>
      </c>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0EA1EA51-C1B7-4414-9C63-899B054C069D}">
      <formula1>"True,False"</formula1>
    </dataValidation>
    <dataValidation type="list" allowBlank="1" showInputMessage="1" showErrorMessage="1" sqref="B2" xr:uid="{FF4CF34D-65C0-44EC-888D-4A336890C062}">
      <formula1>"Table,Figure,Both"</formula1>
    </dataValidation>
    <dataValidation type="list" allowBlank="1" showInputMessage="1" showErrorMessage="1" sqref="B10" xr:uid="{D1299B3D-0F14-4CB1-92AC-76FF7A878BE6}">
      <formula1>"Line,Clustered Bar,Stacked Bar,Bar,Horizontal Stacked Bar"</formula1>
    </dataValidation>
    <dataValidation type="list" allowBlank="1" showInputMessage="1" showErrorMessage="1" sqref="P4:Q4" xr:uid="{043B47DC-2F81-45A6-868B-37A1825AC774}">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E4E5D82-0210-4D4B-AA11-482E2BBB8633}">
          <x14:formula1>
            <xm:f>Dropdowns!$A$1:$A$8</xm:f>
          </x14:formula1>
          <xm:sqref>F4:O4</xm:sqref>
        </x14:dataValidation>
        <x14:dataValidation type="list" allowBlank="1" showInputMessage="1" showErrorMessage="1" xr:uid="{AED096A3-D93F-47B9-9450-F8823F427F12}">
          <x14:formula1>
            <xm:f>Master!$F$2:$F$401</xm:f>
          </x14:formula1>
          <xm:sqref>B1:O1</xm:sqref>
        </x14:dataValidation>
      </x14:dataValidations>
    </ext>
  </extLst>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358D-C8BE-47EB-877E-44A76F7444BA}">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561</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tbl-lyme-disease</v>
      </c>
    </row>
    <row r="4" spans="1:17" x14ac:dyDescent="0.2">
      <c r="A4" s="58" t="s">
        <v>6</v>
      </c>
      <c r="B4" t="str">
        <f>IF($B$1="","",_xlfn.XLOOKUP($B$1,Master!$F$2:$F$308,Master!$H$2:$H$308,""))</f>
        <v>fig-lyme-disease</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s="82" t="s">
        <v>1123</v>
      </c>
      <c r="G5" t="s">
        <v>220</v>
      </c>
      <c r="H5" t="s">
        <v>18</v>
      </c>
      <c r="I5" t="s">
        <v>537</v>
      </c>
      <c r="J5" t="s">
        <v>449</v>
      </c>
      <c r="K5" t="s">
        <v>409</v>
      </c>
      <c r="L5" t="s">
        <v>421</v>
      </c>
      <c r="M5" t="s">
        <v>470</v>
      </c>
      <c r="N5" t="s">
        <v>2009</v>
      </c>
      <c r="O5" t="s">
        <v>914</v>
      </c>
    </row>
    <row r="6" spans="1:17" ht="15" customHeight="1" x14ac:dyDescent="0.2">
      <c r="A6" t="s">
        <v>891</v>
      </c>
      <c r="B6" t="b">
        <v>1</v>
      </c>
      <c r="E6" s="99"/>
      <c r="F6">
        <v>2017</v>
      </c>
      <c r="G6" s="55">
        <v>22</v>
      </c>
      <c r="H6" s="55">
        <v>14</v>
      </c>
      <c r="I6" s="55">
        <v>11</v>
      </c>
      <c r="J6" s="55">
        <v>10</v>
      </c>
      <c r="K6" s="55">
        <v>13</v>
      </c>
      <c r="L6" s="55">
        <v>8</v>
      </c>
      <c r="M6" s="55">
        <v>16</v>
      </c>
      <c r="N6" s="55">
        <v>15</v>
      </c>
      <c r="O6" s="55">
        <v>10</v>
      </c>
    </row>
    <row r="7" spans="1:17" ht="15.75" customHeight="1" x14ac:dyDescent="0.2">
      <c r="E7" s="99"/>
      <c r="F7">
        <v>2018</v>
      </c>
      <c r="G7" s="55">
        <v>17</v>
      </c>
      <c r="H7" s="55">
        <v>17</v>
      </c>
      <c r="I7" s="55">
        <v>17</v>
      </c>
      <c r="J7" s="55">
        <v>11</v>
      </c>
      <c r="K7" s="55">
        <v>11</v>
      </c>
      <c r="L7" s="55">
        <v>12</v>
      </c>
      <c r="M7" s="55">
        <v>14</v>
      </c>
      <c r="N7" s="55">
        <v>15</v>
      </c>
      <c r="O7" s="55">
        <v>11</v>
      </c>
    </row>
    <row r="8" spans="1:17" x14ac:dyDescent="0.2">
      <c r="E8" s="99"/>
      <c r="F8">
        <v>2019</v>
      </c>
      <c r="G8" s="55">
        <v>34</v>
      </c>
      <c r="H8" s="55">
        <v>29</v>
      </c>
      <c r="I8" s="55">
        <v>9</v>
      </c>
      <c r="J8" s="55">
        <v>14</v>
      </c>
      <c r="K8" s="55">
        <v>13</v>
      </c>
      <c r="L8" s="55">
        <v>18</v>
      </c>
      <c r="M8" s="55">
        <v>16</v>
      </c>
      <c r="N8" s="55">
        <v>20</v>
      </c>
      <c r="O8" s="55">
        <v>14</v>
      </c>
      <c r="P8" s="14"/>
    </row>
    <row r="9" spans="1:17" x14ac:dyDescent="0.2">
      <c r="A9" s="98" t="s">
        <v>893</v>
      </c>
      <c r="B9" s="99"/>
      <c r="E9" s="99"/>
      <c r="F9">
        <v>2020</v>
      </c>
      <c r="G9" s="55">
        <v>25</v>
      </c>
      <c r="H9" s="55">
        <v>27</v>
      </c>
      <c r="I9" s="55">
        <v>14</v>
      </c>
      <c r="J9" s="55">
        <v>12</v>
      </c>
      <c r="K9" s="55">
        <v>12</v>
      </c>
      <c r="L9" s="55">
        <v>14</v>
      </c>
      <c r="M9" s="55">
        <v>19</v>
      </c>
      <c r="N9" s="55">
        <v>19</v>
      </c>
      <c r="O9" s="55">
        <v>13</v>
      </c>
    </row>
    <row r="10" spans="1:17" x14ac:dyDescent="0.2">
      <c r="A10" t="s">
        <v>894</v>
      </c>
      <c r="B10" t="s">
        <v>972</v>
      </c>
      <c r="E10" s="99"/>
      <c r="F10">
        <v>2021</v>
      </c>
      <c r="G10">
        <v>29</v>
      </c>
      <c r="H10">
        <v>29</v>
      </c>
      <c r="I10">
        <v>15</v>
      </c>
      <c r="J10">
        <v>14</v>
      </c>
      <c r="K10">
        <v>14</v>
      </c>
      <c r="L10">
        <v>14</v>
      </c>
      <c r="M10">
        <v>24</v>
      </c>
      <c r="N10">
        <v>23</v>
      </c>
      <c r="O10">
        <v>22</v>
      </c>
    </row>
    <row r="11" spans="1:17" x14ac:dyDescent="0.2">
      <c r="A11" t="s">
        <v>895</v>
      </c>
      <c r="B11" t="s">
        <v>887</v>
      </c>
      <c r="E11" s="99"/>
      <c r="F11" s="46" t="s">
        <v>1143</v>
      </c>
      <c r="G11" s="59">
        <v>24</v>
      </c>
      <c r="H11" s="59">
        <v>27</v>
      </c>
      <c r="I11" s="59">
        <v>16</v>
      </c>
      <c r="J11" s="42">
        <v>18</v>
      </c>
      <c r="K11" s="42">
        <v>30</v>
      </c>
      <c r="L11" s="42">
        <v>19</v>
      </c>
      <c r="M11" s="47" t="s">
        <v>2010</v>
      </c>
      <c r="N11" s="47" t="s">
        <v>2010</v>
      </c>
      <c r="O11" s="46" t="s">
        <v>2011</v>
      </c>
    </row>
    <row r="12" spans="1:17" x14ac:dyDescent="0.2">
      <c r="A12" t="s">
        <v>896</v>
      </c>
      <c r="E12" s="99"/>
      <c r="F12" s="74" t="s">
        <v>1144</v>
      </c>
      <c r="G12" s="42">
        <v>29</v>
      </c>
      <c r="H12" s="42">
        <v>22</v>
      </c>
      <c r="I12" s="59">
        <v>15</v>
      </c>
      <c r="J12" s="59">
        <v>13</v>
      </c>
      <c r="K12" s="59">
        <v>29</v>
      </c>
      <c r="L12" s="59">
        <v>11</v>
      </c>
      <c r="M12" s="46" t="s">
        <v>2012</v>
      </c>
      <c r="N12" s="46" t="s">
        <v>2012</v>
      </c>
      <c r="O12" s="46" t="s">
        <v>2013</v>
      </c>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E3BB2121-A7B6-4590-BC92-A7CBD8B09A18}">
      <formula1>"integer, number, percent1"</formula1>
    </dataValidation>
    <dataValidation type="list" allowBlank="1" showInputMessage="1" showErrorMessage="1" sqref="B10" xr:uid="{8E63FDF2-2DC7-4A3B-A614-3735760B039F}">
      <formula1>"Line,Clustered Bar,Stacked Bar,Bar,Horizontal Stacked Bar"</formula1>
    </dataValidation>
    <dataValidation type="list" allowBlank="1" showInputMessage="1" showErrorMessage="1" sqref="B2" xr:uid="{22C3AC30-3C59-4CC9-94DD-F1F1CB9400F2}">
      <formula1>"Table,Figure,Both"</formula1>
    </dataValidation>
    <dataValidation type="list" allowBlank="1" showInputMessage="1" showErrorMessage="1" sqref="B6 B15:B16" xr:uid="{8606DF30-1B2D-41AB-B505-FF70295714E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1B00F3A-B909-4875-9401-AEB652B7AA2B}">
          <x14:formula1>
            <xm:f>Master!$F$2:$F$401</xm:f>
          </x14:formula1>
          <xm:sqref>B1:O1</xm:sqref>
        </x14:dataValidation>
        <x14:dataValidation type="list" allowBlank="1" showInputMessage="1" showErrorMessage="1" xr:uid="{4A085195-CE6C-4254-B2B7-8F36B102653A}">
          <x14:formula1>
            <xm:f>Dropdowns!$A$1:$A$8</xm:f>
          </x14:formula1>
          <xm:sqref>F4:O4</xm:sqref>
        </x14:dataValidation>
      </x14:dataValidations>
    </ext>
  </extLst>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D79A-5D9D-4230-BDFE-5114F59B4931}">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566</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tbl-anaplasmosis</v>
      </c>
    </row>
    <row r="4" spans="1:17" x14ac:dyDescent="0.2">
      <c r="A4" s="58" t="s">
        <v>6</v>
      </c>
      <c r="B4" t="str">
        <f>IF($B$1="","",_xlfn.XLOOKUP($B$1,Master!$F$2:$F$308,Master!$H$2:$H$308,""))</f>
        <v>fig-anaplasmosis</v>
      </c>
      <c r="E4" s="13"/>
      <c r="F4" s="16" t="s">
        <v>664</v>
      </c>
      <c r="G4" s="16" t="s">
        <v>679</v>
      </c>
      <c r="H4" s="16" t="s">
        <v>679</v>
      </c>
      <c r="I4" s="16" t="s">
        <v>679</v>
      </c>
      <c r="J4" s="16" t="s">
        <v>679</v>
      </c>
      <c r="K4" s="16" t="s">
        <v>679</v>
      </c>
      <c r="L4" s="16" t="s">
        <v>679</v>
      </c>
      <c r="M4" s="16" t="s">
        <v>679</v>
      </c>
      <c r="N4" s="16" t="s">
        <v>679</v>
      </c>
      <c r="O4" s="16"/>
      <c r="P4" s="16"/>
      <c r="Q4" s="16"/>
    </row>
    <row r="5" spans="1:17" x14ac:dyDescent="0.2">
      <c r="A5" s="98" t="s">
        <v>885</v>
      </c>
      <c r="B5" s="99"/>
      <c r="E5" s="100" t="s">
        <v>886</v>
      </c>
      <c r="F5" s="82" t="s">
        <v>1123</v>
      </c>
      <c r="G5" t="s">
        <v>220</v>
      </c>
      <c r="H5" t="s">
        <v>18</v>
      </c>
      <c r="I5" t="s">
        <v>537</v>
      </c>
      <c r="J5" t="s">
        <v>449</v>
      </c>
      <c r="K5" t="s">
        <v>409</v>
      </c>
      <c r="L5" t="s">
        <v>421</v>
      </c>
      <c r="M5" t="s">
        <v>470</v>
      </c>
      <c r="N5" t="s">
        <v>915</v>
      </c>
    </row>
    <row r="6" spans="1:17" ht="15" customHeight="1" x14ac:dyDescent="0.2">
      <c r="A6" t="s">
        <v>891</v>
      </c>
      <c r="B6" t="b">
        <v>1</v>
      </c>
      <c r="E6" s="99"/>
      <c r="F6">
        <v>2020</v>
      </c>
      <c r="G6" s="55">
        <v>11.9</v>
      </c>
      <c r="H6" s="55">
        <v>6</v>
      </c>
      <c r="I6" s="55">
        <v>30.4</v>
      </c>
      <c r="J6" s="55">
        <v>2.1</v>
      </c>
      <c r="K6" s="55">
        <v>14.5</v>
      </c>
      <c r="L6" s="55">
        <v>4.5</v>
      </c>
      <c r="M6" s="55">
        <v>3.8</v>
      </c>
      <c r="N6" s="55">
        <v>7</v>
      </c>
      <c r="O6" s="55"/>
    </row>
    <row r="7" spans="1:17" ht="15.75" customHeight="1" x14ac:dyDescent="0.2">
      <c r="E7" s="99"/>
      <c r="F7">
        <v>2021</v>
      </c>
      <c r="G7" s="55">
        <v>17</v>
      </c>
      <c r="H7" s="55">
        <v>17.899999999999999</v>
      </c>
      <c r="I7" s="55">
        <v>84.2</v>
      </c>
      <c r="J7" s="55">
        <v>1.2</v>
      </c>
      <c r="K7" s="55">
        <v>25.1</v>
      </c>
      <c r="L7" s="55">
        <v>20.3</v>
      </c>
      <c r="M7" s="55">
        <v>4.5999999999999996</v>
      </c>
      <c r="N7" s="55">
        <v>10.3</v>
      </c>
      <c r="O7" s="55"/>
    </row>
    <row r="8" spans="1:17" x14ac:dyDescent="0.2">
      <c r="E8" s="99"/>
      <c r="F8">
        <v>2022</v>
      </c>
      <c r="G8" s="55">
        <v>0.7</v>
      </c>
      <c r="H8" s="55">
        <v>9.4</v>
      </c>
      <c r="I8" s="55">
        <v>33.700000000000003</v>
      </c>
      <c r="J8" s="55">
        <v>1.8</v>
      </c>
      <c r="K8" s="55">
        <v>21.3</v>
      </c>
      <c r="L8" s="55">
        <v>43.3</v>
      </c>
      <c r="M8" s="55">
        <v>43.3</v>
      </c>
      <c r="N8" s="55">
        <v>6</v>
      </c>
      <c r="O8" s="55"/>
      <c r="P8" s="14"/>
    </row>
    <row r="9" spans="1:17" x14ac:dyDescent="0.2">
      <c r="A9" s="98" t="s">
        <v>893</v>
      </c>
      <c r="B9" s="99"/>
      <c r="E9" s="99"/>
      <c r="F9">
        <v>2023</v>
      </c>
      <c r="G9" s="55">
        <v>10.4</v>
      </c>
      <c r="H9" s="55">
        <v>18.7</v>
      </c>
      <c r="I9" s="55">
        <v>96.6</v>
      </c>
      <c r="J9" s="55">
        <v>2.1</v>
      </c>
      <c r="K9" s="55">
        <v>45.1</v>
      </c>
      <c r="L9" s="55">
        <v>75.099999999999994</v>
      </c>
      <c r="M9" s="55">
        <v>6</v>
      </c>
      <c r="N9" s="55">
        <v>10.3</v>
      </c>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4D5F95BF-C06D-4EAE-9E13-8C455DAD3633}">
      <formula1>"True,False"</formula1>
    </dataValidation>
    <dataValidation type="list" allowBlank="1" showInputMessage="1" showErrorMessage="1" sqref="B2" xr:uid="{8CAADCFE-8908-427D-AAB0-7F597B39519B}">
      <formula1>"Table,Figure,Both"</formula1>
    </dataValidation>
    <dataValidation type="list" allowBlank="1" showInputMessage="1" showErrorMessage="1" sqref="B10" xr:uid="{8B3AD866-1964-4F4F-A6C8-FE7E74BA32B7}">
      <formula1>"Line,Clustered Bar,Stacked Bar,Bar,Horizontal Stacked Bar"</formula1>
    </dataValidation>
    <dataValidation type="list" allowBlank="1" showInputMessage="1" showErrorMessage="1" sqref="P4:Q4" xr:uid="{CC96162E-A1AD-4E0B-A344-565BE062A0F4}">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826779D-469D-4673-83B0-6177508976CA}">
          <x14:formula1>
            <xm:f>Dropdowns!$A$1:$A$8</xm:f>
          </x14:formula1>
          <xm:sqref>F4:O4</xm:sqref>
        </x14:dataValidation>
        <x14:dataValidation type="list" allowBlank="1" showInputMessage="1" showErrorMessage="1" xr:uid="{39C22026-C609-4E35-AD5A-CD9150A8A995}">
          <x14:formula1>
            <xm:f>Master!$F$2:$F$401</xm:f>
          </x14:formula1>
          <xm:sqref>B1:O1</xm:sqref>
        </x14:dataValidation>
      </x14:dataValidations>
    </ext>
  </extLst>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8F5B-A431-4199-A326-38D59FF35CA8}">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568</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tbl-babesiosis</v>
      </c>
    </row>
    <row r="4" spans="1:17" x14ac:dyDescent="0.2">
      <c r="A4" s="58" t="s">
        <v>6</v>
      </c>
      <c r="B4" t="str">
        <f>IF($B$1="","",_xlfn.XLOOKUP($B$1,Master!$F$2:$F$308,Master!$H$2:$H$308,""))</f>
        <v>fig-babesiosis</v>
      </c>
      <c r="E4" s="13"/>
      <c r="F4" s="16" t="s">
        <v>664</v>
      </c>
      <c r="G4" s="16" t="s">
        <v>679</v>
      </c>
      <c r="H4" s="16" t="s">
        <v>679</v>
      </c>
      <c r="I4" s="16" t="s">
        <v>679</v>
      </c>
      <c r="J4" s="16" t="s">
        <v>679</v>
      </c>
      <c r="K4" s="16" t="s">
        <v>679</v>
      </c>
      <c r="L4" s="16" t="s">
        <v>679</v>
      </c>
      <c r="M4" s="16" t="s">
        <v>679</v>
      </c>
      <c r="N4" s="16" t="s">
        <v>679</v>
      </c>
      <c r="O4" s="16"/>
      <c r="P4" s="16"/>
      <c r="Q4" s="16"/>
    </row>
    <row r="5" spans="1:17" x14ac:dyDescent="0.2">
      <c r="A5" s="98" t="s">
        <v>885</v>
      </c>
      <c r="B5" s="99"/>
      <c r="E5" s="100" t="s">
        <v>886</v>
      </c>
      <c r="F5" s="82" t="s">
        <v>1123</v>
      </c>
      <c r="G5" t="s">
        <v>220</v>
      </c>
      <c r="H5" t="s">
        <v>18</v>
      </c>
      <c r="I5" t="s">
        <v>537</v>
      </c>
      <c r="J5" t="s">
        <v>449</v>
      </c>
      <c r="K5" t="s">
        <v>409</v>
      </c>
      <c r="L5" t="s">
        <v>421</v>
      </c>
      <c r="M5" t="s">
        <v>470</v>
      </c>
      <c r="N5" t="s">
        <v>915</v>
      </c>
    </row>
    <row r="6" spans="1:17" ht="15" customHeight="1" x14ac:dyDescent="0.2">
      <c r="A6" t="s">
        <v>891</v>
      </c>
      <c r="B6" t="b">
        <v>1</v>
      </c>
      <c r="E6" s="99"/>
      <c r="F6">
        <v>2020</v>
      </c>
      <c r="G6" s="55">
        <v>8.1999999999999993</v>
      </c>
      <c r="H6" s="55">
        <v>11.2</v>
      </c>
      <c r="I6" s="55">
        <v>25.4</v>
      </c>
      <c r="J6" s="55">
        <v>2.1</v>
      </c>
      <c r="K6" s="55">
        <v>5.3</v>
      </c>
      <c r="L6" s="55">
        <v>2.8</v>
      </c>
      <c r="M6" s="55">
        <v>5.9</v>
      </c>
      <c r="N6" s="55">
        <v>2.8</v>
      </c>
      <c r="O6" s="55"/>
    </row>
    <row r="7" spans="1:17" ht="15.75" customHeight="1" x14ac:dyDescent="0.2">
      <c r="E7" s="99"/>
      <c r="F7">
        <v>2021</v>
      </c>
      <c r="G7" s="55">
        <v>17.399999999999999</v>
      </c>
      <c r="H7" s="55">
        <v>17.100000000000001</v>
      </c>
      <c r="I7" s="55">
        <v>51.8</v>
      </c>
      <c r="J7" s="55">
        <v>4.9000000000000004</v>
      </c>
      <c r="K7" s="55">
        <v>10.6</v>
      </c>
      <c r="L7" s="55">
        <v>11.8</v>
      </c>
      <c r="M7" s="55">
        <v>5.7</v>
      </c>
      <c r="N7" s="55">
        <v>4.0999999999999996</v>
      </c>
      <c r="O7" s="55"/>
    </row>
    <row r="8" spans="1:17" x14ac:dyDescent="0.2">
      <c r="E8" s="99"/>
      <c r="F8">
        <v>2022</v>
      </c>
      <c r="G8" s="55">
        <v>0.7</v>
      </c>
      <c r="H8" s="55">
        <v>8.1</v>
      </c>
      <c r="I8" s="55">
        <v>31.6</v>
      </c>
      <c r="J8" s="55">
        <v>5.9</v>
      </c>
      <c r="K8" s="55">
        <v>16.3</v>
      </c>
      <c r="L8" s="55">
        <v>20.8</v>
      </c>
      <c r="M8" s="55">
        <v>3.7</v>
      </c>
      <c r="N8" s="55">
        <v>3</v>
      </c>
      <c r="O8" s="55"/>
      <c r="P8" s="14"/>
    </row>
    <row r="9" spans="1:17" x14ac:dyDescent="0.2">
      <c r="A9" s="98" t="s">
        <v>893</v>
      </c>
      <c r="B9" s="99"/>
      <c r="E9" s="99"/>
      <c r="F9">
        <v>2023</v>
      </c>
      <c r="G9" s="55">
        <v>10.1</v>
      </c>
      <c r="H9" s="55">
        <v>19.899999999999999</v>
      </c>
      <c r="I9" s="55">
        <v>61</v>
      </c>
      <c r="J9" s="55">
        <v>6.8</v>
      </c>
      <c r="K9" s="55">
        <v>28.8</v>
      </c>
      <c r="L9" s="55">
        <v>38.9</v>
      </c>
      <c r="M9" s="55">
        <v>12.5</v>
      </c>
      <c r="N9" s="55">
        <v>5.9</v>
      </c>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E5851428-5EBF-479A-8457-6A24AA384729}">
      <formula1>"integer, number, percent1"</formula1>
    </dataValidation>
    <dataValidation type="list" allowBlank="1" showInputMessage="1" showErrorMessage="1" sqref="B10" xr:uid="{9BC6C31B-0F4F-4640-A20E-5C093CD49E82}">
      <formula1>"Line,Clustered Bar,Stacked Bar,Bar,Horizontal Stacked Bar"</formula1>
    </dataValidation>
    <dataValidation type="list" allowBlank="1" showInputMessage="1" showErrorMessage="1" sqref="B2" xr:uid="{D1063231-08C1-4780-8479-054C657C832C}">
      <formula1>"Table,Figure,Both"</formula1>
    </dataValidation>
    <dataValidation type="list" allowBlank="1" showInputMessage="1" showErrorMessage="1" sqref="B6 B15:B16" xr:uid="{4B537D67-5D0E-41D8-8EE9-F290FE482FAF}">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C26FE50-0C08-4A9E-88CB-0F66CCC1FCB3}">
          <x14:formula1>
            <xm:f>Master!$F$2:$F$401</xm:f>
          </x14:formula1>
          <xm:sqref>B1:O1</xm:sqref>
        </x14:dataValidation>
        <x14:dataValidation type="list" allowBlank="1" showInputMessage="1" showErrorMessage="1" xr:uid="{616D7ECF-0345-4C81-BBA7-E8C8B3817EFB}">
          <x14:formula1>
            <xm:f>Dropdowns!$A$1:$A$8</xm:f>
          </x14:formula1>
          <xm:sqref>F4:O4</xm:sqref>
        </x14:dataValidation>
      </x14:dataValidations>
    </ext>
  </extLst>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9BB0-8BF3-4AAA-9529-AB95649F91DE}">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15.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572</v>
      </c>
      <c r="C1" s="97"/>
      <c r="D1" s="97"/>
      <c r="E1" s="97"/>
      <c r="F1" s="97"/>
      <c r="G1" s="97"/>
      <c r="H1" s="97"/>
      <c r="I1" s="97"/>
      <c r="J1" s="97"/>
      <c r="K1" s="97"/>
      <c r="L1" s="97"/>
      <c r="M1" s="97"/>
      <c r="N1" s="97"/>
      <c r="O1" s="97"/>
    </row>
    <row r="2" spans="1:17" x14ac:dyDescent="0.2">
      <c r="A2" s="58" t="s">
        <v>883</v>
      </c>
      <c r="B2" t="s">
        <v>12</v>
      </c>
    </row>
    <row r="3" spans="1:17" x14ac:dyDescent="0.2">
      <c r="A3" s="58" t="s">
        <v>884</v>
      </c>
      <c r="B3" t="str">
        <f>IF($B$1="","",_xlfn.XLOOKUP($B$1,Master!$F$2:$F$308,Master!$G$2:$G$308,""))</f>
        <v>tbl-rabies-test-domestic</v>
      </c>
    </row>
    <row r="4" spans="1:17" x14ac:dyDescent="0.2">
      <c r="A4" s="58" t="s">
        <v>6</v>
      </c>
      <c r="B4" t="str">
        <f>IF($B$1="","",_xlfn.XLOOKUP($B$1,Master!$F$2:$F$308,Master!$H$2:$H$308,""))</f>
        <v>fig-rabies-test-domestic</v>
      </c>
      <c r="E4" s="13"/>
      <c r="F4" s="16" t="s">
        <v>664</v>
      </c>
      <c r="G4" s="16" t="s">
        <v>679</v>
      </c>
      <c r="H4" s="16" t="s">
        <v>679</v>
      </c>
      <c r="I4" s="16" t="s">
        <v>679</v>
      </c>
      <c r="J4" s="16"/>
      <c r="K4" s="16"/>
      <c r="L4" s="16"/>
      <c r="M4" s="16"/>
      <c r="N4" s="16"/>
      <c r="O4" s="16"/>
      <c r="P4" s="16"/>
      <c r="Q4" s="16"/>
    </row>
    <row r="5" spans="1:17" x14ac:dyDescent="0.2">
      <c r="A5" s="98" t="s">
        <v>885</v>
      </c>
      <c r="B5" s="99"/>
      <c r="E5" s="100" t="s">
        <v>886</v>
      </c>
      <c r="F5" t="s">
        <v>887</v>
      </c>
      <c r="G5" t="s">
        <v>2014</v>
      </c>
      <c r="H5" t="s">
        <v>2015</v>
      </c>
      <c r="I5" t="s">
        <v>2016</v>
      </c>
    </row>
    <row r="6" spans="1:17" ht="15" customHeight="1" x14ac:dyDescent="0.2">
      <c r="A6" t="s">
        <v>891</v>
      </c>
      <c r="B6" t="b">
        <v>0</v>
      </c>
      <c r="E6" s="99"/>
      <c r="F6" t="s">
        <v>220</v>
      </c>
      <c r="G6" s="55">
        <v>35</v>
      </c>
      <c r="H6" s="55">
        <v>1</v>
      </c>
      <c r="I6" s="55">
        <v>2.9</v>
      </c>
      <c r="J6" s="55"/>
      <c r="K6" s="55"/>
      <c r="L6" s="55"/>
      <c r="M6" s="55"/>
      <c r="N6" s="55"/>
      <c r="O6" s="55"/>
    </row>
    <row r="7" spans="1:17" ht="15.75" customHeight="1" x14ac:dyDescent="0.2">
      <c r="E7" s="99"/>
      <c r="F7" t="s">
        <v>18</v>
      </c>
      <c r="G7" s="55">
        <v>51</v>
      </c>
      <c r="H7" s="55">
        <v>2</v>
      </c>
      <c r="I7" s="55">
        <v>3.9</v>
      </c>
      <c r="J7" s="55"/>
      <c r="K7" s="55"/>
      <c r="L7" s="55"/>
      <c r="M7" s="55"/>
      <c r="N7" s="55"/>
      <c r="O7" s="55"/>
    </row>
    <row r="8" spans="1:17" x14ac:dyDescent="0.2">
      <c r="E8" s="99"/>
      <c r="F8" t="s">
        <v>537</v>
      </c>
      <c r="G8" s="55">
        <v>13</v>
      </c>
      <c r="H8" s="55">
        <v>0</v>
      </c>
      <c r="I8" s="55">
        <v>0</v>
      </c>
      <c r="J8" s="55"/>
      <c r="K8" s="55"/>
      <c r="L8" s="55"/>
      <c r="M8" s="55"/>
      <c r="N8" s="55"/>
      <c r="O8" s="55"/>
      <c r="P8" s="14"/>
    </row>
    <row r="9" spans="1:17" x14ac:dyDescent="0.2">
      <c r="A9" s="98" t="s">
        <v>893</v>
      </c>
      <c r="B9" s="99"/>
      <c r="E9" s="99"/>
      <c r="F9" t="s">
        <v>449</v>
      </c>
      <c r="G9" s="55">
        <v>25</v>
      </c>
      <c r="H9" s="55">
        <v>1</v>
      </c>
      <c r="I9" s="55">
        <v>4</v>
      </c>
      <c r="J9" s="55"/>
      <c r="K9" s="55"/>
      <c r="L9" s="55"/>
      <c r="M9" s="55"/>
      <c r="N9" s="55"/>
      <c r="O9" s="55"/>
    </row>
    <row r="10" spans="1:17" x14ac:dyDescent="0.2">
      <c r="A10" t="s">
        <v>894</v>
      </c>
      <c r="E10" s="99"/>
      <c r="F10" t="s">
        <v>409</v>
      </c>
      <c r="G10">
        <v>33</v>
      </c>
      <c r="H10">
        <v>0</v>
      </c>
      <c r="I10">
        <v>0</v>
      </c>
    </row>
    <row r="11" spans="1:17" x14ac:dyDescent="0.2">
      <c r="A11" t="s">
        <v>895</v>
      </c>
      <c r="E11" s="99"/>
      <c r="F11" s="46" t="s">
        <v>421</v>
      </c>
      <c r="G11" s="59">
        <v>26</v>
      </c>
      <c r="H11" s="59">
        <v>0</v>
      </c>
      <c r="I11" s="59">
        <v>0</v>
      </c>
      <c r="J11" s="42"/>
      <c r="K11" s="42"/>
      <c r="L11" s="42"/>
      <c r="M11" s="47"/>
      <c r="N11" s="47"/>
      <c r="O11" s="46"/>
    </row>
    <row r="12" spans="1:17" x14ac:dyDescent="0.2">
      <c r="A12" t="s">
        <v>896</v>
      </c>
      <c r="E12" s="99"/>
      <c r="F12" s="74" t="s">
        <v>470</v>
      </c>
      <c r="G12" s="42">
        <v>55</v>
      </c>
      <c r="H12" s="42">
        <v>1</v>
      </c>
      <c r="I12" s="59">
        <v>1.8</v>
      </c>
      <c r="J12" s="59"/>
      <c r="K12" s="59"/>
      <c r="L12" s="59"/>
      <c r="M12" s="46"/>
      <c r="N12" s="46"/>
      <c r="O12" s="46"/>
    </row>
    <row r="13" spans="1:17" x14ac:dyDescent="0.2">
      <c r="A13" t="s">
        <v>897</v>
      </c>
      <c r="E13" s="99"/>
      <c r="F13" s="47" t="s">
        <v>898</v>
      </c>
      <c r="G13" s="47" t="s">
        <v>2017</v>
      </c>
      <c r="H13" s="47" t="s">
        <v>2018</v>
      </c>
      <c r="I13" s="46" t="s">
        <v>1495</v>
      </c>
      <c r="J13" s="46"/>
      <c r="K13" s="46"/>
      <c r="L13" s="46"/>
      <c r="M13" s="46"/>
      <c r="N13" s="46"/>
      <c r="O13" s="46"/>
    </row>
    <row r="14" spans="1:17" x14ac:dyDescent="0.2">
      <c r="A14" t="s">
        <v>899</v>
      </c>
      <c r="E14" s="99"/>
      <c r="F14" s="68"/>
      <c r="G14" s="68"/>
      <c r="H14" s="68"/>
      <c r="I14" s="46"/>
      <c r="J14" s="47"/>
      <c r="K14" s="47"/>
      <c r="L14" s="47"/>
      <c r="M14" s="47"/>
      <c r="N14" s="47"/>
      <c r="O14" s="46"/>
    </row>
    <row r="15" spans="1:17" x14ac:dyDescent="0.2">
      <c r="A15" t="s">
        <v>901</v>
      </c>
      <c r="E15" s="99"/>
      <c r="G15" s="68"/>
      <c r="H15" s="68"/>
      <c r="I15" s="46"/>
      <c r="J15" s="47"/>
      <c r="K15" s="47"/>
      <c r="L15" s="47"/>
      <c r="M15" s="47"/>
      <c r="N15" s="47"/>
      <c r="O15" s="46"/>
    </row>
    <row r="16" spans="1:17"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2B64A666-2CA7-40B1-9968-C05E01078BBF}">
      <formula1>"True,False"</formula1>
    </dataValidation>
    <dataValidation type="list" allowBlank="1" showInputMessage="1" showErrorMessage="1" sqref="B2" xr:uid="{0AE75FB5-36D7-42EC-A09F-67A9511F450A}">
      <formula1>"Table,Figure,Both"</formula1>
    </dataValidation>
    <dataValidation type="list" allowBlank="1" showInputMessage="1" showErrorMessage="1" sqref="B10" xr:uid="{B5A0CA2E-3CAB-47AB-AB06-45613ED89692}">
      <formula1>"Line,Clustered Bar,Stacked Bar,Bar,Horizontal Stacked Bar"</formula1>
    </dataValidation>
    <dataValidation type="list" allowBlank="1" showInputMessage="1" showErrorMessage="1" sqref="P4:Q4" xr:uid="{2409D63A-5263-416D-8715-C49F0BA2460D}">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ADAB96CC-9C45-41D3-9180-6884FCA1A048}">
          <x14:formula1>
            <xm:f>Dropdowns!$A$1:$A$8</xm:f>
          </x14:formula1>
          <xm:sqref>F4:O4</xm:sqref>
        </x14:dataValidation>
        <x14:dataValidation type="list" allowBlank="1" showInputMessage="1" showErrorMessage="1" xr:uid="{8D98EE5E-3BE0-4231-A452-BB8978AAC56C}">
          <x14:formula1>
            <xm:f>Master!$F$2:$F$401</xm:f>
          </x14:formula1>
          <xm:sqref>B1:O1</xm:sqref>
        </x14:dataValidation>
      </x14:dataValidations>
    </ext>
  </extLst>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60C9-792C-4B50-AA94-720F22A9514B}">
  <dimension ref="A1:Q57"/>
  <sheetViews>
    <sheetView workbookViewId="0">
      <selection activeCell="F17" sqref="F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24.5" bestFit="1" customWidth="1"/>
    <col min="8" max="8" width="8.33203125" bestFit="1" customWidth="1"/>
    <col min="9" max="9" width="15.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575</v>
      </c>
      <c r="C1" s="97"/>
      <c r="D1" s="97"/>
      <c r="E1" s="97"/>
      <c r="F1" s="97"/>
      <c r="G1" s="97"/>
      <c r="H1" s="97"/>
      <c r="I1" s="97"/>
      <c r="J1" s="97"/>
      <c r="K1" s="97"/>
      <c r="L1" s="97"/>
      <c r="M1" s="97"/>
      <c r="N1" s="97"/>
      <c r="O1" s="97"/>
    </row>
    <row r="2" spans="1:17" x14ac:dyDescent="0.2">
      <c r="A2" s="58" t="s">
        <v>883</v>
      </c>
      <c r="B2" t="s">
        <v>12</v>
      </c>
    </row>
    <row r="3" spans="1:17" x14ac:dyDescent="0.2">
      <c r="A3" s="58" t="s">
        <v>884</v>
      </c>
      <c r="B3" t="str">
        <f>IF($B$1="","",_xlfn.XLOOKUP($B$1,Master!$F$2:$F$308,Master!$G$2:$G$308,""))</f>
        <v>tbl-rabies-test-wild</v>
      </c>
    </row>
    <row r="4" spans="1:17" x14ac:dyDescent="0.2">
      <c r="A4" s="58" t="s">
        <v>6</v>
      </c>
      <c r="B4" t="str">
        <f>IF($B$1="","",_xlfn.XLOOKUP($B$1,Master!$F$2:$F$308,Master!$H$2:$H$308,""))</f>
        <v>fig-rabies-test-wild</v>
      </c>
      <c r="E4" s="13"/>
      <c r="F4" s="16" t="s">
        <v>664</v>
      </c>
      <c r="G4" s="16" t="s">
        <v>679</v>
      </c>
      <c r="H4" s="16" t="s">
        <v>679</v>
      </c>
      <c r="I4" s="16" t="s">
        <v>679</v>
      </c>
      <c r="J4" s="16"/>
      <c r="K4" s="16"/>
      <c r="L4" s="16"/>
      <c r="M4" s="16"/>
      <c r="N4" s="16"/>
      <c r="O4" s="16"/>
      <c r="P4" s="16"/>
      <c r="Q4" s="16"/>
    </row>
    <row r="5" spans="1:17" x14ac:dyDescent="0.2">
      <c r="A5" s="98" t="s">
        <v>885</v>
      </c>
      <c r="B5" s="99"/>
      <c r="E5" s="100" t="s">
        <v>886</v>
      </c>
      <c r="F5" t="s">
        <v>887</v>
      </c>
      <c r="G5" t="s">
        <v>2019</v>
      </c>
      <c r="H5" t="s">
        <v>2020</v>
      </c>
      <c r="I5" t="s">
        <v>2016</v>
      </c>
    </row>
    <row r="6" spans="1:17" ht="15" customHeight="1" x14ac:dyDescent="0.2">
      <c r="A6" t="s">
        <v>891</v>
      </c>
      <c r="B6" t="b">
        <v>0</v>
      </c>
      <c r="E6" s="99"/>
      <c r="F6" t="s">
        <v>220</v>
      </c>
      <c r="G6" s="55">
        <v>76</v>
      </c>
      <c r="H6" s="55">
        <v>6</v>
      </c>
      <c r="I6" s="55">
        <v>7.9</v>
      </c>
      <c r="J6" s="55"/>
      <c r="K6" s="55"/>
      <c r="L6" s="55"/>
      <c r="M6" s="55"/>
      <c r="N6" s="55"/>
      <c r="O6" s="55"/>
    </row>
    <row r="7" spans="1:17" ht="15.75" customHeight="1" x14ac:dyDescent="0.2">
      <c r="E7" s="99"/>
      <c r="F7" t="s">
        <v>18</v>
      </c>
      <c r="G7" s="55">
        <v>71</v>
      </c>
      <c r="H7" s="55">
        <v>4</v>
      </c>
      <c r="I7" s="55">
        <v>5.6</v>
      </c>
      <c r="J7" s="55"/>
      <c r="K7" s="55"/>
      <c r="L7" s="55"/>
      <c r="M7" s="55"/>
      <c r="N7" s="55"/>
      <c r="O7" s="55"/>
    </row>
    <row r="8" spans="1:17" x14ac:dyDescent="0.2">
      <c r="E8" s="99"/>
      <c r="F8" t="s">
        <v>537</v>
      </c>
      <c r="G8" s="55">
        <v>54</v>
      </c>
      <c r="H8" s="55">
        <v>3</v>
      </c>
      <c r="I8" s="55">
        <v>5.6</v>
      </c>
      <c r="J8" s="55"/>
      <c r="K8" s="55"/>
      <c r="L8" s="55"/>
      <c r="M8" s="55"/>
      <c r="N8" s="55"/>
      <c r="O8" s="55"/>
      <c r="P8" s="14"/>
    </row>
    <row r="9" spans="1:17" x14ac:dyDescent="0.2">
      <c r="A9" s="98" t="s">
        <v>893</v>
      </c>
      <c r="B9" s="99"/>
      <c r="E9" s="99"/>
      <c r="F9" t="s">
        <v>449</v>
      </c>
      <c r="G9" s="55">
        <v>31</v>
      </c>
      <c r="H9" s="55">
        <v>0</v>
      </c>
      <c r="I9" s="55">
        <v>0</v>
      </c>
      <c r="J9" s="55"/>
      <c r="K9" s="55"/>
      <c r="L9" s="55"/>
      <c r="M9" s="55"/>
      <c r="N9" s="55"/>
      <c r="O9" s="55"/>
    </row>
    <row r="10" spans="1:17" x14ac:dyDescent="0.2">
      <c r="A10" t="s">
        <v>894</v>
      </c>
      <c r="E10" s="99"/>
      <c r="F10" t="s">
        <v>409</v>
      </c>
      <c r="G10">
        <v>13</v>
      </c>
      <c r="H10">
        <v>3</v>
      </c>
      <c r="I10">
        <v>23.1</v>
      </c>
    </row>
    <row r="11" spans="1:17" x14ac:dyDescent="0.2">
      <c r="A11" t="s">
        <v>895</v>
      </c>
      <c r="E11" s="99"/>
      <c r="F11" s="46" t="s">
        <v>421</v>
      </c>
      <c r="G11" s="59">
        <v>58</v>
      </c>
      <c r="H11" s="59">
        <v>10</v>
      </c>
      <c r="I11" s="59">
        <v>17.2</v>
      </c>
      <c r="J11" s="42"/>
      <c r="K11" s="42"/>
      <c r="L11" s="42"/>
      <c r="M11" s="47"/>
      <c r="N11" s="47"/>
      <c r="O11" s="46"/>
    </row>
    <row r="12" spans="1:17" x14ac:dyDescent="0.2">
      <c r="A12" t="s">
        <v>896</v>
      </c>
      <c r="E12" s="99"/>
      <c r="F12" s="74" t="s">
        <v>470</v>
      </c>
      <c r="G12" s="42">
        <v>294</v>
      </c>
      <c r="H12" s="42">
        <v>18</v>
      </c>
      <c r="I12" s="59">
        <v>6.1</v>
      </c>
      <c r="J12" s="59"/>
      <c r="K12" s="59"/>
      <c r="L12" s="59"/>
      <c r="M12" s="46"/>
      <c r="N12" s="46"/>
      <c r="O12" s="46"/>
    </row>
    <row r="13" spans="1:17" x14ac:dyDescent="0.2">
      <c r="A13" t="s">
        <v>897</v>
      </c>
      <c r="E13" s="99"/>
      <c r="F13" s="47" t="s">
        <v>898</v>
      </c>
      <c r="G13" s="47" t="s">
        <v>2021</v>
      </c>
      <c r="H13" s="47" t="s">
        <v>2022</v>
      </c>
      <c r="I13" s="46" t="s">
        <v>1889</v>
      </c>
      <c r="J13" s="46"/>
      <c r="K13" s="46"/>
      <c r="L13" s="46"/>
      <c r="M13" s="46"/>
      <c r="N13" s="46"/>
      <c r="O13" s="46"/>
    </row>
    <row r="14" spans="1:17" x14ac:dyDescent="0.2">
      <c r="A14" t="s">
        <v>899</v>
      </c>
      <c r="E14" s="99"/>
      <c r="F14" s="68"/>
      <c r="G14" s="68"/>
      <c r="H14" s="68"/>
      <c r="I14" s="46"/>
      <c r="J14" s="47"/>
      <c r="K14" s="47"/>
      <c r="L14" s="47"/>
      <c r="M14" s="47"/>
      <c r="N14" s="47"/>
      <c r="O14" s="46"/>
    </row>
    <row r="15" spans="1:17" x14ac:dyDescent="0.2">
      <c r="A15" t="s">
        <v>901</v>
      </c>
      <c r="E15" s="99"/>
      <c r="G15" s="68"/>
      <c r="H15" s="68"/>
      <c r="I15" s="46"/>
      <c r="J15" s="47"/>
      <c r="K15" s="47"/>
      <c r="L15" s="47"/>
      <c r="M15" s="47"/>
      <c r="N15" s="47"/>
      <c r="O15" s="46"/>
    </row>
    <row r="16" spans="1:17" x14ac:dyDescent="0.2">
      <c r="A16" t="s">
        <v>1145</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5EED894F-EEED-4B35-A884-0CFC8B4A411E}">
      <formula1>"integer, number, percent1"</formula1>
    </dataValidation>
    <dataValidation type="list" allowBlank="1" showInputMessage="1" showErrorMessage="1" sqref="B10" xr:uid="{2D39C077-3578-4424-8E95-8A4BA8F719F4}">
      <formula1>"Line,Clustered Bar,Stacked Bar,Bar,Horizontal Stacked Bar"</formula1>
    </dataValidation>
    <dataValidation type="list" allowBlank="1" showInputMessage="1" showErrorMessage="1" sqref="B2" xr:uid="{D52D5D3A-E87A-4C8B-9FB4-843C63FE7897}">
      <formula1>"Table,Figure,Both"</formula1>
    </dataValidation>
    <dataValidation type="list" allowBlank="1" showInputMessage="1" showErrorMessage="1" sqref="B6 B15:B16" xr:uid="{2DBBF723-6681-4427-BF4B-E83AA745FC76}">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86805460-616F-491D-B339-44ED5F5DAB63}">
          <x14:formula1>
            <xm:f>Master!$F$2:$F$401</xm:f>
          </x14:formula1>
          <xm:sqref>B1:O1</xm:sqref>
        </x14:dataValidation>
        <x14:dataValidation type="list" allowBlank="1" showInputMessage="1" showErrorMessage="1" xr:uid="{01BF55A1-CCA1-46B7-81B9-5C0BE1FD7754}">
          <x14:formula1>
            <xm:f>Dropdowns!$A$1:$A$8</xm:f>
          </x14:formula1>
          <xm:sqref>F4:O4</xm:sqref>
        </x14:dataValidation>
      </x14:dataValidations>
    </ext>
  </extLst>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28657-DB56-4DC6-AB82-A9CAAF1E42CB}">
  <dimension ref="A1:Q57"/>
  <sheetViews>
    <sheetView workbookViewId="0">
      <selection activeCell="F5" sqref="F5"/>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576</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tbl-rabies-pep-rate</v>
      </c>
    </row>
    <row r="4" spans="1:17" x14ac:dyDescent="0.2">
      <c r="A4" s="58" t="s">
        <v>6</v>
      </c>
      <c r="B4" t="str">
        <f>IF($B$1="","",_xlfn.XLOOKUP($B$1,Master!$F$2:$F$308,Master!$H$2:$H$308,""))</f>
        <v>fig-rabies-pep-rate</v>
      </c>
      <c r="E4" s="13"/>
      <c r="F4" s="16" t="s">
        <v>664</v>
      </c>
      <c r="G4" s="16" t="s">
        <v>679</v>
      </c>
      <c r="H4" s="16" t="s">
        <v>679</v>
      </c>
      <c r="I4" s="16" t="s">
        <v>679</v>
      </c>
      <c r="J4" s="16" t="s">
        <v>679</v>
      </c>
      <c r="K4" s="16" t="s">
        <v>679</v>
      </c>
      <c r="L4" s="16" t="s">
        <v>679</v>
      </c>
      <c r="M4" s="16" t="s">
        <v>679</v>
      </c>
      <c r="N4" s="16" t="s">
        <v>679</v>
      </c>
      <c r="O4" s="16"/>
      <c r="P4" s="16"/>
      <c r="Q4" s="16"/>
    </row>
    <row r="5" spans="1:17" x14ac:dyDescent="0.2">
      <c r="A5" s="98" t="s">
        <v>885</v>
      </c>
      <c r="B5" s="99"/>
      <c r="E5" s="100" t="s">
        <v>886</v>
      </c>
      <c r="F5" s="82" t="s">
        <v>1123</v>
      </c>
      <c r="G5" t="s">
        <v>220</v>
      </c>
      <c r="H5" t="s">
        <v>18</v>
      </c>
      <c r="I5" t="s">
        <v>537</v>
      </c>
      <c r="J5" t="s">
        <v>449</v>
      </c>
      <c r="K5" t="s">
        <v>409</v>
      </c>
      <c r="L5" t="s">
        <v>421</v>
      </c>
      <c r="M5" t="s">
        <v>470</v>
      </c>
      <c r="N5" t="s">
        <v>898</v>
      </c>
    </row>
    <row r="6" spans="1:17" ht="15" customHeight="1" x14ac:dyDescent="0.2">
      <c r="A6" t="s">
        <v>891</v>
      </c>
      <c r="B6" t="b">
        <v>0</v>
      </c>
      <c r="E6" s="99"/>
      <c r="F6">
        <v>2021</v>
      </c>
      <c r="G6" s="55">
        <v>2.4</v>
      </c>
      <c r="H6" s="55">
        <v>2.1</v>
      </c>
      <c r="I6" s="55">
        <v>2.2999999999999998</v>
      </c>
      <c r="J6" s="55">
        <v>1.4</v>
      </c>
      <c r="K6" s="55">
        <v>2</v>
      </c>
      <c r="L6" s="55">
        <v>3.8</v>
      </c>
      <c r="M6" s="55">
        <v>1.9</v>
      </c>
      <c r="N6" s="55">
        <v>2.1</v>
      </c>
      <c r="O6" s="55"/>
    </row>
    <row r="7" spans="1:17" ht="15.75" customHeight="1" x14ac:dyDescent="0.2">
      <c r="E7" s="99"/>
      <c r="F7">
        <v>2022</v>
      </c>
      <c r="G7" s="55">
        <v>4.0999999999999996</v>
      </c>
      <c r="H7" s="55">
        <v>2.4</v>
      </c>
      <c r="I7" s="55">
        <v>2.9</v>
      </c>
      <c r="J7" s="55">
        <v>2.7</v>
      </c>
      <c r="K7" s="55">
        <v>2.4</v>
      </c>
      <c r="L7" s="55">
        <v>2.5</v>
      </c>
      <c r="M7" s="55">
        <v>2.1</v>
      </c>
      <c r="N7" s="55">
        <v>2.5</v>
      </c>
      <c r="O7" s="55"/>
    </row>
    <row r="8" spans="1:17" x14ac:dyDescent="0.2">
      <c r="E8" s="99"/>
      <c r="F8">
        <v>2023</v>
      </c>
      <c r="G8" s="55">
        <v>3.3</v>
      </c>
      <c r="H8" s="55">
        <v>3</v>
      </c>
      <c r="I8" s="55">
        <v>2.4</v>
      </c>
      <c r="J8" s="55">
        <v>4.4000000000000004</v>
      </c>
      <c r="K8" s="55">
        <v>3.3</v>
      </c>
      <c r="L8" s="55">
        <v>1.7</v>
      </c>
      <c r="M8" s="55">
        <v>1.9</v>
      </c>
      <c r="N8" s="55">
        <v>2.7</v>
      </c>
      <c r="O8" s="55"/>
      <c r="P8" s="14"/>
    </row>
    <row r="9" spans="1:17" x14ac:dyDescent="0.2">
      <c r="A9" s="98" t="s">
        <v>893</v>
      </c>
      <c r="B9" s="99"/>
      <c r="E9" s="99"/>
      <c r="F9">
        <v>2024</v>
      </c>
      <c r="G9" s="55">
        <v>3</v>
      </c>
      <c r="H9" s="55">
        <v>4.9000000000000004</v>
      </c>
      <c r="I9" s="55">
        <v>3.4</v>
      </c>
      <c r="J9" s="55">
        <v>1.9</v>
      </c>
      <c r="K9" s="55">
        <v>4.5999999999999996</v>
      </c>
      <c r="L9" s="55">
        <v>0.8</v>
      </c>
      <c r="M9" s="55">
        <v>2.5</v>
      </c>
      <c r="N9" s="55">
        <v>2.9</v>
      </c>
      <c r="O9" s="55"/>
    </row>
    <row r="10" spans="1:17" x14ac:dyDescent="0.2">
      <c r="A10" t="s">
        <v>894</v>
      </c>
      <c r="B10" t="s">
        <v>972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715</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780C3F6B-FCB4-444C-997B-C1CED7DF45F1}">
      <formula1>"integer, number, percent1"</formula1>
    </dataValidation>
    <dataValidation type="list" allowBlank="1" showInputMessage="1" showErrorMessage="1" sqref="B10" xr:uid="{47987E0A-D28E-4D19-ACAB-A81269B0CFFC}">
      <formula1>"Line,Clustered Bar,Stacked Bar,Bar,Horizontal Stacked Bar"</formula1>
    </dataValidation>
    <dataValidation type="list" allowBlank="1" showInputMessage="1" showErrorMessage="1" sqref="B2" xr:uid="{C5E0BBF6-0E37-43B0-A204-9F21E84B0DBF}">
      <formula1>"Table,Figure,Both"</formula1>
    </dataValidation>
    <dataValidation type="list" allowBlank="1" showInputMessage="1" showErrorMessage="1" sqref="B6 B15:B16" xr:uid="{0F3AA0CB-7EC4-4C19-AC38-3BD31ED8165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126EAC6-DA74-4053-A4D6-0E35EBD549E9}">
          <x14:formula1>
            <xm:f>Master!$F$2:$F$401</xm:f>
          </x14:formula1>
          <xm:sqref>B1:O1</xm:sqref>
        </x14:dataValidation>
        <x14:dataValidation type="list" allowBlank="1" showInputMessage="1" showErrorMessage="1" xr:uid="{14D252FD-70F3-42DC-B67C-8D2C3B8D654F}">
          <x14:formula1>
            <xm:f>Dropdowns!$A$1:$A$8</xm:f>
          </x14:formula1>
          <xm:sqref>F4:O4</xm:sqref>
        </x14:dataValidation>
      </x14:dataValidations>
    </ext>
  </extLst>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6C90-F8EA-40FB-AB20-BF3F427552B9}">
  <dimension ref="A1:Q57"/>
  <sheetViews>
    <sheetView workbookViewId="0">
      <selection activeCell="P4" sqref="P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580</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tbl-early-pnc-percent</v>
      </c>
    </row>
    <row r="4" spans="1:17" x14ac:dyDescent="0.2">
      <c r="A4" s="58" t="s">
        <v>6</v>
      </c>
      <c r="B4" t="str">
        <f>IF($B$1="","",_xlfn.XLOOKUP($B$1,Master!$F$2:$F$308,Master!$H$2:$H$308,""))</f>
        <v>fig-early-pnc-percent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t="s">
        <v>1123</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78.900000000000006</v>
      </c>
      <c r="H7" s="55">
        <v>73.599999999999994</v>
      </c>
      <c r="I7" s="55">
        <v>78.099999999999994</v>
      </c>
      <c r="J7" s="55">
        <v>67.3</v>
      </c>
      <c r="K7" s="55">
        <v>66.5</v>
      </c>
      <c r="L7" s="55">
        <v>77.8</v>
      </c>
      <c r="M7" s="55">
        <v>66.2</v>
      </c>
      <c r="N7" s="55">
        <v>75.8</v>
      </c>
      <c r="O7" s="55">
        <v>73.900000000000006</v>
      </c>
    </row>
    <row r="8" spans="1:17" x14ac:dyDescent="0.2">
      <c r="E8" s="99"/>
      <c r="F8">
        <v>2015</v>
      </c>
      <c r="G8" s="55">
        <v>81.3</v>
      </c>
      <c r="H8" s="55">
        <v>73.400000000000006</v>
      </c>
      <c r="I8" s="55">
        <v>79.7</v>
      </c>
      <c r="J8" s="55">
        <v>69.3</v>
      </c>
      <c r="K8" s="55">
        <v>66.5</v>
      </c>
      <c r="L8" s="55">
        <v>77.5</v>
      </c>
      <c r="M8" s="55">
        <v>70.099999999999994</v>
      </c>
      <c r="N8" s="55">
        <v>76.900000000000006</v>
      </c>
      <c r="O8" s="55">
        <v>75.400000000000006</v>
      </c>
      <c r="P8" s="14"/>
    </row>
    <row r="9" spans="1:17" x14ac:dyDescent="0.2">
      <c r="A9" s="98" t="s">
        <v>893</v>
      </c>
      <c r="B9" s="99"/>
      <c r="E9" s="99"/>
      <c r="F9">
        <v>2016</v>
      </c>
      <c r="G9" s="55">
        <v>83.1</v>
      </c>
      <c r="H9" s="55">
        <v>74.5</v>
      </c>
      <c r="I9" s="55">
        <v>83.6</v>
      </c>
      <c r="J9" s="55">
        <v>72.2</v>
      </c>
      <c r="K9" s="55">
        <v>67.400000000000006</v>
      </c>
      <c r="L9" s="55">
        <v>75.599999999999994</v>
      </c>
      <c r="M9" s="55">
        <v>75.8</v>
      </c>
      <c r="N9" s="55">
        <v>78.400000000000006</v>
      </c>
      <c r="O9" s="55">
        <v>76.400000000000006</v>
      </c>
    </row>
    <row r="10" spans="1:17" x14ac:dyDescent="0.2">
      <c r="A10" t="s">
        <v>894</v>
      </c>
      <c r="B10" t="s">
        <v>972</v>
      </c>
      <c r="E10" s="99"/>
      <c r="F10">
        <v>2017</v>
      </c>
      <c r="G10">
        <v>84.7</v>
      </c>
      <c r="H10">
        <v>73.599999999999994</v>
      </c>
      <c r="I10">
        <v>85.7</v>
      </c>
      <c r="J10">
        <v>74.099999999999994</v>
      </c>
      <c r="K10">
        <v>67.900000000000006</v>
      </c>
      <c r="L10">
        <v>74</v>
      </c>
      <c r="M10">
        <v>80.900000000000006</v>
      </c>
      <c r="N10">
        <v>77.8</v>
      </c>
      <c r="O10">
        <v>76.3</v>
      </c>
    </row>
    <row r="11" spans="1:17" x14ac:dyDescent="0.2">
      <c r="A11" t="s">
        <v>895</v>
      </c>
      <c r="B11" t="s">
        <v>887</v>
      </c>
      <c r="E11" s="99"/>
      <c r="F11" s="46" t="s">
        <v>1944</v>
      </c>
      <c r="G11" s="59">
        <v>84.4</v>
      </c>
      <c r="H11" s="59">
        <v>72.400000000000006</v>
      </c>
      <c r="I11" s="59">
        <v>86.8</v>
      </c>
      <c r="J11" s="42">
        <v>74.5</v>
      </c>
      <c r="K11" s="42">
        <v>67.7</v>
      </c>
      <c r="L11" s="42">
        <v>72.5</v>
      </c>
      <c r="M11" s="47" t="s">
        <v>2023</v>
      </c>
      <c r="N11" s="47" t="s">
        <v>2024</v>
      </c>
      <c r="O11" s="46" t="s">
        <v>2025</v>
      </c>
    </row>
    <row r="12" spans="1:17" x14ac:dyDescent="0.2">
      <c r="A12" t="s">
        <v>896</v>
      </c>
      <c r="E12" s="99"/>
      <c r="F12" s="74" t="s">
        <v>1946</v>
      </c>
      <c r="G12" s="42">
        <v>84.2</v>
      </c>
      <c r="H12" s="42">
        <v>70.900000000000006</v>
      </c>
      <c r="I12" s="59">
        <v>85.3</v>
      </c>
      <c r="J12" s="59">
        <v>74.5</v>
      </c>
      <c r="K12" s="59">
        <v>66.2</v>
      </c>
      <c r="L12" s="59">
        <v>72.900000000000006</v>
      </c>
      <c r="M12" s="46" t="s">
        <v>2026</v>
      </c>
      <c r="N12" s="46" t="s">
        <v>2027</v>
      </c>
      <c r="O12" s="46" t="s">
        <v>2028</v>
      </c>
    </row>
    <row r="13" spans="1:17" x14ac:dyDescent="0.2">
      <c r="A13" t="s">
        <v>897</v>
      </c>
      <c r="E13" s="99"/>
      <c r="F13" s="47" t="s">
        <v>1948</v>
      </c>
      <c r="G13" s="47" t="s">
        <v>2029</v>
      </c>
      <c r="H13" s="47" t="s">
        <v>2030</v>
      </c>
      <c r="I13" s="46" t="s">
        <v>2031</v>
      </c>
      <c r="J13" s="46" t="s">
        <v>2032</v>
      </c>
      <c r="K13" s="46" t="s">
        <v>2033</v>
      </c>
      <c r="L13" s="46" t="s">
        <v>2034</v>
      </c>
      <c r="M13" s="46" t="s">
        <v>2035</v>
      </c>
      <c r="N13" s="46" t="s">
        <v>2036</v>
      </c>
      <c r="O13" s="46" t="s">
        <v>2037</v>
      </c>
    </row>
    <row r="14" spans="1:17" x14ac:dyDescent="0.2">
      <c r="A14" t="s">
        <v>899</v>
      </c>
      <c r="B14" t="s">
        <v>715</v>
      </c>
      <c r="E14" s="99"/>
      <c r="F14" s="68" t="s">
        <v>1142</v>
      </c>
      <c r="G14" s="68" t="s">
        <v>2038</v>
      </c>
      <c r="H14" s="68" t="s">
        <v>2039</v>
      </c>
      <c r="I14" s="46" t="s">
        <v>2040</v>
      </c>
      <c r="J14" s="47" t="s">
        <v>2041</v>
      </c>
      <c r="K14" s="47" t="s">
        <v>2042</v>
      </c>
      <c r="L14" s="47" t="s">
        <v>2043</v>
      </c>
      <c r="M14" s="47" t="s">
        <v>2044</v>
      </c>
      <c r="N14" s="47" t="s">
        <v>2045</v>
      </c>
      <c r="O14" s="46" t="s">
        <v>2046</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G5:M5"/>
    <mergeCell ref="N5:O5"/>
  </mergeCells>
  <dataValidations count="4">
    <dataValidation type="list" allowBlank="1" showInputMessage="1" showErrorMessage="1" sqref="B6 B15:B16" xr:uid="{5A7E7EAB-EA25-41B1-9267-5C64EBBCC63D}">
      <formula1>"True,False"</formula1>
    </dataValidation>
    <dataValidation type="list" allowBlank="1" showInputMessage="1" showErrorMessage="1" sqref="B2" xr:uid="{65F79499-8DFE-4B81-951B-72DAB12F485B}">
      <formula1>"Table,Figure,Both"</formula1>
    </dataValidation>
    <dataValidation type="list" allowBlank="1" showInputMessage="1" showErrorMessage="1" sqref="B10" xr:uid="{DF4209E1-A3C4-4D82-89B1-6536F2CD6FD5}">
      <formula1>"Line,Clustered Bar,Stacked Bar,Bar,Horizontal Stacked Bar"</formula1>
    </dataValidation>
    <dataValidation type="list" allowBlank="1" showInputMessage="1" showErrorMessage="1" sqref="P4:Q4" xr:uid="{11C2AB26-3851-4F54-B837-A1654E850CDC}">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0EFA481-03BE-42F9-BC7B-4689B06901F9}">
          <x14:formula1>
            <xm:f>Dropdowns!$A$1:$A$8</xm:f>
          </x14:formula1>
          <xm:sqref>F4:O4</xm:sqref>
        </x14:dataValidation>
        <x14:dataValidation type="list" allowBlank="1" showInputMessage="1" showErrorMessage="1" xr:uid="{17242E09-C43B-4A0E-A455-2255CC3941BB}">
          <x14:formula1>
            <xm:f>Master!$F$2:$F$401</xm:f>
          </x14:formula1>
          <xm:sqref>B1:O1</xm:sqref>
        </x14:dataValidation>
      </x14:dataValidations>
    </ext>
  </extLst>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9A0A-C393-49E4-8BED-33C33FB3F09B}">
  <dimension ref="A1:Q57"/>
  <sheetViews>
    <sheetView workbookViewId="0">
      <selection activeCell="F6" sqref="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581</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tbl-late-no-pnc-percent</v>
      </c>
    </row>
    <row r="4" spans="1:17" x14ac:dyDescent="0.2">
      <c r="A4" s="58" t="s">
        <v>6</v>
      </c>
      <c r="B4" t="str">
        <f>IF($B$1="","",_xlfn.XLOOKUP($B$1,Master!$F$2:$F$308,Master!$H$2:$H$308,""))</f>
        <v>fig-late-no-pnc-percent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s="82" t="s">
        <v>1123</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3.2</v>
      </c>
      <c r="H7" s="55">
        <v>3.9</v>
      </c>
      <c r="I7" s="55">
        <v>2.2999999999999998</v>
      </c>
      <c r="J7" s="55">
        <v>4.7</v>
      </c>
      <c r="K7" s="55">
        <v>5.8</v>
      </c>
      <c r="L7" s="55">
        <v>3.9</v>
      </c>
      <c r="M7" s="55">
        <v>4.0999999999999996</v>
      </c>
      <c r="N7" s="55">
        <v>4.0999999999999996</v>
      </c>
      <c r="O7" s="55">
        <v>5.6</v>
      </c>
    </row>
    <row r="8" spans="1:17" x14ac:dyDescent="0.2">
      <c r="E8" s="99"/>
      <c r="F8">
        <v>2015</v>
      </c>
      <c r="G8" s="55">
        <v>3.1</v>
      </c>
      <c r="H8" s="55">
        <v>4.0999999999999996</v>
      </c>
      <c r="I8" s="55">
        <v>2.6</v>
      </c>
      <c r="J8" s="55">
        <v>4.5999999999999996</v>
      </c>
      <c r="K8" s="55">
        <v>6.1</v>
      </c>
      <c r="L8" s="55">
        <v>3.9</v>
      </c>
      <c r="M8" s="55">
        <v>4</v>
      </c>
      <c r="N8" s="55">
        <v>4</v>
      </c>
      <c r="O8" s="55">
        <v>5.4</v>
      </c>
      <c r="P8" s="14"/>
    </row>
    <row r="9" spans="1:17" x14ac:dyDescent="0.2">
      <c r="A9" s="98" t="s">
        <v>893</v>
      </c>
      <c r="B9" s="99"/>
      <c r="E9" s="99"/>
      <c r="F9">
        <v>2016</v>
      </c>
      <c r="G9" s="55">
        <v>3.4</v>
      </c>
      <c r="H9" s="55">
        <v>4.4000000000000004</v>
      </c>
      <c r="I9" s="55">
        <v>2.7</v>
      </c>
      <c r="J9" s="55">
        <v>4.2</v>
      </c>
      <c r="K9" s="55">
        <v>6.3</v>
      </c>
      <c r="L9" s="55">
        <v>4.9000000000000004</v>
      </c>
      <c r="M9" s="55">
        <v>3.9</v>
      </c>
      <c r="N9" s="55">
        <v>4.4000000000000004</v>
      </c>
      <c r="O9" s="55">
        <v>5.7</v>
      </c>
    </row>
    <row r="10" spans="1:17" x14ac:dyDescent="0.2">
      <c r="A10" t="s">
        <v>894</v>
      </c>
      <c r="B10" t="s">
        <v>972</v>
      </c>
      <c r="E10" s="99"/>
      <c r="F10">
        <v>2017</v>
      </c>
      <c r="G10">
        <v>3.7</v>
      </c>
      <c r="H10">
        <v>5</v>
      </c>
      <c r="I10">
        <v>2.6</v>
      </c>
      <c r="J10">
        <v>3.9</v>
      </c>
      <c r="K10">
        <v>5.9</v>
      </c>
      <c r="L10">
        <v>4.7</v>
      </c>
      <c r="M10">
        <v>3.9</v>
      </c>
      <c r="N10">
        <v>4.4000000000000004</v>
      </c>
      <c r="O10">
        <v>5.4</v>
      </c>
    </row>
    <row r="11" spans="1:17" x14ac:dyDescent="0.2">
      <c r="A11" t="s">
        <v>895</v>
      </c>
      <c r="B11" t="s">
        <v>887</v>
      </c>
      <c r="E11" s="99"/>
      <c r="F11" s="46" t="s">
        <v>1944</v>
      </c>
      <c r="G11" s="59">
        <v>3.7</v>
      </c>
      <c r="H11" s="59">
        <v>5.3</v>
      </c>
      <c r="I11" s="59">
        <v>2.5</v>
      </c>
      <c r="J11" s="42">
        <v>3.8</v>
      </c>
      <c r="K11" s="42">
        <v>5.2</v>
      </c>
      <c r="L11" s="42">
        <v>5.2</v>
      </c>
      <c r="M11" s="47" t="s">
        <v>2047</v>
      </c>
      <c r="N11" s="47" t="s">
        <v>1992</v>
      </c>
      <c r="O11" s="46" t="s">
        <v>1985</v>
      </c>
    </row>
    <row r="12" spans="1:17" x14ac:dyDescent="0.2">
      <c r="A12" t="s">
        <v>896</v>
      </c>
      <c r="E12" s="99"/>
      <c r="F12" s="74" t="s">
        <v>1946</v>
      </c>
      <c r="G12" s="42">
        <v>3.7</v>
      </c>
      <c r="H12" s="42">
        <v>5.3</v>
      </c>
      <c r="I12" s="59">
        <v>2.4</v>
      </c>
      <c r="J12" s="59">
        <v>3.8</v>
      </c>
      <c r="K12" s="59">
        <v>5.8</v>
      </c>
      <c r="L12" s="59">
        <v>4.7</v>
      </c>
      <c r="M12" s="46" t="s">
        <v>1992</v>
      </c>
      <c r="N12" s="46" t="s">
        <v>2048</v>
      </c>
      <c r="O12" s="46" t="s">
        <v>2049</v>
      </c>
    </row>
    <row r="13" spans="1:17" x14ac:dyDescent="0.2">
      <c r="A13" t="s">
        <v>897</v>
      </c>
      <c r="E13" s="99"/>
      <c r="F13" s="47" t="s">
        <v>1948</v>
      </c>
      <c r="G13" s="47" t="s">
        <v>2050</v>
      </c>
      <c r="H13" s="47" t="s">
        <v>1947</v>
      </c>
      <c r="I13" s="46" t="s">
        <v>1507</v>
      </c>
      <c r="J13" s="46" t="s">
        <v>2051</v>
      </c>
      <c r="K13" s="46" t="s">
        <v>2052</v>
      </c>
      <c r="L13" s="46" t="s">
        <v>2053</v>
      </c>
      <c r="M13" s="46" t="s">
        <v>1950</v>
      </c>
      <c r="N13" s="46" t="s">
        <v>2054</v>
      </c>
      <c r="O13" s="46" t="s">
        <v>1990</v>
      </c>
    </row>
    <row r="14" spans="1:17" x14ac:dyDescent="0.2">
      <c r="A14" t="s">
        <v>899</v>
      </c>
      <c r="B14" t="s">
        <v>715</v>
      </c>
      <c r="E14" s="99"/>
      <c r="F14" s="68" t="s">
        <v>1142</v>
      </c>
      <c r="G14" s="68" t="s">
        <v>2048</v>
      </c>
      <c r="H14" s="68" t="s">
        <v>1951</v>
      </c>
      <c r="I14" s="46" t="s">
        <v>1485</v>
      </c>
      <c r="J14" s="47" t="s">
        <v>2048</v>
      </c>
      <c r="K14" s="47" t="s">
        <v>1467</v>
      </c>
      <c r="L14" s="47" t="s">
        <v>1506</v>
      </c>
      <c r="M14" s="47" t="s">
        <v>1952</v>
      </c>
      <c r="N14" s="47" t="s">
        <v>2048</v>
      </c>
      <c r="O14" s="46" t="s">
        <v>1985</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G5:M5"/>
    <mergeCell ref="N5:O5"/>
    <mergeCell ref="A9:B9"/>
    <mergeCell ref="A18:B18"/>
    <mergeCell ref="A27:B27"/>
  </mergeCells>
  <dataValidations count="4">
    <dataValidation type="list" allowBlank="1" showInputMessage="1" showErrorMessage="1" sqref="P4:Q4" xr:uid="{C63A1484-1FBD-4DA2-953B-14E94E916A58}">
      <formula1>"integer, number, percent1"</formula1>
    </dataValidation>
    <dataValidation type="list" allowBlank="1" showInputMessage="1" showErrorMessage="1" sqref="B10" xr:uid="{7D783893-A19C-41B4-84F5-15382175B13C}">
      <formula1>"Line,Clustered Bar,Stacked Bar,Bar,Horizontal Stacked Bar"</formula1>
    </dataValidation>
    <dataValidation type="list" allowBlank="1" showInputMessage="1" showErrorMessage="1" sqref="B2" xr:uid="{285845A5-B5D3-4287-A2C5-A7043FC9D71F}">
      <formula1>"Table,Figure,Both"</formula1>
    </dataValidation>
    <dataValidation type="list" allowBlank="1" showInputMessage="1" showErrorMessage="1" sqref="B6 B15:B16" xr:uid="{01AFF703-138C-4D31-B27E-11484BB68B8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3F3C8F05-695B-4D18-865F-4C257573B589}">
          <x14:formula1>
            <xm:f>Master!$F$2:$F$401</xm:f>
          </x14:formula1>
          <xm:sqref>B1:O1</xm:sqref>
        </x14:dataValidation>
        <x14:dataValidation type="list" allowBlank="1" showInputMessage="1" showErrorMessage="1" xr:uid="{E60D7742-6749-420D-8F5A-588701EC5B66}">
          <x14:formula1>
            <xm:f>Dropdowns!$A$1:$A$8</xm:f>
          </x14:formula1>
          <xm:sqref>F4:O4</xm:sqref>
        </x14:dataValidation>
      </x14:dataValidations>
    </ext>
  </extLst>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209F-34DC-461E-A937-3639544EB5F9}">
  <dimension ref="A1:Q57"/>
  <sheetViews>
    <sheetView workbookViewId="0">
      <selection activeCell="C6" sqref="C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582</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tbl-epc-rande-percent</v>
      </c>
    </row>
    <row r="4" spans="1:17" x14ac:dyDescent="0.2">
      <c r="A4" s="58" t="s">
        <v>6</v>
      </c>
      <c r="B4" t="str">
        <f>IF($B$1="","",_xlfn.XLOOKUP($B$1,Master!$F$2:$F$308,Master!$H$2:$H$308,""))</f>
        <v>fig-epc-rande-percent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2167</v>
      </c>
      <c r="G5" t="s">
        <v>220</v>
      </c>
      <c r="H5" t="s">
        <v>18</v>
      </c>
      <c r="I5" t="s">
        <v>537</v>
      </c>
      <c r="J5" t="s">
        <v>449</v>
      </c>
      <c r="K5" t="s">
        <v>409</v>
      </c>
      <c r="L5" t="s">
        <v>421</v>
      </c>
      <c r="M5" t="s">
        <v>470</v>
      </c>
      <c r="N5" t="s">
        <v>914</v>
      </c>
      <c r="O5" t="s">
        <v>915</v>
      </c>
    </row>
    <row r="6" spans="1:17" ht="15" customHeight="1" x14ac:dyDescent="0.2">
      <c r="A6" t="s">
        <v>891</v>
      </c>
      <c r="B6" t="b">
        <v>0</v>
      </c>
      <c r="E6" s="99"/>
      <c r="F6" t="s">
        <v>929</v>
      </c>
      <c r="G6" s="55">
        <v>84.7</v>
      </c>
      <c r="H6" s="55">
        <v>73.2</v>
      </c>
      <c r="I6" s="55">
        <v>89</v>
      </c>
      <c r="J6" s="55">
        <v>74.099999999999994</v>
      </c>
      <c r="K6" s="55">
        <v>62.3</v>
      </c>
      <c r="L6" s="55">
        <v>72.8</v>
      </c>
      <c r="M6" s="55">
        <v>85.5</v>
      </c>
      <c r="N6" s="55">
        <v>81.2</v>
      </c>
      <c r="O6" s="55">
        <v>81.099999999999994</v>
      </c>
    </row>
    <row r="7" spans="1:17" ht="15.75" customHeight="1" x14ac:dyDescent="0.2">
      <c r="E7" s="99"/>
      <c r="F7" t="s">
        <v>1552</v>
      </c>
      <c r="G7" s="55">
        <v>75.5</v>
      </c>
      <c r="H7" s="55">
        <v>60.9</v>
      </c>
      <c r="I7" s="55">
        <v>86.4</v>
      </c>
      <c r="J7" s="55">
        <v>66.8</v>
      </c>
      <c r="K7" s="55">
        <v>53.2</v>
      </c>
      <c r="L7" s="55">
        <v>61.3</v>
      </c>
      <c r="M7" s="55">
        <v>69.5</v>
      </c>
      <c r="N7" s="55">
        <v>69.400000000000006</v>
      </c>
      <c r="O7" s="55">
        <v>65.2</v>
      </c>
    </row>
    <row r="8" spans="1:17" x14ac:dyDescent="0.2">
      <c r="E8" s="99"/>
      <c r="F8" t="s">
        <v>1553</v>
      </c>
      <c r="G8" s="55">
        <v>79.400000000000006</v>
      </c>
      <c r="H8" s="55">
        <v>65.3</v>
      </c>
      <c r="I8" s="55">
        <v>79.2</v>
      </c>
      <c r="J8" s="55">
        <v>79.3</v>
      </c>
      <c r="K8" s="55">
        <v>66.099999999999994</v>
      </c>
      <c r="L8" s="55">
        <v>67.7</v>
      </c>
      <c r="M8" s="55">
        <v>79.900000000000006</v>
      </c>
      <c r="N8" s="55">
        <v>77.2</v>
      </c>
      <c r="O8" s="55">
        <v>77.5</v>
      </c>
      <c r="P8" s="14"/>
    </row>
    <row r="9" spans="1:17" x14ac:dyDescent="0.2">
      <c r="A9" s="98" t="s">
        <v>893</v>
      </c>
      <c r="B9" s="99"/>
      <c r="E9" s="99"/>
      <c r="F9" t="s">
        <v>927</v>
      </c>
      <c r="G9" s="55">
        <v>74.3</v>
      </c>
      <c r="H9" s="55">
        <v>60.2</v>
      </c>
      <c r="I9" s="55">
        <v>74.599999999999994</v>
      </c>
      <c r="J9" s="55">
        <v>62.4</v>
      </c>
      <c r="K9" s="55">
        <v>60</v>
      </c>
      <c r="L9" s="55">
        <v>62.5</v>
      </c>
      <c r="M9" s="55">
        <v>72</v>
      </c>
      <c r="N9" s="55">
        <v>70.599999999999994</v>
      </c>
      <c r="O9" s="55">
        <v>67.7</v>
      </c>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9FD4F92B-4433-4200-8415-BC7A6B206B32}">
      <formula1>"integer, number, percent1"</formula1>
    </dataValidation>
    <dataValidation type="list" allowBlank="1" showInputMessage="1" showErrorMessage="1" sqref="B10" xr:uid="{72CAC6FD-AEFE-49B7-B265-2FC618576C19}">
      <formula1>"Line,Clustered Bar,Stacked Bar,Bar,Horizontal Stacked Bar"</formula1>
    </dataValidation>
    <dataValidation type="list" allowBlank="1" showInputMessage="1" showErrorMessage="1" sqref="B2" xr:uid="{5BFD7D4D-10FC-4D71-9FF3-5D04A10497B8}">
      <formula1>"Table,Figure,Both"</formula1>
    </dataValidation>
    <dataValidation type="list" allowBlank="1" showInputMessage="1" showErrorMessage="1" sqref="B6 B15:B16" xr:uid="{1865F8F4-18D2-4943-AFA2-E67DA6EAFD58}">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D6369C1-2D47-41E7-89CE-0CA3843D77E4}">
          <x14:formula1>
            <xm:f>Master!$F$2:$F$401</xm:f>
          </x14:formula1>
          <xm:sqref>B1:O1</xm:sqref>
        </x14:dataValidation>
        <x14:dataValidation type="list" allowBlank="1" showInputMessage="1" showErrorMessage="1" xr:uid="{38179A06-9CDB-4655-8775-7EAD9EE94855}">
          <x14:formula1>
            <xm:f>Dropdowns!$A$1:$A$8</xm:f>
          </x14:formula1>
          <xm:sqref>F4:O4</xm:sqref>
        </x14:dataValidation>
      </x14:dataValidations>
    </ext>
  </extLst>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8CDA-6F5B-47E8-AEA8-CCD62ECF6F38}">
  <dimension ref="A1:Q57"/>
  <sheetViews>
    <sheetView workbookViewId="0">
      <selection activeCell="F6" sqref="F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584</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tbl-15to44-preg-rate</v>
      </c>
    </row>
    <row r="4" spans="1:17" x14ac:dyDescent="0.2">
      <c r="A4" s="58" t="s">
        <v>6</v>
      </c>
      <c r="B4" t="str">
        <f>IF($B$1="","",_xlfn.XLOOKUP($B$1,Master!$F$2:$F$308,Master!$H$2:$H$308,""))</f>
        <v>fig-15to44-preg-rate</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s="82" t="s">
        <v>1123</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65</v>
      </c>
      <c r="H7" s="55">
        <v>91.1</v>
      </c>
      <c r="I7" s="55">
        <v>55.8</v>
      </c>
      <c r="J7" s="55">
        <v>94.3</v>
      </c>
      <c r="K7" s="55">
        <v>86.3</v>
      </c>
      <c r="L7" s="55">
        <v>66.3</v>
      </c>
      <c r="M7" s="55">
        <v>75.2</v>
      </c>
      <c r="N7" s="55">
        <v>74.3</v>
      </c>
      <c r="O7" s="55">
        <v>86.5</v>
      </c>
    </row>
    <row r="8" spans="1:17" x14ac:dyDescent="0.2">
      <c r="E8" s="99"/>
      <c r="F8">
        <v>2015</v>
      </c>
      <c r="G8" s="55">
        <v>64.400000000000006</v>
      </c>
      <c r="H8" s="55">
        <v>92.6</v>
      </c>
      <c r="I8" s="55">
        <v>56.9</v>
      </c>
      <c r="J8" s="55">
        <v>97.2</v>
      </c>
      <c r="K8" s="55">
        <v>89.1</v>
      </c>
      <c r="L8" s="55">
        <v>65</v>
      </c>
      <c r="M8" s="55">
        <v>75.3</v>
      </c>
      <c r="N8" s="55">
        <v>73.8</v>
      </c>
      <c r="O8" s="55">
        <v>84.7</v>
      </c>
      <c r="P8" s="14"/>
    </row>
    <row r="9" spans="1:17" x14ac:dyDescent="0.2">
      <c r="A9" s="98" t="s">
        <v>893</v>
      </c>
      <c r="B9" s="99"/>
      <c r="E9" s="99"/>
      <c r="F9">
        <v>2016</v>
      </c>
      <c r="G9" s="55">
        <v>64.5</v>
      </c>
      <c r="H9" s="55">
        <v>94</v>
      </c>
      <c r="I9" s="55">
        <v>56.5</v>
      </c>
      <c r="J9" s="55">
        <v>97.7</v>
      </c>
      <c r="K9" s="55">
        <v>91.1</v>
      </c>
      <c r="L9" s="55">
        <v>65.3</v>
      </c>
      <c r="M9" s="55">
        <v>72.900000000000006</v>
      </c>
      <c r="N9" s="55">
        <v>72.2</v>
      </c>
      <c r="O9" s="55">
        <v>83.3</v>
      </c>
    </row>
    <row r="10" spans="1:17" x14ac:dyDescent="0.2">
      <c r="A10" t="s">
        <v>894</v>
      </c>
      <c r="B10" t="s">
        <v>972</v>
      </c>
      <c r="E10" s="99"/>
      <c r="F10">
        <v>2017</v>
      </c>
      <c r="G10">
        <v>63.5</v>
      </c>
      <c r="H10">
        <v>93.5</v>
      </c>
      <c r="I10">
        <v>56.1</v>
      </c>
      <c r="J10">
        <v>100.2</v>
      </c>
      <c r="K10">
        <v>92.9</v>
      </c>
      <c r="L10">
        <v>65.5</v>
      </c>
      <c r="M10">
        <v>70.7</v>
      </c>
      <c r="N10">
        <v>72.7</v>
      </c>
      <c r="O10">
        <v>81.3</v>
      </c>
    </row>
    <row r="11" spans="1:17" x14ac:dyDescent="0.2">
      <c r="A11" t="s">
        <v>895</v>
      </c>
      <c r="B11" t="s">
        <v>887</v>
      </c>
      <c r="E11" s="99"/>
      <c r="F11" s="46" t="s">
        <v>1944</v>
      </c>
      <c r="G11" s="59">
        <v>64.400000000000006</v>
      </c>
      <c r="H11" s="59">
        <v>92.4</v>
      </c>
      <c r="I11" s="59">
        <v>55.1</v>
      </c>
      <c r="J11" s="42">
        <v>104</v>
      </c>
      <c r="K11" s="42">
        <v>92.9</v>
      </c>
      <c r="L11" s="42">
        <v>64.900000000000006</v>
      </c>
      <c r="M11" s="47" t="s">
        <v>1493</v>
      </c>
      <c r="N11" s="47" t="s">
        <v>2055</v>
      </c>
      <c r="O11" s="46" t="s">
        <v>2056</v>
      </c>
    </row>
    <row r="12" spans="1:17" x14ac:dyDescent="0.2">
      <c r="A12" t="s">
        <v>896</v>
      </c>
      <c r="E12" s="99"/>
      <c r="F12" s="74" t="s">
        <v>1946</v>
      </c>
      <c r="G12" s="42">
        <v>62.5</v>
      </c>
      <c r="H12" s="42">
        <v>90.1</v>
      </c>
      <c r="I12" s="59">
        <v>55.2</v>
      </c>
      <c r="J12" s="59">
        <v>106</v>
      </c>
      <c r="K12" s="59">
        <v>91.3</v>
      </c>
      <c r="L12" s="59">
        <v>62.2</v>
      </c>
      <c r="M12" s="46" t="s">
        <v>2057</v>
      </c>
      <c r="N12" s="46" t="s">
        <v>2058</v>
      </c>
      <c r="O12" s="46" t="s">
        <v>2059</v>
      </c>
    </row>
    <row r="13" spans="1:17" x14ac:dyDescent="0.2">
      <c r="A13" t="s">
        <v>897</v>
      </c>
      <c r="E13" s="99"/>
      <c r="F13" s="47" t="s">
        <v>1948</v>
      </c>
      <c r="G13" s="47" t="s">
        <v>2060</v>
      </c>
      <c r="H13" s="47" t="s">
        <v>2061</v>
      </c>
      <c r="I13" s="46" t="s">
        <v>2062</v>
      </c>
      <c r="J13" s="46" t="s">
        <v>2063</v>
      </c>
      <c r="K13" s="46" t="s">
        <v>2064</v>
      </c>
      <c r="L13" s="46" t="s">
        <v>2065</v>
      </c>
      <c r="M13" s="46" t="s">
        <v>1493</v>
      </c>
      <c r="N13" s="46" t="s">
        <v>2066</v>
      </c>
      <c r="O13" s="46" t="s">
        <v>2067</v>
      </c>
    </row>
    <row r="14" spans="1:17" x14ac:dyDescent="0.2">
      <c r="A14" t="s">
        <v>899</v>
      </c>
      <c r="B14" t="s">
        <v>701</v>
      </c>
      <c r="E14" s="99"/>
      <c r="F14" s="68" t="s">
        <v>1142</v>
      </c>
      <c r="G14" s="68" t="s">
        <v>2068</v>
      </c>
      <c r="H14" s="68" t="s">
        <v>2069</v>
      </c>
      <c r="I14" s="46" t="s">
        <v>2070</v>
      </c>
      <c r="J14" s="47" t="s">
        <v>2071</v>
      </c>
      <c r="K14" s="47" t="s">
        <v>2072</v>
      </c>
      <c r="L14" s="47" t="s">
        <v>2073</v>
      </c>
      <c r="M14" s="47" t="s">
        <v>2074</v>
      </c>
      <c r="N14" s="47" t="s">
        <v>2075</v>
      </c>
      <c r="O14" s="46" t="s">
        <v>2076</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N5:O5"/>
    <mergeCell ref="G5:M5"/>
  </mergeCells>
  <dataValidations count="4">
    <dataValidation type="list" allowBlank="1" showInputMessage="1" showErrorMessage="1" sqref="B6 B15:B16" xr:uid="{5E8D7CFE-1C03-4DF4-A85D-AC69DB2363C2}">
      <formula1>"True,False"</formula1>
    </dataValidation>
    <dataValidation type="list" allowBlank="1" showInputMessage="1" showErrorMessage="1" sqref="B2" xr:uid="{72656CA4-4DCF-4959-B19C-7853E36080E2}">
      <formula1>"Table,Figure,Both"</formula1>
    </dataValidation>
    <dataValidation type="list" allowBlank="1" showInputMessage="1" showErrorMessage="1" sqref="B10" xr:uid="{DD31F9D7-5FAB-41FC-880E-22E7CFDA01DF}">
      <formula1>"Line,Clustered Bar,Stacked Bar,Bar,Horizontal Stacked Bar"</formula1>
    </dataValidation>
    <dataValidation type="list" allowBlank="1" showInputMessage="1" showErrorMessage="1" sqref="P4:Q4" xr:uid="{00AC0803-3765-43C8-9FB2-54FCDA96202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D7375EB7-D3ED-4F2D-9143-9ECA82865CBF}">
          <x14:formula1>
            <xm:f>Dropdowns!$A$1:$A$8</xm:f>
          </x14:formula1>
          <xm:sqref>F4:O4</xm:sqref>
        </x14:dataValidation>
        <x14:dataValidation type="list" allowBlank="1" showInputMessage="1" showErrorMessage="1" xr:uid="{BCB4B79F-FFBE-46FE-802A-A978B626F46B}">
          <x14:formula1>
            <xm:f>Master!$F$2:$F$401</xm:f>
          </x14:formula1>
          <xm:sqref>B1:O1</xm:sqref>
        </x14:dataValidation>
      </x14:dataValidations>
    </ext>
  </extLst>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08AFF-0D00-4ABC-B2C9-4A90E03B86E1}">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585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tbl-15to44-preg-rate-rande</v>
      </c>
    </row>
    <row r="4" spans="1:17" x14ac:dyDescent="0.2">
      <c r="A4" s="58" t="s">
        <v>6</v>
      </c>
      <c r="B4" t="str">
        <f>IF($B$1="","",_xlfn.XLOOKUP($B$1,Master!$F$2:$F$308,Master!$H$2:$H$308,""))</f>
        <v>fig-15to44-preg-rate-rande</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2167</v>
      </c>
      <c r="G5" t="s">
        <v>220</v>
      </c>
      <c r="H5" t="s">
        <v>18</v>
      </c>
      <c r="I5" t="s">
        <v>537</v>
      </c>
      <c r="J5" t="s">
        <v>449</v>
      </c>
      <c r="K5" t="s">
        <v>409</v>
      </c>
      <c r="L5" t="s">
        <v>421</v>
      </c>
      <c r="M5" t="s">
        <v>470</v>
      </c>
      <c r="N5" t="s">
        <v>914</v>
      </c>
      <c r="O5" t="s">
        <v>915</v>
      </c>
    </row>
    <row r="6" spans="1:17" ht="15" customHeight="1" x14ac:dyDescent="0.2">
      <c r="A6" t="s">
        <v>891</v>
      </c>
      <c r="B6" t="b">
        <v>0</v>
      </c>
      <c r="E6" s="99"/>
      <c r="F6" t="s">
        <v>929</v>
      </c>
      <c r="G6" s="55">
        <v>50.7</v>
      </c>
      <c r="H6" s="55">
        <v>86.9</v>
      </c>
      <c r="I6" s="55">
        <v>52.9</v>
      </c>
      <c r="J6" s="55">
        <v>125.9</v>
      </c>
      <c r="K6" s="55">
        <v>82.8</v>
      </c>
      <c r="L6" s="55">
        <v>52.3</v>
      </c>
      <c r="M6" s="55">
        <v>56.6</v>
      </c>
      <c r="N6" s="55">
        <v>58.8</v>
      </c>
      <c r="O6" s="55">
        <v>60.1</v>
      </c>
    </row>
    <row r="7" spans="1:17" ht="15.75" customHeight="1" x14ac:dyDescent="0.2">
      <c r="E7" s="99"/>
      <c r="F7" t="s">
        <v>1552</v>
      </c>
      <c r="G7" s="55">
        <v>71.7</v>
      </c>
      <c r="H7" s="55">
        <v>67.900000000000006</v>
      </c>
      <c r="I7" s="55">
        <v>40.200000000000003</v>
      </c>
      <c r="J7" s="55">
        <v>60.4</v>
      </c>
      <c r="K7" s="55">
        <v>57.4</v>
      </c>
      <c r="L7" s="55">
        <v>62</v>
      </c>
      <c r="M7" s="55">
        <v>79</v>
      </c>
      <c r="N7" s="55">
        <v>81.599999999999994</v>
      </c>
      <c r="O7" s="55">
        <v>82.1</v>
      </c>
    </row>
    <row r="8" spans="1:17" x14ac:dyDescent="0.2">
      <c r="E8" s="99"/>
      <c r="F8" t="s">
        <v>1553</v>
      </c>
      <c r="G8" s="55">
        <v>37</v>
      </c>
      <c r="H8" s="55">
        <v>51.4</v>
      </c>
      <c r="I8" s="55">
        <v>50.2</v>
      </c>
      <c r="J8" s="55">
        <v>50.6</v>
      </c>
      <c r="K8" s="55">
        <v>72.7</v>
      </c>
      <c r="L8" s="55">
        <v>34.200000000000003</v>
      </c>
      <c r="M8" s="55">
        <v>55.1</v>
      </c>
      <c r="N8" s="55">
        <v>58.6</v>
      </c>
      <c r="O8" s="55">
        <v>56.3</v>
      </c>
      <c r="P8" s="14"/>
    </row>
    <row r="9" spans="1:17" x14ac:dyDescent="0.2">
      <c r="A9" s="98" t="s">
        <v>893</v>
      </c>
      <c r="B9" s="99"/>
      <c r="E9" s="99"/>
      <c r="F9" t="s">
        <v>927</v>
      </c>
      <c r="G9" s="55">
        <v>71.3</v>
      </c>
      <c r="H9" s="55">
        <v>80.7</v>
      </c>
      <c r="I9" s="55">
        <v>78.5</v>
      </c>
      <c r="J9" s="55">
        <v>98.7</v>
      </c>
      <c r="K9" s="55">
        <v>81.3</v>
      </c>
      <c r="L9" s="55">
        <v>64.400000000000006</v>
      </c>
      <c r="M9" s="55">
        <v>80.5</v>
      </c>
      <c r="N9" s="55">
        <v>81.5</v>
      </c>
      <c r="O9" s="55">
        <v>78.8</v>
      </c>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701</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E0022783-1A30-4155-88F4-71584EBC80A0}">
      <formula1>"True,False"</formula1>
    </dataValidation>
    <dataValidation type="list" allowBlank="1" showInputMessage="1" showErrorMessage="1" sqref="B2" xr:uid="{807AA643-E29E-420C-9699-5633D5BB464C}">
      <formula1>"Table,Figure,Both"</formula1>
    </dataValidation>
    <dataValidation type="list" allowBlank="1" showInputMessage="1" showErrorMessage="1" sqref="B10" xr:uid="{6F736BD4-732E-48FD-9D3D-EBFBC8BD4450}">
      <formula1>"Line,Clustered Bar,Stacked Bar,Bar,Horizontal Stacked Bar"</formula1>
    </dataValidation>
    <dataValidation type="list" allowBlank="1" showInputMessage="1" showErrorMessage="1" sqref="P4:Q4" xr:uid="{E53482F2-5E81-4CD5-B844-B104A457D685}">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FCDB9CC7-196A-4FF1-ADAC-046CF920E5CC}">
          <x14:formula1>
            <xm:f>Dropdowns!$A$1:$A$8</xm:f>
          </x14:formula1>
          <xm:sqref>F4:O4</xm:sqref>
        </x14:dataValidation>
        <x14:dataValidation type="list" allowBlank="1" showInputMessage="1" showErrorMessage="1" xr:uid="{921834C1-1B0E-43A5-B8C3-AC70C9C0FEEE}">
          <x14:formula1>
            <xm:f>Master!$F$2:$F$401</xm:f>
          </x14:formula1>
          <xm:sqref>B1:O1</xm:sqref>
        </x14:dataValidation>
      </x14:dataValidations>
    </ext>
  </extLst>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B17D-1B9C-4C60-9871-D984F67A1F0B}">
  <dimension ref="A1:Q57"/>
  <sheetViews>
    <sheetView topLeftCell="AF1" workbookViewId="0">
      <selection activeCell="L43" sqref="L4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2094</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tbl-15to19-teenpreg-rate</v>
      </c>
    </row>
    <row r="4" spans="1:17" x14ac:dyDescent="0.2">
      <c r="A4" s="58" t="s">
        <v>6</v>
      </c>
      <c r="B4" t="str">
        <f>IF($B$1="","",_xlfn.XLOOKUP($B$1,Master!$F$2:$F$308,Master!$H$2:$H$308,""))</f>
        <v>fig-15to19-teenpreg-rate</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s="82" t="s">
        <v>1123</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18.600000000000001</v>
      </c>
      <c r="H7" s="55">
        <v>29.7</v>
      </c>
      <c r="I7" s="55">
        <v>7.5</v>
      </c>
      <c r="J7" s="55">
        <v>14.8</v>
      </c>
      <c r="K7" s="55">
        <v>38.299999999999997</v>
      </c>
      <c r="L7" s="55">
        <v>23</v>
      </c>
      <c r="M7" s="55">
        <v>18.8</v>
      </c>
      <c r="N7" s="55">
        <v>24.2</v>
      </c>
      <c r="O7" s="55">
        <v>33.5</v>
      </c>
    </row>
    <row r="8" spans="1:17" x14ac:dyDescent="0.2">
      <c r="E8" s="99"/>
      <c r="F8">
        <v>2015</v>
      </c>
      <c r="G8" s="55">
        <v>16.7</v>
      </c>
      <c r="H8" s="55">
        <v>28.7</v>
      </c>
      <c r="I8" s="55">
        <v>6.7</v>
      </c>
      <c r="J8" s="55">
        <v>15</v>
      </c>
      <c r="K8" s="55">
        <v>33.200000000000003</v>
      </c>
      <c r="L8" s="55">
        <v>21.1</v>
      </c>
      <c r="M8" s="55">
        <v>17.399999999999999</v>
      </c>
      <c r="N8" s="55">
        <v>22.6</v>
      </c>
      <c r="O8" s="55">
        <v>29.9</v>
      </c>
      <c r="P8" s="14"/>
    </row>
    <row r="9" spans="1:17" x14ac:dyDescent="0.2">
      <c r="A9" s="98" t="s">
        <v>893</v>
      </c>
      <c r="B9" s="99"/>
      <c r="E9" s="99"/>
      <c r="F9">
        <v>2016</v>
      </c>
      <c r="G9" s="55">
        <v>16.2</v>
      </c>
      <c r="H9" s="55">
        <v>28.3</v>
      </c>
      <c r="I9" s="55">
        <v>5.5</v>
      </c>
      <c r="J9" s="55">
        <v>14.9</v>
      </c>
      <c r="K9" s="55">
        <v>31.7</v>
      </c>
      <c r="L9" s="55">
        <v>21.7</v>
      </c>
      <c r="M9" s="55">
        <v>14.7</v>
      </c>
      <c r="N9" s="55">
        <v>20.7</v>
      </c>
      <c r="O9" s="55">
        <v>27.1</v>
      </c>
    </row>
    <row r="10" spans="1:17" x14ac:dyDescent="0.2">
      <c r="A10" t="s">
        <v>894</v>
      </c>
      <c r="B10" t="s">
        <v>972</v>
      </c>
      <c r="E10" s="99"/>
      <c r="F10">
        <v>2017</v>
      </c>
      <c r="G10">
        <v>15.2</v>
      </c>
      <c r="H10">
        <v>25.1</v>
      </c>
      <c r="I10">
        <v>5.6</v>
      </c>
      <c r="J10">
        <v>14.3</v>
      </c>
      <c r="K10">
        <v>29.9</v>
      </c>
      <c r="L10">
        <v>19.5</v>
      </c>
      <c r="M10">
        <v>14</v>
      </c>
      <c r="N10">
        <v>19.899999999999999</v>
      </c>
      <c r="O10">
        <v>25.4</v>
      </c>
    </row>
    <row r="11" spans="1:17" x14ac:dyDescent="0.2">
      <c r="A11" t="s">
        <v>895</v>
      </c>
      <c r="B11" t="s">
        <v>887</v>
      </c>
      <c r="E11" s="99"/>
      <c r="F11" s="46" t="s">
        <v>1944</v>
      </c>
      <c r="G11" s="59">
        <v>15.5</v>
      </c>
      <c r="H11" s="59">
        <v>22.4</v>
      </c>
      <c r="I11" s="59">
        <v>4.7</v>
      </c>
      <c r="J11" s="42">
        <v>14.4</v>
      </c>
      <c r="K11" s="42">
        <v>32.9</v>
      </c>
      <c r="L11" s="42">
        <v>20.2</v>
      </c>
      <c r="M11" s="47" t="s">
        <v>2077</v>
      </c>
      <c r="N11" s="47" t="s">
        <v>2078</v>
      </c>
      <c r="O11" s="46" t="s">
        <v>2079</v>
      </c>
    </row>
    <row r="12" spans="1:17" x14ac:dyDescent="0.2">
      <c r="A12" t="s">
        <v>896</v>
      </c>
      <c r="E12" s="99"/>
      <c r="F12" s="74" t="s">
        <v>1946</v>
      </c>
      <c r="G12" s="42">
        <v>14</v>
      </c>
      <c r="H12" s="42">
        <v>18.600000000000001</v>
      </c>
      <c r="I12" s="59">
        <v>4.8</v>
      </c>
      <c r="J12" s="59">
        <v>13.6</v>
      </c>
      <c r="K12" s="59">
        <v>30.6</v>
      </c>
      <c r="L12" s="59">
        <v>16.600000000000001</v>
      </c>
      <c r="M12" s="46" t="s">
        <v>2080</v>
      </c>
      <c r="N12" s="46" t="s">
        <v>2081</v>
      </c>
      <c r="O12" s="46" t="s">
        <v>1755</v>
      </c>
    </row>
    <row r="13" spans="1:17" x14ac:dyDescent="0.2">
      <c r="A13" t="s">
        <v>897</v>
      </c>
      <c r="E13" s="99"/>
      <c r="F13" s="47" t="s">
        <v>1948</v>
      </c>
      <c r="G13" s="47" t="s">
        <v>1753</v>
      </c>
      <c r="H13" s="47" t="s">
        <v>2082</v>
      </c>
      <c r="I13" s="46" t="s">
        <v>1990</v>
      </c>
      <c r="J13" s="46" t="s">
        <v>1824</v>
      </c>
      <c r="K13" s="46" t="s">
        <v>2083</v>
      </c>
      <c r="L13" s="46" t="s">
        <v>2080</v>
      </c>
      <c r="M13" s="46" t="s">
        <v>2084</v>
      </c>
      <c r="N13" s="46" t="s">
        <v>2085</v>
      </c>
      <c r="O13" s="46" t="s">
        <v>2086</v>
      </c>
    </row>
    <row r="14" spans="1:17" x14ac:dyDescent="0.2">
      <c r="A14" t="s">
        <v>899</v>
      </c>
      <c r="B14" t="s">
        <v>701</v>
      </c>
      <c r="E14" s="99"/>
      <c r="F14" s="68" t="s">
        <v>1142</v>
      </c>
      <c r="G14" s="68" t="s">
        <v>2087</v>
      </c>
      <c r="H14" s="68" t="s">
        <v>1761</v>
      </c>
      <c r="I14" s="46" t="s">
        <v>1951</v>
      </c>
      <c r="J14" s="47" t="s">
        <v>2088</v>
      </c>
      <c r="K14" s="47" t="s">
        <v>1967</v>
      </c>
      <c r="L14" s="47" t="s">
        <v>1846</v>
      </c>
      <c r="M14" s="47" t="s">
        <v>2089</v>
      </c>
      <c r="N14" s="47" t="s">
        <v>1816</v>
      </c>
      <c r="O14" s="46" t="s">
        <v>2090</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G5:M5"/>
    <mergeCell ref="N5:O5"/>
    <mergeCell ref="A9:B9"/>
    <mergeCell ref="A18:B18"/>
    <mergeCell ref="A27:B27"/>
  </mergeCells>
  <dataValidations count="4">
    <dataValidation type="list" allowBlank="1" showInputMessage="1" showErrorMessage="1" sqref="P4:Q4" xr:uid="{BEC43D9B-0232-4B2D-909C-8E4465B6E006}">
      <formula1>"integer, number, percent1"</formula1>
    </dataValidation>
    <dataValidation type="list" allowBlank="1" showInputMessage="1" showErrorMessage="1" sqref="B10" xr:uid="{6AF8BA0B-1EFE-4E4E-948C-74ACCC35EA61}">
      <formula1>"Line,Clustered Bar,Stacked Bar,Bar,Horizontal Stacked Bar"</formula1>
    </dataValidation>
    <dataValidation type="list" allowBlank="1" showInputMessage="1" showErrorMessage="1" sqref="B2" xr:uid="{76797BFA-B11F-4338-8D21-8AF906F2A01F}">
      <formula1>"Table,Figure,Both"</formula1>
    </dataValidation>
    <dataValidation type="list" allowBlank="1" showInputMessage="1" showErrorMessage="1" sqref="B6 B15:B16" xr:uid="{ABB5AFB1-379D-4DDF-B240-82FB917EFC9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76D86A71-21F9-42B4-8676-ACF642F56ABB}">
          <x14:formula1>
            <xm:f>Master!$F$2:$F$401</xm:f>
          </x14:formula1>
          <xm:sqref>B1:O1</xm:sqref>
        </x14:dataValidation>
        <x14:dataValidation type="list" allowBlank="1" showInputMessage="1" showErrorMessage="1" xr:uid="{6F1E3D2D-B558-44B3-8038-8A63D55538CF}">
          <x14:formula1>
            <xm:f>Dropdowns!$A$1:$A$8</xm:f>
          </x14:formula1>
          <xm:sqref>F4:O4</xm:sqref>
        </x14:dataValidation>
      </x14:dataValidations>
    </ext>
  </extLst>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12C6-F280-43BE-8D30-4EC41F0AFC7B}">
  <dimension ref="A1:Q57"/>
  <sheetViews>
    <sheetView workbookViewId="0">
      <selection activeCell="B3" sqref="B3"/>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589</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tbl-17+-teenpreg-rande-rate</v>
      </c>
    </row>
    <row r="4" spans="1:17" x14ac:dyDescent="0.2">
      <c r="A4" s="58" t="s">
        <v>6</v>
      </c>
      <c r="B4" t="str">
        <f>IF($B$1="","",_xlfn.XLOOKUP($B$1,Master!$F$2:$F$308,Master!$H$2:$H$308,""))</f>
        <v>fig-17+-teenpreg-rande-rate</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2167</v>
      </c>
      <c r="G5" t="s">
        <v>220</v>
      </c>
      <c r="H5" t="s">
        <v>18</v>
      </c>
      <c r="I5" t="s">
        <v>537</v>
      </c>
      <c r="J5" t="s">
        <v>449</v>
      </c>
      <c r="K5" t="s">
        <v>409</v>
      </c>
      <c r="L5" t="s">
        <v>421</v>
      </c>
      <c r="M5" t="s">
        <v>470</v>
      </c>
      <c r="N5" t="s">
        <v>914</v>
      </c>
      <c r="O5" t="s">
        <v>915</v>
      </c>
    </row>
    <row r="6" spans="1:17" ht="15" customHeight="1" x14ac:dyDescent="0.2">
      <c r="A6" t="s">
        <v>891</v>
      </c>
      <c r="B6" t="b">
        <v>0</v>
      </c>
      <c r="E6" s="99"/>
      <c r="F6" t="s">
        <v>929</v>
      </c>
      <c r="G6" s="55">
        <v>1.1000000000000001</v>
      </c>
      <c r="H6" s="55">
        <v>0.7</v>
      </c>
      <c r="I6" s="55" t="s">
        <v>2091</v>
      </c>
      <c r="J6" s="55" t="s">
        <v>2092</v>
      </c>
      <c r="K6" s="55">
        <v>2.2999999999999998</v>
      </c>
      <c r="L6" s="55">
        <v>1.6</v>
      </c>
      <c r="M6" s="55">
        <v>0.6</v>
      </c>
      <c r="N6" s="55">
        <v>1.4</v>
      </c>
      <c r="O6" s="55">
        <v>1.3</v>
      </c>
    </row>
    <row r="7" spans="1:17" ht="15.75" customHeight="1" x14ac:dyDescent="0.2">
      <c r="E7" s="99"/>
      <c r="F7" t="s">
        <v>1552</v>
      </c>
      <c r="G7" s="55">
        <v>5.0999999999999996</v>
      </c>
      <c r="H7" s="55">
        <v>3.9</v>
      </c>
      <c r="I7" s="55" t="s">
        <v>1590</v>
      </c>
      <c r="J7" s="55">
        <v>2.1</v>
      </c>
      <c r="K7" s="55" t="s">
        <v>1867</v>
      </c>
      <c r="L7" s="55" t="s">
        <v>1785</v>
      </c>
      <c r="M7" s="55">
        <v>4.9000000000000004</v>
      </c>
      <c r="N7" s="55">
        <v>6.8</v>
      </c>
      <c r="O7" s="55">
        <v>6.4</v>
      </c>
    </row>
    <row r="8" spans="1:17" x14ac:dyDescent="0.2">
      <c r="E8" s="99"/>
      <c r="F8" t="s">
        <v>1553</v>
      </c>
      <c r="G8" s="55" t="s">
        <v>1590</v>
      </c>
      <c r="H8" s="55" t="s">
        <v>1979</v>
      </c>
      <c r="I8" s="55" t="s">
        <v>1590</v>
      </c>
      <c r="J8" s="55" t="s">
        <v>2093</v>
      </c>
      <c r="K8" s="55" t="s">
        <v>1590</v>
      </c>
      <c r="L8" s="55" t="s">
        <v>1590</v>
      </c>
      <c r="M8" s="55" t="s">
        <v>2092</v>
      </c>
      <c r="N8" s="55">
        <v>0.7</v>
      </c>
      <c r="O8" s="55">
        <v>0.6</v>
      </c>
      <c r="P8" s="14"/>
    </row>
    <row r="9" spans="1:17" x14ac:dyDescent="0.2">
      <c r="A9" s="98" t="s">
        <v>893</v>
      </c>
      <c r="B9" s="99"/>
      <c r="E9" s="99"/>
      <c r="F9" t="s">
        <v>927</v>
      </c>
      <c r="G9" s="55">
        <v>2.9</v>
      </c>
      <c r="H9" s="55">
        <v>4</v>
      </c>
      <c r="I9" s="55" t="s">
        <v>1994</v>
      </c>
      <c r="J9" s="55">
        <v>6.3</v>
      </c>
      <c r="K9" s="55">
        <v>5.2</v>
      </c>
      <c r="L9" s="55">
        <v>5</v>
      </c>
      <c r="M9" s="55">
        <v>4.8</v>
      </c>
      <c r="N9" s="55">
        <v>5.0999999999999996</v>
      </c>
      <c r="O9" s="55">
        <v>5.3</v>
      </c>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701</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D82A90B6-481F-4332-8AC5-271CA2562909}">
      <formula1>"integer, number, percent1"</formula1>
    </dataValidation>
    <dataValidation type="list" allowBlank="1" showInputMessage="1" showErrorMessage="1" sqref="B10" xr:uid="{F556C00F-33FF-41FB-B6F7-CAC12DB6C7EC}">
      <formula1>"Line,Clustered Bar,Stacked Bar,Bar,Horizontal Stacked Bar"</formula1>
    </dataValidation>
    <dataValidation type="list" allowBlank="1" showInputMessage="1" showErrorMessage="1" sqref="B2" xr:uid="{6CB84155-237B-4340-917A-40773A8F50AA}">
      <formula1>"Table,Figure,Both"</formula1>
    </dataValidation>
    <dataValidation type="list" allowBlank="1" showInputMessage="1" showErrorMessage="1" sqref="B6 B15:B16" xr:uid="{D5C240EF-A9EF-4D6C-ACA0-F95E558B622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D1A98B8-F4E5-4A3B-A7AE-BB7914764D39}">
          <x14:formula1>
            <xm:f>Master!$F$2:$F$401</xm:f>
          </x14:formula1>
          <xm:sqref>B1:O1</xm:sqref>
        </x14:dataValidation>
        <x14:dataValidation type="list" allowBlank="1" showInputMessage="1" showErrorMessage="1" xr:uid="{612BBB7A-5342-46DF-B678-2FAC42F5BAE9}">
          <x14:formula1>
            <xm:f>Dropdowns!$A$1:$A$8</xm:f>
          </x14:formula1>
          <xm:sqref>F4:O4</xm:sqref>
        </x14:dataValidation>
      </x14:dataValidations>
    </ext>
  </extLst>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910D-C147-4FAE-8F70-C6295961452C}">
  <dimension ref="A1:Q57"/>
  <sheetViews>
    <sheetView workbookViewId="0">
      <selection activeCell="C20" sqref="C2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590</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tbl-financial-coverage-liveb-percent</v>
      </c>
    </row>
    <row r="4" spans="1:17" x14ac:dyDescent="0.2">
      <c r="A4" s="58" t="s">
        <v>6</v>
      </c>
      <c r="B4" t="str">
        <f>IF($B$1="","",_xlfn.XLOOKUP($B$1,Master!$F$2:$F$308,Master!$H$2:$H$308,""))</f>
        <v>fig-financial-coverage-liveb-percent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2095</v>
      </c>
      <c r="G5" t="s">
        <v>220</v>
      </c>
      <c r="H5" t="s">
        <v>18</v>
      </c>
      <c r="I5" t="s">
        <v>537</v>
      </c>
      <c r="J5" t="s">
        <v>449</v>
      </c>
      <c r="K5" t="s">
        <v>409</v>
      </c>
      <c r="L5" t="s">
        <v>421</v>
      </c>
      <c r="M5" t="s">
        <v>470</v>
      </c>
      <c r="N5" t="s">
        <v>898</v>
      </c>
      <c r="O5" t="s">
        <v>915</v>
      </c>
    </row>
    <row r="6" spans="1:17" ht="15" customHeight="1" x14ac:dyDescent="0.2">
      <c r="A6" t="s">
        <v>891</v>
      </c>
      <c r="B6" t="b">
        <v>0</v>
      </c>
      <c r="E6" s="99"/>
      <c r="F6" t="s">
        <v>2096</v>
      </c>
      <c r="G6" s="55">
        <v>32.4</v>
      </c>
      <c r="H6" s="55">
        <v>57.3</v>
      </c>
      <c r="I6" s="55">
        <v>23.7</v>
      </c>
      <c r="J6" s="55">
        <v>60.9</v>
      </c>
      <c r="K6" s="55">
        <v>66.599999999999994</v>
      </c>
      <c r="L6" s="55">
        <v>44.7</v>
      </c>
      <c r="M6" s="55">
        <v>32.5</v>
      </c>
      <c r="N6" s="55">
        <v>45.5</v>
      </c>
      <c r="O6" s="55">
        <v>49.8</v>
      </c>
    </row>
    <row r="7" spans="1:17" ht="15.75" customHeight="1" x14ac:dyDescent="0.2">
      <c r="E7" s="99"/>
      <c r="F7" t="s">
        <v>2097</v>
      </c>
      <c r="G7" s="55">
        <v>0.3</v>
      </c>
      <c r="H7" s="55">
        <v>0.8</v>
      </c>
      <c r="I7" s="55">
        <v>0.1</v>
      </c>
      <c r="J7" s="55">
        <v>0.7</v>
      </c>
      <c r="K7" s="55">
        <v>0.4</v>
      </c>
      <c r="L7" s="55">
        <v>0.3</v>
      </c>
      <c r="M7" s="55">
        <v>0.3</v>
      </c>
      <c r="N7" s="55">
        <v>0.5</v>
      </c>
      <c r="O7" s="55">
        <v>1</v>
      </c>
    </row>
    <row r="8" spans="1:17" x14ac:dyDescent="0.2">
      <c r="E8" s="99"/>
      <c r="F8" t="s">
        <v>2098</v>
      </c>
      <c r="G8" s="55">
        <v>65</v>
      </c>
      <c r="H8" s="55">
        <v>35.299999999999997</v>
      </c>
      <c r="I8" s="55">
        <v>72.3</v>
      </c>
      <c r="J8" s="55">
        <v>30.7</v>
      </c>
      <c r="K8" s="55">
        <v>27</v>
      </c>
      <c r="L8" s="55">
        <v>49.7</v>
      </c>
      <c r="M8" s="55">
        <v>61.7</v>
      </c>
      <c r="N8" s="55">
        <v>48.2</v>
      </c>
      <c r="O8" s="55">
        <v>45.7</v>
      </c>
      <c r="P8" s="14"/>
    </row>
    <row r="9" spans="1:17" x14ac:dyDescent="0.2">
      <c r="A9" s="98" t="s">
        <v>893</v>
      </c>
      <c r="B9" s="99"/>
      <c r="E9" s="99"/>
      <c r="G9" s="55"/>
      <c r="H9" s="55"/>
      <c r="I9" s="55"/>
      <c r="J9" s="55"/>
      <c r="K9" s="55"/>
      <c r="L9" s="55"/>
      <c r="M9" s="55"/>
      <c r="N9" s="55"/>
      <c r="O9" s="55"/>
    </row>
    <row r="10" spans="1:17" x14ac:dyDescent="0.2">
      <c r="A10" t="s">
        <v>894</v>
      </c>
      <c r="B10" t="s">
        <v>1020</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49700AC8-D8F8-4304-8183-3B5FA48DFF11}">
      <formula1>"True,False"</formula1>
    </dataValidation>
    <dataValidation type="list" allowBlank="1" showInputMessage="1" showErrorMessage="1" sqref="B2" xr:uid="{8E5ED769-E83F-4E19-B7AE-7C2B92474745}">
      <formula1>"Table,Figure,Both"</formula1>
    </dataValidation>
    <dataValidation type="list" allowBlank="1" showInputMessage="1" showErrorMessage="1" sqref="B10" xr:uid="{4F09C9D4-5F48-491E-9A43-DF0097350321}">
      <formula1>"Line,Clustered Bar,Stacked Bar,Bar,Horizontal Stacked Bar"</formula1>
    </dataValidation>
    <dataValidation type="list" allowBlank="1" showInputMessage="1" showErrorMessage="1" sqref="P4:Q4" xr:uid="{D04B004C-EB0C-4025-8F14-375A9770303E}">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5C82033-E60C-48FC-A70F-026B505D0B0D}">
          <x14:formula1>
            <xm:f>Dropdowns!$A$1:$A$8</xm:f>
          </x14:formula1>
          <xm:sqref>F4:O4</xm:sqref>
        </x14:dataValidation>
        <x14:dataValidation type="list" allowBlank="1" showInputMessage="1" showErrorMessage="1" xr:uid="{8334D4DF-BC44-475D-A9B7-D5DDA46C27AB}">
          <x14:formula1>
            <xm:f>Master!$F$2:$F$401</xm:f>
          </x14:formula1>
          <xm:sqref>B1:O1</xm:sqref>
        </x14:dataValidation>
      </x14:dataValidations>
    </ext>
  </extLst>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642F-5DD8-49B2-91EA-F5C9F97CE46D}">
  <dimension ref="A1:Q57"/>
  <sheetViews>
    <sheetView workbookViewId="0">
      <selection activeCell="B17" sqref="B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595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tbl-preterm-births-percent</v>
      </c>
    </row>
    <row r="4" spans="1:17" x14ac:dyDescent="0.2">
      <c r="A4" s="58" t="s">
        <v>6</v>
      </c>
      <c r="B4" t="str">
        <f>IF($B$1="","",_xlfn.XLOOKUP($B$1,Master!$F$2:$F$308,Master!$H$2:$H$308,""))</f>
        <v>fig-preterm-births-percent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t="s">
        <v>887</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8.8000000000000007</v>
      </c>
      <c r="H7" s="55">
        <v>7.9</v>
      </c>
      <c r="I7" s="55">
        <v>9.6999999999999993</v>
      </c>
      <c r="J7" s="55">
        <v>6.4</v>
      </c>
      <c r="K7" s="55">
        <v>10.8</v>
      </c>
      <c r="L7" s="55">
        <v>8.5</v>
      </c>
      <c r="M7" s="55">
        <v>9.3000000000000007</v>
      </c>
      <c r="N7" s="55">
        <v>9</v>
      </c>
      <c r="O7" s="55">
        <v>8.8000000000000007</v>
      </c>
    </row>
    <row r="8" spans="1:17" x14ac:dyDescent="0.2">
      <c r="E8" s="99"/>
      <c r="F8">
        <v>2015</v>
      </c>
      <c r="G8" s="55">
        <v>9.1</v>
      </c>
      <c r="H8" s="55">
        <v>8.3000000000000007</v>
      </c>
      <c r="I8" s="55">
        <v>10.199999999999999</v>
      </c>
      <c r="J8" s="55">
        <v>6.7</v>
      </c>
      <c r="K8" s="55">
        <v>10.6</v>
      </c>
      <c r="L8" s="55">
        <v>8.6</v>
      </c>
      <c r="M8" s="55">
        <v>9.1999999999999993</v>
      </c>
      <c r="N8" s="55">
        <v>8.6999999999999993</v>
      </c>
      <c r="O8" s="55">
        <v>8.6999999999999993</v>
      </c>
      <c r="P8" s="14"/>
    </row>
    <row r="9" spans="1:17" x14ac:dyDescent="0.2">
      <c r="A9" s="98" t="s">
        <v>893</v>
      </c>
      <c r="B9" s="99"/>
      <c r="E9" s="99"/>
      <c r="F9">
        <v>2016</v>
      </c>
      <c r="G9" s="55">
        <v>9.1999999999999993</v>
      </c>
      <c r="H9" s="55">
        <v>8.1999999999999993</v>
      </c>
      <c r="I9" s="55">
        <v>9.4</v>
      </c>
      <c r="J9" s="55">
        <v>7</v>
      </c>
      <c r="K9" s="55">
        <v>9.6</v>
      </c>
      <c r="L9" s="55">
        <v>8.6</v>
      </c>
      <c r="M9" s="55">
        <v>9</v>
      </c>
      <c r="N9" s="55">
        <v>9.1</v>
      </c>
      <c r="O9" s="55">
        <v>8.9</v>
      </c>
    </row>
    <row r="10" spans="1:17" x14ac:dyDescent="0.2">
      <c r="A10" t="s">
        <v>894</v>
      </c>
      <c r="B10" t="s">
        <v>972</v>
      </c>
      <c r="E10" s="99"/>
      <c r="F10">
        <v>2017</v>
      </c>
      <c r="G10">
        <v>9.6</v>
      </c>
      <c r="H10">
        <v>8.1999999999999993</v>
      </c>
      <c r="I10">
        <v>9</v>
      </c>
      <c r="J10">
        <v>6.5</v>
      </c>
      <c r="K10">
        <v>8.9</v>
      </c>
      <c r="L10">
        <v>8.5</v>
      </c>
      <c r="M10">
        <v>8.9</v>
      </c>
      <c r="N10">
        <v>9</v>
      </c>
      <c r="O10">
        <v>9</v>
      </c>
    </row>
    <row r="11" spans="1:17" x14ac:dyDescent="0.2">
      <c r="A11" t="s">
        <v>895</v>
      </c>
      <c r="B11" t="s">
        <v>887</v>
      </c>
      <c r="E11" s="99"/>
      <c r="F11" s="46" t="s">
        <v>1944</v>
      </c>
      <c r="G11" s="59">
        <v>9.1999999999999993</v>
      </c>
      <c r="H11" s="59">
        <v>8.1</v>
      </c>
      <c r="I11" s="59">
        <v>8.3000000000000007</v>
      </c>
      <c r="J11" s="42">
        <v>6.4</v>
      </c>
      <c r="K11" s="42">
        <v>9.1</v>
      </c>
      <c r="L11" s="42">
        <v>9</v>
      </c>
      <c r="M11" s="47" t="s">
        <v>2099</v>
      </c>
      <c r="N11" s="47" t="s">
        <v>2100</v>
      </c>
      <c r="O11" s="46" t="s">
        <v>2100</v>
      </c>
    </row>
    <row r="12" spans="1:17" x14ac:dyDescent="0.2">
      <c r="A12" t="s">
        <v>896</v>
      </c>
      <c r="E12" s="99"/>
      <c r="F12" s="74" t="s">
        <v>1946</v>
      </c>
      <c r="G12" s="42">
        <v>9</v>
      </c>
      <c r="H12" s="42">
        <v>8.3000000000000007</v>
      </c>
      <c r="I12" s="59">
        <v>8.6999999999999993</v>
      </c>
      <c r="J12" s="59">
        <v>6.3</v>
      </c>
      <c r="K12" s="59">
        <v>10.3</v>
      </c>
      <c r="L12" s="59">
        <v>9</v>
      </c>
      <c r="M12" s="46" t="s">
        <v>2099</v>
      </c>
      <c r="N12" s="46" t="s">
        <v>2101</v>
      </c>
      <c r="O12" s="46" t="s">
        <v>2102</v>
      </c>
    </row>
    <row r="13" spans="1:17" x14ac:dyDescent="0.2">
      <c r="A13" t="s">
        <v>897</v>
      </c>
      <c r="E13" s="99"/>
      <c r="F13" s="47" t="s">
        <v>1948</v>
      </c>
      <c r="G13" s="47" t="s">
        <v>2103</v>
      </c>
      <c r="H13" s="47" t="s">
        <v>1465</v>
      </c>
      <c r="I13" s="46" t="s">
        <v>2099</v>
      </c>
      <c r="J13" s="46" t="s">
        <v>1987</v>
      </c>
      <c r="K13" s="46" t="s">
        <v>2104</v>
      </c>
      <c r="L13" s="46" t="s">
        <v>2105</v>
      </c>
      <c r="M13" s="46" t="s">
        <v>2100</v>
      </c>
      <c r="N13" s="46" t="s">
        <v>2101</v>
      </c>
      <c r="O13" s="46" t="s">
        <v>2102</v>
      </c>
    </row>
    <row r="14" spans="1:17" x14ac:dyDescent="0.2">
      <c r="A14" t="s">
        <v>899</v>
      </c>
      <c r="B14" t="s">
        <v>694</v>
      </c>
      <c r="E14" s="99"/>
      <c r="F14" s="68" t="s">
        <v>1142</v>
      </c>
      <c r="G14" s="68" t="s">
        <v>2104</v>
      </c>
      <c r="H14" s="68" t="s">
        <v>1465</v>
      </c>
      <c r="I14" s="46" t="s">
        <v>2099</v>
      </c>
      <c r="J14" s="47" t="s">
        <v>1886</v>
      </c>
      <c r="K14" s="47" t="s">
        <v>2104</v>
      </c>
      <c r="L14" s="47" t="s">
        <v>2106</v>
      </c>
      <c r="M14" s="47" t="s">
        <v>2100</v>
      </c>
      <c r="N14" s="47" t="s">
        <v>1887</v>
      </c>
      <c r="O14" s="46" t="s">
        <v>2104</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G5:M5"/>
    <mergeCell ref="N5:O5"/>
  </mergeCells>
  <dataValidations count="4">
    <dataValidation type="list" allowBlank="1" showInputMessage="1" showErrorMessage="1" sqref="P4:Q4" xr:uid="{0487B65A-6689-46F7-9885-7840EA3B4CA1}">
      <formula1>"integer, number, percent1"</formula1>
    </dataValidation>
    <dataValidation type="list" allowBlank="1" showInputMessage="1" showErrorMessage="1" sqref="B10" xr:uid="{E28F664A-7A8B-45A1-8BB2-609E1A56E58F}">
      <formula1>"Line,Clustered Bar,Stacked Bar,Bar,Horizontal Stacked Bar"</formula1>
    </dataValidation>
    <dataValidation type="list" allowBlank="1" showInputMessage="1" showErrorMessage="1" sqref="B2" xr:uid="{0C2FEA93-C043-418B-A582-8FC2D87B0229}">
      <formula1>"Table,Figure,Both"</formula1>
    </dataValidation>
    <dataValidation type="list" allowBlank="1" showInputMessage="1" showErrorMessage="1" sqref="B6 B15:B16" xr:uid="{25C0837B-FD08-4AA5-8E68-C68BE23EAAF5}">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238E186-FE84-4D44-A21D-5C5BC4DB4534}">
          <x14:formula1>
            <xm:f>Master!$F$2:$F$401</xm:f>
          </x14:formula1>
          <xm:sqref>B1:O1</xm:sqref>
        </x14:dataValidation>
        <x14:dataValidation type="list" allowBlank="1" showInputMessage="1" showErrorMessage="1" xr:uid="{8FF4A670-744F-422F-A661-46FE9D3254F4}">
          <x14:formula1>
            <xm:f>Dropdowns!$A$1:$A$8</xm:f>
          </x14:formula1>
          <xm:sqref>F4:O4</xm:sqref>
        </x14:dataValidation>
      </x14:dataValidations>
    </ext>
  </extLst>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B90E-0597-4E63-AA39-A4D445F97C6E}">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597</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tbl-lbw-percent</v>
      </c>
    </row>
    <row r="4" spans="1:17" x14ac:dyDescent="0.2">
      <c r="A4" s="58" t="s">
        <v>6</v>
      </c>
      <c r="B4" t="str">
        <f>IF($B$1="","",_xlfn.XLOOKUP($B$1,Master!$F$2:$F$308,Master!$H$2:$H$308,""))</f>
        <v>fig-lbw-percent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t="s">
        <v>887</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7.5</v>
      </c>
      <c r="H7" s="55">
        <v>6.8</v>
      </c>
      <c r="I7" s="55">
        <v>7.5</v>
      </c>
      <c r="J7" s="55">
        <v>6.2</v>
      </c>
      <c r="K7" s="55">
        <v>9.3000000000000007</v>
      </c>
      <c r="L7" s="55">
        <v>7.3</v>
      </c>
      <c r="M7" s="55">
        <v>8.1</v>
      </c>
      <c r="N7" s="55">
        <v>7.7</v>
      </c>
      <c r="O7" s="55">
        <v>7.8</v>
      </c>
    </row>
    <row r="8" spans="1:17" x14ac:dyDescent="0.2">
      <c r="E8" s="99"/>
      <c r="F8">
        <v>2015</v>
      </c>
      <c r="G8" s="55">
        <v>7.5</v>
      </c>
      <c r="H8" s="55">
        <v>6.9</v>
      </c>
      <c r="I8" s="55">
        <v>7.4</v>
      </c>
      <c r="J8" s="55">
        <v>6.3</v>
      </c>
      <c r="K8" s="55">
        <v>8.8000000000000007</v>
      </c>
      <c r="L8" s="55">
        <v>7.4</v>
      </c>
      <c r="M8" s="55">
        <v>8.1999999999999993</v>
      </c>
      <c r="N8" s="55">
        <v>7.5</v>
      </c>
      <c r="O8" s="55">
        <v>7.8</v>
      </c>
      <c r="P8" s="14"/>
    </row>
    <row r="9" spans="1:17" x14ac:dyDescent="0.2">
      <c r="A9" s="98" t="s">
        <v>893</v>
      </c>
      <c r="B9" s="99"/>
      <c r="E9" s="99"/>
      <c r="F9">
        <v>2016</v>
      </c>
      <c r="G9" s="55">
        <v>7.4</v>
      </c>
      <c r="H9" s="55">
        <v>6.6</v>
      </c>
      <c r="I9" s="55">
        <v>7</v>
      </c>
      <c r="J9" s="55">
        <v>6.3</v>
      </c>
      <c r="K9" s="55">
        <v>8.3000000000000007</v>
      </c>
      <c r="L9" s="55">
        <v>7.2</v>
      </c>
      <c r="M9" s="55">
        <v>8</v>
      </c>
      <c r="N9" s="55">
        <v>7.7</v>
      </c>
      <c r="O9" s="55">
        <v>7.9</v>
      </c>
    </row>
    <row r="10" spans="1:17" x14ac:dyDescent="0.2">
      <c r="A10" t="s">
        <v>894</v>
      </c>
      <c r="B10" t="s">
        <v>972</v>
      </c>
      <c r="E10" s="99"/>
      <c r="F10">
        <v>2017</v>
      </c>
      <c r="G10">
        <v>7.5</v>
      </c>
      <c r="H10">
        <v>6.7</v>
      </c>
      <c r="I10">
        <v>7</v>
      </c>
      <c r="J10">
        <v>6</v>
      </c>
      <c r="K10">
        <v>7.2</v>
      </c>
      <c r="L10">
        <v>7.2</v>
      </c>
      <c r="M10">
        <v>7.9</v>
      </c>
      <c r="N10">
        <v>7.7</v>
      </c>
      <c r="O10">
        <v>8.1</v>
      </c>
    </row>
    <row r="11" spans="1:17" x14ac:dyDescent="0.2">
      <c r="A11" t="s">
        <v>895</v>
      </c>
      <c r="B11" t="s">
        <v>887</v>
      </c>
      <c r="E11" s="99"/>
      <c r="F11" s="46" t="s">
        <v>1944</v>
      </c>
      <c r="G11" s="59">
        <v>7.5</v>
      </c>
      <c r="H11" s="59">
        <v>6.6</v>
      </c>
      <c r="I11" s="59">
        <v>6.5</v>
      </c>
      <c r="J11" s="42">
        <v>5.8</v>
      </c>
      <c r="K11" s="42">
        <v>7.8</v>
      </c>
      <c r="L11" s="42">
        <v>7.6</v>
      </c>
      <c r="M11" s="47" t="s">
        <v>1949</v>
      </c>
      <c r="N11" s="47" t="s">
        <v>2107</v>
      </c>
      <c r="O11" s="46" t="s">
        <v>1464</v>
      </c>
    </row>
    <row r="12" spans="1:17" x14ac:dyDescent="0.2">
      <c r="A12" t="s">
        <v>896</v>
      </c>
      <c r="E12" s="99"/>
      <c r="F12" s="74" t="s">
        <v>1946</v>
      </c>
      <c r="G12" s="42">
        <v>7.3</v>
      </c>
      <c r="H12" s="42">
        <v>7</v>
      </c>
      <c r="I12" s="59">
        <v>6.6</v>
      </c>
      <c r="J12" s="59">
        <v>5.6</v>
      </c>
      <c r="K12" s="59">
        <v>8.6</v>
      </c>
      <c r="L12" s="59">
        <v>7.7</v>
      </c>
      <c r="M12" s="46" t="s">
        <v>1949</v>
      </c>
      <c r="N12" s="46" t="s">
        <v>2107</v>
      </c>
      <c r="O12" s="46" t="s">
        <v>1464</v>
      </c>
    </row>
    <row r="13" spans="1:17" x14ac:dyDescent="0.2">
      <c r="A13" t="s">
        <v>897</v>
      </c>
      <c r="E13" s="99"/>
      <c r="F13" s="47" t="s">
        <v>1948</v>
      </c>
      <c r="G13" s="47" t="s">
        <v>1949</v>
      </c>
      <c r="H13" s="47" t="s">
        <v>2052</v>
      </c>
      <c r="I13" s="46" t="s">
        <v>2052</v>
      </c>
      <c r="J13" s="46" t="s">
        <v>1738</v>
      </c>
      <c r="K13" s="46" t="s">
        <v>1463</v>
      </c>
      <c r="L13" s="46" t="s">
        <v>1888</v>
      </c>
      <c r="M13" s="46" t="s">
        <v>2107</v>
      </c>
      <c r="N13" s="46" t="s">
        <v>1949</v>
      </c>
      <c r="O13" s="46" t="s">
        <v>1447</v>
      </c>
    </row>
    <row r="14" spans="1:17" x14ac:dyDescent="0.2">
      <c r="A14" t="s">
        <v>899</v>
      </c>
      <c r="B14" t="s">
        <v>694</v>
      </c>
      <c r="E14" s="99"/>
      <c r="F14" s="68" t="s">
        <v>1142</v>
      </c>
      <c r="G14" s="68" t="s">
        <v>1949</v>
      </c>
      <c r="H14" s="68" t="s">
        <v>1449</v>
      </c>
      <c r="I14" s="46" t="s">
        <v>1889</v>
      </c>
      <c r="J14" s="47" t="s">
        <v>1738</v>
      </c>
      <c r="K14" s="47" t="s">
        <v>1464</v>
      </c>
      <c r="L14" s="47" t="s">
        <v>1888</v>
      </c>
      <c r="M14" s="47" t="s">
        <v>1949</v>
      </c>
      <c r="N14" s="47" t="s">
        <v>1467</v>
      </c>
      <c r="O14" s="46" t="s">
        <v>1465</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G5:M5"/>
    <mergeCell ref="N5:O5"/>
    <mergeCell ref="A9:B9"/>
    <mergeCell ref="A18:B18"/>
    <mergeCell ref="A27:B27"/>
  </mergeCells>
  <dataValidations count="4">
    <dataValidation type="list" allowBlank="1" showInputMessage="1" showErrorMessage="1" sqref="B6 B15:B16" xr:uid="{40381336-5F16-4F33-815F-0E4DB5DE2F46}">
      <formula1>"True,False"</formula1>
    </dataValidation>
    <dataValidation type="list" allowBlank="1" showInputMessage="1" showErrorMessage="1" sqref="B2" xr:uid="{5EA3428C-E298-407E-8DA5-A1F5A4018B4A}">
      <formula1>"Table,Figure,Both"</formula1>
    </dataValidation>
    <dataValidation type="list" allowBlank="1" showInputMessage="1" showErrorMessage="1" sqref="B10" xr:uid="{E493DF5C-6614-4B00-8F96-968BFA08D647}">
      <formula1>"Line,Clustered Bar,Stacked Bar,Bar,Horizontal Stacked Bar"</formula1>
    </dataValidation>
    <dataValidation type="list" allowBlank="1" showInputMessage="1" showErrorMessage="1" sqref="P4:Q4" xr:uid="{35564609-9A74-4670-B5FD-126EDDE81D6E}">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53C662B-76D6-4F6D-BA38-D9F2B769C792}">
          <x14:formula1>
            <xm:f>Dropdowns!$A$1:$A$8</xm:f>
          </x14:formula1>
          <xm:sqref>F4:O4</xm:sqref>
        </x14:dataValidation>
        <x14:dataValidation type="list" allowBlank="1" showInputMessage="1" showErrorMessage="1" xr:uid="{1AFED727-8292-464E-8E08-CC6A7FA69642}">
          <x14:formula1>
            <xm:f>Master!$F$2:$F$401</xm:f>
          </x14:formula1>
          <xm:sqref>B1:O1</xm:sqref>
        </x14:dataValidation>
      </x14:dataValidations>
    </ext>
  </extLst>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4910-2AA2-4CA1-94CF-B58B4711613C}">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598</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tbl-lbw-rande-percent</v>
      </c>
    </row>
    <row r="4" spans="1:17" x14ac:dyDescent="0.2">
      <c r="A4" s="58" t="s">
        <v>6</v>
      </c>
      <c r="B4" t="str">
        <f>IF($B$1="","",_xlfn.XLOOKUP($B$1,Master!$F$2:$F$308,Master!$H$2:$H$308,""))</f>
        <v>fig-lbw-rande-percent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2167</v>
      </c>
      <c r="G5" t="s">
        <v>220</v>
      </c>
      <c r="H5" t="s">
        <v>18</v>
      </c>
      <c r="I5" t="s">
        <v>537</v>
      </c>
      <c r="J5" t="s">
        <v>449</v>
      </c>
      <c r="K5" t="s">
        <v>409</v>
      </c>
      <c r="L5" t="s">
        <v>421</v>
      </c>
      <c r="M5" t="s">
        <v>470</v>
      </c>
      <c r="N5" t="s">
        <v>914</v>
      </c>
      <c r="O5" t="s">
        <v>915</v>
      </c>
    </row>
    <row r="6" spans="1:17" ht="15" customHeight="1" x14ac:dyDescent="0.2">
      <c r="A6" t="s">
        <v>891</v>
      </c>
      <c r="B6" t="b">
        <v>0</v>
      </c>
      <c r="E6" s="99"/>
      <c r="F6" t="s">
        <v>929</v>
      </c>
      <c r="G6" s="55">
        <v>6.5</v>
      </c>
      <c r="H6" s="55">
        <v>5.7</v>
      </c>
      <c r="I6" s="55">
        <v>7.1</v>
      </c>
      <c r="J6" s="55">
        <v>4.5999999999999996</v>
      </c>
      <c r="K6" s="55">
        <v>7.2</v>
      </c>
      <c r="L6" s="55">
        <v>7.2</v>
      </c>
      <c r="M6" s="55">
        <v>5.8</v>
      </c>
      <c r="N6" s="55">
        <v>6.7</v>
      </c>
      <c r="O6" s="55">
        <v>6.4</v>
      </c>
    </row>
    <row r="7" spans="1:17" ht="15.75" customHeight="1" x14ac:dyDescent="0.2">
      <c r="E7" s="99"/>
      <c r="F7" t="s">
        <v>1552</v>
      </c>
      <c r="G7" s="55">
        <v>13.4</v>
      </c>
      <c r="H7" s="55">
        <v>13.4</v>
      </c>
      <c r="I7" s="55" t="s">
        <v>2108</v>
      </c>
      <c r="J7" s="55">
        <v>10.4</v>
      </c>
      <c r="K7" s="55">
        <v>16.899999999999999</v>
      </c>
      <c r="L7" s="55">
        <v>11.8</v>
      </c>
      <c r="M7" s="55">
        <v>13</v>
      </c>
      <c r="N7" s="55">
        <v>14.2</v>
      </c>
      <c r="O7" s="55">
        <v>13.8</v>
      </c>
    </row>
    <row r="8" spans="1:17" x14ac:dyDescent="0.2">
      <c r="E8" s="99"/>
      <c r="F8" t="s">
        <v>1553</v>
      </c>
      <c r="G8" s="55">
        <v>8</v>
      </c>
      <c r="H8" s="55">
        <v>8.1</v>
      </c>
      <c r="I8" s="55" t="s">
        <v>2109</v>
      </c>
      <c r="J8" s="55">
        <v>9.3000000000000007</v>
      </c>
      <c r="K8" s="55" t="s">
        <v>1885</v>
      </c>
      <c r="L8" s="55" t="s">
        <v>1883</v>
      </c>
      <c r="M8" s="55">
        <v>9.1999999999999993</v>
      </c>
      <c r="N8" s="55">
        <v>9.3000000000000007</v>
      </c>
      <c r="O8" s="55">
        <v>9.5</v>
      </c>
      <c r="P8" s="14"/>
    </row>
    <row r="9" spans="1:17" x14ac:dyDescent="0.2">
      <c r="A9" s="98" t="s">
        <v>893</v>
      </c>
      <c r="B9" s="99"/>
      <c r="E9" s="99"/>
      <c r="F9" t="s">
        <v>927</v>
      </c>
      <c r="G9" s="55">
        <v>8.1</v>
      </c>
      <c r="H9" s="55">
        <v>8.5</v>
      </c>
      <c r="I9" s="55">
        <v>7.6</v>
      </c>
      <c r="J9" s="55">
        <v>7.1</v>
      </c>
      <c r="K9" s="55">
        <v>9</v>
      </c>
      <c r="L9" s="55">
        <v>7.5</v>
      </c>
      <c r="M9" s="55">
        <v>7.9</v>
      </c>
      <c r="N9" s="55">
        <v>8.3000000000000007</v>
      </c>
      <c r="O9" s="55">
        <v>8.6999999999999993</v>
      </c>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057CDA95-A259-4665-A659-602E667B6D9C}">
      <formula1>"integer, number, percent1"</formula1>
    </dataValidation>
    <dataValidation type="list" allowBlank="1" showInputMessage="1" showErrorMessage="1" sqref="B10" xr:uid="{DE1B161B-9D09-4CB5-95A5-9DBDD40A4684}">
      <formula1>"Line,Clustered Bar,Stacked Bar,Bar,Horizontal Stacked Bar"</formula1>
    </dataValidation>
    <dataValidation type="list" allowBlank="1" showInputMessage="1" showErrorMessage="1" sqref="B2" xr:uid="{DF64F45F-1811-417A-B89D-305FF4CDF27B}">
      <formula1>"Table,Figure,Both"</formula1>
    </dataValidation>
    <dataValidation type="list" allowBlank="1" showInputMessage="1" showErrorMessage="1" sqref="B6 B15:B16" xr:uid="{0DBAC24B-5F7A-4A85-9283-D9C2684CD3CE}">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45E214E1-AFF2-4ED6-9D3E-726F5324270E}">
          <x14:formula1>
            <xm:f>Master!$F$2:$F$401</xm:f>
          </x14:formula1>
          <xm:sqref>B1:O1</xm:sqref>
        </x14:dataValidation>
        <x14:dataValidation type="list" allowBlank="1" showInputMessage="1" showErrorMessage="1" xr:uid="{CE668F7C-2CB5-47E8-B519-E12AC3B67FE5}">
          <x14:formula1>
            <xm:f>Dropdowns!$A$1:$A$8</xm:f>
          </x14:formula1>
          <xm:sqref>F4:O4</xm:sqref>
        </x14:dataValidation>
      </x14:dataValidations>
    </ext>
  </extLst>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CD64-052C-43E5-A6D5-588B7898A3E4}">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600</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tbl-infant-mortal-rate</v>
      </c>
    </row>
    <row r="4" spans="1:17" x14ac:dyDescent="0.2">
      <c r="A4" s="58" t="s">
        <v>6</v>
      </c>
      <c r="B4" t="str">
        <f>IF($B$1="","",_xlfn.XLOOKUP($B$1,Master!$F$2:$F$308,Master!$H$2:$H$308,""))</f>
        <v>fig-infant-mortal-rate</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s="101" t="s">
        <v>1775</v>
      </c>
      <c r="H5" s="101"/>
      <c r="I5" s="101"/>
      <c r="J5" s="101"/>
      <c r="K5" s="101"/>
      <c r="L5" s="101"/>
      <c r="M5" s="101"/>
      <c r="N5" s="101" t="s">
        <v>1921</v>
      </c>
      <c r="O5" s="101"/>
    </row>
    <row r="6" spans="1:17" ht="15" customHeight="1" x14ac:dyDescent="0.2">
      <c r="A6" t="s">
        <v>891</v>
      </c>
      <c r="B6" t="b">
        <v>1</v>
      </c>
      <c r="E6" s="99"/>
      <c r="F6" t="s">
        <v>887</v>
      </c>
      <c r="G6" s="55" t="s">
        <v>220</v>
      </c>
      <c r="H6" s="55" t="s">
        <v>18</v>
      </c>
      <c r="I6" s="55" t="s">
        <v>537</v>
      </c>
      <c r="J6" s="55" t="s">
        <v>449</v>
      </c>
      <c r="K6" s="55" t="s">
        <v>409</v>
      </c>
      <c r="L6" s="55" t="s">
        <v>421</v>
      </c>
      <c r="M6" s="55" t="s">
        <v>470</v>
      </c>
      <c r="N6" s="55" t="s">
        <v>914</v>
      </c>
      <c r="O6" s="55" t="s">
        <v>915</v>
      </c>
    </row>
    <row r="7" spans="1:17" ht="15.75" customHeight="1" x14ac:dyDescent="0.2">
      <c r="E7" s="99"/>
      <c r="F7">
        <v>2014</v>
      </c>
      <c r="G7" s="55">
        <v>4.9000000000000004</v>
      </c>
      <c r="H7" s="55">
        <v>5.3</v>
      </c>
      <c r="I7" s="55" t="s">
        <v>2110</v>
      </c>
      <c r="J7" s="55">
        <v>4</v>
      </c>
      <c r="K7" s="55">
        <v>4.5999999999999996</v>
      </c>
      <c r="L7" s="55">
        <v>5.3</v>
      </c>
      <c r="M7" s="55">
        <v>4.0999999999999996</v>
      </c>
      <c r="N7" s="55">
        <v>5.0999999999999996</v>
      </c>
      <c r="O7" s="55">
        <v>4.5999999999999996</v>
      </c>
    </row>
    <row r="8" spans="1:17" x14ac:dyDescent="0.2">
      <c r="E8" s="99"/>
      <c r="F8">
        <v>2015</v>
      </c>
      <c r="G8" s="55">
        <v>4</v>
      </c>
      <c r="H8" s="55">
        <v>4.9000000000000004</v>
      </c>
      <c r="I8" s="55" t="s">
        <v>2111</v>
      </c>
      <c r="J8" s="55">
        <v>3.6</v>
      </c>
      <c r="K8" s="55">
        <v>4.9000000000000004</v>
      </c>
      <c r="L8" s="55">
        <v>5</v>
      </c>
      <c r="M8" s="55">
        <v>3.6</v>
      </c>
      <c r="N8" s="55">
        <v>5</v>
      </c>
      <c r="O8" s="55">
        <v>4.5999999999999996</v>
      </c>
      <c r="P8" s="14"/>
    </row>
    <row r="9" spans="1:17" x14ac:dyDescent="0.2">
      <c r="A9" s="98" t="s">
        <v>893</v>
      </c>
      <c r="B9" s="99"/>
      <c r="E9" s="99"/>
      <c r="F9">
        <v>2016</v>
      </c>
      <c r="G9" s="55">
        <v>3.4</v>
      </c>
      <c r="H9" s="55">
        <v>4</v>
      </c>
      <c r="I9" s="55" t="s">
        <v>2112</v>
      </c>
      <c r="J9" s="55">
        <v>3.6</v>
      </c>
      <c r="K9" s="55">
        <v>4.9000000000000004</v>
      </c>
      <c r="L9" s="55">
        <v>4.8</v>
      </c>
      <c r="M9" s="55">
        <v>3.1</v>
      </c>
      <c r="N9" s="55">
        <v>5</v>
      </c>
      <c r="O9" s="55">
        <v>4.4000000000000004</v>
      </c>
    </row>
    <row r="10" spans="1:17" x14ac:dyDescent="0.2">
      <c r="A10" t="s">
        <v>894</v>
      </c>
      <c r="B10" t="s">
        <v>972</v>
      </c>
      <c r="E10" s="99"/>
      <c r="F10">
        <v>2017</v>
      </c>
      <c r="G10">
        <v>4.5</v>
      </c>
      <c r="H10">
        <v>3.9</v>
      </c>
      <c r="I10" t="s">
        <v>2111</v>
      </c>
      <c r="J10">
        <v>3</v>
      </c>
      <c r="K10">
        <v>4.4000000000000004</v>
      </c>
      <c r="L10">
        <v>4</v>
      </c>
      <c r="M10">
        <v>3.6</v>
      </c>
      <c r="N10">
        <v>4.7</v>
      </c>
      <c r="O10">
        <v>4.5</v>
      </c>
    </row>
    <row r="11" spans="1:17" x14ac:dyDescent="0.2">
      <c r="A11" t="s">
        <v>895</v>
      </c>
      <c r="B11" t="s">
        <v>887</v>
      </c>
      <c r="E11" s="99"/>
      <c r="F11" s="46" t="s">
        <v>1944</v>
      </c>
      <c r="G11" s="59">
        <v>4.3</v>
      </c>
      <c r="H11" s="59">
        <v>3.6</v>
      </c>
      <c r="I11" s="59" t="s">
        <v>2113</v>
      </c>
      <c r="J11" s="42">
        <v>3</v>
      </c>
      <c r="K11" s="42" t="s">
        <v>2114</v>
      </c>
      <c r="L11" s="42">
        <v>3.3</v>
      </c>
      <c r="M11" s="47" t="s">
        <v>2050</v>
      </c>
      <c r="N11" s="47" t="s">
        <v>1952</v>
      </c>
      <c r="O11" s="46" t="s">
        <v>2048</v>
      </c>
    </row>
    <row r="12" spans="1:17" x14ac:dyDescent="0.2">
      <c r="A12" t="s">
        <v>896</v>
      </c>
      <c r="E12" s="99"/>
      <c r="F12" s="74" t="s">
        <v>1946</v>
      </c>
      <c r="G12" s="42">
        <v>4.2</v>
      </c>
      <c r="H12" s="42">
        <v>3.9</v>
      </c>
      <c r="I12" s="59" t="s">
        <v>1862</v>
      </c>
      <c r="J12" s="59">
        <v>2.8</v>
      </c>
      <c r="K12" s="59" t="s">
        <v>1988</v>
      </c>
      <c r="L12" s="59">
        <v>3.3</v>
      </c>
      <c r="M12" s="46" t="s">
        <v>2050</v>
      </c>
      <c r="N12" s="46" t="s">
        <v>2115</v>
      </c>
      <c r="O12" s="46" t="s">
        <v>2048</v>
      </c>
    </row>
    <row r="13" spans="1:17" x14ac:dyDescent="0.2">
      <c r="A13" t="s">
        <v>897</v>
      </c>
      <c r="E13" s="99"/>
      <c r="F13" s="47" t="s">
        <v>1948</v>
      </c>
      <c r="G13" s="47" t="s">
        <v>2116</v>
      </c>
      <c r="H13" s="47" t="s">
        <v>2047</v>
      </c>
      <c r="I13" s="46" t="s">
        <v>2117</v>
      </c>
      <c r="J13" s="46" t="s">
        <v>1485</v>
      </c>
      <c r="K13" s="46" t="s">
        <v>2054</v>
      </c>
      <c r="L13" s="46" t="s">
        <v>2047</v>
      </c>
      <c r="M13" s="46" t="s">
        <v>2118</v>
      </c>
      <c r="N13" s="46" t="s">
        <v>2119</v>
      </c>
      <c r="O13" s="46" t="s">
        <v>2120</v>
      </c>
    </row>
    <row r="14" spans="1:17" x14ac:dyDescent="0.2">
      <c r="A14" t="s">
        <v>899</v>
      </c>
      <c r="B14" t="s">
        <v>701</v>
      </c>
      <c r="E14" s="99"/>
      <c r="F14" s="68" t="s">
        <v>1142</v>
      </c>
      <c r="G14" s="68" t="s">
        <v>2116</v>
      </c>
      <c r="H14" s="68" t="s">
        <v>2121</v>
      </c>
      <c r="I14" s="46" t="s">
        <v>1785</v>
      </c>
      <c r="J14" s="47" t="s">
        <v>2122</v>
      </c>
      <c r="K14" s="47" t="s">
        <v>2123</v>
      </c>
      <c r="L14" s="47" t="s">
        <v>1993</v>
      </c>
      <c r="M14" s="47" t="s">
        <v>2118</v>
      </c>
      <c r="N14" s="47" t="s">
        <v>2119</v>
      </c>
      <c r="O14" s="46" t="s">
        <v>1992</v>
      </c>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G5:M5"/>
    <mergeCell ref="N5:O5"/>
    <mergeCell ref="A9:B9"/>
    <mergeCell ref="A18:B18"/>
    <mergeCell ref="A27:B27"/>
  </mergeCells>
  <dataValidations count="4">
    <dataValidation type="list" allowBlank="1" showInputMessage="1" showErrorMessage="1" sqref="P4:Q4" xr:uid="{34BF8DF6-95F2-438D-B590-97859EE64368}">
      <formula1>"integer, number, percent1"</formula1>
    </dataValidation>
    <dataValidation type="list" allowBlank="1" showInputMessage="1" showErrorMessage="1" sqref="B10" xr:uid="{A06E9B07-FB5A-492C-82CE-98595C198129}">
      <formula1>"Line,Clustered Bar,Stacked Bar,Bar,Horizontal Stacked Bar"</formula1>
    </dataValidation>
    <dataValidation type="list" allowBlank="1" showInputMessage="1" showErrorMessage="1" sqref="B2" xr:uid="{EAEAD2A3-CA0C-473D-A7AE-97D37F121EA5}">
      <formula1>"Table,Figure,Both"</formula1>
    </dataValidation>
    <dataValidation type="list" allowBlank="1" showInputMessage="1" showErrorMessage="1" sqref="B6 B15:B16" xr:uid="{770F7CE2-4392-4475-A488-43AB606C78C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3E0D4E8-5580-4B50-B769-0B199A00444F}">
          <x14:formula1>
            <xm:f>Master!$F$2:$F$401</xm:f>
          </x14:formula1>
          <xm:sqref>B1:O1</xm:sqref>
        </x14:dataValidation>
        <x14:dataValidation type="list" allowBlank="1" showInputMessage="1" showErrorMessage="1" xr:uid="{0ABEB3FE-10BE-4177-BA85-33BE0F13BCE6}">
          <x14:formula1>
            <xm:f>Dropdowns!$A$1:$A$8</xm:f>
          </x14:formula1>
          <xm:sqref>F4:O4</xm:sqref>
        </x14:dataValidation>
      </x14:dataValidations>
    </ext>
  </extLst>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5ECA-FDA5-4CD7-98A8-3F6AF0C66B62}">
  <dimension ref="A1:Q57"/>
  <sheetViews>
    <sheetView workbookViewId="0">
      <selection activeCell="B1" sqref="B1:O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592</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tbl-hospital-exclusive-bf-percent</v>
      </c>
    </row>
    <row r="4" spans="1:17" x14ac:dyDescent="0.2">
      <c r="A4" s="58" t="s">
        <v>6</v>
      </c>
      <c r="B4" t="str">
        <f>IF($B$1="","",_xlfn.XLOOKUP($B$1,Master!$F$2:$F$308,Master!$H$2:$H$308,""))</f>
        <v>fig-hospital-exclusive-bf-percent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887</v>
      </c>
      <c r="G5" t="s">
        <v>220</v>
      </c>
      <c r="H5" t="s">
        <v>18</v>
      </c>
      <c r="I5" t="s">
        <v>537</v>
      </c>
      <c r="J5" t="s">
        <v>449</v>
      </c>
      <c r="K5" t="s">
        <v>409</v>
      </c>
      <c r="L5" t="s">
        <v>421</v>
      </c>
      <c r="M5" t="s">
        <v>470</v>
      </c>
      <c r="N5" t="s">
        <v>898</v>
      </c>
      <c r="O5" t="s">
        <v>914</v>
      </c>
    </row>
    <row r="6" spans="1:17" ht="15" customHeight="1" x14ac:dyDescent="0.2">
      <c r="A6" t="s">
        <v>891</v>
      </c>
      <c r="B6" t="b">
        <v>0</v>
      </c>
      <c r="E6" s="99"/>
      <c r="F6">
        <v>2013</v>
      </c>
      <c r="G6" s="55">
        <v>57.8</v>
      </c>
      <c r="H6" s="55">
        <v>55.4</v>
      </c>
      <c r="I6" s="55">
        <v>63.8</v>
      </c>
      <c r="J6" s="55">
        <v>46</v>
      </c>
      <c r="K6" s="55">
        <v>45.1</v>
      </c>
      <c r="L6" s="55">
        <v>63.1</v>
      </c>
      <c r="M6" s="55">
        <v>55</v>
      </c>
      <c r="N6" s="55">
        <v>54.1</v>
      </c>
      <c r="O6" s="55">
        <v>51.3</v>
      </c>
    </row>
    <row r="7" spans="1:17" ht="15.75" customHeight="1" x14ac:dyDescent="0.2">
      <c r="E7" s="99"/>
      <c r="F7">
        <v>2014</v>
      </c>
      <c r="G7" s="55">
        <v>55.1</v>
      </c>
      <c r="H7" s="55">
        <v>50.5</v>
      </c>
      <c r="I7" s="55">
        <v>68.5</v>
      </c>
      <c r="J7" s="55">
        <v>52</v>
      </c>
      <c r="K7" s="55">
        <v>49.1</v>
      </c>
      <c r="L7" s="55">
        <v>61.6</v>
      </c>
      <c r="M7" s="55">
        <v>53</v>
      </c>
      <c r="N7" s="55">
        <v>53.5</v>
      </c>
      <c r="O7" s="55">
        <v>52.5</v>
      </c>
    </row>
    <row r="8" spans="1:17" x14ac:dyDescent="0.2">
      <c r="E8" s="99"/>
      <c r="F8">
        <v>2015</v>
      </c>
      <c r="G8" s="55">
        <v>55.5</v>
      </c>
      <c r="H8" s="55">
        <v>49.7</v>
      </c>
      <c r="I8" s="55">
        <v>67.8</v>
      </c>
      <c r="J8" s="55">
        <v>52.7</v>
      </c>
      <c r="K8" s="55">
        <v>52.7</v>
      </c>
      <c r="L8" s="55">
        <v>63.2</v>
      </c>
      <c r="M8" s="55">
        <v>50.6</v>
      </c>
      <c r="N8" s="55">
        <v>52.8</v>
      </c>
      <c r="O8" s="55">
        <v>52.5</v>
      </c>
      <c r="P8" s="14"/>
    </row>
    <row r="9" spans="1:17" x14ac:dyDescent="0.2">
      <c r="A9" s="98" t="s">
        <v>893</v>
      </c>
      <c r="B9" s="99"/>
      <c r="E9" s="99"/>
      <c r="F9">
        <v>2016</v>
      </c>
      <c r="G9" s="55">
        <v>56.6</v>
      </c>
      <c r="H9" s="55">
        <v>44</v>
      </c>
      <c r="I9" s="55">
        <v>61.4</v>
      </c>
      <c r="J9" s="55">
        <v>36.9</v>
      </c>
      <c r="K9" s="55">
        <v>54.3</v>
      </c>
      <c r="L9" s="55">
        <v>65.599999999999994</v>
      </c>
      <c r="M9" s="55">
        <v>54.5</v>
      </c>
      <c r="N9" s="55">
        <v>50</v>
      </c>
      <c r="O9" s="55">
        <v>52.4</v>
      </c>
    </row>
    <row r="10" spans="1:17" x14ac:dyDescent="0.2">
      <c r="A10" t="s">
        <v>894</v>
      </c>
      <c r="B10" t="s">
        <v>972</v>
      </c>
      <c r="E10" s="99"/>
      <c r="F10">
        <v>2017</v>
      </c>
      <c r="G10">
        <v>56.8</v>
      </c>
      <c r="H10">
        <v>44.3</v>
      </c>
      <c r="I10">
        <v>64.599999999999994</v>
      </c>
      <c r="J10">
        <v>38</v>
      </c>
      <c r="K10">
        <v>55.7</v>
      </c>
      <c r="L10">
        <v>64.3</v>
      </c>
      <c r="M10">
        <v>52.2</v>
      </c>
      <c r="N10">
        <v>49.6</v>
      </c>
      <c r="O10">
        <v>51.7</v>
      </c>
    </row>
    <row r="11" spans="1:17" x14ac:dyDescent="0.2">
      <c r="A11" t="s">
        <v>895</v>
      </c>
      <c r="B11" t="s">
        <v>887</v>
      </c>
      <c r="E11" s="99"/>
      <c r="F11" s="46" t="s">
        <v>1944</v>
      </c>
      <c r="G11" s="59">
        <v>52.3</v>
      </c>
      <c r="H11" s="59">
        <v>37.700000000000003</v>
      </c>
      <c r="I11" s="59">
        <v>65.400000000000006</v>
      </c>
      <c r="J11" s="42">
        <v>31.2</v>
      </c>
      <c r="K11" s="42">
        <v>54.4</v>
      </c>
      <c r="L11" s="42">
        <v>61.3</v>
      </c>
      <c r="M11" s="47" t="s">
        <v>2124</v>
      </c>
      <c r="N11" s="47" t="s">
        <v>2125</v>
      </c>
      <c r="O11" s="46" t="s">
        <v>2126</v>
      </c>
    </row>
    <row r="12" spans="1:17" x14ac:dyDescent="0.2">
      <c r="A12" t="s">
        <v>896</v>
      </c>
      <c r="E12" s="99"/>
      <c r="F12" s="74" t="s">
        <v>1946</v>
      </c>
      <c r="G12" s="42">
        <v>49.6</v>
      </c>
      <c r="H12" s="42">
        <v>36.9</v>
      </c>
      <c r="I12" s="59">
        <v>53.4</v>
      </c>
      <c r="J12" s="59">
        <v>32.700000000000003</v>
      </c>
      <c r="K12" s="59">
        <v>50.7</v>
      </c>
      <c r="L12" s="59">
        <v>60.8</v>
      </c>
      <c r="M12" s="46" t="s">
        <v>2127</v>
      </c>
      <c r="N12" s="46" t="s">
        <v>2128</v>
      </c>
      <c r="O12" s="46" t="s">
        <v>2129</v>
      </c>
    </row>
    <row r="13" spans="1:17" x14ac:dyDescent="0.2">
      <c r="A13" t="s">
        <v>897</v>
      </c>
      <c r="E13" s="99"/>
      <c r="F13" s="47" t="s">
        <v>1948</v>
      </c>
      <c r="G13" s="47" t="s">
        <v>2130</v>
      </c>
      <c r="H13" s="47" t="s">
        <v>2131</v>
      </c>
      <c r="I13" s="46" t="s">
        <v>2132</v>
      </c>
      <c r="J13" s="46" t="s">
        <v>2133</v>
      </c>
      <c r="K13" s="46" t="s">
        <v>2134</v>
      </c>
      <c r="L13" s="46" t="s">
        <v>2135</v>
      </c>
      <c r="M13" s="46" t="s">
        <v>1454</v>
      </c>
      <c r="N13" s="46" t="s">
        <v>2136</v>
      </c>
      <c r="O13" s="46" t="s">
        <v>2137</v>
      </c>
    </row>
    <row r="14" spans="1:17" x14ac:dyDescent="0.2">
      <c r="A14" t="s">
        <v>899</v>
      </c>
      <c r="B14" t="s">
        <v>694</v>
      </c>
      <c r="E14" s="99"/>
      <c r="F14" s="68" t="s">
        <v>1142</v>
      </c>
      <c r="G14" s="68" t="s">
        <v>2138</v>
      </c>
      <c r="H14" s="68" t="s">
        <v>2139</v>
      </c>
      <c r="I14" s="46" t="s">
        <v>2140</v>
      </c>
      <c r="J14" s="47" t="s">
        <v>2141</v>
      </c>
      <c r="K14" s="47" t="s">
        <v>2142</v>
      </c>
      <c r="L14" s="47" t="s">
        <v>2143</v>
      </c>
      <c r="M14" s="47" t="s">
        <v>1473</v>
      </c>
      <c r="N14" s="47" t="s">
        <v>2144</v>
      </c>
      <c r="O14" s="46" t="s">
        <v>2145</v>
      </c>
    </row>
    <row r="15" spans="1:17" x14ac:dyDescent="0.2">
      <c r="A15" t="s">
        <v>901</v>
      </c>
      <c r="B15" t="b">
        <v>1</v>
      </c>
      <c r="E15" s="99"/>
      <c r="F15">
        <v>2022</v>
      </c>
      <c r="G15" s="68" t="s">
        <v>1454</v>
      </c>
      <c r="H15" s="68" t="s">
        <v>2146</v>
      </c>
      <c r="I15" s="46" t="s">
        <v>2147</v>
      </c>
      <c r="J15" s="47" t="s">
        <v>2148</v>
      </c>
      <c r="K15" s="47" t="s">
        <v>2149</v>
      </c>
      <c r="L15" s="47" t="s">
        <v>2042</v>
      </c>
      <c r="M15" s="47" t="s">
        <v>2150</v>
      </c>
      <c r="N15" s="47" t="s">
        <v>2146</v>
      </c>
      <c r="O15" s="46" t="s">
        <v>2151</v>
      </c>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3FF7B182-2CD4-4003-999C-AADB3EEF0019}">
      <formula1>"True,False"</formula1>
    </dataValidation>
    <dataValidation type="list" allowBlank="1" showInputMessage="1" showErrorMessage="1" sqref="B2" xr:uid="{7F037CFC-5A34-40B3-8C71-B4236082F198}">
      <formula1>"Table,Figure,Both"</formula1>
    </dataValidation>
    <dataValidation type="list" allowBlank="1" showInputMessage="1" showErrorMessage="1" sqref="B10" xr:uid="{4FE3B844-A575-4E9E-B787-3964B0AF7201}">
      <formula1>"Line,Clustered Bar,Stacked Bar,Bar,Horizontal Stacked Bar"</formula1>
    </dataValidation>
    <dataValidation type="list" allowBlank="1" showInputMessage="1" showErrorMessage="1" sqref="P4:Q4" xr:uid="{F679AF9C-A32E-476F-9CBC-B3CA9D944EDF}">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AC396C6-56F6-493B-91C2-EADC81E4990A}">
          <x14:formula1>
            <xm:f>Dropdowns!$A$1:$A$8</xm:f>
          </x14:formula1>
          <xm:sqref>F4:O4</xm:sqref>
        </x14:dataValidation>
        <x14:dataValidation type="list" allowBlank="1" showInputMessage="1" showErrorMessage="1" xr:uid="{328E4137-D752-4AD3-A5B6-28F3502988E2}">
          <x14:formula1>
            <xm:f>Master!$F$2:$F$401</xm:f>
          </x14:formula1>
          <xm:sqref>B1:O1</xm:sqref>
        </x14:dataValidation>
      </x14:dataValidations>
    </ext>
  </extLst>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3B2D-B218-49D3-AE8B-266C2C12BB99}">
  <dimension ref="A1:Q57"/>
  <sheetViews>
    <sheetView workbookViewId="0">
      <selection activeCell="G17" sqref="G17"/>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607</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tbl-medicaid-1dental-visit-percent</v>
      </c>
    </row>
    <row r="4" spans="1:17" x14ac:dyDescent="0.2">
      <c r="A4" s="58" t="s">
        <v>6</v>
      </c>
      <c r="B4" t="str">
        <f>IF($B$1="","",_xlfn.XLOOKUP($B$1,Master!$F$2:$F$308,Master!$H$2:$H$308,""))</f>
        <v>fig-medicaid-1dental-visit-percent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G5" t="s">
        <v>220</v>
      </c>
      <c r="H5" t="s">
        <v>18</v>
      </c>
      <c r="I5" t="s">
        <v>537</v>
      </c>
      <c r="J5" t="s">
        <v>449</v>
      </c>
      <c r="K5" t="s">
        <v>409</v>
      </c>
      <c r="L5" t="s">
        <v>421</v>
      </c>
      <c r="M5" t="s">
        <v>470</v>
      </c>
      <c r="N5" t="s">
        <v>914</v>
      </c>
      <c r="O5" t="s">
        <v>915</v>
      </c>
    </row>
    <row r="6" spans="1:17" ht="15" customHeight="1" x14ac:dyDescent="0.2">
      <c r="A6" t="s">
        <v>891</v>
      </c>
      <c r="B6" t="b">
        <v>0</v>
      </c>
      <c r="E6" s="99"/>
      <c r="F6" t="s">
        <v>2152</v>
      </c>
      <c r="G6" s="55">
        <v>30.8</v>
      </c>
      <c r="H6" s="55">
        <v>35.799999999999997</v>
      </c>
      <c r="I6" s="55">
        <v>31.6</v>
      </c>
      <c r="J6" s="55">
        <v>45.5</v>
      </c>
      <c r="K6" s="55">
        <v>29.1</v>
      </c>
      <c r="L6" s="55">
        <v>28.5</v>
      </c>
      <c r="M6" s="55">
        <v>30.7</v>
      </c>
      <c r="N6" s="55">
        <v>30.2</v>
      </c>
      <c r="O6" s="55">
        <v>29.5</v>
      </c>
    </row>
    <row r="7" spans="1:17" ht="15.75" customHeight="1" x14ac:dyDescent="0.2">
      <c r="E7" s="99"/>
      <c r="F7" t="s">
        <v>2153</v>
      </c>
      <c r="G7" s="55">
        <v>49.2</v>
      </c>
      <c r="H7" s="55">
        <v>51.5</v>
      </c>
      <c r="I7" s="55">
        <v>53.1</v>
      </c>
      <c r="J7" s="55">
        <v>64.400000000000006</v>
      </c>
      <c r="K7" s="55">
        <v>43.6</v>
      </c>
      <c r="L7" s="55">
        <v>47.8</v>
      </c>
      <c r="M7" s="55">
        <v>52</v>
      </c>
      <c r="N7" s="55">
        <v>54.2</v>
      </c>
      <c r="O7" s="55">
        <v>46.8</v>
      </c>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983</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4427AC92-61A9-44CF-A64A-1EAD1477A998}">
      <formula1>"integer, number, percent1"</formula1>
    </dataValidation>
    <dataValidation type="list" allowBlank="1" showInputMessage="1" showErrorMessage="1" sqref="B10" xr:uid="{7EF12244-4DD0-4137-88DF-A9E6041E55EB}">
      <formula1>"Line,Clustered Bar,Stacked Bar,Bar,Horizontal Stacked Bar"</formula1>
    </dataValidation>
    <dataValidation type="list" allowBlank="1" showInputMessage="1" showErrorMessage="1" sqref="B2" xr:uid="{E56FA127-22CD-4860-8123-1752A02C277C}">
      <formula1>"Table,Figure,Both"</formula1>
    </dataValidation>
    <dataValidation type="list" allowBlank="1" showInputMessage="1" showErrorMessage="1" sqref="B6 B15:B16" xr:uid="{D81F4DA1-6F10-4B09-A81E-FDB90F658F54}">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6FCFF5C1-058D-449D-BFD7-74691A5383BF}">
          <x14:formula1>
            <xm:f>Master!$F$2:$F$401</xm:f>
          </x14:formula1>
          <xm:sqref>B1:O1</xm:sqref>
        </x14:dataValidation>
        <x14:dataValidation type="list" allowBlank="1" showInputMessage="1" showErrorMessage="1" xr:uid="{CF5F2949-9D6D-49D6-92AE-CED7E5983874}">
          <x14:formula1>
            <xm:f>Dropdowns!$A$1:$A$8</xm:f>
          </x14:formula1>
          <xm:sqref>F4:O4</xm:sqref>
        </x14:dataValidation>
      </x14:dataValidations>
    </ext>
  </extLst>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79DA-CABD-4232-A337-48BA80EBF5D1}">
  <dimension ref="A1:Q57"/>
  <sheetViews>
    <sheetView topLeftCell="A4" workbookViewId="0">
      <selection activeCell="O4" sqref="O4"/>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609</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tbl-medicaid-dental-past12-percent</v>
      </c>
    </row>
    <row r="4" spans="1:17" x14ac:dyDescent="0.2">
      <c r="A4" s="58" t="s">
        <v>6</v>
      </c>
      <c r="B4" t="str">
        <f>IF($B$1="","",_xlfn.XLOOKUP($B$1,Master!$F$2:$F$308,Master!$H$2:$H$308,""))</f>
        <v>fig-medicaid-dental-past12-percent</v>
      </c>
      <c r="E4" s="13"/>
      <c r="F4" s="16" t="s">
        <v>664</v>
      </c>
      <c r="G4" s="16" t="s">
        <v>679</v>
      </c>
      <c r="H4" s="16" t="s">
        <v>679</v>
      </c>
      <c r="I4" s="16" t="s">
        <v>679</v>
      </c>
      <c r="J4" s="16" t="s">
        <v>679</v>
      </c>
      <c r="K4" s="16" t="s">
        <v>679</v>
      </c>
      <c r="L4" s="16" t="s">
        <v>679</v>
      </c>
      <c r="M4" s="16" t="s">
        <v>679</v>
      </c>
      <c r="N4" s="16" t="s">
        <v>679</v>
      </c>
      <c r="O4" s="16"/>
      <c r="P4" s="16"/>
      <c r="Q4" s="16"/>
    </row>
    <row r="5" spans="1:17" x14ac:dyDescent="0.2">
      <c r="A5" s="98" t="s">
        <v>885</v>
      </c>
      <c r="B5" s="99"/>
      <c r="E5" s="100" t="s">
        <v>886</v>
      </c>
      <c r="G5" t="s">
        <v>220</v>
      </c>
      <c r="H5" t="s">
        <v>18</v>
      </c>
      <c r="I5" t="s">
        <v>537</v>
      </c>
      <c r="J5" t="s">
        <v>449</v>
      </c>
      <c r="K5" t="s">
        <v>409</v>
      </c>
      <c r="L5" t="s">
        <v>421</v>
      </c>
      <c r="M5" t="s">
        <v>470</v>
      </c>
      <c r="N5" t="s">
        <v>915</v>
      </c>
    </row>
    <row r="6" spans="1:17" ht="15" customHeight="1" x14ac:dyDescent="0.2">
      <c r="A6" t="s">
        <v>891</v>
      </c>
      <c r="B6" t="b">
        <v>0</v>
      </c>
      <c r="E6" s="99"/>
      <c r="F6">
        <v>2019</v>
      </c>
      <c r="G6" s="55">
        <v>31.1</v>
      </c>
      <c r="H6" s="55">
        <v>34.799999999999997</v>
      </c>
      <c r="I6" s="55">
        <v>32.799999999999997</v>
      </c>
      <c r="J6" s="55">
        <v>45.6</v>
      </c>
      <c r="K6" s="55">
        <v>31</v>
      </c>
      <c r="L6" s="55">
        <v>28.6</v>
      </c>
      <c r="M6" s="55">
        <v>32.700000000000003</v>
      </c>
      <c r="N6" s="55">
        <v>33.5</v>
      </c>
      <c r="O6" s="55"/>
    </row>
    <row r="7" spans="1:17" ht="15.75" customHeight="1" x14ac:dyDescent="0.2">
      <c r="E7" s="99"/>
      <c r="F7">
        <v>2020</v>
      </c>
      <c r="G7" s="55">
        <v>30.9</v>
      </c>
      <c r="H7" s="55">
        <v>34.1</v>
      </c>
      <c r="I7" s="55">
        <v>31.7</v>
      </c>
      <c r="J7" s="55">
        <v>45.3</v>
      </c>
      <c r="K7" s="55">
        <v>29.8</v>
      </c>
      <c r="L7" s="55">
        <v>28.4</v>
      </c>
      <c r="M7" s="55">
        <v>31.2</v>
      </c>
      <c r="N7" s="55">
        <v>26.3</v>
      </c>
      <c r="O7" s="55"/>
    </row>
    <row r="8" spans="1:17" x14ac:dyDescent="0.2">
      <c r="E8" s="99"/>
      <c r="F8">
        <v>2021</v>
      </c>
      <c r="G8" s="55">
        <v>30.3</v>
      </c>
      <c r="H8" s="55">
        <v>33.9</v>
      </c>
      <c r="I8" s="55">
        <v>30.7</v>
      </c>
      <c r="J8" s="55">
        <v>44.7</v>
      </c>
      <c r="K8" s="55">
        <v>28.5</v>
      </c>
      <c r="L8" s="55">
        <v>27.7</v>
      </c>
      <c r="M8" s="55">
        <v>29.8</v>
      </c>
      <c r="N8" s="55">
        <v>29.8</v>
      </c>
      <c r="O8" s="55"/>
      <c r="P8" s="14"/>
    </row>
    <row r="9" spans="1:17" x14ac:dyDescent="0.2">
      <c r="A9" s="98" t="s">
        <v>893</v>
      </c>
      <c r="B9" s="99"/>
      <c r="E9" s="99"/>
      <c r="F9">
        <v>2022</v>
      </c>
      <c r="G9" s="55">
        <v>30.8</v>
      </c>
      <c r="H9" s="55">
        <v>35.799999999999997</v>
      </c>
      <c r="I9" s="55">
        <v>31.6</v>
      </c>
      <c r="J9" s="55">
        <v>44.5</v>
      </c>
      <c r="K9" s="55">
        <v>29.1</v>
      </c>
      <c r="L9" s="55">
        <v>28.5</v>
      </c>
      <c r="M9" s="55">
        <v>30.7</v>
      </c>
      <c r="N9" s="55">
        <v>29.8</v>
      </c>
      <c r="O9" s="55"/>
    </row>
    <row r="10" spans="1:17" x14ac:dyDescent="0.2">
      <c r="A10" t="s">
        <v>894</v>
      </c>
      <c r="B10" t="s">
        <v>972</v>
      </c>
      <c r="E10" s="99"/>
      <c r="G10" s="55"/>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514480EE-8F91-4855-BB22-E142DF6A1914}">
      <formula1>"True,False"</formula1>
    </dataValidation>
    <dataValidation type="list" allowBlank="1" showInputMessage="1" showErrorMessage="1" sqref="B2" xr:uid="{3964268D-25B5-453F-8041-5D018CE943B2}">
      <formula1>"Table,Figure,Both"</formula1>
    </dataValidation>
    <dataValidation type="list" allowBlank="1" showInputMessage="1" showErrorMessage="1" sqref="B10" xr:uid="{E85E2A10-4CFD-4DB3-8E21-B6B5F3B85412}">
      <formula1>"Line,Clustered Bar,Stacked Bar,Bar,Horizontal Stacked Bar"</formula1>
    </dataValidation>
    <dataValidation type="list" allowBlank="1" showInputMessage="1" showErrorMessage="1" sqref="P4:Q4" xr:uid="{57C3E018-E9D8-4133-9976-E3545155526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E64D6EE0-DAE1-493C-8B74-1C67829B59BE}">
          <x14:formula1>
            <xm:f>Dropdowns!$A$1:$A$8</xm:f>
          </x14:formula1>
          <xm:sqref>F4:O4</xm:sqref>
        </x14:dataValidation>
        <x14:dataValidation type="list" allowBlank="1" showInputMessage="1" showErrorMessage="1" xr:uid="{438FE1FB-3671-44C6-8F9B-8339379B9694}">
          <x14:formula1>
            <xm:f>Master!$F$2:$F$401</xm:f>
          </x14:formula1>
          <xm:sqref>B1:O1</xm:sqref>
        </x14:dataValidation>
      </x14:dataValidations>
    </ext>
  </extLst>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EE3E-7EEF-074B-9863-3904384C1603}">
  <dimension ref="A1:Q57"/>
  <sheetViews>
    <sheetView workbookViewId="0">
      <selection activeCell="H26" sqref="H2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489</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tbl-cirrhosis-mortal-aar</v>
      </c>
    </row>
    <row r="4" spans="1:17" x14ac:dyDescent="0.2">
      <c r="A4" s="58" t="s">
        <v>6</v>
      </c>
      <c r="B4" t="str">
        <f>IF($B$1="","",_xlfn.XLOOKUP($B$1,Master!$F$2:$F$308,Master!$H$2:$H$308,""))</f>
        <v>fig-cirrhosis-mortal-aar</v>
      </c>
      <c r="E4" s="13"/>
      <c r="F4" s="16" t="s">
        <v>664</v>
      </c>
      <c r="G4" s="16" t="s">
        <v>679</v>
      </c>
      <c r="H4" s="16" t="s">
        <v>679</v>
      </c>
      <c r="I4" s="16" t="s">
        <v>679</v>
      </c>
      <c r="J4" s="16" t="s">
        <v>679</v>
      </c>
      <c r="K4" s="16" t="s">
        <v>679</v>
      </c>
      <c r="L4" s="16" t="s">
        <v>679</v>
      </c>
      <c r="M4" s="16" t="s">
        <v>679</v>
      </c>
      <c r="N4" s="16" t="s">
        <v>679</v>
      </c>
      <c r="O4" s="16"/>
      <c r="P4" s="16"/>
      <c r="Q4" s="16"/>
    </row>
    <row r="5" spans="1:17" x14ac:dyDescent="0.2">
      <c r="A5" s="98" t="s">
        <v>885</v>
      </c>
      <c r="B5" s="99"/>
      <c r="E5" s="100" t="s">
        <v>886</v>
      </c>
      <c r="G5" s="101" t="s">
        <v>2161</v>
      </c>
      <c r="H5" s="101"/>
      <c r="I5" s="101"/>
      <c r="J5" s="101"/>
      <c r="K5" s="101"/>
      <c r="L5" s="101"/>
      <c r="M5" s="101"/>
      <c r="N5" t="s">
        <v>1776</v>
      </c>
    </row>
    <row r="6" spans="1:17" ht="15" customHeight="1" x14ac:dyDescent="0.2">
      <c r="A6" t="s">
        <v>891</v>
      </c>
      <c r="B6" t="b">
        <v>0</v>
      </c>
      <c r="E6" s="99"/>
      <c r="F6" t="s">
        <v>1123</v>
      </c>
      <c r="G6" s="55" t="s">
        <v>220</v>
      </c>
      <c r="H6" s="55" t="s">
        <v>18</v>
      </c>
      <c r="I6" s="55" t="s">
        <v>537</v>
      </c>
      <c r="J6" s="55" t="s">
        <v>449</v>
      </c>
      <c r="K6" s="55" t="s">
        <v>409</v>
      </c>
      <c r="L6" s="55" t="s">
        <v>421</v>
      </c>
      <c r="M6" s="55" t="s">
        <v>470</v>
      </c>
      <c r="N6" s="55" t="s">
        <v>915</v>
      </c>
      <c r="O6" s="55"/>
    </row>
    <row r="7" spans="1:17" ht="15.75" customHeight="1" x14ac:dyDescent="0.2">
      <c r="E7" s="99"/>
      <c r="F7">
        <v>2014</v>
      </c>
      <c r="G7" s="55">
        <v>6.9</v>
      </c>
      <c r="H7" s="55">
        <v>6.6</v>
      </c>
      <c r="I7" s="55">
        <v>7</v>
      </c>
      <c r="J7" s="55">
        <v>5.5</v>
      </c>
      <c r="K7" s="55">
        <v>8.4</v>
      </c>
      <c r="L7" s="55">
        <v>6</v>
      </c>
      <c r="M7" s="55">
        <v>4.5999999999999996</v>
      </c>
      <c r="N7" s="55">
        <v>6.7</v>
      </c>
      <c r="O7" s="55"/>
    </row>
    <row r="8" spans="1:17" x14ac:dyDescent="0.2">
      <c r="E8" s="99"/>
      <c r="F8">
        <v>2015</v>
      </c>
      <c r="G8" s="55">
        <v>6.1</v>
      </c>
      <c r="H8" s="55">
        <v>6</v>
      </c>
      <c r="I8" s="55">
        <v>8.3000000000000007</v>
      </c>
      <c r="J8" s="55">
        <v>5.8</v>
      </c>
      <c r="K8" s="55">
        <v>9.1999999999999993</v>
      </c>
      <c r="L8" s="55">
        <v>8.1999999999999993</v>
      </c>
      <c r="M8" s="55">
        <v>4.5999999999999996</v>
      </c>
      <c r="N8" s="55">
        <v>6.7</v>
      </c>
      <c r="O8" s="55"/>
      <c r="P8" s="14"/>
    </row>
    <row r="9" spans="1:17" x14ac:dyDescent="0.2">
      <c r="A9" s="98" t="s">
        <v>893</v>
      </c>
      <c r="B9" s="99"/>
      <c r="E9" s="99"/>
      <c r="F9">
        <v>2016</v>
      </c>
      <c r="G9" s="55">
        <v>5.8</v>
      </c>
      <c r="H9" s="55">
        <v>6.4</v>
      </c>
      <c r="I9" s="55">
        <v>8.3000000000000007</v>
      </c>
      <c r="J9" s="55">
        <v>6.4</v>
      </c>
      <c r="K9" s="55">
        <v>7.2</v>
      </c>
      <c r="L9" s="55">
        <v>8.1999999999999993</v>
      </c>
      <c r="M9" s="55">
        <v>5.4</v>
      </c>
      <c r="N9" s="55">
        <v>6.9</v>
      </c>
      <c r="O9" s="55"/>
    </row>
    <row r="10" spans="1:17" x14ac:dyDescent="0.2">
      <c r="A10" t="s">
        <v>894</v>
      </c>
      <c r="B10" t="s">
        <v>972</v>
      </c>
      <c r="E10" s="99"/>
      <c r="F10">
        <v>2017</v>
      </c>
      <c r="G10" s="55">
        <v>5.4</v>
      </c>
      <c r="H10">
        <v>7.1</v>
      </c>
      <c r="I10">
        <v>5.8</v>
      </c>
      <c r="J10">
        <v>5.2</v>
      </c>
      <c r="K10">
        <v>7.1</v>
      </c>
      <c r="L10">
        <v>8.5</v>
      </c>
      <c r="M10">
        <v>5.7</v>
      </c>
      <c r="N10">
        <v>7</v>
      </c>
    </row>
    <row r="11" spans="1:17" x14ac:dyDescent="0.2">
      <c r="A11" t="s">
        <v>895</v>
      </c>
      <c r="B11" t="s">
        <v>887</v>
      </c>
      <c r="E11" s="99"/>
      <c r="F11" s="46" t="s">
        <v>1944</v>
      </c>
      <c r="G11" s="59">
        <v>4.9000000000000004</v>
      </c>
      <c r="H11" s="59">
        <v>7.5</v>
      </c>
      <c r="I11" s="59">
        <v>4.8</v>
      </c>
      <c r="J11" s="42">
        <v>4.7</v>
      </c>
      <c r="K11" s="42">
        <v>6.9</v>
      </c>
      <c r="L11" s="42">
        <v>7.3</v>
      </c>
      <c r="M11" s="47" t="s">
        <v>1945</v>
      </c>
      <c r="N11" s="47" t="s">
        <v>1466</v>
      </c>
      <c r="O11" s="46"/>
    </row>
    <row r="12" spans="1:17" x14ac:dyDescent="0.2">
      <c r="A12" t="s">
        <v>896</v>
      </c>
      <c r="E12" s="99"/>
      <c r="F12" s="74" t="s">
        <v>1946</v>
      </c>
      <c r="G12" s="42">
        <v>6.3</v>
      </c>
      <c r="H12" s="42">
        <v>7.3</v>
      </c>
      <c r="I12" s="59">
        <v>5.3</v>
      </c>
      <c r="J12" s="59">
        <v>4.3</v>
      </c>
      <c r="K12" s="59">
        <v>6.7</v>
      </c>
      <c r="L12" s="59">
        <v>7.5</v>
      </c>
      <c r="M12" s="46" t="s">
        <v>1947</v>
      </c>
      <c r="N12" s="46" t="s">
        <v>1466</v>
      </c>
      <c r="O12" s="46"/>
    </row>
    <row r="13" spans="1:17" x14ac:dyDescent="0.2">
      <c r="A13" t="s">
        <v>897</v>
      </c>
      <c r="E13" s="99"/>
      <c r="F13" s="47" t="s">
        <v>1948</v>
      </c>
      <c r="G13" s="47" t="s">
        <v>1464</v>
      </c>
      <c r="H13" s="47" t="s">
        <v>1949</v>
      </c>
      <c r="I13" s="46" t="s">
        <v>1463</v>
      </c>
      <c r="J13" s="46" t="s">
        <v>1950</v>
      </c>
      <c r="K13" s="46" t="s">
        <v>1951</v>
      </c>
      <c r="L13" s="46" t="s">
        <v>1466</v>
      </c>
      <c r="M13" s="46" t="s">
        <v>1760</v>
      </c>
      <c r="N13" s="46" t="s">
        <v>1467</v>
      </c>
      <c r="O13" s="46"/>
    </row>
    <row r="14" spans="1:17" x14ac:dyDescent="0.2">
      <c r="A14" t="s">
        <v>899</v>
      </c>
      <c r="B14" t="s">
        <v>694</v>
      </c>
      <c r="E14" s="99"/>
      <c r="F14" s="68" t="s">
        <v>1142</v>
      </c>
      <c r="G14" s="68" t="s">
        <v>1468</v>
      </c>
      <c r="H14" s="68" t="s">
        <v>1463</v>
      </c>
      <c r="I14" s="46" t="s">
        <v>1463</v>
      </c>
      <c r="J14" s="47" t="s">
        <v>1952</v>
      </c>
      <c r="K14" s="47" t="s">
        <v>2160</v>
      </c>
      <c r="L14" s="47" t="s">
        <v>1499</v>
      </c>
      <c r="M14" s="47" t="s">
        <v>1983</v>
      </c>
      <c r="N14" s="47" t="s">
        <v>1447</v>
      </c>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7">
    <mergeCell ref="B1:O1"/>
    <mergeCell ref="A5:B5"/>
    <mergeCell ref="E5:E57"/>
    <mergeCell ref="A9:B9"/>
    <mergeCell ref="A18:B18"/>
    <mergeCell ref="A27:B27"/>
    <mergeCell ref="G5:M5"/>
  </mergeCells>
  <dataValidations count="4">
    <dataValidation type="list" allowBlank="1" showInputMessage="1" showErrorMessage="1" sqref="P4:Q4" xr:uid="{A72D1742-CC25-6947-8CAA-5386A4F76507}">
      <formula1>"integer, number, percent1"</formula1>
    </dataValidation>
    <dataValidation type="list" allowBlank="1" showInputMessage="1" showErrorMessage="1" sqref="B10" xr:uid="{6B41834D-E648-334F-A0A7-A0F8AD980098}">
      <formula1>"Line,Clustered Bar,Stacked Bar,Bar,Horizontal Stacked Bar"</formula1>
    </dataValidation>
    <dataValidation type="list" allowBlank="1" showInputMessage="1" showErrorMessage="1" sqref="B2" xr:uid="{2312A005-5DB2-EB4C-AB67-5461179F8B5F}">
      <formula1>"Table,Figure,Both"</formula1>
    </dataValidation>
    <dataValidation type="list" allowBlank="1" showInputMessage="1" showErrorMessage="1" sqref="B6 B15:B16" xr:uid="{9005BFDF-728A-BE40-B522-1C81A5E572D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97870B3-48EE-D14D-B54D-0C41EABD1FCF}">
          <x14:formula1>
            <xm:f>Master!$F$2:$F$401</xm:f>
          </x14:formula1>
          <xm:sqref>B1:O1</xm:sqref>
        </x14:dataValidation>
        <x14:dataValidation type="list" allowBlank="1" showInputMessage="1" showErrorMessage="1" xr:uid="{8949A9A4-9F61-8F43-A712-7932539FCA45}">
          <x14:formula1>
            <xm:f>Dropdowns!$A$1:$A$8</xm:f>
          </x14:formula1>
          <xm:sqref>F4:O4</xm:sqref>
        </x14:dataValidation>
      </x14:dataValidations>
    </ext>
  </extLst>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9E8A-B1C4-4549-A306-0384EAB35667}">
  <dimension ref="A1:Q57"/>
  <sheetViews>
    <sheetView workbookViewId="0">
      <selection activeCell="R48" sqref="R48"/>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1545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tbl-coronary-heart-disease-hospital-aar</v>
      </c>
    </row>
    <row r="4" spans="1:17" x14ac:dyDescent="0.2">
      <c r="A4" s="58" t="s">
        <v>6</v>
      </c>
      <c r="B4" t="str">
        <f>IF($B$1="","",_xlfn.XLOOKUP($B$1,Master!$F$2:$F$308,Master!$H$2:$H$308,""))</f>
        <v>fig-coronary-heart-disease-hospital-aar</v>
      </c>
      <c r="E4" s="13"/>
      <c r="F4" s="16" t="s">
        <v>664</v>
      </c>
      <c r="G4" s="16" t="s">
        <v>679</v>
      </c>
      <c r="H4" s="16" t="s">
        <v>679</v>
      </c>
      <c r="I4" s="16" t="s">
        <v>679</v>
      </c>
      <c r="J4" s="16" t="s">
        <v>679</v>
      </c>
      <c r="K4" s="16" t="s">
        <v>679</v>
      </c>
      <c r="L4" s="16" t="s">
        <v>679</v>
      </c>
      <c r="M4" s="16" t="s">
        <v>679</v>
      </c>
      <c r="N4" s="16" t="s">
        <v>679</v>
      </c>
      <c r="O4" s="16" t="s">
        <v>679</v>
      </c>
      <c r="P4" s="16" t="s">
        <v>679</v>
      </c>
      <c r="Q4" s="16"/>
    </row>
    <row r="5" spans="1:17" x14ac:dyDescent="0.2">
      <c r="A5" s="98" t="s">
        <v>885</v>
      </c>
      <c r="B5" s="99"/>
      <c r="E5" s="100" t="s">
        <v>886</v>
      </c>
      <c r="G5" s="101" t="s">
        <v>2161</v>
      </c>
      <c r="H5" s="101"/>
      <c r="I5" s="101"/>
      <c r="J5" s="101"/>
      <c r="K5" s="101"/>
      <c r="L5" s="101"/>
      <c r="M5" s="101"/>
      <c r="N5" s="101" t="s">
        <v>1776</v>
      </c>
      <c r="O5" s="101"/>
      <c r="P5" s="101"/>
    </row>
    <row r="6" spans="1:17" ht="15" customHeight="1" x14ac:dyDescent="0.2">
      <c r="A6" t="s">
        <v>891</v>
      </c>
      <c r="B6" t="b">
        <v>1</v>
      </c>
      <c r="E6" s="99"/>
      <c r="F6" t="s">
        <v>887</v>
      </c>
      <c r="G6" s="55" t="s">
        <v>220</v>
      </c>
      <c r="H6" s="55" t="s">
        <v>18</v>
      </c>
      <c r="I6" s="55" t="s">
        <v>537</v>
      </c>
      <c r="J6" s="55" t="s">
        <v>449</v>
      </c>
      <c r="K6" s="55" t="s">
        <v>409</v>
      </c>
      <c r="L6" s="55" t="s">
        <v>421</v>
      </c>
      <c r="M6" s="55" t="s">
        <v>470</v>
      </c>
      <c r="N6" s="55" t="s">
        <v>898</v>
      </c>
      <c r="O6" s="55" t="s">
        <v>914</v>
      </c>
      <c r="P6" t="s">
        <v>915</v>
      </c>
    </row>
    <row r="7" spans="1:17" ht="15.75" customHeight="1" x14ac:dyDescent="0.2">
      <c r="E7" s="99"/>
      <c r="F7">
        <v>2021</v>
      </c>
      <c r="G7" s="55">
        <v>16.7</v>
      </c>
      <c r="H7" s="55">
        <v>22.4</v>
      </c>
      <c r="I7" s="55">
        <v>14.9</v>
      </c>
      <c r="J7" s="55">
        <v>14.6</v>
      </c>
      <c r="K7" s="55">
        <v>28.9</v>
      </c>
      <c r="L7" s="55">
        <v>20.100000000000001</v>
      </c>
      <c r="M7" s="55">
        <v>16.3</v>
      </c>
      <c r="N7" s="55">
        <v>18</v>
      </c>
      <c r="O7" s="55">
        <v>20.100000000000001</v>
      </c>
      <c r="P7">
        <v>20.2</v>
      </c>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1002</v>
      </c>
      <c r="E10" s="99"/>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708</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8">
    <mergeCell ref="B1:O1"/>
    <mergeCell ref="A5:B5"/>
    <mergeCell ref="E5:E57"/>
    <mergeCell ref="A9:B9"/>
    <mergeCell ref="A18:B18"/>
    <mergeCell ref="A27:B27"/>
    <mergeCell ref="G5:M5"/>
    <mergeCell ref="N5:P5"/>
  </mergeCells>
  <dataValidations count="4">
    <dataValidation type="list" allowBlank="1" showInputMessage="1" showErrorMessage="1" sqref="B6 B15:B16" xr:uid="{E945FC5D-9762-6549-A486-3A096D437073}">
      <formula1>"True,False"</formula1>
    </dataValidation>
    <dataValidation type="list" allowBlank="1" showInputMessage="1" showErrorMessage="1" sqref="B2" xr:uid="{BB8C446C-FF3E-3144-A710-AC518CA5A22B}">
      <formula1>"Table,Figure,Both"</formula1>
    </dataValidation>
    <dataValidation type="list" allowBlank="1" showInputMessage="1" showErrorMessage="1" sqref="B10" xr:uid="{060F8EA1-0DD5-5446-AA45-53D0F7FB96BC}">
      <formula1>"Line,Clustered Bar,Stacked Bar,Bar,Horizontal Stacked Bar"</formula1>
    </dataValidation>
    <dataValidation type="list" allowBlank="1" showInputMessage="1" showErrorMessage="1" sqref="P4:Q4" xr:uid="{C026924A-3681-D844-95CA-89F126FA8AD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04434DCF-2946-D248-A668-B1B0F3621212}">
          <x14:formula1>
            <xm:f>Dropdowns!$A$1:$A$8</xm:f>
          </x14:formula1>
          <xm:sqref>F4:O4</xm:sqref>
        </x14:dataValidation>
        <x14:dataValidation type="list" allowBlank="1" showInputMessage="1" showErrorMessage="1" xr:uid="{41568BDF-76ED-4F41-823B-0334BD77501A}">
          <x14:formula1>
            <xm:f>Master!$F$2:$F$401</xm:f>
          </x14:formula1>
          <xm:sqref>B1:O1</xm:sqref>
        </x14:dataValidation>
      </x14:dataValidations>
    </ext>
  </extLst>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04C2-C293-2140-B5E1-CCC641C63AA6}">
  <dimension ref="A1:Q57"/>
  <sheetViews>
    <sheetView workbookViewId="0">
      <selection activeCell="F16" sqref="F16"/>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465</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tbl-coronary-heart-disease-hospital-rande-aar</v>
      </c>
    </row>
    <row r="4" spans="1:17" x14ac:dyDescent="0.2">
      <c r="A4" s="58" t="s">
        <v>6</v>
      </c>
      <c r="B4" t="str">
        <f>IF($B$1="","",_xlfn.XLOOKUP($B$1,Master!$F$2:$F$308,Master!$H$2:$H$308,""))</f>
        <v>fig-coronary-heart-disease-hospital-rande-aar</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2167</v>
      </c>
      <c r="G5" t="s">
        <v>220</v>
      </c>
      <c r="H5" t="s">
        <v>18</v>
      </c>
      <c r="I5" t="s">
        <v>537</v>
      </c>
      <c r="J5" t="s">
        <v>449</v>
      </c>
      <c r="K5" t="s">
        <v>409</v>
      </c>
      <c r="L5" t="s">
        <v>421</v>
      </c>
      <c r="M5" t="s">
        <v>470</v>
      </c>
      <c r="N5" t="s">
        <v>914</v>
      </c>
      <c r="O5" t="s">
        <v>915</v>
      </c>
    </row>
    <row r="6" spans="1:17" ht="15" customHeight="1" x14ac:dyDescent="0.2">
      <c r="A6" t="s">
        <v>891</v>
      </c>
      <c r="B6" t="b">
        <v>0</v>
      </c>
      <c r="E6" s="99"/>
      <c r="F6" t="s">
        <v>929</v>
      </c>
      <c r="G6" s="55">
        <v>15.2</v>
      </c>
      <c r="H6" s="55">
        <v>19.3</v>
      </c>
      <c r="I6" s="55">
        <v>13.7</v>
      </c>
      <c r="J6" s="55">
        <v>12.3</v>
      </c>
      <c r="K6" s="55">
        <v>24.8</v>
      </c>
      <c r="L6" s="55">
        <v>17.899999999999999</v>
      </c>
      <c r="M6" s="55">
        <v>11.4</v>
      </c>
      <c r="N6" s="55">
        <v>17.8</v>
      </c>
      <c r="O6" s="55">
        <v>16.8</v>
      </c>
    </row>
    <row r="7" spans="1:17" ht="15.75" customHeight="1" x14ac:dyDescent="0.2">
      <c r="E7" s="99"/>
      <c r="F7" t="s">
        <v>1552</v>
      </c>
      <c r="G7" s="55">
        <v>5</v>
      </c>
      <c r="H7" s="55">
        <v>21.2</v>
      </c>
      <c r="I7" s="55">
        <v>13</v>
      </c>
      <c r="J7" s="55">
        <v>11.3</v>
      </c>
      <c r="K7" s="55">
        <v>30.4</v>
      </c>
      <c r="L7" s="55">
        <v>16.3</v>
      </c>
      <c r="M7" s="55">
        <v>14.7</v>
      </c>
      <c r="N7" s="55">
        <v>19.3</v>
      </c>
      <c r="O7" s="55">
        <v>17.100000000000001</v>
      </c>
    </row>
    <row r="8" spans="1:17" x14ac:dyDescent="0.2">
      <c r="E8" s="99"/>
      <c r="F8" t="s">
        <v>1814</v>
      </c>
      <c r="G8" s="55">
        <v>7.2</v>
      </c>
      <c r="H8" s="55">
        <v>9.3000000000000007</v>
      </c>
      <c r="I8" s="55" t="s">
        <v>754</v>
      </c>
      <c r="J8" s="55">
        <v>14.7</v>
      </c>
      <c r="K8" s="55">
        <v>15.2</v>
      </c>
      <c r="L8" s="55" t="s">
        <v>1815</v>
      </c>
      <c r="M8" s="55">
        <v>8</v>
      </c>
      <c r="N8" s="55">
        <v>14.7</v>
      </c>
      <c r="O8" s="55">
        <v>13.5</v>
      </c>
      <c r="P8" s="14"/>
    </row>
    <row r="9" spans="1:17" x14ac:dyDescent="0.2">
      <c r="A9" s="98" t="s">
        <v>893</v>
      </c>
      <c r="B9" s="99"/>
      <c r="E9" s="99"/>
      <c r="F9" t="s">
        <v>927</v>
      </c>
      <c r="G9" s="55">
        <v>9.6</v>
      </c>
      <c r="H9" s="55">
        <v>17.600000000000001</v>
      </c>
      <c r="I9" s="55">
        <v>6.4</v>
      </c>
      <c r="J9" s="55">
        <v>14.2</v>
      </c>
      <c r="K9" s="55">
        <v>25.6</v>
      </c>
      <c r="L9" s="55">
        <v>13.6</v>
      </c>
      <c r="M9" s="55">
        <v>8.3000000000000007</v>
      </c>
      <c r="N9" s="55">
        <v>15.2</v>
      </c>
      <c r="O9" s="55">
        <v>17.2</v>
      </c>
    </row>
    <row r="10" spans="1:17" x14ac:dyDescent="0.2">
      <c r="A10" t="s">
        <v>894</v>
      </c>
      <c r="B10" t="s">
        <v>983</v>
      </c>
      <c r="E10" s="99"/>
      <c r="G10" s="55"/>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62D0BC93-84CB-AC4F-98FE-B9FC8465E035}">
      <formula1>"integer, number, percent1"</formula1>
    </dataValidation>
    <dataValidation type="list" allowBlank="1" showInputMessage="1" showErrorMessage="1" sqref="B10" xr:uid="{B35E8CF2-BD88-964C-BCAF-5A32CAAE29C4}">
      <formula1>"Line,Clustered Bar,Stacked Bar,Bar,Horizontal Stacked Bar"</formula1>
    </dataValidation>
    <dataValidation type="list" allowBlank="1" showInputMessage="1" showErrorMessage="1" sqref="B2" xr:uid="{7D3D0149-3F0B-A441-A3AF-20FBCF59A643}">
      <formula1>"Table,Figure,Both"</formula1>
    </dataValidation>
    <dataValidation type="list" allowBlank="1" showInputMessage="1" showErrorMessage="1" sqref="B6 B15:B16" xr:uid="{C6FB212E-77ED-7449-9A3B-3433F60CDB8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56D57CD9-6262-A148-B1D3-7660F60390A9}">
          <x14:formula1>
            <xm:f>Master!$F$2:$F$401</xm:f>
          </x14:formula1>
          <xm:sqref>B1:O1</xm:sqref>
        </x14:dataValidation>
        <x14:dataValidation type="list" allowBlank="1" showInputMessage="1" showErrorMessage="1" xr:uid="{40B43EDF-AC52-5C42-A042-548F2BD5599E}">
          <x14:formula1>
            <xm:f>Dropdowns!$A$1:$A$8</xm:f>
          </x14:formula1>
          <xm:sqref>F4:O4</xm:sqref>
        </x14:dataValidation>
      </x14:dataValidations>
    </ext>
  </extLst>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0EFC-2F76-C244-98CE-729364C5B0E1}">
  <dimension ref="A1:Q57"/>
  <sheetViews>
    <sheetView workbookViewId="0">
      <selection activeCell="C10" sqref="C1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513</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tbl-female-breastca-screening-percent</v>
      </c>
    </row>
    <row r="4" spans="1:17" x14ac:dyDescent="0.2">
      <c r="A4" s="58" t="s">
        <v>6</v>
      </c>
      <c r="B4" t="str">
        <f>IF($B$1="","",_xlfn.XLOOKUP($B$1,Master!$F$2:$F$308,Master!$H$2:$H$308,""))</f>
        <v>fig-female-breastca-screening-percent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887</v>
      </c>
      <c r="G5" t="s">
        <v>220</v>
      </c>
      <c r="H5" t="s">
        <v>18</v>
      </c>
      <c r="I5" t="s">
        <v>537</v>
      </c>
      <c r="J5" t="s">
        <v>449</v>
      </c>
      <c r="K5" t="s">
        <v>409</v>
      </c>
      <c r="L5" t="s">
        <v>421</v>
      </c>
      <c r="M5" t="s">
        <v>470</v>
      </c>
      <c r="N5" t="s">
        <v>914</v>
      </c>
      <c r="O5" t="s">
        <v>915</v>
      </c>
    </row>
    <row r="6" spans="1:17" ht="15" customHeight="1" x14ac:dyDescent="0.2">
      <c r="A6" t="s">
        <v>891</v>
      </c>
      <c r="B6" t="b">
        <v>0</v>
      </c>
      <c r="E6" s="99"/>
      <c r="F6" t="s">
        <v>1940</v>
      </c>
      <c r="G6" s="55">
        <v>83.7</v>
      </c>
      <c r="H6" s="55">
        <v>76.8</v>
      </c>
      <c r="I6" s="55">
        <v>77.7</v>
      </c>
      <c r="J6" s="55">
        <v>81.7</v>
      </c>
      <c r="K6" s="55">
        <v>68.599999999999994</v>
      </c>
      <c r="L6" s="55">
        <v>66</v>
      </c>
      <c r="M6" s="55">
        <v>84.5</v>
      </c>
      <c r="N6" s="55">
        <v>80.400000000000006</v>
      </c>
      <c r="O6" s="55">
        <v>80.900000000000006</v>
      </c>
    </row>
    <row r="7" spans="1:17" ht="15.75" customHeight="1" x14ac:dyDescent="0.2">
      <c r="E7" s="99"/>
      <c r="F7">
        <v>2016</v>
      </c>
      <c r="G7" s="55">
        <v>87.2</v>
      </c>
      <c r="H7" s="55">
        <v>74.5</v>
      </c>
      <c r="I7" s="55">
        <v>69.5</v>
      </c>
      <c r="J7" s="55">
        <v>72</v>
      </c>
      <c r="K7" s="55">
        <v>64</v>
      </c>
      <c r="L7" s="55">
        <v>72.3</v>
      </c>
      <c r="M7" s="55">
        <v>84.8</v>
      </c>
      <c r="N7" s="55">
        <v>79.2</v>
      </c>
      <c r="O7" s="55">
        <v>79.7</v>
      </c>
    </row>
    <row r="8" spans="1:17" x14ac:dyDescent="0.2">
      <c r="E8" s="99"/>
      <c r="F8">
        <v>2018</v>
      </c>
      <c r="G8" s="55">
        <v>78</v>
      </c>
      <c r="H8" s="55">
        <v>78.8</v>
      </c>
      <c r="I8" s="55">
        <v>80.2</v>
      </c>
      <c r="J8" s="55">
        <v>69.8</v>
      </c>
      <c r="K8" s="55">
        <v>66.099999999999994</v>
      </c>
      <c r="L8" s="55">
        <v>73.3</v>
      </c>
      <c r="M8" s="55">
        <v>79.3</v>
      </c>
      <c r="N8" s="55">
        <v>80.900000000000006</v>
      </c>
      <c r="O8" s="55">
        <v>82.1</v>
      </c>
      <c r="P8" s="14"/>
    </row>
    <row r="9" spans="1:17" x14ac:dyDescent="0.2">
      <c r="A9" s="98" t="s">
        <v>893</v>
      </c>
      <c r="B9" s="99"/>
      <c r="E9" s="99"/>
      <c r="F9">
        <v>2021</v>
      </c>
      <c r="G9" s="55">
        <v>88.5</v>
      </c>
      <c r="H9" s="55">
        <v>73.3</v>
      </c>
      <c r="I9" s="55">
        <v>80.2</v>
      </c>
      <c r="J9" s="55">
        <v>72.7</v>
      </c>
      <c r="K9" s="55">
        <v>52.2</v>
      </c>
      <c r="L9" s="55">
        <v>77.099999999999994</v>
      </c>
      <c r="M9" s="55">
        <v>77.3</v>
      </c>
      <c r="N9" s="55">
        <v>78.8</v>
      </c>
      <c r="O9" s="55">
        <v>78.2</v>
      </c>
    </row>
    <row r="10" spans="1:17" x14ac:dyDescent="0.2">
      <c r="A10" t="s">
        <v>894</v>
      </c>
      <c r="B10" t="s">
        <v>972</v>
      </c>
      <c r="E10" s="99"/>
      <c r="G10" s="55"/>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9DDD0268-5886-3042-BBAE-D57592BF1200}">
      <formula1>"True,False"</formula1>
    </dataValidation>
    <dataValidation type="list" allowBlank="1" showInputMessage="1" showErrorMessage="1" sqref="B2" xr:uid="{9693FF84-56C5-F64A-BDE7-7088C042ED26}">
      <formula1>"Table,Figure,Both"</formula1>
    </dataValidation>
    <dataValidation type="list" allowBlank="1" showInputMessage="1" showErrorMessage="1" sqref="B10" xr:uid="{ED02E067-9BCF-494E-8D43-95743232C489}">
      <formula1>"Line,Clustered Bar,Stacked Bar,Bar,Horizontal Stacked Bar"</formula1>
    </dataValidation>
    <dataValidation type="list" allowBlank="1" showInputMessage="1" showErrorMessage="1" sqref="P4:Q4" xr:uid="{452826A4-4DFD-FD47-929E-7B5836582A2F}">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225EBAD-0A5F-9547-BC2A-9C0A0530CADF}">
          <x14:formula1>
            <xm:f>Dropdowns!$A$1:$A$8</xm:f>
          </x14:formula1>
          <xm:sqref>F4:O4</xm:sqref>
        </x14:dataValidation>
        <x14:dataValidation type="list" allowBlank="1" showInputMessage="1" showErrorMessage="1" xr:uid="{AA421FD8-29A9-0845-9D7D-BBFD374E0919}">
          <x14:formula1>
            <xm:f>Master!$F$2:$F$401</xm:f>
          </x14:formula1>
          <xm:sqref>B1:O1</xm:sqref>
        </x14:dataValidation>
      </x14:dataValidations>
    </ext>
  </extLst>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124EF-C0E3-1A49-960E-472A991DC845}">
  <dimension ref="A1:Q57"/>
  <sheetViews>
    <sheetView workbookViewId="0">
      <selection activeCell="Q41" sqref="Q41"/>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516</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tbl-cervutca-screening-percent</v>
      </c>
    </row>
    <row r="4" spans="1:17" x14ac:dyDescent="0.2">
      <c r="A4" s="58" t="s">
        <v>6</v>
      </c>
      <c r="B4" t="str">
        <f>IF($B$1="","",_xlfn.XLOOKUP($B$1,Master!$F$2:$F$308,Master!$H$2:$H$308,""))</f>
        <v>fig-cervutca-screening-percent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887</v>
      </c>
      <c r="G5" t="s">
        <v>220</v>
      </c>
      <c r="H5" t="s">
        <v>18</v>
      </c>
      <c r="I5" t="s">
        <v>537</v>
      </c>
      <c r="J5" t="s">
        <v>449</v>
      </c>
      <c r="K5" t="s">
        <v>409</v>
      </c>
      <c r="L5" t="s">
        <v>421</v>
      </c>
      <c r="M5" t="s">
        <v>470</v>
      </c>
      <c r="N5" t="s">
        <v>898</v>
      </c>
      <c r="O5" t="s">
        <v>915</v>
      </c>
    </row>
    <row r="6" spans="1:17" ht="15" customHeight="1" x14ac:dyDescent="0.2">
      <c r="A6" t="s">
        <v>891</v>
      </c>
      <c r="B6" t="b">
        <v>0</v>
      </c>
      <c r="E6" s="99"/>
      <c r="F6">
        <v>2018</v>
      </c>
      <c r="G6" s="55">
        <v>90.6</v>
      </c>
      <c r="H6" s="55">
        <v>88.8</v>
      </c>
      <c r="I6" s="55">
        <v>96.2</v>
      </c>
      <c r="J6" s="55">
        <v>80.599999999999994</v>
      </c>
      <c r="K6" s="55">
        <v>81.7</v>
      </c>
      <c r="L6" s="55">
        <v>86.1</v>
      </c>
      <c r="M6" s="55">
        <v>87.8</v>
      </c>
      <c r="N6" s="55">
        <v>86.5</v>
      </c>
      <c r="O6" s="55">
        <v>84.7</v>
      </c>
    </row>
    <row r="7" spans="1:17" ht="15.75" customHeight="1" x14ac:dyDescent="0.2">
      <c r="E7" s="99"/>
      <c r="G7" s="55"/>
      <c r="H7" s="55"/>
      <c r="I7" s="55"/>
      <c r="J7" s="55"/>
      <c r="K7" s="55"/>
      <c r="L7" s="55"/>
      <c r="M7" s="55"/>
      <c r="N7" s="55"/>
      <c r="O7" s="55"/>
    </row>
    <row r="8" spans="1:17" x14ac:dyDescent="0.2">
      <c r="E8" s="99"/>
      <c r="G8" s="55"/>
      <c r="H8" s="55"/>
      <c r="I8" s="55"/>
      <c r="J8" s="55"/>
      <c r="K8" s="55"/>
      <c r="L8" s="55"/>
      <c r="M8" s="55"/>
      <c r="N8" s="55"/>
      <c r="O8" s="55"/>
      <c r="P8" s="14"/>
    </row>
    <row r="9" spans="1:17" x14ac:dyDescent="0.2">
      <c r="A9" s="98" t="s">
        <v>893</v>
      </c>
      <c r="B9" s="99"/>
      <c r="E9" s="99"/>
      <c r="G9" s="55"/>
      <c r="H9" s="55"/>
      <c r="I9" s="55"/>
      <c r="J9" s="55"/>
      <c r="K9" s="55"/>
      <c r="L9" s="55"/>
      <c r="M9" s="55"/>
      <c r="N9" s="55"/>
      <c r="O9" s="55"/>
    </row>
    <row r="10" spans="1:17" x14ac:dyDescent="0.2">
      <c r="A10" t="s">
        <v>894</v>
      </c>
      <c r="B10" t="s">
        <v>1002</v>
      </c>
      <c r="E10" s="99"/>
      <c r="G10" s="55"/>
    </row>
    <row r="11" spans="1:17" x14ac:dyDescent="0.2">
      <c r="A11" t="s">
        <v>895</v>
      </c>
      <c r="B11" t="s">
        <v>887</v>
      </c>
      <c r="E11" s="99"/>
      <c r="F11" s="46"/>
      <c r="G11" s="59"/>
      <c r="H11" s="59"/>
      <c r="I11" s="59"/>
      <c r="J11" s="42"/>
      <c r="K11" s="42"/>
      <c r="L11" s="42"/>
      <c r="M11" s="47"/>
      <c r="N11" s="47"/>
      <c r="O11" s="46"/>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P4:Q4" xr:uid="{9F6CF438-721C-9644-B651-857B04B7C1C5}">
      <formula1>"integer, number, percent1"</formula1>
    </dataValidation>
    <dataValidation type="list" allowBlank="1" showInputMessage="1" showErrorMessage="1" sqref="B10" xr:uid="{D1E25AD7-165D-5D4F-98F9-DE368D71161E}">
      <formula1>"Line,Clustered Bar,Stacked Bar,Bar,Horizontal Stacked Bar"</formula1>
    </dataValidation>
    <dataValidation type="list" allowBlank="1" showInputMessage="1" showErrorMessage="1" sqref="B2" xr:uid="{D02AF727-804E-A74C-9EC5-DE7D0B55D152}">
      <formula1>"Table,Figure,Both"</formula1>
    </dataValidation>
    <dataValidation type="list" allowBlank="1" showInputMessage="1" showErrorMessage="1" sqref="B6 B15:B16" xr:uid="{72BDEB93-F294-0B4A-BE8B-7D1DDF4E388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C757475-DD59-8E40-ACDF-57DBA79FAA8F}">
          <x14:formula1>
            <xm:f>Master!$F$2:$F$401</xm:f>
          </x14:formula1>
          <xm:sqref>B1:O1</xm:sqref>
        </x14:dataValidation>
        <x14:dataValidation type="list" allowBlank="1" showInputMessage="1" showErrorMessage="1" xr:uid="{82A61E9C-2B38-8942-8E75-7DA028466BB3}">
          <x14:formula1>
            <xm:f>Dropdowns!$A$1:$A$8</xm:f>
          </x14:formula1>
          <xm:sqref>F4:O4</xm:sqref>
        </x14:dataValidation>
      </x14:dataValidations>
    </ext>
  </extLst>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29282-CC58-8847-8074-C4EF37794214}">
  <dimension ref="A1:Q57"/>
  <sheetViews>
    <sheetView workbookViewId="0">
      <selection activeCell="M20" sqref="M20"/>
    </sheetView>
  </sheetViews>
  <sheetFormatPr baseColWidth="10" defaultColWidth="8.6640625" defaultRowHeight="15" x14ac:dyDescent="0.2"/>
  <cols>
    <col min="1" max="1" width="20" bestFit="1" customWidth="1"/>
    <col min="2" max="2" width="22.1640625" bestFit="1" customWidth="1"/>
    <col min="5" max="5" width="6.6640625" customWidth="1"/>
    <col min="6" max="6" width="28.1640625" bestFit="1" customWidth="1"/>
    <col min="7" max="7" width="9" bestFit="1" customWidth="1"/>
    <col min="8" max="8" width="8.33203125" bestFit="1" customWidth="1"/>
    <col min="9" max="9" width="8.83203125" bestFit="1" customWidth="1"/>
    <col min="10" max="10" width="9" bestFit="1" customWidth="1"/>
    <col min="11" max="11" width="8.83203125" bestFit="1" customWidth="1"/>
    <col min="12" max="12" width="8.33203125" bestFit="1" customWidth="1"/>
    <col min="13" max="13" width="12.1640625" bestFit="1" customWidth="1"/>
    <col min="14" max="14" width="12.33203125" bestFit="1" customWidth="1"/>
    <col min="15" max="16" width="12.5" bestFit="1" customWidth="1"/>
  </cols>
  <sheetData>
    <row r="1" spans="1:17" x14ac:dyDescent="0.2">
      <c r="A1" s="58" t="s">
        <v>882</v>
      </c>
      <c r="B1" s="120" t="s">
        <v>2156</v>
      </c>
      <c r="C1" s="97"/>
      <c r="D1" s="97"/>
      <c r="E1" s="97"/>
      <c r="F1" s="97"/>
      <c r="G1" s="97"/>
      <c r="H1" s="97"/>
      <c r="I1" s="97"/>
      <c r="J1" s="97"/>
      <c r="K1" s="97"/>
      <c r="L1" s="97"/>
      <c r="M1" s="97"/>
      <c r="N1" s="97"/>
      <c r="O1" s="97"/>
    </row>
    <row r="2" spans="1:17" x14ac:dyDescent="0.2">
      <c r="A2" s="58" t="s">
        <v>883</v>
      </c>
      <c r="B2" t="s">
        <v>1120</v>
      </c>
    </row>
    <row r="3" spans="1:17" x14ac:dyDescent="0.2">
      <c r="A3" s="58" t="s">
        <v>884</v>
      </c>
      <c r="B3" t="str">
        <f>IF($B$1="","",_xlfn.XLOOKUP($B$1,Master!$F$2:$F$308,Master!$G$2:$G$308,""))</f>
        <v>tbl-13yo+-hpv-vaccine-complete-percent</v>
      </c>
    </row>
    <row r="4" spans="1:17" x14ac:dyDescent="0.2">
      <c r="A4" s="58" t="s">
        <v>6</v>
      </c>
      <c r="B4" t="str">
        <f>IF($B$1="","",_xlfn.XLOOKUP($B$1,Master!$F$2:$F$308,Master!$H$2:$H$308,""))</f>
        <v>fig-13yo+-hpv-vaccine-complete-percent</v>
      </c>
      <c r="E4" s="13"/>
      <c r="F4" s="16" t="s">
        <v>664</v>
      </c>
      <c r="G4" s="16" t="s">
        <v>679</v>
      </c>
      <c r="H4" s="16" t="s">
        <v>679</v>
      </c>
      <c r="I4" s="16" t="s">
        <v>679</v>
      </c>
      <c r="J4" s="16" t="s">
        <v>679</v>
      </c>
      <c r="K4" s="16" t="s">
        <v>679</v>
      </c>
      <c r="L4" s="16" t="s">
        <v>679</v>
      </c>
      <c r="M4" s="16" t="s">
        <v>679</v>
      </c>
      <c r="N4" s="16" t="s">
        <v>679</v>
      </c>
      <c r="O4" s="16" t="s">
        <v>679</v>
      </c>
      <c r="P4" s="16"/>
      <c r="Q4" s="16"/>
    </row>
    <row r="5" spans="1:17" x14ac:dyDescent="0.2">
      <c r="A5" s="98" t="s">
        <v>885</v>
      </c>
      <c r="B5" s="99"/>
      <c r="E5" s="100" t="s">
        <v>886</v>
      </c>
      <c r="F5" t="s">
        <v>887</v>
      </c>
      <c r="G5" t="s">
        <v>220</v>
      </c>
      <c r="H5" t="s">
        <v>18</v>
      </c>
      <c r="I5" t="s">
        <v>537</v>
      </c>
      <c r="J5" t="s">
        <v>449</v>
      </c>
      <c r="K5" t="s">
        <v>409</v>
      </c>
      <c r="L5" t="s">
        <v>421</v>
      </c>
      <c r="M5" t="s">
        <v>470</v>
      </c>
      <c r="N5" t="s">
        <v>914</v>
      </c>
      <c r="O5" t="s">
        <v>915</v>
      </c>
      <c r="P5" t="s">
        <v>1959</v>
      </c>
    </row>
    <row r="6" spans="1:17" ht="15" customHeight="1" x14ac:dyDescent="0.2">
      <c r="A6" t="s">
        <v>891</v>
      </c>
      <c r="B6" t="b">
        <v>0</v>
      </c>
      <c r="E6" s="99"/>
      <c r="F6">
        <v>2019</v>
      </c>
      <c r="G6" s="55">
        <v>17.5</v>
      </c>
      <c r="H6" s="55">
        <v>21.5</v>
      </c>
      <c r="I6" s="55">
        <v>20.100000000000001</v>
      </c>
      <c r="J6" s="55">
        <v>15.1</v>
      </c>
      <c r="K6" s="55">
        <v>21.6</v>
      </c>
      <c r="L6" s="55">
        <v>15.6</v>
      </c>
      <c r="M6" s="55">
        <v>19.600000000000001</v>
      </c>
      <c r="N6" s="55">
        <v>23.6</v>
      </c>
      <c r="O6" s="55">
        <v>24.9</v>
      </c>
      <c r="P6">
        <v>28.7</v>
      </c>
    </row>
    <row r="7" spans="1:17" ht="15.75" customHeight="1" x14ac:dyDescent="0.2">
      <c r="E7" s="99"/>
      <c r="F7">
        <v>2020</v>
      </c>
      <c r="G7" s="55">
        <v>16.899999999999999</v>
      </c>
      <c r="H7" s="55">
        <v>20.2</v>
      </c>
      <c r="I7" s="55">
        <v>19.600000000000001</v>
      </c>
      <c r="J7" s="55">
        <v>15.7</v>
      </c>
      <c r="K7" s="55">
        <v>19.3</v>
      </c>
      <c r="L7" s="55">
        <v>15.7</v>
      </c>
      <c r="M7" s="55">
        <v>19.3</v>
      </c>
      <c r="N7" s="55">
        <v>24.1</v>
      </c>
      <c r="O7" s="55">
        <v>25.2</v>
      </c>
      <c r="P7">
        <v>28.7</v>
      </c>
    </row>
    <row r="8" spans="1:17" x14ac:dyDescent="0.2">
      <c r="E8" s="99"/>
      <c r="F8">
        <v>2021</v>
      </c>
      <c r="G8" s="55">
        <v>18.899999999999999</v>
      </c>
      <c r="H8" s="55">
        <v>20.2</v>
      </c>
      <c r="I8" s="55">
        <v>17</v>
      </c>
      <c r="J8" s="55">
        <v>15.3</v>
      </c>
      <c r="K8" s="55">
        <v>19.100000000000001</v>
      </c>
      <c r="L8" s="55">
        <v>15.4</v>
      </c>
      <c r="M8" s="55">
        <v>21.3</v>
      </c>
      <c r="N8" s="55">
        <v>25.1</v>
      </c>
      <c r="O8" s="55">
        <v>25.8</v>
      </c>
      <c r="P8" s="14">
        <v>28.7</v>
      </c>
    </row>
    <row r="9" spans="1:17" x14ac:dyDescent="0.2">
      <c r="A9" s="98" t="s">
        <v>893</v>
      </c>
      <c r="B9" s="99"/>
      <c r="E9" s="99"/>
      <c r="F9">
        <v>2022</v>
      </c>
      <c r="G9" s="55">
        <v>16.899999999999999</v>
      </c>
      <c r="H9" s="55">
        <v>19.7</v>
      </c>
      <c r="I9" s="55">
        <v>15.2</v>
      </c>
      <c r="J9" s="55">
        <v>15.2</v>
      </c>
      <c r="K9" s="55">
        <v>20.3</v>
      </c>
      <c r="L9" s="55">
        <v>16.399999999999999</v>
      </c>
      <c r="M9" s="55">
        <v>21.1</v>
      </c>
      <c r="N9" s="55">
        <v>24.6</v>
      </c>
      <c r="O9" s="55">
        <v>25.3</v>
      </c>
      <c r="P9">
        <v>28.7</v>
      </c>
    </row>
    <row r="10" spans="1:17" x14ac:dyDescent="0.2">
      <c r="A10" t="s">
        <v>894</v>
      </c>
      <c r="B10" t="s">
        <v>1002</v>
      </c>
      <c r="E10" s="99"/>
      <c r="F10">
        <v>2023</v>
      </c>
      <c r="G10" s="55">
        <v>15.2</v>
      </c>
      <c r="H10">
        <v>15.2</v>
      </c>
      <c r="I10">
        <v>15.9</v>
      </c>
      <c r="J10">
        <v>15</v>
      </c>
      <c r="K10">
        <v>20.3</v>
      </c>
      <c r="L10">
        <v>16.100000000000001</v>
      </c>
      <c r="M10">
        <v>22.1</v>
      </c>
      <c r="N10">
        <v>24.5</v>
      </c>
      <c r="O10">
        <v>25.6</v>
      </c>
      <c r="P10">
        <v>28.7</v>
      </c>
    </row>
    <row r="11" spans="1:17" x14ac:dyDescent="0.2">
      <c r="A11" t="s">
        <v>895</v>
      </c>
      <c r="B11" t="s">
        <v>887</v>
      </c>
      <c r="E11" s="99"/>
      <c r="F11" s="46" t="s">
        <v>1964</v>
      </c>
      <c r="G11" s="59">
        <v>16.100000000000001</v>
      </c>
      <c r="H11" s="59">
        <v>18.7</v>
      </c>
      <c r="I11" s="59">
        <v>14.5</v>
      </c>
      <c r="J11" s="42">
        <v>16.100000000000001</v>
      </c>
      <c r="K11" s="42">
        <v>19.8</v>
      </c>
      <c r="L11" s="42">
        <v>14.5</v>
      </c>
      <c r="M11" s="47" t="s">
        <v>1505</v>
      </c>
      <c r="N11" s="47" t="s">
        <v>1967</v>
      </c>
      <c r="O11" s="46" t="s">
        <v>1968</v>
      </c>
      <c r="P11">
        <v>28.7</v>
      </c>
    </row>
    <row r="12" spans="1:17" x14ac:dyDescent="0.2">
      <c r="A12" t="s">
        <v>896</v>
      </c>
      <c r="E12" s="99"/>
      <c r="F12" s="74"/>
      <c r="G12" s="42"/>
      <c r="H12" s="42"/>
      <c r="I12" s="59"/>
      <c r="J12" s="59"/>
      <c r="K12" s="59"/>
      <c r="L12" s="59"/>
      <c r="M12" s="46"/>
      <c r="N12" s="46"/>
      <c r="O12" s="46"/>
    </row>
    <row r="13" spans="1:17" x14ac:dyDescent="0.2">
      <c r="A13" t="s">
        <v>897</v>
      </c>
      <c r="E13" s="99"/>
      <c r="F13" s="47"/>
      <c r="G13" s="47"/>
      <c r="H13" s="47"/>
      <c r="I13" s="46"/>
      <c r="J13" s="46"/>
      <c r="K13" s="46"/>
      <c r="L13" s="46"/>
      <c r="M13" s="46"/>
      <c r="N13" s="46"/>
      <c r="O13" s="46"/>
    </row>
    <row r="14" spans="1:17" x14ac:dyDescent="0.2">
      <c r="A14" t="s">
        <v>899</v>
      </c>
      <c r="B14" t="s">
        <v>694</v>
      </c>
      <c r="E14" s="99"/>
      <c r="F14" s="68"/>
      <c r="G14" s="68"/>
      <c r="H14" s="68"/>
      <c r="I14" s="46"/>
      <c r="J14" s="47"/>
      <c r="K14" s="47"/>
      <c r="L14" s="47"/>
      <c r="M14" s="47"/>
      <c r="N14" s="47"/>
      <c r="O14" s="46"/>
    </row>
    <row r="15" spans="1:17" x14ac:dyDescent="0.2">
      <c r="A15" t="s">
        <v>901</v>
      </c>
      <c r="B15" t="b">
        <v>1</v>
      </c>
      <c r="E15" s="99"/>
      <c r="G15" s="68"/>
      <c r="H15" s="68"/>
      <c r="I15" s="46"/>
      <c r="J15" s="47"/>
      <c r="K15" s="47"/>
      <c r="L15" s="47"/>
      <c r="M15" s="47"/>
      <c r="N15" s="47"/>
      <c r="O15" s="46"/>
    </row>
    <row r="16" spans="1:17" x14ac:dyDescent="0.2">
      <c r="A16" t="s">
        <v>1145</v>
      </c>
      <c r="B16" t="b">
        <v>1</v>
      </c>
      <c r="E16" s="99"/>
      <c r="F16" s="55"/>
      <c r="G16" s="68"/>
      <c r="H16" s="68"/>
      <c r="I16" s="46"/>
      <c r="J16" s="47"/>
      <c r="K16" s="47"/>
      <c r="L16" s="47"/>
      <c r="M16" s="47"/>
      <c r="N16" s="47"/>
      <c r="O16" s="46"/>
    </row>
    <row r="17" spans="1:15" x14ac:dyDescent="0.2">
      <c r="E17" s="99"/>
      <c r="F17" s="55"/>
      <c r="G17" s="68"/>
      <c r="H17" s="68"/>
      <c r="I17" s="46"/>
      <c r="J17" s="47"/>
      <c r="K17" s="47"/>
      <c r="L17" s="47"/>
      <c r="M17" s="47"/>
      <c r="N17" s="47"/>
      <c r="O17" s="46"/>
    </row>
    <row r="18" spans="1:15" x14ac:dyDescent="0.2">
      <c r="A18" s="98" t="s">
        <v>902</v>
      </c>
      <c r="B18" s="99"/>
      <c r="E18" s="99"/>
      <c r="F18" s="55"/>
      <c r="G18" s="68"/>
      <c r="H18" s="68"/>
      <c r="I18" s="46"/>
      <c r="J18" s="46"/>
      <c r="K18" s="46"/>
      <c r="L18" s="46"/>
      <c r="M18" s="46"/>
      <c r="N18" s="46"/>
      <c r="O18" s="46"/>
    </row>
    <row r="19" spans="1:15" x14ac:dyDescent="0.2">
      <c r="A19" t="s">
        <v>903</v>
      </c>
      <c r="E19" s="99"/>
      <c r="F19" s="55"/>
      <c r="G19" s="68"/>
      <c r="H19" s="68"/>
      <c r="I19" s="46"/>
      <c r="J19" s="46"/>
      <c r="K19" s="46"/>
      <c r="L19" s="46"/>
      <c r="M19" s="46"/>
      <c r="N19" s="46"/>
      <c r="O19" s="46"/>
    </row>
    <row r="20" spans="1:15" x14ac:dyDescent="0.2">
      <c r="A20" t="s">
        <v>904</v>
      </c>
      <c r="E20" s="99"/>
      <c r="F20" s="55"/>
      <c r="G20" s="68"/>
      <c r="H20" s="68"/>
      <c r="I20" s="46"/>
      <c r="J20" s="46"/>
      <c r="K20" s="46"/>
      <c r="L20" s="46"/>
      <c r="M20" s="46"/>
      <c r="N20" s="46"/>
      <c r="O20" s="46"/>
    </row>
    <row r="21" spans="1:15" x14ac:dyDescent="0.2">
      <c r="A21" t="s">
        <v>905</v>
      </c>
      <c r="E21" s="99"/>
      <c r="F21" s="55"/>
      <c r="G21" s="68"/>
      <c r="H21" s="68"/>
      <c r="I21" s="46"/>
      <c r="J21" s="46"/>
      <c r="K21" s="46"/>
      <c r="L21" s="46"/>
      <c r="M21" s="46"/>
      <c r="N21" s="46"/>
      <c r="O21" s="46"/>
    </row>
    <row r="22" spans="1:15" x14ac:dyDescent="0.2">
      <c r="A22" t="s">
        <v>906</v>
      </c>
      <c r="E22" s="99"/>
      <c r="F22" s="55"/>
      <c r="G22" s="68"/>
      <c r="H22" s="68"/>
      <c r="I22" s="46"/>
    </row>
    <row r="23" spans="1:15" x14ac:dyDescent="0.2">
      <c r="A23" t="s">
        <v>907</v>
      </c>
      <c r="E23" s="99"/>
      <c r="F23" s="55"/>
      <c r="G23" s="68"/>
      <c r="H23" s="68"/>
      <c r="I23" s="46"/>
    </row>
    <row r="24" spans="1:15" x14ac:dyDescent="0.2">
      <c r="A24" t="s">
        <v>908</v>
      </c>
      <c r="E24" s="99"/>
      <c r="F24" s="46"/>
      <c r="G24" s="46"/>
      <c r="H24" s="46"/>
      <c r="I24" s="46"/>
    </row>
    <row r="25" spans="1:15" x14ac:dyDescent="0.2">
      <c r="A25" t="s">
        <v>909</v>
      </c>
      <c r="E25" s="99"/>
      <c r="F25" s="68"/>
      <c r="G25" s="68"/>
      <c r="H25" s="68"/>
      <c r="I25" s="46"/>
    </row>
    <row r="26" spans="1:15" x14ac:dyDescent="0.2">
      <c r="E26" s="99"/>
      <c r="F26" s="55"/>
      <c r="G26" s="55"/>
      <c r="H26" s="70"/>
      <c r="I26" s="46"/>
    </row>
    <row r="27" spans="1:15" x14ac:dyDescent="0.2">
      <c r="A27" s="101" t="s">
        <v>910</v>
      </c>
      <c r="B27" s="99"/>
      <c r="E27" s="99"/>
      <c r="F27" s="55"/>
      <c r="G27" s="55"/>
      <c r="H27" s="70"/>
      <c r="I27" s="46"/>
    </row>
    <row r="28" spans="1:15" x14ac:dyDescent="0.2">
      <c r="E28" s="99"/>
      <c r="F28" s="55"/>
      <c r="G28" s="55"/>
      <c r="H28" s="70"/>
      <c r="I28" s="46"/>
    </row>
    <row r="29" spans="1:15" x14ac:dyDescent="0.2">
      <c r="E29" s="99"/>
      <c r="F29" s="55"/>
      <c r="G29" s="55"/>
      <c r="H29" s="70"/>
      <c r="I29" s="46"/>
    </row>
    <row r="30" spans="1:15" x14ac:dyDescent="0.2">
      <c r="E30" s="99"/>
      <c r="F30" s="55"/>
      <c r="G30" s="55"/>
      <c r="H30" s="70"/>
      <c r="I30" s="46"/>
    </row>
    <row r="31" spans="1:15" x14ac:dyDescent="0.2">
      <c r="E31" s="99"/>
      <c r="F31" s="55"/>
      <c r="G31" s="55"/>
      <c r="H31" s="70"/>
      <c r="I31" s="46"/>
    </row>
    <row r="32" spans="1:15" x14ac:dyDescent="0.2">
      <c r="E32" s="99"/>
      <c r="G32" s="46"/>
      <c r="H32" s="46"/>
      <c r="I32" s="46"/>
    </row>
    <row r="33" spans="5:9" x14ac:dyDescent="0.2">
      <c r="E33" s="99"/>
      <c r="F33" s="55"/>
      <c r="G33" s="55"/>
      <c r="H33" s="70"/>
      <c r="I33" s="46"/>
    </row>
    <row r="34" spans="5:9" x14ac:dyDescent="0.2">
      <c r="E34" s="99"/>
      <c r="F34" s="55"/>
      <c r="G34" s="55"/>
      <c r="H34" s="70"/>
      <c r="I34" s="47"/>
    </row>
    <row r="35" spans="5:9" x14ac:dyDescent="0.2">
      <c r="E35" s="99"/>
      <c r="F35" s="55"/>
      <c r="G35" s="55"/>
      <c r="H35" s="70"/>
      <c r="I35" s="47"/>
    </row>
    <row r="36" spans="5:9" x14ac:dyDescent="0.2">
      <c r="E36" s="99"/>
      <c r="F36" s="55"/>
      <c r="G36" s="55"/>
      <c r="H36" s="70"/>
      <c r="I36" s="47"/>
    </row>
    <row r="37" spans="5:9" x14ac:dyDescent="0.2">
      <c r="E37" s="99"/>
      <c r="F37" s="55"/>
      <c r="G37" s="55"/>
      <c r="H37" s="70"/>
      <c r="I37" s="47"/>
    </row>
    <row r="38" spans="5:9" x14ac:dyDescent="0.2">
      <c r="E38" s="99"/>
      <c r="F38" s="46"/>
      <c r="G38" s="46"/>
      <c r="H38" s="46"/>
      <c r="I38" s="46"/>
    </row>
    <row r="39" spans="5:9" x14ac:dyDescent="0.2">
      <c r="E39" s="99"/>
      <c r="F39" s="46"/>
      <c r="G39" s="46"/>
      <c r="H39" s="46"/>
      <c r="I39" s="46"/>
    </row>
    <row r="40" spans="5:9" x14ac:dyDescent="0.2">
      <c r="E40" s="99"/>
      <c r="F40" s="46"/>
      <c r="G40" s="46"/>
      <c r="H40" s="46"/>
      <c r="I40" s="46"/>
    </row>
    <row r="41" spans="5:9" x14ac:dyDescent="0.2">
      <c r="E41" s="99"/>
    </row>
    <row r="42" spans="5:9" x14ac:dyDescent="0.2">
      <c r="E42" s="99"/>
    </row>
    <row r="43" spans="5:9" x14ac:dyDescent="0.2">
      <c r="E43" s="99"/>
    </row>
    <row r="44" spans="5:9" x14ac:dyDescent="0.2">
      <c r="E44" s="99"/>
    </row>
    <row r="45" spans="5:9" x14ac:dyDescent="0.2">
      <c r="E45" s="99"/>
    </row>
    <row r="46" spans="5:9" x14ac:dyDescent="0.2">
      <c r="E46" s="99"/>
    </row>
    <row r="47" spans="5:9" x14ac:dyDescent="0.2">
      <c r="E47" s="99"/>
    </row>
    <row r="48" spans="5:9" x14ac:dyDescent="0.2">
      <c r="E48" s="99"/>
    </row>
    <row r="49" spans="5:5" x14ac:dyDescent="0.2">
      <c r="E49" s="99"/>
    </row>
    <row r="50" spans="5:5" x14ac:dyDescent="0.2">
      <c r="E50" s="99"/>
    </row>
    <row r="51" spans="5:5" x14ac:dyDescent="0.2">
      <c r="E51" s="99"/>
    </row>
    <row r="52" spans="5:5" x14ac:dyDescent="0.2">
      <c r="E52" s="99"/>
    </row>
    <row r="53" spans="5:5" x14ac:dyDescent="0.2">
      <c r="E53" s="99"/>
    </row>
    <row r="54" spans="5:5" x14ac:dyDescent="0.2">
      <c r="E54" s="99"/>
    </row>
    <row r="55" spans="5:5" x14ac:dyDescent="0.2">
      <c r="E55" s="99"/>
    </row>
    <row r="56" spans="5:5" x14ac:dyDescent="0.2">
      <c r="E56" s="99"/>
    </row>
    <row r="57" spans="5:5" x14ac:dyDescent="0.2">
      <c r="E57" s="99"/>
    </row>
  </sheetData>
  <mergeCells count="6">
    <mergeCell ref="B1:O1"/>
    <mergeCell ref="A5:B5"/>
    <mergeCell ref="E5:E57"/>
    <mergeCell ref="A9:B9"/>
    <mergeCell ref="A18:B18"/>
    <mergeCell ref="A27:B27"/>
  </mergeCells>
  <dataValidations count="4">
    <dataValidation type="list" allowBlank="1" showInputMessage="1" showErrorMessage="1" sqref="B6 B15:B16" xr:uid="{1C173BD9-665D-6B4F-9E40-B0EE0255F505}">
      <formula1>"True,False"</formula1>
    </dataValidation>
    <dataValidation type="list" allowBlank="1" showInputMessage="1" showErrorMessage="1" sqref="B2" xr:uid="{B638589D-B392-1E40-AC6E-318E7E8AF9FE}">
      <formula1>"Table,Figure,Both"</formula1>
    </dataValidation>
    <dataValidation type="list" allowBlank="1" showInputMessage="1" showErrorMessage="1" sqref="B10" xr:uid="{DD07D0D4-77E2-4546-A218-211E1575E831}">
      <formula1>"Line,Clustered Bar,Stacked Bar,Bar,Horizontal Stacked Bar"</formula1>
    </dataValidation>
    <dataValidation type="list" allowBlank="1" showInputMessage="1" showErrorMessage="1" sqref="P4:Q4" xr:uid="{2CDBE532-D931-7A44-804E-BFC3BFC0679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C8F41D15-8C61-544E-8137-B07A95F20D75}">
          <x14:formula1>
            <xm:f>Dropdowns!$A$1:$A$8</xm:f>
          </x14:formula1>
          <xm:sqref>F4:O4</xm:sqref>
        </x14:dataValidation>
        <x14:dataValidation type="list" allowBlank="1" showInputMessage="1" showErrorMessage="1" xr:uid="{61F274A3-AFE6-E646-879A-3C620A76043D}">
          <x14:formula1>
            <xm:f>Master!$F$2:$F$401</xm:f>
          </x14:formula1>
          <xm:sqref>B1:O1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06BBCF48891B4AA000B842D02367CE" ma:contentTypeVersion="12" ma:contentTypeDescription="Create a new document." ma:contentTypeScope="" ma:versionID="fe6ea1b7fa6cedb1acda08ea4d5bc607">
  <xsd:schema xmlns:xsd="http://www.w3.org/2001/XMLSchema" xmlns:xs="http://www.w3.org/2001/XMLSchema" xmlns:p="http://schemas.microsoft.com/office/2006/metadata/properties" xmlns:ns2="70db5d92-cf7a-41c9-a808-9efa4eb812f2" xmlns:ns3="be71ce3a-ef61-410b-aae3-59cf01e8169d" targetNamespace="http://schemas.microsoft.com/office/2006/metadata/properties" ma:root="true" ma:fieldsID="6c75d4e196960d1be8fe94f46d8363ec" ns2:_="" ns3:_="">
    <xsd:import namespace="70db5d92-cf7a-41c9-a808-9efa4eb812f2"/>
    <xsd:import namespace="be71ce3a-ef61-410b-aae3-59cf01e8169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db5d92-cf7a-41c9-a808-9efa4eb812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771ad2a-fb66-4f81-a1fc-6fe6d2de272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71ce3a-ef61-410b-aae3-59cf01e8169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90871a-1876-4c0e-ad5b-2d6942987647}" ma:internalName="TaxCatchAll" ma:showField="CatchAllData" ma:web="be71ce3a-ef61-410b-aae3-59cf01e816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db5d92-cf7a-41c9-a808-9efa4eb812f2">
      <Terms xmlns="http://schemas.microsoft.com/office/infopath/2007/PartnerControls"/>
    </lcf76f155ced4ddcb4097134ff3c332f>
    <TaxCatchAll xmlns="be71ce3a-ef61-410b-aae3-59cf01e8169d" xsi:nil="true"/>
  </documentManagement>
</p:properties>
</file>

<file path=customXml/itemProps1.xml><?xml version="1.0" encoding="utf-8"?>
<ds:datastoreItem xmlns:ds="http://schemas.openxmlformats.org/officeDocument/2006/customXml" ds:itemID="{6F22F824-927F-48AC-8EEE-0CBA7B354F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db5d92-cf7a-41c9-a808-9efa4eb812f2"/>
    <ds:schemaRef ds:uri="be71ce3a-ef61-410b-aae3-59cf01e81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2976BB-D998-4BA5-BBBA-603A232D7A40}">
  <ds:schemaRefs>
    <ds:schemaRef ds:uri="http://schemas.microsoft.com/sharepoint/v3/contenttype/forms"/>
  </ds:schemaRefs>
</ds:datastoreItem>
</file>

<file path=customXml/itemProps3.xml><?xml version="1.0" encoding="utf-8"?>
<ds:datastoreItem xmlns:ds="http://schemas.openxmlformats.org/officeDocument/2006/customXml" ds:itemID="{D5179601-D499-4F72-B04B-030712A0A5FF}">
  <ds:schemaRefs>
    <ds:schemaRef ds:uri="http://purl.org/dc/terms/"/>
    <ds:schemaRef ds:uri="http://schemas.microsoft.com/office/2006/metadata/properties"/>
    <ds:schemaRef ds:uri="http://purl.org/dc/dcmitype/"/>
    <ds:schemaRef ds:uri="http://schemas.microsoft.com/office/2006/documentManagement/types"/>
    <ds:schemaRef ds:uri="be71ce3a-ef61-410b-aae3-59cf01e8169d"/>
    <ds:schemaRef ds:uri="http://schemas.microsoft.com/office/infopath/2007/PartnerControls"/>
    <ds:schemaRef ds:uri="70db5d92-cf7a-41c9-a808-9efa4eb812f2"/>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246</vt:i4>
      </vt:variant>
    </vt:vector>
  </HeadingPairs>
  <TitlesOfParts>
    <vt:vector size="246" baseType="lpstr">
      <vt:lpstr>Master</vt:lpstr>
      <vt:lpstr>Dropdowns</vt:lpstr>
      <vt:lpstr>_Demographics</vt:lpstr>
      <vt:lpstr>Population Demographic Characte</vt:lpstr>
      <vt:lpstr>Sex-Population</vt:lpstr>
      <vt:lpstr>Age-Population</vt:lpstr>
      <vt:lpstr>Ethnicity-Population</vt:lpstr>
      <vt:lpstr>Race-Population</vt:lpstr>
      <vt:lpstr>Spoken Lang-Population</vt:lpstr>
      <vt:lpstr>25 Years+-Population</vt:lpstr>
      <vt:lpstr>Educational Attainment-Pop</vt:lpstr>
      <vt:lpstr>Total Households</vt:lpstr>
      <vt:lpstr>Households by Income</vt:lpstr>
      <vt:lpstr>Veteran Status-Population</vt:lpstr>
      <vt:lpstr>Type of Disability-Population</vt:lpstr>
      <vt:lpstr>No Vehicle</vt:lpstr>
      <vt:lpstr>Mode To Work</vt:lpstr>
      <vt:lpstr>Mean Time Work</vt:lpstr>
      <vt:lpstr>DC Top Affect Health</vt:lpstr>
      <vt:lpstr>DC Top Barriers</vt:lpstr>
      <vt:lpstr>DC Impact Health</vt:lpstr>
      <vt:lpstr>DC Impact SDOH</vt:lpstr>
      <vt:lpstr>DC Impact Eco Wellbeing</vt:lpstr>
      <vt:lpstr>DC Impact MH &amp; SU</vt:lpstr>
      <vt:lpstr>DC ImpSct Hlth Ins &amp; Access </vt:lpstr>
      <vt:lpstr>OC Top Affect Health</vt:lpstr>
      <vt:lpstr>OC Top Barriers</vt:lpstr>
      <vt:lpstr>OC Impact Health</vt:lpstr>
      <vt:lpstr>OC Impact SDOH</vt:lpstr>
      <vt:lpstr>OC Impact Eco Wellbeing</vt:lpstr>
      <vt:lpstr>OC Impact MH &amp; SU</vt:lpstr>
      <vt:lpstr>OC Impact Hlth Ins &amp; Access</vt:lpstr>
      <vt:lpstr>PC Big Health Problem</vt:lpstr>
      <vt:lpstr>PC Help Improve Health</vt:lpstr>
      <vt:lpstr>PC Health Screen &amp; Education</vt:lpstr>
      <vt:lpstr>PC Can't Get Healthcare</vt:lpstr>
      <vt:lpstr>PC Trusted Source</vt:lpstr>
      <vt:lpstr>RC Top Affect Health</vt:lpstr>
      <vt:lpstr>RC Top Barriers</vt:lpstr>
      <vt:lpstr>RC Impact Health</vt:lpstr>
      <vt:lpstr>RC Impact SDOH</vt:lpstr>
      <vt:lpstr>RC Impact Eco Wellbeing</vt:lpstr>
      <vt:lpstr>RC Impact MH &amp; SU</vt:lpstr>
      <vt:lpstr>RC Impact Hlth Ins &amp; Access </vt:lpstr>
      <vt:lpstr>SC Top Affect Health</vt:lpstr>
      <vt:lpstr>SC Top Barriers</vt:lpstr>
      <vt:lpstr>SC Impact Health</vt:lpstr>
      <vt:lpstr>SC Impact SDOH</vt:lpstr>
      <vt:lpstr>SC Impact Eco Wellbeing</vt:lpstr>
      <vt:lpstr>SC Impact MH &amp; SU</vt:lpstr>
      <vt:lpstr>SC Impact Hlth Ins &amp; Access</vt:lpstr>
      <vt:lpstr>UC Top Affect Health</vt:lpstr>
      <vt:lpstr>UC Top Barriers</vt:lpstr>
      <vt:lpstr>UC Impact Health</vt:lpstr>
      <vt:lpstr>UC Impact SDOH</vt:lpstr>
      <vt:lpstr>UC Impact Eco Wellbeing</vt:lpstr>
      <vt:lpstr>UC Impact MH &amp; SU</vt:lpstr>
      <vt:lpstr>UC Impact Hlth Ins &amp; Access</vt:lpstr>
      <vt:lpstr>WC Top Affect Health</vt:lpstr>
      <vt:lpstr>WC Top Barriers</vt:lpstr>
      <vt:lpstr>WC Impact Health</vt:lpstr>
      <vt:lpstr>WC Impact SDOH</vt:lpstr>
      <vt:lpstr>WC Impact Eco Wellbeing</vt:lpstr>
      <vt:lpstr>WC Impact MH &amp; SU</vt:lpstr>
      <vt:lpstr>WC Impact Hlth Ins &amp; Access</vt:lpstr>
      <vt:lpstr>HEALTH BEHAVIORS INDICATORS</vt:lpstr>
      <vt:lpstr>Leisure Time Physical Act Adult</vt:lpstr>
      <vt:lpstr>Consuming Less Fruit-Veg</vt:lpstr>
      <vt:lpstr>Consume Sugary Bev</vt:lpstr>
      <vt:lpstr>Health Indicators</vt:lpstr>
      <vt:lpstr>Top 5 Leading Cause Death</vt:lpstr>
      <vt:lpstr>Premature Deaths</vt:lpstr>
      <vt:lpstr>Premature Deaths BH-WH</vt:lpstr>
      <vt:lpstr>Premature Deaths His-WNH</vt:lpstr>
      <vt:lpstr>CLRD Hosp AAR</vt:lpstr>
      <vt:lpstr>CLRD Hosp AAR-RE</vt:lpstr>
      <vt:lpstr>Adults Asthma</vt:lpstr>
      <vt:lpstr>Asthma Hosp</vt:lpstr>
      <vt:lpstr>Asthma Hosp RE</vt:lpstr>
      <vt:lpstr>Asthma ED 0-17</vt:lpstr>
      <vt:lpstr>CVD Adults</vt:lpstr>
      <vt:lpstr>CVD Hosp AAR</vt:lpstr>
      <vt:lpstr>CVD Mort AAR</vt:lpstr>
      <vt:lpstr>Asthma Gastro OM Pneumonia</vt:lpstr>
      <vt:lpstr>Unintent Injury Mortality</vt:lpstr>
      <vt:lpstr>Poison Control Calls</vt:lpstr>
      <vt:lpstr>Poison Control Calls Child</vt:lpstr>
      <vt:lpstr>Poison Control Calls Cannabis</vt:lpstr>
      <vt:lpstr>MV Injury Mortality</vt:lpstr>
      <vt:lpstr>Alcohol MV Injury Mortality</vt:lpstr>
      <vt:lpstr>MV Injury Mortaltiy RE</vt:lpstr>
      <vt:lpstr>Falls Hospitalization</vt:lpstr>
      <vt:lpstr>Falls Hospitalization 85+</vt:lpstr>
      <vt:lpstr>Falls Hospitalization 65+ RE</vt:lpstr>
      <vt:lpstr>Homicide Mortality</vt:lpstr>
      <vt:lpstr>Assault Hospitalization</vt:lpstr>
      <vt:lpstr>Domestic Violence Victims</vt:lpstr>
      <vt:lpstr>_SOCIAL and PHYS DETERMINANT</vt:lpstr>
      <vt:lpstr>_Template (2)</vt:lpstr>
      <vt:lpstr>Labor-Force</vt:lpstr>
      <vt:lpstr>Population Unemployed</vt:lpstr>
      <vt:lpstr>Food-Insecurity</vt:lpstr>
      <vt:lpstr>Child-Food-Insecurity</vt:lpstr>
      <vt:lpstr>Cost-Burdened-Renters</vt:lpstr>
      <vt:lpstr>Severely-Cost-Burdened</vt:lpstr>
      <vt:lpstr>HUD-Housing</vt:lpstr>
      <vt:lpstr>Poverty-Threshold</vt:lpstr>
      <vt:lpstr>Poverty-Rate</vt:lpstr>
      <vt:lpstr>Poverty-By-Race</vt:lpstr>
      <vt:lpstr>Economically-Disadvantaged</vt:lpstr>
      <vt:lpstr>ALICE-Budget</vt:lpstr>
      <vt:lpstr>ALICE-Threshold</vt:lpstr>
      <vt:lpstr>Graduation-Rate</vt:lpstr>
      <vt:lpstr>Graduation-By-Race</vt:lpstr>
      <vt:lpstr>Educational-Attainment</vt:lpstr>
      <vt:lpstr>Language-Proficiency</vt:lpstr>
      <vt:lpstr>Disconnected-Youth</vt:lpstr>
      <vt:lpstr>Resdential Segregation</vt:lpstr>
      <vt:lpstr>Adults No Rec Medical Due To Co</vt:lpstr>
      <vt:lpstr>Children-Uninsured</vt:lpstr>
      <vt:lpstr>Adults-Health Insurance</vt:lpstr>
      <vt:lpstr>Medically Underserved Area</vt:lpstr>
      <vt:lpstr>Residents to Primary Care</vt:lpstr>
      <vt:lpstr>Residents to Dentist</vt:lpstr>
      <vt:lpstr>Residents to MH Providers</vt:lpstr>
      <vt:lpstr>Adults with PCP</vt:lpstr>
      <vt:lpstr>Potentially Preventable Hospita</vt:lpstr>
      <vt:lpstr>Pre Hosp BNH and WNH</vt:lpstr>
      <vt:lpstr>Pre Hosp H and WNH</vt:lpstr>
      <vt:lpstr>Index Food Env</vt:lpstr>
      <vt:lpstr>Limited Access Food</vt:lpstr>
      <vt:lpstr>Violent Crimes</vt:lpstr>
      <vt:lpstr>Density Matter</vt:lpstr>
      <vt:lpstr>Lead Before 36 Mon</vt:lpstr>
      <vt:lpstr>Servere Housing</vt:lpstr>
      <vt:lpstr>No Vehicles</vt:lpstr>
      <vt:lpstr>Workers Mode Trans</vt:lpstr>
      <vt:lpstr>Travel Time Work</vt:lpstr>
      <vt:lpstr>_COUNTY HEALTH SUMMARIES</vt:lpstr>
      <vt:lpstr>DC Resident Priority Area</vt:lpstr>
      <vt:lpstr>RC CHA Demo</vt:lpstr>
      <vt:lpstr>Respondents by Zip</vt:lpstr>
      <vt:lpstr>QOL Rockland County</vt:lpstr>
      <vt:lpstr>Top 3 Postiv</vt:lpstr>
      <vt:lpstr>Top Areas Need Improvement</vt:lpstr>
      <vt:lpstr>Economic Prior Need Improvment</vt:lpstr>
      <vt:lpstr>Safe and Health Comm Need Impro</vt:lpstr>
      <vt:lpstr>Education Prior Improv</vt:lpstr>
      <vt:lpstr>Cornary Heart RE</vt:lpstr>
      <vt:lpstr>Heart Attack Mortality</vt:lpstr>
      <vt:lpstr>Cong Heart Fail AAR</vt:lpstr>
      <vt:lpstr>Poor MH 14+</vt:lpstr>
      <vt:lpstr>Adults Report DD</vt:lpstr>
      <vt:lpstr>Incidence from Smoking</vt:lpstr>
      <vt:lpstr>Current Smokers</vt:lpstr>
      <vt:lpstr>Binge Drinking Past Month</vt:lpstr>
      <vt:lpstr>ED Visits Opioid OD</vt:lpstr>
      <vt:lpstr>Hosp Discharge Opioid OD</vt:lpstr>
      <vt:lpstr>Treatment Programs Prim Substan</vt:lpstr>
      <vt:lpstr>Overdose Deaths Any Drug</vt:lpstr>
      <vt:lpstr>Overdose Deaths Involving Opioi</vt:lpstr>
      <vt:lpstr>Overdose Deaths Any Opioid</vt:lpstr>
      <vt:lpstr>OD Deaths Herion CR</vt:lpstr>
      <vt:lpstr>OD Deaths Opioid PR CR</vt:lpstr>
      <vt:lpstr>Opioid Analgesics</vt:lpstr>
      <vt:lpstr>Buprenorphine Prescription</vt:lpstr>
      <vt:lpstr>Suicide Mortality 15-19</vt:lpstr>
      <vt:lpstr>Suicide Mortality AAR</vt:lpstr>
      <vt:lpstr>As-Gas-otis-Pne-Hosp</vt:lpstr>
      <vt:lpstr>OD Deaths Opioid CR</vt:lpstr>
      <vt:lpstr>Poison Center Calls</vt:lpstr>
      <vt:lpstr>Unintentional Injury Mort AAR</vt:lpstr>
      <vt:lpstr>% Pos CC 5Yo</vt:lpstr>
      <vt:lpstr>% Pos CC 5Yo (2)</vt:lpstr>
      <vt:lpstr>CRLD Mort AAR</vt:lpstr>
      <vt:lpstr>CRLD Mort AAR RE 100</vt:lpstr>
      <vt:lpstr>Cardiovas Hosp</vt:lpstr>
      <vt:lpstr>High BP</vt:lpstr>
      <vt:lpstr>Cerebrovas Hosp AAR</vt:lpstr>
      <vt:lpstr>Cerebrovas Hosp AAR RE</vt:lpstr>
      <vt:lpstr>Cerebrovas Hosp Mort AAR</vt:lpstr>
      <vt:lpstr>Cerebrovas Hosp Mort AAR RE</vt:lpstr>
      <vt:lpstr>Speaks English</vt:lpstr>
      <vt:lpstr>HeartAttack Hosp</vt:lpstr>
      <vt:lpstr>Diabete Hosp RE</vt:lpstr>
      <vt:lpstr>Pre-diabetes</vt:lpstr>
      <vt:lpstr>Diabetes Hosp AAR</vt:lpstr>
      <vt:lpstr>HBS or Diabetes</vt:lpstr>
      <vt:lpstr>Diabetes Mort AAR</vt:lpstr>
      <vt:lpstr>Diabetes Mort AAR RE</vt:lpstr>
      <vt:lpstr>Adults Obese-Overweight</vt:lpstr>
      <vt:lpstr>Adults Obese</vt:lpstr>
      <vt:lpstr>School Children-Overw-Obese</vt:lpstr>
      <vt:lpstr>Cirrhosis Hosp AAR</vt:lpstr>
      <vt:lpstr>Cirrhosis Mortal AAR</vt:lpstr>
      <vt:lpstr>All Cancer Inc and Mort AAR</vt:lpstr>
      <vt:lpstr>All Cancer Inc and Mort AAR Sex</vt:lpstr>
      <vt:lpstr>Colon Rectum Ind Mort</vt:lpstr>
      <vt:lpstr>Colon Rectum Ind Mort Sex</vt:lpstr>
      <vt:lpstr>Colon Rectum Ind Mort RE</vt:lpstr>
      <vt:lpstr>Colon Rectum 50-64</vt:lpstr>
      <vt:lpstr>Lung Bronch Ind Mort AAR</vt:lpstr>
      <vt:lpstr>Lung Bronch Ind Mort AAR Sex</vt:lpstr>
      <vt:lpstr>Lung Incidence RE</vt:lpstr>
      <vt:lpstr>Prostate Cancer AAR Male</vt:lpstr>
      <vt:lpstr>Breast Cancer AAR</vt:lpstr>
      <vt:lpstr>Women 50-74 Breast Cancer Scree</vt:lpstr>
      <vt:lpstr>Cervix Uteri Cancer AAR</vt:lpstr>
      <vt:lpstr>Women 21-65 Cancer Screening</vt:lpstr>
      <vt:lpstr>Children 24-35 Months</vt:lpstr>
      <vt:lpstr>COVID-19 Mort</vt:lpstr>
      <vt:lpstr>13 HPV</vt:lpstr>
      <vt:lpstr>Flu Immunization 16-21</vt:lpstr>
      <vt:lpstr>Flu Immunization 65 16-21</vt:lpstr>
      <vt:lpstr>Pneumo 65 16-21</vt:lpstr>
      <vt:lpstr>HIV AAR 14-21</vt:lpstr>
      <vt:lpstr>Gonorrhea AAR 17-23</vt:lpstr>
      <vt:lpstr>Chlamydia AAR</vt:lpstr>
      <vt:lpstr>Syphilis AAR</vt:lpstr>
      <vt:lpstr>Lyme Disease</vt:lpstr>
      <vt:lpstr>Anaplasmosis</vt:lpstr>
      <vt:lpstr>Babesiosis</vt:lpstr>
      <vt:lpstr>Rabies</vt:lpstr>
      <vt:lpstr>Rabies Wild</vt:lpstr>
      <vt:lpstr>Rabies PEP</vt:lpstr>
      <vt:lpstr>Early Prenatal Care</vt:lpstr>
      <vt:lpstr>Early Prenatal Care Late No</vt:lpstr>
      <vt:lpstr>Births RE</vt:lpstr>
      <vt:lpstr>Preg 15-44</vt:lpstr>
      <vt:lpstr>Preg 15-44 RE</vt:lpstr>
      <vt:lpstr>Teen Preg 15-19</vt:lpstr>
      <vt:lpstr>Teen Preg 17 RE</vt:lpstr>
      <vt:lpstr>Live Birth Financ</vt:lpstr>
      <vt:lpstr>Preterm Births</vt:lpstr>
      <vt:lpstr>Low Birthweight Infants</vt:lpstr>
      <vt:lpstr>Low Birthweight Inf RE</vt:lpstr>
      <vt:lpstr>Infant Mort Live</vt:lpstr>
      <vt:lpstr>Breastfed Infants</vt:lpstr>
      <vt:lpstr>Medicaid Enrolles 1 Dental</vt:lpstr>
      <vt:lpstr>All Medicaid Dental</vt:lpstr>
      <vt:lpstr>Cirrhosiis-Mortal</vt:lpstr>
      <vt:lpstr>Coronary HD AAR</vt:lpstr>
      <vt:lpstr>Coronary HD AAR RE</vt:lpstr>
      <vt:lpstr>50-70 BS</vt:lpstr>
      <vt:lpstr>CervCa Screen</vt:lpstr>
      <vt:lpstr>HPV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Crandell, Dayquan</cp:lastModifiedBy>
  <cp:revision/>
  <dcterms:created xsi:type="dcterms:W3CDTF">2026-02-17T16:57:23Z</dcterms:created>
  <dcterms:modified xsi:type="dcterms:W3CDTF">2026-05-18T17:53:19Z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0x0101005E06BBCF48891B4AA000B842D02367CE</vt:lpwstr>
  </property>
  <property fmtid="{D5CDD505-2E9C-101B-9397-08002B2CF9AE}" pid="3" name="MediaServiceImageTags">
    <vt:lpwstr/>
  </property>
</Properties>
</file>