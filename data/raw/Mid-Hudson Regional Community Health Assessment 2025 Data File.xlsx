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AD1700B1-DC3A-A44C-BE31-29B80C631FC8}" xr6:coauthVersionLast="47" xr6:coauthVersionMax="47" xr10:uidLastSave="{00000000-0000-0000-0000-000000000000}"/>
  <bookViews>
    <workbookView xWindow="0" yWindow="660" windowWidth="34560" windowHeight="21680" firstSheet="237" activeTab="247"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 name="Speaks English" sheetId="229" r:id="rId183"/>
    <sheet name="HeartAttack Hosp" sheetId="230" r:id="rId184"/>
    <sheet name="Diabete Hosp RE" sheetId="231" r:id="rId185"/>
    <sheet name="Pre-diabetes" sheetId="232" r:id="rId186"/>
    <sheet name="Diabetes Hosp AAR" sheetId="233" r:id="rId187"/>
    <sheet name="HBS or Diabetes" sheetId="235" r:id="rId188"/>
    <sheet name="Diabetes Mort AAR" sheetId="236" r:id="rId189"/>
    <sheet name="Diabetes Mort AAR RE" sheetId="237" r:id="rId190"/>
    <sheet name="Adults Obese-Overweight" sheetId="238" r:id="rId191"/>
    <sheet name="Adults Obese" sheetId="239" r:id="rId192"/>
    <sheet name="School Children-Overw-Obese" sheetId="240" r:id="rId193"/>
    <sheet name="Cirrhosis Hosp AAR" sheetId="241" r:id="rId194"/>
    <sheet name="Cirrhosis Mortal AAR" sheetId="242" r:id="rId195"/>
    <sheet name="All Cancer Inc and Mort AAR" sheetId="243" r:id="rId196"/>
    <sheet name="All Cancer Inc and Mort AAR Sex" sheetId="244" r:id="rId197"/>
    <sheet name="Colon Rectum Ind Mort" sheetId="245" r:id="rId198"/>
    <sheet name="Colon Rectum Ind Mort Sex" sheetId="246" r:id="rId199"/>
    <sheet name="Colon Rectum Ind Mort RE" sheetId="247" r:id="rId200"/>
    <sheet name="Colon Rectum 50-64" sheetId="248" r:id="rId201"/>
    <sheet name="Lung Bronch Ind Mort AAR" sheetId="249" r:id="rId202"/>
    <sheet name="Lung Bronch Ind Mort AAR Sex" sheetId="250" r:id="rId203"/>
    <sheet name="Lung Incidence RE" sheetId="251" r:id="rId204"/>
    <sheet name="Prostate Cancer AAR Male" sheetId="252" r:id="rId205"/>
    <sheet name="Breast Cancer AAR" sheetId="253" r:id="rId206"/>
    <sheet name="Women 50-74 Breast Cancer Scree" sheetId="254" r:id="rId207"/>
    <sheet name="Cervix Uteri Cancer AAR" sheetId="255" r:id="rId208"/>
    <sheet name="Women 21-65 Cancer Screening" sheetId="256" r:id="rId209"/>
    <sheet name="Children 24-35 Months" sheetId="257" r:id="rId210"/>
    <sheet name="COVID-19 Mort" sheetId="258" r:id="rId211"/>
    <sheet name="13 HPV" sheetId="259" r:id="rId212"/>
    <sheet name="Flu Immunization 16-21" sheetId="260" r:id="rId213"/>
    <sheet name="Flu Immunization 65 16-21" sheetId="261" r:id="rId214"/>
    <sheet name="Pneumo 65 16-21" sheetId="262" r:id="rId215"/>
    <sheet name="HIV AAR 14-21" sheetId="263" r:id="rId216"/>
    <sheet name="Gonorrhea AAR 17-23" sheetId="264" r:id="rId217"/>
    <sheet name="Chlamydia AAR" sheetId="265" r:id="rId218"/>
    <sheet name="Syphilis AAR" sheetId="266" r:id="rId219"/>
    <sheet name="Lyme Disease" sheetId="267" r:id="rId220"/>
    <sheet name="Anaplasmosis" sheetId="268" r:id="rId221"/>
    <sheet name="Babesiosis" sheetId="269" r:id="rId222"/>
    <sheet name="Rabies" sheetId="270" r:id="rId223"/>
    <sheet name="Rabies Wild" sheetId="271" r:id="rId224"/>
    <sheet name="Rabies PEP" sheetId="272" r:id="rId225"/>
    <sheet name="Early Prenatal Care" sheetId="273" r:id="rId226"/>
    <sheet name="Early Prenatal Care Late No" sheetId="274" r:id="rId227"/>
    <sheet name="Births RE" sheetId="275" r:id="rId228"/>
    <sheet name="Preg 15-44" sheetId="276" r:id="rId229"/>
    <sheet name="Preg 15-44 RE" sheetId="277" r:id="rId230"/>
    <sheet name="Teen Preg 15-19" sheetId="278" r:id="rId231"/>
    <sheet name="Teen Preg 17 RE" sheetId="279" r:id="rId232"/>
    <sheet name="Live Birth Financ" sheetId="280" r:id="rId233"/>
    <sheet name="Preterm Births" sheetId="281" r:id="rId234"/>
    <sheet name="Low Birthweight Infants" sheetId="282" r:id="rId235"/>
    <sheet name="Low Birthweight Inf RE" sheetId="284" r:id="rId236"/>
    <sheet name="Infant Mort Live" sheetId="285" r:id="rId237"/>
    <sheet name="Breastfed Infants" sheetId="287" r:id="rId238"/>
    <sheet name="Medicaid Enrolles 1 Dental" sheetId="288" r:id="rId239"/>
    <sheet name="All Medicaid Dental" sheetId="289" r:id="rId240"/>
    <sheet name="Cirrhosiis-Mortal" sheetId="290" r:id="rId241"/>
    <sheet name="Coronary HD AAR" sheetId="292" r:id="rId242"/>
    <sheet name="Coronary HD AAR RE" sheetId="293" r:id="rId243"/>
    <sheet name="50-70 BS" sheetId="294" r:id="rId244"/>
    <sheet name="CervCa Screen" sheetId="295" r:id="rId245"/>
    <sheet name="HPV 13" sheetId="296" r:id="rId246"/>
    <sheet name="Flu Immu 65+" sheetId="297" r:id="rId247"/>
    <sheet name="Pneumo Immu 65+" sheetId="298" r:id="rId24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298" l="1"/>
  <c r="B3" i="297"/>
  <c r="B3" i="296"/>
  <c r="B3" i="295"/>
  <c r="B3" i="294"/>
  <c r="B3" i="293"/>
  <c r="B3" i="292"/>
  <c r="H124" i="1"/>
  <c r="B4" i="293" s="1"/>
  <c r="B3" i="290"/>
  <c r="H157" i="1"/>
  <c r="B3" i="289"/>
  <c r="B3" i="288"/>
  <c r="B3" i="287"/>
  <c r="B3" i="285"/>
  <c r="B3" i="284"/>
  <c r="B3" i="282"/>
  <c r="B3" i="281"/>
  <c r="B3" i="280"/>
  <c r="B3" i="279"/>
  <c r="B3" i="278"/>
  <c r="B3" i="277"/>
  <c r="B3" i="276"/>
  <c r="B3" i="275"/>
  <c r="B3" i="274"/>
  <c r="B3" i="273"/>
  <c r="B3" i="272"/>
  <c r="B3" i="271"/>
  <c r="B3" i="270"/>
  <c r="B3" i="269"/>
  <c r="B3" i="268"/>
  <c r="B3" i="267"/>
  <c r="B3" i="266"/>
  <c r="B3" i="265"/>
  <c r="B3" i="264"/>
  <c r="B3" i="263"/>
  <c r="B3" i="262"/>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3"/>
  <c r="B3" i="232"/>
  <c r="B3" i="231"/>
  <c r="B3" i="230"/>
  <c r="B4" i="229"/>
  <c r="B3" i="229"/>
  <c r="B3" i="44"/>
  <c r="B3" i="228"/>
  <c r="B3" i="227"/>
  <c r="B3" i="226"/>
  <c r="B3" i="225"/>
  <c r="B4" i="224"/>
  <c r="B3" i="224"/>
  <c r="B3" i="223"/>
  <c r="B3" i="222"/>
  <c r="B3" i="221"/>
  <c r="B3" i="220"/>
  <c r="B3" i="219"/>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H305" i="1"/>
  <c r="B4" i="214" s="1"/>
  <c r="H304" i="1"/>
  <c r="B4" i="197" s="1"/>
  <c r="H258" i="1"/>
  <c r="B4" i="202" s="1"/>
  <c r="H219" i="1"/>
  <c r="B4" i="275" s="1"/>
  <c r="H228" i="1"/>
  <c r="B4" i="280" s="1"/>
  <c r="H217" i="1"/>
  <c r="B4" i="273" s="1"/>
  <c r="H176" i="1"/>
  <c r="B4" i="258" s="1"/>
  <c r="H151" i="1"/>
  <c r="B4" i="245" s="1"/>
  <c r="H150" i="1"/>
  <c r="B4" i="244" s="1"/>
  <c r="H147" i="1"/>
  <c r="B4" i="243" s="1"/>
  <c r="H145" i="1"/>
  <c r="B4" i="290" s="1"/>
  <c r="H144" i="1"/>
  <c r="B4" i="242" s="1"/>
  <c r="H140" i="1"/>
  <c r="B4" i="240" s="1"/>
  <c r="H129" i="1"/>
  <c r="B4" i="195" s="1"/>
  <c r="H128" i="1"/>
  <c r="B4" i="194" s="1"/>
  <c r="H303" i="1"/>
  <c r="B4" i="57" s="1"/>
  <c r="H284" i="1"/>
  <c r="B4" i="188" s="1"/>
  <c r="H283" i="1"/>
  <c r="B4" i="179" s="1"/>
  <c r="H302" i="1"/>
  <c r="H301" i="1"/>
  <c r="H300" i="1"/>
  <c r="B4" i="185" s="1"/>
  <c r="H299" i="1"/>
  <c r="B4" i="184" s="1"/>
  <c r="B4" i="187" l="1"/>
  <c r="B4" i="241"/>
  <c r="B4" i="186"/>
  <c r="H298" i="1"/>
  <c r="B4" i="180" s="1"/>
  <c r="H297" i="1"/>
  <c r="B4" i="220" s="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H278" i="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B4" i="289" s="1"/>
  <c r="H244" i="1"/>
  <c r="B4" i="288" s="1"/>
  <c r="H238" i="1"/>
  <c r="H237" i="1"/>
  <c r="B4" i="285" s="1"/>
  <c r="H235" i="1"/>
  <c r="H234" i="1"/>
  <c r="H232" i="1"/>
  <c r="H230" i="1"/>
  <c r="H227" i="1"/>
  <c r="B4" i="279" s="1"/>
  <c r="H226" i="1"/>
  <c r="H222" i="1"/>
  <c r="B4" i="277" s="1"/>
  <c r="H221" i="1"/>
  <c r="H218" i="1"/>
  <c r="B4" i="274" s="1"/>
  <c r="H216" i="1"/>
  <c r="H215" i="1"/>
  <c r="B4" i="272" s="1"/>
  <c r="H214" i="1"/>
  <c r="H213" i="1"/>
  <c r="H210" i="1"/>
  <c r="B4" i="269" s="1"/>
  <c r="H208" i="1"/>
  <c r="B4" i="268" s="1"/>
  <c r="H206" i="1"/>
  <c r="B4" i="267" s="1"/>
  <c r="H203" i="1"/>
  <c r="H200" i="1"/>
  <c r="H188" i="1"/>
  <c r="H182" i="1"/>
  <c r="H180" i="1"/>
  <c r="B4" i="298" s="1"/>
  <c r="H179" i="1"/>
  <c r="B4" i="297" s="1"/>
  <c r="H178" i="1"/>
  <c r="B4" i="260" s="1"/>
  <c r="H177" i="1"/>
  <c r="H165" i="1"/>
  <c r="B4" i="257" s="1"/>
  <c r="H163" i="1"/>
  <c r="B4" i="295" s="1"/>
  <c r="H162" i="1"/>
  <c r="H161" i="1"/>
  <c r="B4" i="294" s="1"/>
  <c r="H160" i="1"/>
  <c r="H159" i="1"/>
  <c r="H158" i="1"/>
  <c r="B4" i="250"/>
  <c r="H156" i="1"/>
  <c r="B4" i="249" s="1"/>
  <c r="H155" i="1"/>
  <c r="H154" i="1"/>
  <c r="B4" i="248" s="1"/>
  <c r="H153" i="1"/>
  <c r="B4" i="247" s="1"/>
  <c r="H152" i="1"/>
  <c r="B4" i="246" s="1"/>
  <c r="H139" i="1"/>
  <c r="B4" i="239" s="1"/>
  <c r="H138" i="1"/>
  <c r="B4" i="238" s="1"/>
  <c r="H137" i="1"/>
  <c r="B4" i="237" s="1"/>
  <c r="H135" i="1"/>
  <c r="B4" i="236" s="1"/>
  <c r="H134" i="1"/>
  <c r="B4" i="235" s="1"/>
  <c r="H133" i="1"/>
  <c r="B4" i="231" s="1"/>
  <c r="H132" i="1"/>
  <c r="H130" i="1"/>
  <c r="H126" i="1"/>
  <c r="B4" i="196" s="1"/>
  <c r="H104" i="1"/>
  <c r="B4" i="145" s="1"/>
  <c r="H105" i="1"/>
  <c r="B4" i="159" s="1"/>
  <c r="H106" i="1"/>
  <c r="B4" i="160" s="1"/>
  <c r="H107" i="1"/>
  <c r="B4" i="161" s="1"/>
  <c r="H108" i="1"/>
  <c r="B4" i="221" s="1"/>
  <c r="H109" i="1"/>
  <c r="B4" i="162" s="1"/>
  <c r="H110" i="1"/>
  <c r="B4" i="222" s="1"/>
  <c r="H112" i="1"/>
  <c r="B4" i="164" s="1"/>
  <c r="H113" i="1"/>
  <c r="B4" i="165" s="1"/>
  <c r="H114" i="1"/>
  <c r="B4" i="166" s="1"/>
  <c r="H115" i="1"/>
  <c r="H116" i="1"/>
  <c r="B4" i="223" s="1"/>
  <c r="H117" i="1"/>
  <c r="B4" i="169" s="1"/>
  <c r="H118" i="1"/>
  <c r="H119" i="1"/>
  <c r="B4" i="225" s="1"/>
  <c r="H120" i="1"/>
  <c r="B4" i="226" s="1"/>
  <c r="H121" i="1"/>
  <c r="B4" i="227" s="1"/>
  <c r="H122" i="1"/>
  <c r="B4" i="228" s="1"/>
  <c r="H123" i="1"/>
  <c r="B4" i="292" s="1"/>
  <c r="H125" i="1"/>
  <c r="B4" i="230" s="1"/>
  <c r="H111" i="1"/>
  <c r="B4" i="163" s="1"/>
  <c r="B4" i="259" l="1"/>
  <c r="B4" i="296"/>
  <c r="B4" i="284"/>
  <c r="B4" i="287"/>
  <c r="B4" i="281"/>
  <c r="B4" i="282"/>
  <c r="B4" i="276"/>
  <c r="B4" i="278"/>
  <c r="B4" i="270"/>
  <c r="B4" i="271"/>
  <c r="B4" i="265"/>
  <c r="B4" i="266"/>
  <c r="B4" i="263"/>
  <c r="B4" i="264"/>
  <c r="B4" i="261"/>
  <c r="B4" i="262"/>
  <c r="B4" i="255"/>
  <c r="B4" i="256"/>
  <c r="B4" i="253"/>
  <c r="B4" i="254"/>
  <c r="B4" i="177"/>
  <c r="B4" i="219"/>
  <c r="B4" i="176"/>
  <c r="B4" i="218"/>
  <c r="B4" i="252"/>
  <c r="B4" i="251"/>
  <c r="B4" i="233"/>
  <c r="B4" i="232"/>
  <c r="B4" i="173"/>
  <c r="B4" i="217"/>
  <c r="B4" i="175"/>
  <c r="B4" i="216"/>
  <c r="B4" i="167"/>
  <c r="B4" i="168"/>
</calcChain>
</file>

<file path=xl/sharedStrings.xml><?xml version="1.0" encoding="utf-8"?>
<sst xmlns="http://schemas.openxmlformats.org/spreadsheetml/2006/main" count="14837" uniqueCount="2191">
  <si>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</si>
  <si>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</si>
  <si>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</si>
  <si>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</si>
  <si>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</si>
  <si>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</si>
  <si>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</si>
  <si>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</si>
  <si>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</si>
  <si>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</si>
  <si>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</si>
  <si>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</si>
  <si>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</si>
  <si>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</si>
  <si>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</si>
  <si>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</si>
  <si>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</si>
  <si>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</si>
  <si>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</si>
  <si>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</si>
  <si>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</si>
  <si>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</si>
  <si>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</si>
  <si>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</si>
  <si>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</si>
  <si>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</si>
  <si>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</si>
  <si>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</si>
  <si>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</si>
  <si>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</si>
  <si>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</si>
  <si>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</si>
  <si>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</si>
  <si>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</si>
  <si>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</si>
  <si>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</si>
  <si>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</si>
  <si>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</si>
  <si>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</si>
  <si>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</si>
  <si>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</si>
  <si>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</si>
  <si>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</si>
  <si>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</si>
  <si>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</si>
  <si>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</si>
  <si>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</si>
  <si>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</si>
  <si>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</si>
  <si>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</si>
  <si>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</si>
  <si>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</si>
  <si>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</si>
  <si>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</si>
  <si>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</si>
  <si>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</si>
  <si>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</si>
  <si>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</si>
  <si>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</si>
  <si>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</si>
  <si>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</si>
  <si>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</si>
  <si>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</si>
  <si>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</si>
  <si>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</si>
  <si>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</si>
  <si>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</si>
  <si>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</si>
  <si>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</si>
  <si>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</si>
  <si>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</si>
  <si>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</si>
  <si>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</si>
  <si>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</si>
  <si>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</si>
  <si>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</si>
  <si>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</si>
  <si>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</si>
  <si>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</si>
  <si>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</si>
  <si>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</si>
  <si>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</si>
  <si>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</si>
  <si>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</si>
  <si>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</si>
  <si>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</si>
  <si>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</si>
  <si>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</si>
  <si>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</si>
  <si>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</si>
  <si>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</si>
  <si>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</si>
  <si>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</si>
  <si>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</si>
  <si>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</si>
  <si>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</si>
  <si>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</si>
  <si>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</si>
  <si>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</si>
  <si>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</si>
  <si>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</si>
  <si>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</si>
  <si>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</si>
  <si>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</si>
  <si>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</si>
  <si>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</si>
  <si>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</si>
  <si>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</si>
  <si>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</si>
  <si>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</si>
  <si>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</si>
  <si>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</si>
  <si>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</si>
  <si>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</si>
  <si>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</si>
  <si>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</si>
  <si>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</si>
  <si>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</si>
  <si>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</si>
  <si>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</si>
  <si>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</si>
  <si>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</si>
  <si>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</si>
  <si>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</si>
  <si>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</si>
  <si>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</si>
  <si>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</si>
  <si>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</si>
  <si>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</si>
  <si>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</si>
  <si>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</si>
  <si>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</si>
  <si>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</si>
  <si>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</si>
  <si>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</si>
  <si>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</si>
  <si>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</si>
  <si>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</si>
  <si>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</si>
  <si>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</si>
  <si>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</si>
  <si>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</si>
  <si>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</si>
  <si>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</si>
  <si>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</si>
  <si>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</si>
  <si>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</si>
  <si>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</si>
  <si>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</si>
  <si>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</si>
  <si>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</si>
  <si>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</si>
  <si>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</si>
  <si>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</si>
  <si>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</si>
  <si>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</si>
  <si>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</si>
  <si>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</si>
  <si>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</si>
  <si>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</si>
  <si>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</si>
  <si>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</si>
  <si>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</si>
  <si>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</si>
  <si>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</si>
  <si>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</si>
  <si>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</si>
  <si>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</si>
  <si>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</si>
  <si>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</si>
  <si>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</si>
  <si>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</si>
  <si>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</si>
  <si>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</si>
  <si>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</si>
  <si>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</si>
  <si>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</si>
  <si>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</si>
  <si>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</si>
  <si>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</si>
  <si>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</si>
  <si>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</si>
  <si>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</si>
  <si>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</si>
  <si>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</si>
  <si>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</si>
  <si>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</si>
  <si>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</si>
  <si>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</si>
  <si>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</si>
  <si>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</si>
  <si>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</si>
  <si>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</si>
  <si>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</si>
  <si>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</si>
  <si>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</si>
  <si>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</si>
  <si>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</si>
  <si>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</si>
  <si>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</si>
  <si>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</si>
  <si>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</si>
  <si>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</si>
  <si>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</si>
  <si>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</si>
  <si>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</si>
  <si>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</si>
  <si>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</si>
  <si>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</si>
  <si>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</si>
  <si>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</si>
  <si>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</si>
  <si>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</si>
  <si>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</si>
  <si>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</si>
  <si>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</si>
  <si>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</si>
  <si>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</si>
  <si>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</si>
  <si>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</si>
  <si>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</si>
  <si>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</si>
  <si>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</si>
  <si>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</si>
  <si>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</si>
  <si>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</si>
  <si>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</si>
  <si>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</si>
  <si>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</si>
  <si>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</si>
  <si>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</si>
  <si>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</si>
  <si>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</si>
  <si>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</si>
  <si>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</si>
  <si>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</si>
  <si>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</si>
  <si>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</si>
  <si>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</si>
  <si>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</si>
  <si>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</si>
  <si>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</si>
  <si>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</si>
  <si>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</si>
  <si>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</si>
  <si>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</si>
  <si>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</si>
  <si>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</si>
  <si>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</si>
  <si>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</si>
  <si>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</si>
  <si>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</si>
  <si>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</si>
  <si>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</si>
  <si>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</si>
  <si>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</si>
  <si>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</si>
  <si>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</si>
  <si>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</si>
  <si>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</si>
  <si>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</si>
  <si>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</si>
  <si>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</si>
  <si>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</si>
  <si>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</si>
  <si>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</si>
  <si>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</si>
  <si>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</si>
  <si>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</si>
  <si>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</si>
  <si>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</si>
  <si>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</si>
  <si>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</si>
  <si>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</si>
  <si>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</si>
  <si>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</si>
  <si>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</si>
  <si>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</si>
  <si>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</si>
  <si>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</si>
  <si>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</si>
  <si>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</si>
  <si>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</si>
  <si>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</si>
  <si>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</si>
  <si>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</si>
  <si>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</si>
  <si>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</si>
  <si>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</si>
  <si>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</si>
  <si>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</si>
  <si>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</si>
  <si>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</si>
  <si>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</si>
  <si>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</si>
  <si>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</si>
  <si>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</si>
  <si>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</si>
  <si>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</si>
  <si>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</si>
  <si>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</si>
  <si>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</si>
  <si>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</si>
  <si>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</si>
  <si>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</si>
  <si>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</si>
  <si>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</si>
  <si>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</si>
  <si>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</si>
  <si>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</si>
  <si>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</si>
  <si>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</si>
  <si>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</si>
  <si>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</si>
  <si>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</si>
  <si>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</si>
  <si>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</si>
  <si>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</si>
  <si>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</si>
  <si>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</si>
  <si>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</si>
  <si>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</si>
  <si>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</si>
  <si>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</si>
  <si>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</si>
  <si>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</si>
  <si>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</si>
  <si>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</si>
  <si>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</si>
  <si>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</si>
  <si>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</si>
  <si>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</si>
  <si>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</si>
  <si>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</si>
  <si>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</si>
  <si>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</si>
  <si>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</si>
  <si>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</si>
  <si>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</si>
  <si>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</si>
  <si>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</si>
  <si>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</si>
  <si>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</si>
  <si>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</si>
  <si>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</si>
  <si>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</si>
  <si>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</si>
  <si>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</si>
  <si>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</si>
  <si>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</si>
  <si>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</si>
  <si>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</si>
  <si>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</si>
  <si>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</si>
  <si>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</si>
  <si>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</si>
  <si>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</si>
  <si>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</si>
  <si>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</si>
  <si>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</si>
  <si>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</si>
  <si>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</si>
  <si>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</si>
  <si>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</si>
  <si>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</si>
  <si>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</si>
  <si>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</si>
  <si>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</si>
  <si>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</si>
  <si>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</si>
  <si>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</si>
  <si>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</si>
  <si>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</si>
  <si>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</si>
  <si>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</si>
  <si>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</si>
  <si>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</si>
  <si>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</si>
  <si>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</si>
  <si>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</si>
  <si>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</si>
  <si>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</si>
  <si>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</si>
  <si>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</si>
  <si>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</si>
  <si>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</si>
  <si>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</si>
  <si>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</si>
  <si>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</si>
  <si>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</si>
  <si>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</si>
  <si>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</si>
  <si>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</si>
  <si>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</si>
  <si>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</si>
  <si>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</si>
  <si>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</si>
  <si>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</si>
  <si>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</si>
  <si>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</si>
  <si>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</si>
  <si>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</si>
  <si>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</si>
  <si>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</si>
  <si>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</si>
  <si>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</si>
  <si>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</si>
  <si>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</si>
  <si>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</si>
  <si>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</si>
  <si>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</si>
  <si>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</si>
  <si>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</si>
  <si>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</si>
  <si>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</si>
  <si>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</si>
  <si>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</si>
  <si>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</si>
  <si>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</si>
  <si>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</si>
  <si>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</si>
  <si>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</si>
  <si>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</si>
  <si>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</si>
  <si>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</si>
  <si>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</si>
  <si>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</si>
  <si>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</si>
  <si>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</si>
  <si>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</si>
  <si>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</si>
  <si>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</si>
  <si>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</si>
  <si>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</si>
  <si>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</si>
  <si>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</si>
  <si>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</si>
  <si>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</si>
  <si>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</si>
  <si>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</si>
  <si>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</si>
  <si>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</si>
  <si>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</si>
  <si>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</si>
  <si>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</si>
  <si>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</si>
  <si>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</si>
  <si>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</si>
  <si>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</si>
  <si>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</si>
  <si>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</si>
  <si>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</si>
  <si>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</si>
  <si>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</si>
  <si>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</si>
  <si>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</si>
  <si>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</si>
  <si>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</si>
  <si>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</si>
  <si>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</si>
  <si>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</si>
  <si>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</si>
  <si>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</si>
  <si>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</si>
  <si>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</si>
  <si>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</si>
  <si>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</si>
  <si>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</si>
  <si>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</si>
  <si>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</si>
  <si>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</si>
  <si>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</si>
  <si>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</si>
  <si>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</si>
  <si>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</si>
  <si>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</si>
  <si>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</si>
  <si>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</si>
  <si>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</si>
  <si>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</si>
  <si>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</si>
  <si>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</si>
  <si>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</si>
  <si>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</si>
  <si>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</si>
  <si>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</si>
  <si>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</si>
  <si>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</si>
  <si>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</si>
  <si>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</si>
  <si>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</si>
  <si>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</si>
  <si>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</si>
  <si>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</si>
  <si>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</si>
  <si>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</si>
  <si>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</si>
  <si>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</si>
  <si>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</si>
  <si>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</si>
  <si>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</si>
  <si>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</si>
  <si>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</si>
  <si>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</si>
  <si>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</si>
  <si>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</si>
  <si>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</si>
  <si>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</si>
  <si>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</si>
  <si>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</si>
  <si>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</si>
  <si>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</si>
  <si>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</si>
  <si>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</si>
  <si>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</si>
  <si>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</si>
  <si>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</si>
  <si>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</si>
  <si>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</si>
  <si>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</si>
  <si>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</si>
  <si>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</si>
  <si>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</si>
  <si>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</si>
  <si>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</si>
  <si>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</si>
  <si>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</si>
  <si>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</si>
  <si>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</si>
  <si>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</si>
  <si>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</si>
  <si>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</si>
  <si>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</si>
  <si>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</si>
  <si>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</si>
  <si>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</si>
  <si>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</si>
  <si>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</si>
  <si>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</si>
  <si>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</si>
  <si>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</si>
  <si>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</si>
  <si>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</si>
  <si>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</si>
  <si>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</si>
  <si>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</si>
  <si>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</si>
  <si>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</si>
  <si>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</si>
  <si>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</si>
  <si>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</si>
  <si>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</si>
  <si>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</si>
  <si>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</si>
  <si>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</si>
  <si>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</si>
  <si>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</si>
  <si>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</si>
  <si>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</si>
  <si>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</si>
  <si>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</si>
  <si>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</si>
  <si>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</si>
  <si>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</si>
  <si>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</si>
  <si>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</si>
  <si>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</si>
  <si>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</si>
  <si>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</si>
  <si>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</si>
  <si>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</si>
  <si>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</si>
  <si>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</si>
  <si>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</si>
  <si>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</si>
  <si>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</si>
  <si>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</si>
  <si>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</si>
  <si>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</si>
  <si>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</si>
  <si>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</si>
  <si>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</si>
  <si>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</si>
  <si>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</si>
  <si>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</si>
  <si>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</si>
  <si>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</si>
  <si>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</si>
  <si>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</si>
  <si>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</si>
  <si>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</si>
  <si>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</si>
  <si>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</si>
  <si>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</si>
  <si>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</si>
  <si>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</si>
  <si>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</si>
  <si>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</si>
  <si>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</si>
  <si>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</si>
  <si>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</si>
  <si>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</si>
  <si>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</si>
  <si>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</si>
  <si>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</si>
  <si>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</si>
  <si>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</si>
  <si>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</si>
  <si>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</si>
  <si>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</si>
  <si>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</si>
  <si>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</si>
  <si>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</si>
  <si>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</si>
  <si>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</si>
  <si>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</si>
  <si>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</si>
  <si>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</si>
  <si>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</si>
  <si>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</si>
  <si>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</si>
  <si>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</si>
  <si>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</si>
  <si>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</si>
  <si>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</si>
  <si>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</si>
  <si>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</si>
  <si>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</si>
  <si>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</si>
  <si>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</si>
  <si>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</si>
  <si>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</si>
  <si>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</si>
  <si>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</si>
  <si>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</si>
  <si>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</si>
  <si>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</si>
  <si>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</si>
  <si>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</si>
  <si>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</si>
  <si>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</si>
  <si>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</si>
  <si>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</si>
  <si>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</si>
  <si>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</si>
  <si>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</si>
  <si>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</si>
  <si>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</si>
  <si>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</si>
  <si>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</si>
  <si>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</si>
  <si>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</si>
  <si>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</si>
  <si>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</si>
  <si>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</si>
  <si>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</si>
  <si>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</si>
  <si>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</si>
  <si>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</si>
  <si>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</si>
  <si>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</si>
  <si>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</si>
  <si>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</si>
  <si>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</si>
  <si>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</si>
  <si>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</si>
  <si>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</si>
  <si>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</si>
  <si>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</si>
  <si>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</si>
  <si>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</si>
  <si>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</si>
  <si>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</si>
  <si>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</si>
  <si>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</si>
  <si>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</si>
  <si>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</si>
  <si>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</si>
  <si>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</si>
  <si>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</si>
  <si>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</si>
  <si>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</si>
  <si>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</si>
  <si>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</si>
  <si>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</si>
  <si>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</si>
  <si>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</si>
  <si>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</si>
  <si>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</si>
  <si>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</si>
  <si>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</si>
  <si>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</si>
  <si>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</si>
  <si>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</si>
  <si>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</si>
  <si>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</si>
  <si>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</si>
  <si>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</si>
  <si>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</si>
  <si>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</si>
  <si>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</si>
  <si>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</si>
  <si>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</si>
  <si>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</si>
  <si>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</si>
  <si>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</si>
  <si>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</si>
  <si>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</si>
  <si>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</si>
  <si>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</si>
  <si>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</si>
  <si>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</si>
  <si>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</si>
  <si>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</si>
  <si>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</si>
  <si>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</si>
  <si>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</si>
  <si>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</si>
  <si>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</si>
  <si>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</si>
  <si>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</si>
  <si>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</si>
  <si>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</si>
  <si>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</si>
  <si>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</si>
  <si>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</si>
  <si>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</si>
  <si>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</si>
  <si>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</si>
  <si>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</si>
  <si>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</si>
  <si>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</si>
  <si>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</si>
  <si>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</si>
  <si>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</si>
  <si>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</si>
  <si>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</si>
  <si>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</si>
  <si>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</si>
  <si>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</si>
  <si>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</si>
  <si>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</si>
  <si>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</si>
  <si>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</si>
  <si>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</si>
  <si>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</si>
  <si>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</si>
  <si>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</si>
  <si>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</si>
  <si>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</si>
  <si>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</si>
  <si>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</si>
  <si>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</si>
  <si>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</si>
  <si>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</si>
  <si>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</si>
  <si>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</si>
  <si>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</si>
  <si>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</si>
  <si>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</si>
  <si>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</si>
  <si>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</si>
  <si>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</si>
  <si>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</si>
  <si>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</si>
  <si>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</si>
  <si>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</si>
  <si>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</si>
  <si>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</si>
  <si>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</si>
  <si>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</si>
  <si>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</si>
  <si>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</si>
  <si>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</si>
  <si>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</si>
  <si>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</si>
  <si>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</si>
  <si>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</si>
  <si>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</si>
  <si>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</si>
  <si>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</si>
  <si>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</si>
  <si>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</si>
  <si>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</si>
  <si>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</si>
  <si>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</si>
  <si>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</si>
  <si>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</si>
  <si>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</si>
  <si>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</si>
  <si>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</si>
  <si>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</si>
  <si>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</si>
  <si>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</si>
  <si>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</si>
  <si>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</si>
  <si>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</si>
  <si>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</si>
  <si>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</si>
  <si>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</si>
  <si>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</si>
  <si>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</si>
  <si>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</si>
  <si>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</si>
  <si>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</si>
  <si>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</si>
  <si>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</si>
  <si>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</si>
  <si>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</si>
  <si>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</si>
  <si>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</si>
  <si>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</si>
  <si>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</si>
  <si>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</si>
  <si>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</si>
  <si>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</si>
  <si>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</si>
  <si>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</si>
  <si>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</si>
  <si>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</si>
  <si>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</si>
  <si>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</si>
  <si>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</si>
  <si>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</si>
  <si>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</si>
  <si>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</si>
  <si>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</si>
  <si>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</si>
  <si>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</si>
  <si>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</si>
  <si>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</si>
  <si>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</si>
  <si>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</si>
  <si>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</si>
  <si>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</si>
  <si>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</si>
  <si>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</si>
  <si>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</si>
  <si>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</si>
  <si>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</si>
  <si>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</si>
  <si>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</si>
  <si>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</si>
  <si>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</si>
  <si>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</si>
  <si>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</si>
  <si>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</si>
  <si>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</si>
  <si>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</si>
  <si>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</si>
  <si>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</si>
  <si>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</si>
  <si>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</si>
  <si>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</si>
  <si>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</si>
  <si>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</si>
  <si>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</si>
  <si>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</si>
  <si>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</si>
  <si>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</si>
  <si>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</si>
  <si>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</si>
  <si>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</si>
  <si>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</si>
  <si>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</si>
  <si>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</si>
  <si>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</si>
  <si>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</si>
  <si>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</si>
  <si>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</si>
  <si>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</si>
  <si>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</si>
  <si>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</si>
  <si>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</si>
  <si>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</si>
  <si>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</si>
  <si>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</si>
  <si>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</si>
  <si>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</si>
  <si>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</si>
  <si>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</si>
  <si>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</si>
  <si>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</si>
  <si>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</si>
  <si>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</si>
  <si>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</si>
  <si>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</si>
  <si>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</si>
  <si>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</si>
  <si>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</si>
  <si>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</si>
  <si>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</si>
  <si>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</si>
  <si>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</si>
  <si>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</si>
  <si>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</si>
  <si>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</si>
  <si>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</si>
  <si>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</si>
  <si>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</si>
  <si>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</si>
  <si>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</si>
  <si>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</si>
  <si>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</si>
  <si>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</si>
  <si>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</si>
  <si>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</si>
  <si>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</si>
  <si>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</si>
  <si>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</si>
  <si>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</si>
  <si>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</si>
  <si>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</si>
  <si>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</si>
  <si>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</si>
  <si>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</si>
  <si>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</si>
  <si>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</si>
  <si>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</si>
  <si>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</si>
  <si>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</si>
  <si>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</si>
  <si>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</si>
  <si>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</si>
  <si>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</si>
  <si>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</si>
  <si>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</si>
  <si>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</si>
  <si>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</si>
  <si>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</si>
  <si>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</si>
  <si>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</si>
  <si>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</si>
  <si>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</si>
  <si>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</si>
  <si>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</si>
  <si>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</si>
  <si>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</si>
  <si>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</si>
  <si>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</si>
  <si>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</si>
  <si>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</si>
  <si>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</si>
  <si>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</si>
  <si>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</si>
  <si>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</si>
  <si>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</si>
  <si>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</si>
  <si>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</si>
  <si>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</si>
  <si>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</si>
  <si>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</si>
  <si>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</si>
  <si>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</si>
  <si>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</si>
  <si>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</si>
  <si>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</si>
  <si>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</si>
  <si>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</si>
  <si>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</si>
  <si>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</si>
  <si>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</si>
  <si>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</si>
  <si>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</si>
  <si>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</si>
  <si>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</si>
  <si>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</si>
  <si>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</si>
  <si>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</si>
  <si>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</si>
  <si>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</si>
  <si>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</si>
  <si>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</si>
  <si>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</si>
  <si>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</si>
  <si>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</si>
  <si>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</si>
  <si>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</si>
  <si>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</si>
  <si>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</si>
  <si>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</si>
  <si>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</si>
  <si>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</si>
  <si>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</si>
  <si>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</si>
  <si>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</si>
  <si>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</si>
  <si>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</si>
  <si>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</si>
  <si>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</si>
  <si>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</si>
  <si>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</si>
  <si>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</si>
  <si>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</si>
  <si>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</si>
  <si>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</si>
  <si>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</si>
  <si>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</si>
  <si>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</si>
  <si>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</si>
  <si>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</si>
  <si>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</si>
  <si>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</si>
  <si>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</si>
  <si>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</si>
  <si>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</si>
  <si>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</si>
  <si>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</si>
  <si>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</si>
  <si>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</si>
  <si>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</si>
  <si>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</si>
  <si>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</si>
  <si>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</si>
  <si>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</si>
  <si>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</si>
  <si>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</si>
  <si>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</si>
  <si>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</si>
  <si>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</si>
  <si>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</si>
  <si>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</si>
  <si>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</si>
  <si>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</si>
  <si>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</si>
  <si>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</si>
  <si>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</si>
  <si>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</si>
  <si>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</si>
  <si>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</si>
  <si>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</si>
  <si>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</si>
  <si>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</si>
  <si>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</si>
  <si>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</si>
  <si>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</si>
  <si>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</si>
  <si>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</si>
  <si>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</si>
  <si>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</si>
  <si>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</si>
  <si>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</si>
  <si>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</si>
  <si>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</si>
  <si>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</si>
  <si>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</si>
  <si>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</si>
  <si>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</si>
  <si>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</si>
  <si>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</si>
  <si>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</si>
  <si>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</si>
  <si>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</si>
  <si>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</si>
  <si>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</si>
  <si>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</si>
  <si>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</si>
  <si>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</si>
  <si>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</si>
  <si>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</si>
  <si>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</si>
  <si>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</si>
  <si>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</si>
  <si>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</si>
  <si>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</si>
  <si>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</si>
  <si>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</si>
  <si>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</si>
  <si>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</si>
  <si>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</si>
  <si>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</si>
  <si>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</si>
  <si>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</si>
  <si>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</si>
  <si>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</si>
  <si>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</si>
  <si>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</si>
  <si>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</si>
  <si>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</si>
  <si>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</si>
  <si>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</si>
  <si>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</si>
  <si>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</si>
  <si>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</si>
  <si>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</si>
  <si>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</si>
  <si>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</si>
  <si>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</si>
  <si>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</si>
  <si>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</si>
  <si>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</si>
  <si>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</si>
  <si>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</si>
  <si>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</si>
  <si>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</si>
  <si>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</si>
  <si>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</si>
  <si>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</si>
  <si>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</si>
  <si>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</si>
  <si>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</si>
  <si>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</si>
  <si>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</si>
  <si>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</si>
  <si>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</si>
  <si>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</si>
  <si>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</si>
  <si>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</si>
  <si>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</si>
  <si>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</si>
  <si>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</si>
  <si>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</si>
  <si>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</si>
  <si>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</si>
  <si>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</si>
  <si>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</si>
  <si>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</si>
  <si>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</si>
  <si>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</si>
  <si>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</si>
  <si>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</si>
  <si>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</si>
  <si>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</si>
  <si>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</si>
  <si>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</si>
  <si>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</si>
  <si>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</si>
  <si>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</si>
  <si>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</si>
  <si>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</si>
  <si>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</si>
  <si>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</si>
  <si>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</si>
  <si>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</si>
  <si>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</si>
  <si>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</si>
  <si>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</si>
  <si>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</si>
  <si>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</si>
  <si>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</si>
  <si>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</si>
  <si>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</si>
  <si>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</si>
  <si>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</si>
  <si>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</si>
  <si>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Percentage of Labor Force (%)</t>
  </si>
  <si>
    <t>Pivot For Chart</t>
  </si>
  <si>
    <t>True</t>
  </si>
  <si>
    <t>DP03</t>
  </si>
  <si>
    <t>https://data.census.gov/table/ACSDP5Y2023.DP03</t>
  </si>
  <si>
    <t>5-Year Estimates</t>
  </si>
  <si>
    <t>Food Insecurity Rate (%)</t>
  </si>
  <si>
    <t>https://map.feedingamerica.org/district/2023/overall/new-york</t>
  </si>
  <si>
    <t>June</t>
  </si>
  <si>
    <t>Feeding America, June 2025</t>
  </si>
  <si>
    <t>Child Food Insecurity Rate (%)</t>
  </si>
  <si>
    <t>Percentage of Cost Burdened Renter Occupied Units (%)</t>
  </si>
  <si>
    <t>DP04</t>
  </si>
  <si>
    <t>https://data.census.gov/table/ACSDP5Y2023.DP04</t>
  </si>
  <si>
    <t>2016–2020</t>
  </si>
  <si>
    <t>Percentage of Severely Cost Burdened Households (%)</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</si>
  <si>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</si>
  <si>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</si>
  <si>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</si>
  <si>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</si>
  <si>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</si>
  <si>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</si>
  <si>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</si>
  <si>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</si>
  <si>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</si>
  <si>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</si>
  <si>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</si>
  <si>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</si>
  <si>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</si>
  <si>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</si>
  <si>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</si>
  <si>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</si>
  <si>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</si>
  <si>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</si>
  <si>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</si>
  <si>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</si>
  <si>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</si>
  <si>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</si>
  <si>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</si>
  <si>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</si>
  <si>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</si>
  <si>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</si>
  <si>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</si>
  <si>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</si>
  <si>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</si>
  <si>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</si>
  <si>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</si>
  <si>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</si>
  <si>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</si>
  <si>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</si>
  <si>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</si>
  <si>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</si>
  <si>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</si>
  <si>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</si>
  <si>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</si>
  <si>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</si>
  <si>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</si>
  <si>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</si>
  <si>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</si>
  <si>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</si>
  <si>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</si>
  <si>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</si>
  <si>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</si>
  <si>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</si>
  <si>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</si>
  <si>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</si>
  <si>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</si>
  <si>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</si>
  <si>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</si>
  <si>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</si>
  <si>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</si>
  <si>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</si>
  <si>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</si>
  <si>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</si>
  <si>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</si>
  <si>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</si>
  <si>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</si>
  <si>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</si>
  <si>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</si>
  <si>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</si>
  <si>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</si>
  <si>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</si>
  <si>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</si>
  <si>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</si>
  <si>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</si>
  <si>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</si>
  <si>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</si>
  <si>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</si>
  <si>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</si>
  <si>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</si>
  <si>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</si>
  <si>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</si>
  <si>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</si>
  <si>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</si>
  <si>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</si>
  <si>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</si>
  <si>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</si>
  <si>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Poverty Rate (%)</t>
  </si>
  <si>
    <t>S1701</t>
  </si>
  <si>
    <t>https://data.census.gov/table/ACSST5Y2023.S1701</t>
  </si>
  <si>
    <t>Race/Ethnicity</t>
  </si>
  <si>
    <t>White (non-Hispanic)</t>
  </si>
  <si>
    <t>Black (including Hispanic)</t>
  </si>
  <si>
    <t>Asian (including Hispanic, excluding PI)</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</si>
  <si>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</si>
  <si>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</si>
  <si>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</si>
  <si>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</si>
  <si>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</si>
  <si>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</si>
  <si>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</si>
  <si>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</si>
  <si>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</si>
  <si>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</si>
  <si>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</si>
  <si>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</si>
  <si>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</si>
  <si>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</si>
  <si>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Economically Disadvantaged Students (%)</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</si>
  <si>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</si>
  <si>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</si>
  <si>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</si>
  <si>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</si>
  <si>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</si>
  <si>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</si>
  <si>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</si>
  <si>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</si>
  <si>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</si>
  <si>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</si>
  <si>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</si>
  <si>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</si>
  <si>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</si>
  <si>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</si>
  <si>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</si>
  <si>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</si>
  <si>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</si>
  <si>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</si>
  <si>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</si>
  <si>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</si>
  <si>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</si>
  <si>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</si>
  <si>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</si>
  <si>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</si>
  <si>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</si>
  <si>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Percentage (%)</t>
  </si>
  <si>
    <t>High School Graduation Rate (%)</t>
  </si>
  <si>
    <t>https://data.nysed.gov/gradrate.php</t>
  </si>
  <si>
    <t>NYS Education Department, Graduation Rate Data, April 2025</t>
  </si>
  <si>
    <t>Asian or Native Hawaiian/Other PI</t>
  </si>
  <si>
    <t>Black or African American</t>
  </si>
  <si>
    <t>White</t>
  </si>
  <si>
    <t>Multiracial</t>
  </si>
  <si>
    <t>Associate's degree</t>
  </si>
  <si>
    <t>Education Level</t>
  </si>
  <si>
    <t>S1501</t>
  </si>
  <si>
    <t>https://data.census.gov/table/ACSST5Y2023.S1501</t>
  </si>
  <si>
    <t>Percentage Speaking English Less Than Very Well (%)</t>
  </si>
  <si>
    <t>S1601</t>
  </si>
  <si>
    <t>https://data.census.gov/table/ACSST5Y2023.S1601</t>
  </si>
  <si>
    <t>2014–2018</t>
  </si>
  <si>
    <t>2015–2019</t>
  </si>
  <si>
    <t>Percentage of Disconnected Youth (%)</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</si>
  <si>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</si>
  <si>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</si>
  <si>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</si>
  <si>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</si>
  <si>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</si>
  <si>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</si>
  <si>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</si>
  <si>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</si>
  <si>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</si>
  <si>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</si>
  <si>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</si>
  <si>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</si>
  <si>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</si>
  <si>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</si>
  <si>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</si>
  <si>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</si>
  <si>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</si>
  <si>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</si>
  <si>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</si>
  <si>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</si>
  <si>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</si>
  <si>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</si>
  <si>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</si>
  <si>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</si>
  <si>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</si>
  <si>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</si>
  <si>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</si>
  <si>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</si>
  <si>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</si>
  <si>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</si>
  <si>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</si>
  <si>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</si>
  <si>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</si>
  <si>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</si>
  <si>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</si>
  <si>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</si>
  <si>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</si>
  <si>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</si>
  <si>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</si>
  <si>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</si>
  <si>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</si>
  <si>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</si>
  <si>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</si>
  <si>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</si>
  <si>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</si>
  <si>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</si>
  <si>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</si>
  <si>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</si>
  <si>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</si>
  <si>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</si>
  <si>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</si>
  <si>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</si>
  <si>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</si>
  <si>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</si>
  <si>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</si>
  <si>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</si>
  <si>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</si>
  <si>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</si>
  <si>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</si>
  <si>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</si>
  <si>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</si>
  <si>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</si>
  <si>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</si>
  <si>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</si>
  <si>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</si>
  <si>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</si>
  <si>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</si>
  <si>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</si>
  <si>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</si>
  <si>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</si>
  <si>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</si>
  <si>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</si>
  <si>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</si>
  <si>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</si>
  <si>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</si>
  <si>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</si>
  <si>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</si>
  <si>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</si>
  <si>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</si>
  <si>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</si>
  <si>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</si>
  <si>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</si>
  <si>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</si>
  <si>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</si>
  <si>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</si>
  <si>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</si>
  <si>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</si>
  <si>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</si>
  <si>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</si>
  <si>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</si>
  <si>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</si>
  <si>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</si>
  <si>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</si>
  <si>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</si>
  <si>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</si>
  <si>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</si>
  <si>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</si>
  <si>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</si>
  <si>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</si>
  <si>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</si>
  <si>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</si>
  <si>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</si>
  <si>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</si>
  <si>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</si>
  <si>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</si>
  <si>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</si>
  <si>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</si>
  <si>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</si>
  <si>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</si>
  <si>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</si>
  <si>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</si>
  <si>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</si>
  <si>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</si>
  <si>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</si>
  <si>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</si>
  <si>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</si>
  <si>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</si>
  <si>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</si>
  <si>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</si>
  <si>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tbl-cardiovasdz-mortal-aar</t>
  </si>
  <si>
    <t>tbl-adult-highbp-mddx-percent</t>
  </si>
  <si>
    <t>tbl-clrd-hospital-rande-aar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</si>
  <si>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</si>
  <si>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</si>
  <si>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</si>
  <si>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</si>
  <si>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</si>
  <si>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</si>
  <si>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</si>
  <si>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</si>
  <si>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</si>
  <si>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</si>
  <si>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</si>
  <si>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</si>
  <si>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</si>
  <si>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</si>
  <si>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</si>
  <si>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</si>
  <si>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</si>
  <si>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</si>
  <si>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</si>
  <si>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</si>
  <si>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</si>
  <si>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</si>
  <si>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</si>
  <si>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</si>
  <si>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</si>
  <si>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</si>
  <si>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</si>
  <si>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</si>
  <si>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</si>
  <si>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</si>
  <si>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</si>
  <si>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</si>
  <si>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</si>
  <si>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</si>
  <si>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</si>
  <si>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</si>
  <si>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</si>
  <si>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</si>
  <si>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</si>
  <si>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</si>
  <si>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</si>
  <si>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</si>
  <si>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</si>
  <si>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</si>
  <si>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</si>
  <si>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</si>
  <si>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</si>
  <si>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</si>
  <si>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</si>
  <si>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</si>
  <si>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</si>
  <si>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</si>
  <si>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</si>
  <si>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</si>
  <si>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</si>
  <si>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</si>
  <si>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</si>
  <si>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</si>
  <si>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</si>
  <si>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</si>
  <si>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</si>
  <si>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</si>
  <si>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</si>
  <si>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</si>
  <si>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</si>
  <si>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</si>
  <si>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</si>
  <si>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</si>
  <si>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</si>
  <si>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</si>
  <si>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</si>
  <si>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</si>
  <si>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</si>
  <si>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</si>
  <si>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</si>
  <si>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</si>
  <si>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</si>
  <si>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</si>
  <si>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</si>
  <si>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</si>
  <si>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</si>
  <si>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</si>
  <si>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</si>
  <si>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</si>
  <si>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</si>
  <si>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</si>
  <si>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</si>
  <si>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</si>
  <si>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</si>
  <si>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</si>
  <si>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</si>
  <si>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</si>
  <si>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</si>
  <si>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</si>
  <si>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</si>
  <si>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</si>
  <si>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</si>
  <si>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</si>
  <si>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</si>
  <si>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</si>
  <si>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</si>
  <si>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</si>
  <si>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</si>
  <si>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tbl-lungca-incidence-rande-aar</t>
  </si>
  <si>
    <t>tbl-male-prostateca-incidence-mortal-aar</t>
  </si>
  <si>
    <t>tbl-female-breastca-incidence-mortal-aar</t>
  </si>
  <si>
    <t>tbl-cervutca-incident-mortal-aar</t>
  </si>
  <si>
    <t>tbl-adult-50to64-colorectalca-screening-percent</t>
  </si>
  <si>
    <t>tbl-24to35mo-child-vaccine-series-percent</t>
  </si>
  <si>
    <t>tbl-adult-flu-immi-lastyear-percent</t>
  </si>
  <si>
    <t>tbl-13yo+-hpv-vaccine-complete-percent</t>
  </si>
  <si>
    <t>tbl-65+-pneumo-immi-percent</t>
  </si>
  <si>
    <t>tbl-hiv-incident-aar</t>
  </si>
  <si>
    <t>tbl-gono-incident-aar</t>
  </si>
  <si>
    <t>tbl-smoke-risk</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</si>
  <si>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</si>
  <si>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</si>
  <si>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</si>
  <si>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</si>
  <si>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</si>
  <si>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</si>
  <si>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</si>
  <si>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</si>
  <si>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</si>
  <si>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</si>
  <si>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</si>
  <si>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</si>
  <si>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</si>
  <si>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</si>
  <si>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</si>
  <si>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</si>
  <si>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</si>
  <si>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</si>
  <si>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</si>
  <si>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</si>
  <si>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</si>
  <si>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</si>
  <si>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</si>
  <si>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</si>
  <si>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</si>
  <si>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</si>
  <si>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</si>
  <si>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</si>
  <si>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</si>
  <si>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</si>
  <si>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</si>
  <si>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</si>
  <si>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</si>
  <si>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</si>
  <si>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</si>
  <si>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</si>
  <si>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</si>
  <si>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</si>
  <si>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</si>
  <si>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</si>
  <si>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</si>
  <si>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</si>
  <si>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</si>
  <si>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</si>
  <si>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</si>
  <si>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</si>
  <si>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</si>
  <si>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</si>
  <si>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</si>
  <si>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</si>
  <si>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</si>
  <si>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</si>
  <si>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</si>
  <si>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</si>
  <si>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</si>
  <si>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</si>
  <si>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</si>
  <si>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</si>
  <si>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</si>
  <si>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</si>
  <si>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</si>
  <si>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</si>
  <si>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</si>
  <si>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</si>
  <si>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</si>
  <si>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</si>
  <si>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</si>
  <si>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</si>
  <si>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</si>
  <si>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</si>
  <si>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</si>
  <si>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</si>
  <si>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</si>
  <si>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</si>
  <si>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</si>
  <si>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</si>
  <si>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</si>
  <si>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</si>
  <si>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</si>
  <si>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</si>
  <si>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</si>
  <si>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</si>
  <si>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</si>
  <si>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</si>
  <si>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</si>
  <si>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</si>
  <si>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</si>
  <si>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</si>
  <si>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</si>
  <si>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</si>
  <si>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</si>
  <si>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</si>
  <si>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</si>
  <si>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</si>
  <si>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</si>
  <si>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</si>
  <si>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</si>
  <si>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</si>
  <si>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</si>
  <si>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</si>
  <si>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</si>
  <si>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</si>
  <si>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</si>
  <si>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</si>
  <si>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</si>
  <si>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</si>
  <si>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</si>
  <si>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</si>
  <si>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</si>
  <si>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</si>
  <si>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</si>
  <si>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</si>
  <si>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</si>
  <si>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</si>
  <si>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</si>
  <si>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</si>
  <si>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</si>
  <si>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</si>
  <si>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</si>
  <si>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</si>
  <si>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</si>
  <si>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</si>
  <si>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</si>
  <si>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</si>
  <si>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</si>
  <si>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</si>
  <si>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</si>
  <si>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</si>
  <si>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White/Caucasian</t>
  </si>
  <si>
    <t>344</t>
  </si>
  <si>
    <t>55.2%</t>
  </si>
  <si>
    <t>Black/African American</t>
  </si>
  <si>
    <t>79</t>
  </si>
  <si>
    <t>12.7%</t>
  </si>
  <si>
    <t>Hispanic/Latino/Latinx</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</si>
  <si>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</si>
  <si>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</si>
  <si>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</si>
  <si>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</si>
  <si>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</si>
  <si>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</si>
  <si>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</si>
  <si>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</si>
  <si>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</si>
  <si>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</si>
  <si>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</si>
  <si>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</si>
  <si>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</si>
  <si>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</si>
  <si>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</si>
  <si>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</si>
  <si>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</si>
  <si>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</si>
  <si>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</si>
  <si>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</si>
  <si>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</si>
  <si>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</si>
  <si>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</si>
  <si>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</si>
  <si>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</si>
  <si>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</si>
  <si>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</si>
  <si>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</si>
  <si>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</si>
  <si>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</si>
  <si>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</si>
  <si>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</si>
  <si>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</si>
  <si>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</si>
  <si>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</si>
  <si>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</si>
  <si>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</si>
  <si>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</si>
  <si>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</si>
  <si>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</si>
  <si>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</si>
  <si>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</si>
  <si>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</si>
  <si>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</si>
  <si>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</si>
  <si>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</si>
  <si>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</si>
  <si>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</si>
  <si>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</si>
  <si>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</si>
  <si>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</si>
  <si>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</si>
  <si>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</si>
  <si>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</si>
  <si>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</si>
  <si>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</si>
  <si>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</si>
  <si>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</si>
  <si>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</si>
  <si>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</si>
  <si>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</si>
  <si>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</si>
  <si>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</si>
  <si>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</si>
  <si>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</si>
  <si>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</si>
  <si>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</si>
  <si>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</si>
  <si>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</si>
  <si>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</si>
  <si>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</si>
  <si>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</si>
  <si>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</si>
  <si>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</si>
  <si>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</si>
  <si>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</si>
  <si>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</si>
  <si>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</si>
  <si>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</si>
  <si>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</si>
  <si>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</si>
  <si>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</si>
  <si>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</si>
  <si>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</si>
  <si>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</si>
  <si>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</si>
  <si>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</si>
  <si>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</si>
  <si>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</si>
  <si>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</si>
  <si>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</si>
  <si>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</si>
  <si>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</si>
  <si>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</si>
  <si>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</si>
  <si>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</si>
  <si>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</si>
  <si>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</si>
  <si>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</si>
  <si>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</si>
  <si>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</si>
  <si>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</si>
  <si>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</si>
  <si>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</si>
  <si>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</si>
  <si>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</si>
  <si>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</si>
  <si>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</si>
  <si>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</si>
  <si>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</si>
  <si>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</si>
  <si>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</si>
  <si>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</si>
  <si>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</si>
  <si>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</si>
  <si>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</si>
  <si>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</si>
  <si>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</si>
  <si>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</si>
  <si>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</si>
  <si>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</si>
  <si>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</si>
  <si>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</si>
  <si>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</si>
  <si>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</si>
  <si>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</si>
  <si>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</si>
  <si>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</si>
  <si>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</si>
  <si>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</si>
  <si>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</si>
  <si>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</si>
  <si>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</si>
  <si>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</si>
  <si>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</si>
  <si>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</si>
  <si>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</si>
  <si>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</si>
  <si>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</si>
  <si>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</si>
  <si>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</si>
  <si>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</si>
  <si>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</si>
  <si>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</si>
  <si>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</si>
  <si>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</si>
  <si>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</si>
  <si>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</si>
  <si>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Health Issue</t>
  </si>
  <si>
    <t>Mental Well Being and Substance Use</t>
  </si>
  <si>
    <t>Scores</t>
  </si>
  <si>
    <t>Econmic Wellbeing</t>
  </si>
  <si>
    <t xml:space="preserve">Health Insurance Coverage &amp; Access to Care </t>
  </si>
  <si>
    <t>Health Issues</t>
  </si>
  <si>
    <t>Heath Issues</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</si>
  <si>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</si>
  <si>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</si>
  <si>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</si>
  <si>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</si>
  <si>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</si>
  <si>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</si>
  <si>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</si>
  <si>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</si>
  <si>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</si>
  <si>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</si>
  <si>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</si>
  <si>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</si>
  <si>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</si>
  <si>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</si>
  <si>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</si>
  <si>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</si>
  <si>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</si>
  <si>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</si>
  <si>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</si>
  <si>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</si>
  <si>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</si>
  <si>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</si>
  <si>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</si>
  <si>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</si>
  <si>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</si>
  <si>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</si>
  <si>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</si>
  <si>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</si>
  <si>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</si>
  <si>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</si>
  <si>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</si>
  <si>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</si>
  <si>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</si>
  <si>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</si>
  <si>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</si>
  <si>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</si>
  <si>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</si>
  <si>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</si>
  <si>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</si>
  <si>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</si>
  <si>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</si>
  <si>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</si>
  <si>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</si>
  <si>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</si>
  <si>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</si>
  <si>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</si>
  <si>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</si>
  <si>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</si>
  <si>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</si>
  <si>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</si>
  <si>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</si>
  <si>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</si>
  <si>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</si>
  <si>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</si>
  <si>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</si>
  <si>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</si>
  <si>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</si>
  <si>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</si>
  <si>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</si>
  <si>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</si>
  <si>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</si>
  <si>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</si>
  <si>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Opioid Analgesics Prescriptions</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</si>
  <si>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</si>
  <si>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</si>
  <si>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</si>
  <si>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</si>
  <si>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</si>
  <si>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</si>
  <si>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</si>
  <si>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</si>
  <si>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</si>
  <si>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</si>
  <si>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</si>
  <si>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</si>
  <si>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</si>
  <si>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</si>
  <si>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</si>
  <si>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</si>
  <si>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</si>
  <si>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</si>
  <si>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</si>
  <si>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</si>
  <si>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</si>
  <si>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</si>
  <si>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</si>
  <si>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</si>
  <si>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</si>
  <si>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</si>
  <si>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</si>
  <si>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</si>
  <si>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</si>
  <si>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</si>
  <si>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</si>
  <si>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</si>
  <si>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</si>
  <si>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</si>
  <si>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</si>
  <si>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</si>
  <si>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</si>
  <si>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</si>
  <si>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</si>
  <si>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</si>
  <si>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</si>
  <si>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</si>
  <si>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</si>
  <si>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</si>
  <si>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</si>
  <si>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</si>
  <si>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</si>
  <si>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</si>
  <si>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</si>
  <si>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</si>
  <si>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</si>
  <si>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</si>
  <si>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</si>
  <si>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</si>
  <si>
    <t>tbl-coronary-heart-disease-hospital-aar</t>
  </si>
  <si>
    <t>tbl-coronary-heart-disease-hospital-rande-aar</t>
  </si>
  <si>
    <t>Condition</t>
  </si>
  <si>
    <t>Prediabetes</t>
  </si>
  <si>
    <t>2013-2014</t>
  </si>
  <si>
    <t>18*</t>
  </si>
  <si>
    <t>28*</t>
  </si>
  <si>
    <t>4.9*</t>
  </si>
  <si>
    <t>13.4*</t>
  </si>
  <si>
    <t>47.3*</t>
  </si>
  <si>
    <t>34.1*</t>
  </si>
  <si>
    <t>20.7*</t>
  </si>
  <si>
    <t>16.3*</t>
  </si>
  <si>
    <t>2013–2014</t>
  </si>
  <si>
    <t>2014–2016</t>
  </si>
  <si>
    <t>2016–2018</t>
  </si>
  <si>
    <t>2021–2023</t>
  </si>
  <si>
    <t>2018</t>
  </si>
  <si>
    <t>5.9</t>
  </si>
  <si>
    <t>2019</t>
  </si>
  <si>
    <t>5.6</t>
  </si>
  <si>
    <t>2020</t>
  </si>
  <si>
    <t>7.8</t>
  </si>
  <si>
    <t>4.6</t>
  </si>
  <si>
    <t>6.4</t>
  </si>
  <si>
    <t>4.9</t>
  </si>
  <si>
    <t>8</t>
  </si>
  <si>
    <t>Incidence - Male</t>
  </si>
  <si>
    <t>Incidence - Female</t>
  </si>
  <si>
    <t>Mortality - Male</t>
  </si>
  <si>
    <t>Mortality - Female</t>
  </si>
  <si>
    <t>Incidence</t>
  </si>
  <si>
    <t>PA Objective</t>
  </si>
  <si>
    <t>Incidence (Male)</t>
  </si>
  <si>
    <t>Incidence (Female)</t>
  </si>
  <si>
    <t>Mortality (Male)</t>
  </si>
  <si>
    <t>Mortality (Female)</t>
  </si>
  <si>
    <t>2024</t>
  </si>
  <si>
    <t>60.3</t>
  </si>
  <si>
    <t>60.9</t>
  </si>
  <si>
    <t>24.4</t>
  </si>
  <si>
    <t>25.7</t>
  </si>
  <si>
    <t>65.6*</t>
  </si>
  <si>
    <t>64.0*</t>
  </si>
  <si>
    <t>63.2*</t>
  </si>
  <si>
    <t>66.4*</t>
  </si>
  <si>
    <t>62.7*</t>
  </si>
  <si>
    <t>61.7*</t>
  </si>
  <si>
    <t>68.2*</t>
  </si>
  <si>
    <t>44.6*</t>
  </si>
  <si>
    <t>63.4*</t>
  </si>
  <si>
    <t>3.9*</t>
  </si>
  <si>
    <t>1.7*</t>
  </si>
  <si>
    <t>1.3*</t>
  </si>
  <si>
    <t>2.9*</t>
  </si>
  <si>
    <t>10.2</t>
  </si>
  <si>
    <t>6.0</t>
  </si>
  <si>
    <t>13.2</t>
  </si>
  <si>
    <t>5.4</t>
  </si>
  <si>
    <t>2.2*</t>
  </si>
  <si>
    <t>6.6</t>
  </si>
  <si>
    <t>3.5*</t>
  </si>
  <si>
    <t>7.5</t>
  </si>
  <si>
    <t>5.1</t>
  </si>
  <si>
    <t>10.8</t>
  </si>
  <si>
    <t>4.2</t>
  </si>
  <si>
    <t>4.8</t>
  </si>
  <si>
    <t>2.1*</t>
  </si>
  <si>
    <t>3.2</t>
  </si>
  <si>
    <t>6.8</t>
  </si>
  <si>
    <t>11.</t>
  </si>
  <si>
    <t>86</t>
  </si>
  <si>
    <t>135.3</t>
  </si>
  <si>
    <t>99</t>
  </si>
  <si>
    <t>96</t>
  </si>
  <si>
    <t>131.5</t>
  </si>
  <si>
    <t>429</t>
  </si>
  <si>
    <t>360</t>
  </si>
  <si>
    <t>377</t>
  </si>
  <si>
    <t>446</t>
  </si>
  <si>
    <t>387</t>
  </si>
  <si>
    <t>404</t>
  </si>
  <si>
    <t>Mid-Hudson Region</t>
  </si>
  <si>
    <t>22</t>
  </si>
  <si>
    <t>24</t>
  </si>
  <si>
    <t>19</t>
  </si>
  <si>
    <t>20</t>
  </si>
  <si>
    <t>Total Domestic Animals Tested</t>
  </si>
  <si>
    <t>Total Domestic Animals Positive</t>
  </si>
  <si>
    <t>Percent Positive</t>
  </si>
  <si>
    <t>238</t>
  </si>
  <si>
    <t>5</t>
  </si>
  <si>
    <t>Total Wild Animals Tested</t>
  </si>
  <si>
    <t>Total Wild Animals Positive</t>
  </si>
  <si>
    <t>597</t>
  </si>
  <si>
    <t>44</t>
  </si>
  <si>
    <t>81.5</t>
  </si>
  <si>
    <t>78.6</t>
  </si>
  <si>
    <t>76.0</t>
  </si>
  <si>
    <t>81.0</t>
  </si>
  <si>
    <t>78.8</t>
  </si>
  <si>
    <t>76.7</t>
  </si>
  <si>
    <t>83.2</t>
  </si>
  <si>
    <t>69.9</t>
  </si>
  <si>
    <t>85.1</t>
  </si>
  <si>
    <t>73.0</t>
  </si>
  <si>
    <t>63.1</t>
  </si>
  <si>
    <t>71.6</t>
  </si>
  <si>
    <t>79.9</t>
  </si>
  <si>
    <t>77.7</t>
  </si>
  <si>
    <t>75.7</t>
  </si>
  <si>
    <t>81.3</t>
  </si>
  <si>
    <t>68.5</t>
  </si>
  <si>
    <t>84.0</t>
  </si>
  <si>
    <t>71.5</t>
  </si>
  <si>
    <t>61.3</t>
  </si>
  <si>
    <t>70.1</t>
  </si>
  <si>
    <t>78.0</t>
  </si>
  <si>
    <t>78.2</t>
  </si>
  <si>
    <t>75.4</t>
  </si>
  <si>
    <t>3.9</t>
  </si>
  <si>
    <t>4.3</t>
  </si>
  <si>
    <t>5.5</t>
  </si>
  <si>
    <t>3.8</t>
  </si>
  <si>
    <t>4.0</t>
  </si>
  <si>
    <t>7.0</t>
  </si>
  <si>
    <t>5.2</t>
  </si>
  <si>
    <t>4.4</t>
  </si>
  <si>
    <t>72.0</t>
  </si>
  <si>
    <t>79.4</t>
  </si>
  <si>
    <t>71.3</t>
  </si>
  <si>
    <t>72.2</t>
  </si>
  <si>
    <t>78.5</t>
  </si>
  <si>
    <t>60.7</t>
  </si>
  <si>
    <t>87.4</t>
  </si>
  <si>
    <t>57.4</t>
  </si>
  <si>
    <t>109.1</t>
  </si>
  <si>
    <t>87.6</t>
  </si>
  <si>
    <t>58.2</t>
  </si>
  <si>
    <t>68.3</t>
  </si>
  <si>
    <t>70.9</t>
  </si>
  <si>
    <t>57.7</t>
  </si>
  <si>
    <t>84.3</t>
  </si>
  <si>
    <t>59.1</t>
  </si>
  <si>
    <t>111.1</t>
  </si>
  <si>
    <t>83.4</t>
  </si>
  <si>
    <t>55.3</t>
  </si>
  <si>
    <t>70.5</t>
  </si>
  <si>
    <t>68.4</t>
  </si>
  <si>
    <t>71.2</t>
  </si>
  <si>
    <t>14.5</t>
  </si>
  <si>
    <t>18.8</t>
  </si>
  <si>
    <t>23.3</t>
  </si>
  <si>
    <t>14.0</t>
  </si>
  <si>
    <t>18.9</t>
  </si>
  <si>
    <t>16.8</t>
  </si>
  <si>
    <t>29.7</t>
  </si>
  <si>
    <t>13.8</t>
  </si>
  <si>
    <t>16.0</t>
  </si>
  <si>
    <t>18.7</t>
  </si>
  <si>
    <t>10.1</t>
  </si>
  <si>
    <t>13.7</t>
  </si>
  <si>
    <t>12.8</t>
  </si>
  <si>
    <t>17.6</t>
  </si>
  <si>
    <t>0.6*</t>
  </si>
  <si>
    <t>0.1*</t>
  </si>
  <si>
    <t>0.3*</t>
  </si>
  <si>
    <t>Teen Pregnancy, Rate per 1,000 Female Population 15–19 Years Old, 2014–2021</t>
  </si>
  <si>
    <t>Insurance</t>
  </si>
  <si>
    <t>Medicaid</t>
  </si>
  <si>
    <t>Self-pay</t>
  </si>
  <si>
    <t>Private</t>
  </si>
  <si>
    <t>9.1</t>
  </si>
  <si>
    <t>9.0</t>
  </si>
  <si>
    <t>9.3</t>
  </si>
  <si>
    <t>9.2</t>
  </si>
  <si>
    <t>9.4</t>
  </si>
  <si>
    <t>9.7</t>
  </si>
  <si>
    <t>9.9</t>
  </si>
  <si>
    <t>10.0</t>
  </si>
  <si>
    <t>7.7</t>
  </si>
  <si>
    <t>10.2*</t>
  </si>
  <si>
    <t>4.2*</t>
  </si>
  <si>
    <t>3.7*</t>
  </si>
  <si>
    <t>2.0*</t>
  </si>
  <si>
    <t>1.6*</t>
  </si>
  <si>
    <t>2.5*</t>
  </si>
  <si>
    <t>3.6*</t>
  </si>
  <si>
    <t>4.7</t>
  </si>
  <si>
    <t>3.5</t>
  </si>
  <si>
    <t>2.8*</t>
  </si>
  <si>
    <t>3.3</t>
  </si>
  <si>
    <t>4.5</t>
  </si>
  <si>
    <t>4.1</t>
  </si>
  <si>
    <t>3.6</t>
  </si>
  <si>
    <t>2.9</t>
  </si>
  <si>
    <t>5.0</t>
  </si>
  <si>
    <t>52.1</t>
  </si>
  <si>
    <t>46.1</t>
  </si>
  <si>
    <t>50.7</t>
  </si>
  <si>
    <t>51.0</t>
  </si>
  <si>
    <t>44.9</t>
  </si>
  <si>
    <t>49.6</t>
  </si>
  <si>
    <t>52.4</t>
  </si>
  <si>
    <t>37.7</t>
  </si>
  <si>
    <t>48.3</t>
  </si>
  <si>
    <t>29.8</t>
  </si>
  <si>
    <t>50.2</t>
  </si>
  <si>
    <t>57.8</t>
  </si>
  <si>
    <t>43.4</t>
  </si>
  <si>
    <t>48.8</t>
  </si>
  <si>
    <t>49.7</t>
  </si>
  <si>
    <t>38.1</t>
  </si>
  <si>
    <t>49.1</t>
  </si>
  <si>
    <t>34.0</t>
  </si>
  <si>
    <t>49.0</t>
  </si>
  <si>
    <t>60.4</t>
  </si>
  <si>
    <t>42.5</t>
  </si>
  <si>
    <t>47.9</t>
  </si>
  <si>
    <t>38.2</t>
  </si>
  <si>
    <t>38.5</t>
  </si>
  <si>
    <t>27.7</t>
  </si>
  <si>
    <t>43.5</t>
  </si>
  <si>
    <t>37.2</t>
  </si>
  <si>
    <t>46.7</t>
  </si>
  <si>
    <t>All Enrollees</t>
  </si>
  <si>
    <t>Enrollees Aged 2-20</t>
  </si>
  <si>
    <t>tbl-15to44-preg-rate-rande</t>
  </si>
  <si>
    <t>tbl-preterm-births-percent</t>
  </si>
  <si>
    <t>Percentage of Adolescents 13 Years Old with a Complete HPV Vaccine Series, 2019–2024</t>
  </si>
  <si>
    <t>tbl-cervutca-screening-percent</t>
  </si>
  <si>
    <t>tbl-female-breastca-screening-percent</t>
  </si>
  <si>
    <t>tbl-lungbronchca-incident-mortal-sex-aar</t>
  </si>
  <si>
    <t>8.9</t>
  </si>
  <si>
    <t xml:space="preserve">Three-Year Average </t>
  </si>
  <si>
    <t>tbl-cerebrovasdz-hospital-aar</t>
  </si>
  <si>
    <t>tbl-cerebrovasdz-hospital-rande-aar</t>
  </si>
  <si>
    <t>tbl-cerebrovasdz-mortal-aar</t>
  </si>
  <si>
    <t>tbl-cerebrovasdz-mortal-rande-aar</t>
  </si>
  <si>
    <t>tbl-65+-flu-immi-percent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</si>
</sst>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1">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0" fillId="3" borderId="0" xfId="0" applyFill="1" applyAlignment="1">
      <alignment horizontal="left"/>
    </xf>
    <xf numFmtId="0" fontId="0" fillId="0" borderId="0" xfId="0"/>
    <xf numFmtId="0" fontId="2" fillId="2" borderId="0" xfId="0" applyFont="1" applyFill="1" applyAlignment="1">
      <alignment horizontal="center"/>
    </xf>
    <xf numFmtId="0" fontId="7" fillId="5" borderId="0" xfId="0" applyFont="1" applyFill="1" applyAlignment="1">
      <alignment horizontal="center" vertical="center" textRotation="90"/>
    </xf>
    <xf numFmtId="0" fontId="0" fillId="0" borderId="0" xfId="0" applyAlignment="1">
      <alignment horizontal="center"/>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2" fillId="3" borderId="0" xfId="0" applyFont="1" applyFill="1" applyAlignment="1">
      <alignment horizontal="left"/>
    </xf>
    <xf numFmtId="0" fontId="2" fillId="0" borderId="0" xfId="0" applyFont="1"/>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0" fontId="2" fillId="3" borderId="0" xfId="0" applyFont="1" applyFill="1" applyAlignment="1">
      <alignment horizontal="left" wrapText="1"/>
    </xf>
    <xf numFmtId="49" fontId="0" fillId="0" borderId="0" xfId="0" applyNumberFormat="1" applyAlignment="1">
      <alignment horizontal="center"/>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worksheet" Target="worksheets/sheet247.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theme" Target="theme/theme1.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styles" Target="styles.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sharedStrings" Target="sharedStrings.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calcChain" Target="calcChain.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customXml" Target="../customXml/item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customXml" Target="../customXml/item2.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customXml" Target="../customXml/item3.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opLeftCell="D207" zoomScale="125" workbookViewId="0">
      <selection activeCell="F227" sqref="F227"/>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1550</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ht="16" x14ac:dyDescent="0.2">
      <c r="A4" s="64" t="s">
        <v>11</v>
      </c>
      <c r="B4" s="64">
        <v>3</v>
      </c>
      <c r="D4" s="64" t="s">
        <v>12</v>
      </c>
      <c r="E4" s="64" t="s">
        <v>22</v>
      </c>
      <c r="F4" s="64" t="s">
        <v>23</v>
      </c>
      <c r="G4" s="95" t="s">
        <v>1948</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ht="16" x14ac:dyDescent="0.2">
      <c r="A9" s="64" t="s">
        <v>11</v>
      </c>
      <c r="B9" s="64">
        <v>8</v>
      </c>
      <c r="D9" s="64" t="s">
        <v>12</v>
      </c>
      <c r="E9" s="64" t="s">
        <v>39</v>
      </c>
      <c r="F9" s="64" t="s">
        <v>40</v>
      </c>
      <c r="G9" s="94" t="s">
        <v>1949</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1558</v>
      </c>
      <c r="G17" s="78" t="s">
        <v>1815</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1574</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1834</v>
      </c>
      <c r="H35" s="62" t="s">
        <v>1835</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1575</v>
      </c>
      <c r="H40" s="66" t="s">
        <v>171</v>
      </c>
      <c r="I40" s="64" t="s">
        <v>172</v>
      </c>
      <c r="K40" s="64" t="s">
        <v>144</v>
      </c>
      <c r="L40" s="64" t="s">
        <v>18</v>
      </c>
    </row>
    <row r="41" spans="1:12" s="64" customFormat="1" x14ac:dyDescent="0.2">
      <c r="A41" s="64" t="s">
        <v>11</v>
      </c>
      <c r="B41" s="64">
        <v>40</v>
      </c>
      <c r="E41" s="64" t="s">
        <v>173</v>
      </c>
      <c r="F41" s="64" t="s">
        <v>174</v>
      </c>
      <c r="G41" s="62" t="s">
        <v>1407</v>
      </c>
      <c r="H41" s="62" t="s">
        <v>1409</v>
      </c>
      <c r="I41" s="64" t="s">
        <v>102</v>
      </c>
      <c r="K41" s="64" t="s">
        <v>175</v>
      </c>
      <c r="L41" s="64" t="s">
        <v>18</v>
      </c>
    </row>
    <row r="42" spans="1:12" s="64" customFormat="1" x14ac:dyDescent="0.2">
      <c r="A42" s="64" t="s">
        <v>11</v>
      </c>
      <c r="B42" s="64">
        <v>41</v>
      </c>
      <c r="E42" s="64" t="s">
        <v>176</v>
      </c>
      <c r="F42" s="64" t="s">
        <v>177</v>
      </c>
      <c r="G42" s="62" t="s">
        <v>1406</v>
      </c>
      <c r="H42" s="62" t="s">
        <v>1410</v>
      </c>
      <c r="I42" s="64" t="s">
        <v>178</v>
      </c>
      <c r="K42" s="64" t="s">
        <v>175</v>
      </c>
      <c r="L42" s="64" t="s">
        <v>18</v>
      </c>
    </row>
    <row r="43" spans="1:12" s="64" customFormat="1" x14ac:dyDescent="0.2">
      <c r="A43" s="64" t="s">
        <v>11</v>
      </c>
      <c r="B43" s="64">
        <v>42</v>
      </c>
      <c r="E43" s="64" t="s">
        <v>179</v>
      </c>
      <c r="F43" s="64" t="s">
        <v>180</v>
      </c>
      <c r="G43" s="62" t="s">
        <v>1408</v>
      </c>
      <c r="H43" s="62" t="s">
        <v>1411</v>
      </c>
      <c r="I43" s="64" t="s">
        <v>178</v>
      </c>
      <c r="K43" s="64" t="s">
        <v>175</v>
      </c>
      <c r="L43" s="64" t="s">
        <v>18</v>
      </c>
    </row>
    <row r="44" spans="1:12" s="64" customFormat="1" ht="18" x14ac:dyDescent="0.2">
      <c r="A44" s="64" t="s">
        <v>11</v>
      </c>
      <c r="B44" s="64">
        <v>43</v>
      </c>
      <c r="E44" s="64" t="s">
        <v>181</v>
      </c>
      <c r="F44" s="64" t="s">
        <v>182</v>
      </c>
      <c r="G44" s="79" t="s">
        <v>1817</v>
      </c>
      <c r="H44" s="79" t="s">
        <v>1817</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1818</v>
      </c>
      <c r="H46" s="62" t="s">
        <v>1819</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1820</v>
      </c>
      <c r="H49" s="79" t="s">
        <v>1821</v>
      </c>
      <c r="I49" s="64" t="s">
        <v>83</v>
      </c>
      <c r="K49" s="64" t="s">
        <v>92</v>
      </c>
      <c r="L49" s="64" t="s">
        <v>18</v>
      </c>
    </row>
    <row r="50" spans="1:12" s="64" customFormat="1" ht="15.75" customHeight="1" x14ac:dyDescent="0.2">
      <c r="A50" s="64" t="s">
        <v>11</v>
      </c>
      <c r="B50" s="64">
        <v>49</v>
      </c>
      <c r="E50" s="64" t="s">
        <v>203</v>
      </c>
      <c r="F50" s="64" t="s">
        <v>204</v>
      </c>
      <c r="G50" s="62" t="s">
        <v>1823</v>
      </c>
      <c r="H50" s="62" t="s">
        <v>1822</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1081</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1576</v>
      </c>
      <c r="H100" s="9" t="s">
        <v>406</v>
      </c>
      <c r="I100" t="s">
        <v>407</v>
      </c>
      <c r="K100" t="s">
        <v>408</v>
      </c>
      <c r="L100" t="s">
        <v>409</v>
      </c>
    </row>
    <row r="101" spans="1:12" x14ac:dyDescent="0.2">
      <c r="A101" t="s">
        <v>11</v>
      </c>
      <c r="B101">
        <v>100</v>
      </c>
      <c r="E101" t="s">
        <v>410</v>
      </c>
      <c r="F101" t="s">
        <v>411</v>
      </c>
      <c r="G101" s="9" t="s">
        <v>1577</v>
      </c>
      <c r="H101" s="9" t="s">
        <v>412</v>
      </c>
      <c r="I101" t="s">
        <v>407</v>
      </c>
      <c r="K101" t="s">
        <v>408</v>
      </c>
      <c r="L101" t="s">
        <v>409</v>
      </c>
    </row>
    <row r="102" spans="1:12" x14ac:dyDescent="0.2">
      <c r="A102" t="s">
        <v>11</v>
      </c>
      <c r="B102">
        <v>101</v>
      </c>
      <c r="E102" t="s">
        <v>413</v>
      </c>
      <c r="F102" t="s">
        <v>414</v>
      </c>
      <c r="G102" s="9" t="s">
        <v>1578</v>
      </c>
      <c r="H102" s="9" t="s">
        <v>415</v>
      </c>
      <c r="I102" t="s">
        <v>407</v>
      </c>
      <c r="K102" t="s">
        <v>408</v>
      </c>
      <c r="L102" t="s">
        <v>409</v>
      </c>
    </row>
    <row r="103" spans="1:12" x14ac:dyDescent="0.2">
      <c r="A103" t="s">
        <v>11</v>
      </c>
      <c r="B103">
        <v>102</v>
      </c>
      <c r="E103" t="s">
        <v>416</v>
      </c>
      <c r="F103" t="s">
        <v>417</v>
      </c>
      <c r="G103" s="9" t="s">
        <v>1416</v>
      </c>
      <c r="H103" s="9" t="s">
        <v>1413</v>
      </c>
      <c r="I103" t="s">
        <v>418</v>
      </c>
      <c r="J103" t="s">
        <v>419</v>
      </c>
      <c r="K103" t="s">
        <v>420</v>
      </c>
      <c r="L103" t="s">
        <v>421</v>
      </c>
    </row>
    <row r="104" spans="1:12" x14ac:dyDescent="0.2">
      <c r="A104" t="s">
        <v>11</v>
      </c>
      <c r="B104">
        <v>103</v>
      </c>
      <c r="E104" t="s">
        <v>422</v>
      </c>
      <c r="F104" t="s">
        <v>423</v>
      </c>
      <c r="G104" s="9" t="s">
        <v>1423</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1414</v>
      </c>
      <c r="H105" s="9" t="str">
        <f t="shared" si="0"/>
        <v>fig-premature-death-percent-diff-BNHvsWNH</v>
      </c>
      <c r="I105" t="s">
        <v>178</v>
      </c>
      <c r="K105" t="s">
        <v>420</v>
      </c>
      <c r="L105" t="s">
        <v>421</v>
      </c>
    </row>
    <row r="106" spans="1:12" x14ac:dyDescent="0.2">
      <c r="A106" t="s">
        <v>11</v>
      </c>
      <c r="B106">
        <v>105</v>
      </c>
      <c r="E106" t="s">
        <v>426</v>
      </c>
      <c r="F106" t="s">
        <v>427</v>
      </c>
      <c r="G106" s="9" t="s">
        <v>1415</v>
      </c>
      <c r="H106" s="9" t="str">
        <f t="shared" si="0"/>
        <v>fig-premature-death-percent-diff-HvsWNH</v>
      </c>
      <c r="I106" t="s">
        <v>178</v>
      </c>
      <c r="K106" t="s">
        <v>428</v>
      </c>
      <c r="L106" t="s">
        <v>421</v>
      </c>
    </row>
    <row r="107" spans="1:12" x14ac:dyDescent="0.2">
      <c r="A107" t="s">
        <v>11</v>
      </c>
      <c r="B107">
        <v>106</v>
      </c>
      <c r="E107" t="s">
        <v>429</v>
      </c>
      <c r="F107" t="s">
        <v>430</v>
      </c>
      <c r="G107" s="9" t="s">
        <v>1417</v>
      </c>
      <c r="H107" s="9" t="str">
        <f t="shared" si="0"/>
        <v>fig-clrd-hospital-aar</v>
      </c>
    </row>
    <row r="108" spans="1:12" x14ac:dyDescent="0.2">
      <c r="A108" t="s">
        <v>11</v>
      </c>
      <c r="B108">
        <v>107</v>
      </c>
      <c r="E108" t="s">
        <v>431</v>
      </c>
      <c r="F108" t="s">
        <v>432</v>
      </c>
      <c r="G108" s="9" t="s">
        <v>1418</v>
      </c>
      <c r="H108" s="9" t="str">
        <f t="shared" si="0"/>
        <v>fig-clrd-mortal-aar</v>
      </c>
      <c r="I108" t="s">
        <v>172</v>
      </c>
      <c r="K108" t="s">
        <v>175</v>
      </c>
      <c r="L108" t="s">
        <v>220</v>
      </c>
    </row>
    <row r="109" spans="1:12" x14ac:dyDescent="0.2">
      <c r="A109" t="s">
        <v>11</v>
      </c>
      <c r="B109">
        <v>108</v>
      </c>
      <c r="E109" t="s">
        <v>433</v>
      </c>
      <c r="F109" t="s">
        <v>434</v>
      </c>
      <c r="G109" s="9" t="s">
        <v>1428</v>
      </c>
      <c r="H109" s="9" t="str">
        <f t="shared" si="0"/>
        <v>fig-clrd-hospital-rande-aar</v>
      </c>
    </row>
    <row r="110" spans="1:12" x14ac:dyDescent="0.2">
      <c r="A110" t="s">
        <v>11</v>
      </c>
      <c r="B110">
        <v>109</v>
      </c>
      <c r="E110" t="s">
        <v>435</v>
      </c>
      <c r="F110" t="s">
        <v>436</v>
      </c>
      <c r="G110" s="9" t="s">
        <v>1419</v>
      </c>
      <c r="H110" s="9" t="str">
        <f t="shared" si="0"/>
        <v>fig-clrd-mortal-rande-aar</v>
      </c>
      <c r="I110" t="s">
        <v>172</v>
      </c>
      <c r="K110" t="s">
        <v>420</v>
      </c>
      <c r="L110" t="s">
        <v>220</v>
      </c>
    </row>
    <row r="111" spans="1:12" x14ac:dyDescent="0.2">
      <c r="A111" t="s">
        <v>11</v>
      </c>
      <c r="B111">
        <v>110</v>
      </c>
      <c r="E111" t="s">
        <v>437</v>
      </c>
      <c r="F111" t="s">
        <v>438</v>
      </c>
      <c r="G111" s="9" t="s">
        <v>1420</v>
      </c>
      <c r="H111" s="9" t="str">
        <f>IF(LEFT(G111,4)="tbl-","fig-" &amp; MID(G111,5,LEN(G111)-4),"")</f>
        <v>fig-brfss-adult-asthma</v>
      </c>
      <c r="I111" t="s">
        <v>144</v>
      </c>
      <c r="L111" t="s">
        <v>220</v>
      </c>
    </row>
    <row r="112" spans="1:12" x14ac:dyDescent="0.2">
      <c r="A112" t="s">
        <v>11</v>
      </c>
      <c r="B112">
        <v>111</v>
      </c>
      <c r="E112" t="s">
        <v>439</v>
      </c>
      <c r="F112" t="s">
        <v>440</v>
      </c>
      <c r="G112" s="9" t="s">
        <v>1421</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1422</v>
      </c>
      <c r="H113" s="9" t="str">
        <f t="shared" si="1"/>
        <v>fig-asthma-hopsital-rande-aar</v>
      </c>
      <c r="I113" t="s">
        <v>102</v>
      </c>
      <c r="K113" t="s">
        <v>175</v>
      </c>
      <c r="L113" t="s">
        <v>220</v>
      </c>
    </row>
    <row r="114" spans="1:12" x14ac:dyDescent="0.2">
      <c r="A114" t="s">
        <v>11</v>
      </c>
      <c r="B114">
        <v>113</v>
      </c>
      <c r="E114" t="s">
        <v>443</v>
      </c>
      <c r="F114" t="s">
        <v>444</v>
      </c>
      <c r="G114" s="9" t="s">
        <v>1439</v>
      </c>
      <c r="H114" s="9" t="str">
        <f t="shared" si="1"/>
        <v>fig-0to17-asthma-ed-rate</v>
      </c>
      <c r="I114" t="s">
        <v>445</v>
      </c>
      <c r="K114" t="s">
        <v>175</v>
      </c>
      <c r="L114" t="s">
        <v>220</v>
      </c>
    </row>
    <row r="115" spans="1:12" x14ac:dyDescent="0.2">
      <c r="A115" t="s">
        <v>11</v>
      </c>
      <c r="B115">
        <v>114</v>
      </c>
      <c r="E115" t="s">
        <v>446</v>
      </c>
      <c r="F115" t="s">
        <v>447</v>
      </c>
      <c r="G115" s="9" t="s">
        <v>1424</v>
      </c>
      <c r="H115" s="9" t="str">
        <f t="shared" si="1"/>
        <v>fig-adult-cardiovasdz-percent</v>
      </c>
    </row>
    <row r="116" spans="1:12" x14ac:dyDescent="0.2">
      <c r="A116" t="s">
        <v>11</v>
      </c>
      <c r="B116">
        <v>115</v>
      </c>
      <c r="E116" t="s">
        <v>448</v>
      </c>
      <c r="F116" t="s">
        <v>1938</v>
      </c>
      <c r="G116" s="9" t="s">
        <v>1425</v>
      </c>
      <c r="H116" s="9" t="str">
        <f t="shared" si="1"/>
        <v>fig-cardiovasdz-hospi-aar</v>
      </c>
      <c r="I116" t="s">
        <v>172</v>
      </c>
      <c r="K116" t="s">
        <v>175</v>
      </c>
      <c r="L116" t="s">
        <v>449</v>
      </c>
    </row>
    <row r="117" spans="1:12" x14ac:dyDescent="0.2">
      <c r="A117" t="s">
        <v>11</v>
      </c>
      <c r="B117">
        <v>116</v>
      </c>
      <c r="E117" t="s">
        <v>450</v>
      </c>
      <c r="F117" t="s">
        <v>451</v>
      </c>
      <c r="G117" s="9" t="s">
        <v>1426</v>
      </c>
      <c r="H117" s="9" t="str">
        <f t="shared" si="1"/>
        <v>fig-cardiovasdz-mortal-aar</v>
      </c>
      <c r="I117" t="s">
        <v>172</v>
      </c>
      <c r="K117" t="s">
        <v>428</v>
      </c>
      <c r="L117" t="s">
        <v>449</v>
      </c>
    </row>
    <row r="118" spans="1:12" x14ac:dyDescent="0.2">
      <c r="A118" t="s">
        <v>11</v>
      </c>
      <c r="B118">
        <v>117</v>
      </c>
      <c r="E118" t="s">
        <v>452</v>
      </c>
      <c r="F118" t="s">
        <v>453</v>
      </c>
      <c r="G118" s="9" t="s">
        <v>1427</v>
      </c>
      <c r="H118" s="9" t="str">
        <f t="shared" si="1"/>
        <v>fig-adult-highbp-mddx-percent</v>
      </c>
      <c r="I118" t="s">
        <v>144</v>
      </c>
      <c r="L118" t="s">
        <v>449</v>
      </c>
    </row>
    <row r="119" spans="1:12" x14ac:dyDescent="0.2">
      <c r="A119" t="s">
        <v>11</v>
      </c>
      <c r="B119">
        <v>118</v>
      </c>
      <c r="E119" t="s">
        <v>454</v>
      </c>
      <c r="F119" t="s">
        <v>455</v>
      </c>
      <c r="G119" s="9" t="s">
        <v>2186</v>
      </c>
      <c r="H119" s="9" t="str">
        <f t="shared" si="1"/>
        <v>fig-cerebrovasdz-hospital-aar</v>
      </c>
      <c r="I119" t="s">
        <v>172</v>
      </c>
      <c r="K119" t="s">
        <v>456</v>
      </c>
      <c r="L119" t="s">
        <v>449</v>
      </c>
    </row>
    <row r="120" spans="1:12" x14ac:dyDescent="0.2">
      <c r="A120" t="s">
        <v>11</v>
      </c>
      <c r="B120">
        <v>119</v>
      </c>
      <c r="E120" t="s">
        <v>457</v>
      </c>
      <c r="F120" t="s">
        <v>458</v>
      </c>
      <c r="G120" s="65" t="s">
        <v>2187</v>
      </c>
      <c r="H120" s="9" t="str">
        <f t="shared" si="1"/>
        <v>fig-cerebrovasdz-hospital-rande-aar</v>
      </c>
      <c r="I120" t="s">
        <v>102</v>
      </c>
      <c r="K120" t="s">
        <v>456</v>
      </c>
      <c r="L120" t="s">
        <v>449</v>
      </c>
    </row>
    <row r="121" spans="1:12" x14ac:dyDescent="0.2">
      <c r="A121" t="s">
        <v>11</v>
      </c>
      <c r="B121">
        <v>120</v>
      </c>
      <c r="E121" t="s">
        <v>459</v>
      </c>
      <c r="F121" t="s">
        <v>460</v>
      </c>
      <c r="G121" s="65" t="s">
        <v>2188</v>
      </c>
      <c r="H121" s="9" t="str">
        <f t="shared" si="1"/>
        <v>fig-cerebrovasdz-mortal-aar</v>
      </c>
      <c r="I121" t="s">
        <v>172</v>
      </c>
      <c r="K121" t="s">
        <v>428</v>
      </c>
      <c r="L121" t="s">
        <v>449</v>
      </c>
    </row>
    <row r="122" spans="1:12" x14ac:dyDescent="0.2">
      <c r="A122" t="s">
        <v>11</v>
      </c>
      <c r="B122">
        <v>121</v>
      </c>
      <c r="E122" t="s">
        <v>461</v>
      </c>
      <c r="F122" t="s">
        <v>462</v>
      </c>
      <c r="G122" s="65" t="s">
        <v>2189</v>
      </c>
      <c r="H122" s="9" t="str">
        <f t="shared" si="1"/>
        <v>fig-cerebrovasdz-mortal-rande-aar</v>
      </c>
      <c r="I122" t="s">
        <v>102</v>
      </c>
      <c r="K122" t="s">
        <v>428</v>
      </c>
      <c r="L122" t="s">
        <v>449</v>
      </c>
    </row>
    <row r="123" spans="1:12" ht="16" x14ac:dyDescent="0.2">
      <c r="A123" t="s">
        <v>11</v>
      </c>
      <c r="B123">
        <v>122</v>
      </c>
      <c r="E123" t="s">
        <v>463</v>
      </c>
      <c r="F123" t="s">
        <v>1559</v>
      </c>
      <c r="G123" s="94" t="s">
        <v>1951</v>
      </c>
      <c r="H123" s="9" t="str">
        <f t="shared" si="1"/>
        <v>fig-coronary-heart-disease-hospital-aar</v>
      </c>
    </row>
    <row r="124" spans="1:12" ht="16" x14ac:dyDescent="0.2">
      <c r="A124" t="s">
        <v>11</v>
      </c>
      <c r="B124">
        <v>123</v>
      </c>
      <c r="E124" t="s">
        <v>464</v>
      </c>
      <c r="F124" t="s">
        <v>465</v>
      </c>
      <c r="G124" s="94" t="s">
        <v>1952</v>
      </c>
      <c r="H124" s="9" t="str">
        <f t="shared" si="1"/>
        <v>fig-coronary-heart-disease-hospital-rande-aar</v>
      </c>
    </row>
    <row r="125" spans="1:12" x14ac:dyDescent="0.2">
      <c r="A125" t="s">
        <v>11</v>
      </c>
      <c r="B125">
        <v>124</v>
      </c>
      <c r="E125" t="s">
        <v>466</v>
      </c>
      <c r="F125" t="s">
        <v>1560</v>
      </c>
      <c r="G125" s="65" t="s">
        <v>1429</v>
      </c>
      <c r="H125" s="9" t="str">
        <f t="shared" si="1"/>
        <v>fig-heartattack-hospital-aar</v>
      </c>
    </row>
    <row r="126" spans="1:12" x14ac:dyDescent="0.2">
      <c r="A126" t="s">
        <v>11</v>
      </c>
      <c r="B126">
        <v>125</v>
      </c>
      <c r="E126" t="s">
        <v>467</v>
      </c>
      <c r="F126" t="s">
        <v>468</v>
      </c>
      <c r="G126" s="65" t="s">
        <v>1430</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1836</v>
      </c>
      <c r="G128" s="65" t="s">
        <v>1837</v>
      </c>
      <c r="H128" s="9" t="str">
        <f t="shared" si="1"/>
        <v>fig-congheartfail-mortal-rande</v>
      </c>
    </row>
    <row r="129" spans="1:12" x14ac:dyDescent="0.2">
      <c r="F129" t="s">
        <v>1846</v>
      </c>
      <c r="G129" s="84" t="s">
        <v>1847</v>
      </c>
      <c r="H129" s="9" t="str">
        <f t="shared" si="1"/>
        <v>fig-heartattack-mortal-aar</v>
      </c>
    </row>
    <row r="130" spans="1:12" x14ac:dyDescent="0.2">
      <c r="A130" t="s">
        <v>11</v>
      </c>
      <c r="B130">
        <v>127</v>
      </c>
      <c r="E130">
        <v>204</v>
      </c>
      <c r="F130" t="s">
        <v>473</v>
      </c>
      <c r="G130" s="65" t="s">
        <v>1431</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1432</v>
      </c>
      <c r="H132" s="9" t="str">
        <f t="shared" si="1"/>
        <v>fig-dm-hospital-aar</v>
      </c>
      <c r="I132" t="s">
        <v>172</v>
      </c>
      <c r="K132" t="s">
        <v>456</v>
      </c>
      <c r="L132" t="s">
        <v>470</v>
      </c>
    </row>
    <row r="133" spans="1:12" x14ac:dyDescent="0.2">
      <c r="A133" t="s">
        <v>11</v>
      </c>
      <c r="B133">
        <v>130</v>
      </c>
      <c r="E133">
        <v>207</v>
      </c>
      <c r="F133" t="s">
        <v>476</v>
      </c>
      <c r="G133" s="65" t="s">
        <v>1433</v>
      </c>
      <c r="H133" s="9" t="str">
        <f t="shared" si="1"/>
        <v>fig-dm-hospital-rande-aar</v>
      </c>
      <c r="I133" t="s">
        <v>102</v>
      </c>
      <c r="L133" t="s">
        <v>470</v>
      </c>
    </row>
    <row r="134" spans="1:12" x14ac:dyDescent="0.2">
      <c r="A134" t="s">
        <v>11</v>
      </c>
      <c r="B134">
        <v>131</v>
      </c>
      <c r="E134">
        <v>208</v>
      </c>
      <c r="F134" t="s">
        <v>477</v>
      </c>
      <c r="G134" s="65" t="s">
        <v>1434</v>
      </c>
      <c r="H134" s="9" t="str">
        <f t="shared" si="1"/>
        <v>fig-highbs-dm-percent</v>
      </c>
      <c r="I134" t="s">
        <v>144</v>
      </c>
      <c r="L134" t="s">
        <v>470</v>
      </c>
    </row>
    <row r="135" spans="1:12" x14ac:dyDescent="0.2">
      <c r="A135" t="s">
        <v>11</v>
      </c>
      <c r="B135">
        <v>132</v>
      </c>
      <c r="E135">
        <v>209</v>
      </c>
      <c r="F135" t="s">
        <v>478</v>
      </c>
      <c r="G135" s="9" t="s">
        <v>1435</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1436</v>
      </c>
      <c r="H137" s="9" t="str">
        <f t="shared" si="1"/>
        <v>fig-dm-mortal-rande-aar</v>
      </c>
      <c r="I137" t="s">
        <v>102</v>
      </c>
      <c r="K137" t="s">
        <v>428</v>
      </c>
      <c r="L137" t="s">
        <v>470</v>
      </c>
    </row>
    <row r="138" spans="1:12" x14ac:dyDescent="0.2">
      <c r="A138" t="s">
        <v>11</v>
      </c>
      <c r="B138">
        <v>135</v>
      </c>
      <c r="E138">
        <v>212</v>
      </c>
      <c r="F138" t="s">
        <v>481</v>
      </c>
      <c r="G138" s="9" t="s">
        <v>1437</v>
      </c>
      <c r="H138" s="9" t="str">
        <f t="shared" si="1"/>
        <v>fig-adult-oando-percent</v>
      </c>
      <c r="I138" t="s">
        <v>144</v>
      </c>
      <c r="K138" t="s">
        <v>482</v>
      </c>
      <c r="L138" t="s">
        <v>470</v>
      </c>
    </row>
    <row r="139" spans="1:12" x14ac:dyDescent="0.2">
      <c r="A139" t="s">
        <v>11</v>
      </c>
      <c r="B139">
        <v>136</v>
      </c>
      <c r="E139">
        <v>213</v>
      </c>
      <c r="F139" t="s">
        <v>483</v>
      </c>
      <c r="G139" s="65" t="s">
        <v>1438</v>
      </c>
      <c r="H139" s="9" t="str">
        <f t="shared" si="1"/>
        <v>fig-adult-obese-percent</v>
      </c>
      <c r="I139" t="s">
        <v>144</v>
      </c>
      <c r="L139" t="s">
        <v>470</v>
      </c>
    </row>
    <row r="140" spans="1:12" x14ac:dyDescent="0.2">
      <c r="A140" t="s">
        <v>11</v>
      </c>
      <c r="B140">
        <v>137</v>
      </c>
      <c r="E140">
        <v>214</v>
      </c>
      <c r="F140" t="s">
        <v>484</v>
      </c>
      <c r="G140" s="9" t="s">
        <v>1440</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1441</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1851</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1852</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1528</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1530</v>
      </c>
      <c r="H151" s="9" t="str">
        <f t="shared" si="4"/>
        <v>fig-colonrectca-incident-mortal-aar</v>
      </c>
      <c r="I151" t="s">
        <v>172</v>
      </c>
      <c r="K151" t="s">
        <v>492</v>
      </c>
      <c r="L151" t="s">
        <v>220</v>
      </c>
    </row>
    <row r="152" spans="1:12" x14ac:dyDescent="0.2">
      <c r="A152" t="s">
        <v>11</v>
      </c>
      <c r="B152">
        <v>149</v>
      </c>
      <c r="E152">
        <v>226</v>
      </c>
      <c r="F152" t="s">
        <v>498</v>
      </c>
      <c r="G152" s="65" t="s">
        <v>1529</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1531</v>
      </c>
      <c r="H153" s="9" t="str">
        <f t="shared" si="5"/>
        <v>fig-colorectalca-incidence-rande-aar</v>
      </c>
      <c r="I153" t="s">
        <v>102</v>
      </c>
      <c r="K153" t="s">
        <v>500</v>
      </c>
      <c r="L153" t="s">
        <v>220</v>
      </c>
    </row>
    <row r="154" spans="1:12" x14ac:dyDescent="0.2">
      <c r="A154" t="s">
        <v>11</v>
      </c>
      <c r="B154">
        <v>151</v>
      </c>
      <c r="E154">
        <v>228</v>
      </c>
      <c r="F154" t="s">
        <v>501</v>
      </c>
      <c r="G154" s="65" t="s">
        <v>1536</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1853</v>
      </c>
      <c r="H156" s="9" t="str">
        <f t="shared" si="5"/>
        <v>fig-lungbronchca-incident-mortal-aar</v>
      </c>
      <c r="I156" t="s">
        <v>507</v>
      </c>
      <c r="K156" t="s">
        <v>500</v>
      </c>
      <c r="L156" t="s">
        <v>470</v>
      </c>
    </row>
    <row r="157" spans="1:12" x14ac:dyDescent="0.2">
      <c r="A157" t="s">
        <v>11</v>
      </c>
      <c r="B157">
        <v>154</v>
      </c>
      <c r="E157">
        <v>230</v>
      </c>
      <c r="F157" t="s">
        <v>508</v>
      </c>
      <c r="G157" s="65" t="s">
        <v>2183</v>
      </c>
      <c r="H157" s="9" t="str">
        <f>IF(LEFT(G157,4)="tbl-","fig-" &amp; MID(G157,5,LEN(G157)-4),"")</f>
        <v>fig-lungbronchca-incident-mortal-sex-aar</v>
      </c>
      <c r="I157" t="s">
        <v>507</v>
      </c>
      <c r="K157" t="s">
        <v>500</v>
      </c>
      <c r="L157" t="s">
        <v>470</v>
      </c>
    </row>
    <row r="158" spans="1:12" x14ac:dyDescent="0.2">
      <c r="A158" t="s">
        <v>11</v>
      </c>
      <c r="B158">
        <v>155</v>
      </c>
      <c r="E158">
        <v>231</v>
      </c>
      <c r="F158" t="s">
        <v>509</v>
      </c>
      <c r="G158" s="65" t="s">
        <v>1532</v>
      </c>
      <c r="H158" s="9" t="str">
        <f t="shared" si="5"/>
        <v>fig-lungca-incidence-rande-aar</v>
      </c>
      <c r="I158" t="s">
        <v>102</v>
      </c>
      <c r="K158" t="s">
        <v>500</v>
      </c>
      <c r="L158" t="s">
        <v>470</v>
      </c>
    </row>
    <row r="159" spans="1:12" x14ac:dyDescent="0.2">
      <c r="A159" t="s">
        <v>11</v>
      </c>
      <c r="B159">
        <v>156</v>
      </c>
      <c r="E159">
        <v>232</v>
      </c>
      <c r="F159" t="s">
        <v>510</v>
      </c>
      <c r="G159" s="65" t="s">
        <v>1533</v>
      </c>
      <c r="H159" s="9" t="str">
        <f t="shared" si="5"/>
        <v>fig-male-prostateca-incidence-mortal-aar</v>
      </c>
      <c r="I159" t="s">
        <v>511</v>
      </c>
      <c r="K159" t="s">
        <v>500</v>
      </c>
      <c r="L159" t="s">
        <v>470</v>
      </c>
    </row>
    <row r="160" spans="1:12" x14ac:dyDescent="0.2">
      <c r="A160" t="s">
        <v>11</v>
      </c>
      <c r="B160">
        <v>157</v>
      </c>
      <c r="E160">
        <v>233</v>
      </c>
      <c r="F160" t="s">
        <v>512</v>
      </c>
      <c r="G160" s="65" t="s">
        <v>1534</v>
      </c>
      <c r="H160" s="9" t="str">
        <f t="shared" si="5"/>
        <v>fig-female-breastca-incidence-mortal-aar</v>
      </c>
      <c r="I160" t="s">
        <v>511</v>
      </c>
      <c r="K160" t="s">
        <v>500</v>
      </c>
      <c r="L160" t="s">
        <v>470</v>
      </c>
    </row>
    <row r="161" spans="1:12" x14ac:dyDescent="0.2">
      <c r="A161" t="s">
        <v>11</v>
      </c>
      <c r="B161">
        <v>158</v>
      </c>
      <c r="E161">
        <v>234</v>
      </c>
      <c r="F161" t="s">
        <v>513</v>
      </c>
      <c r="G161" s="65" t="s">
        <v>2182</v>
      </c>
      <c r="H161" s="9" t="str">
        <f t="shared" si="5"/>
        <v>fig-female-breastca-screening-percent</v>
      </c>
      <c r="I161" t="s">
        <v>144</v>
      </c>
      <c r="L161" t="s">
        <v>470</v>
      </c>
    </row>
    <row r="162" spans="1:12" x14ac:dyDescent="0.2">
      <c r="A162" t="s">
        <v>11</v>
      </c>
      <c r="B162">
        <v>159</v>
      </c>
      <c r="E162">
        <v>235</v>
      </c>
      <c r="F162" t="s">
        <v>514</v>
      </c>
      <c r="G162" s="65" t="s">
        <v>1535</v>
      </c>
      <c r="H162" s="9" t="str">
        <f t="shared" si="5"/>
        <v>fig-cervutca-incident-mortal-aar</v>
      </c>
      <c r="I162" t="s">
        <v>515</v>
      </c>
      <c r="K162" t="s">
        <v>500</v>
      </c>
      <c r="L162" t="s">
        <v>220</v>
      </c>
    </row>
    <row r="163" spans="1:12" x14ac:dyDescent="0.2">
      <c r="A163" t="s">
        <v>11</v>
      </c>
      <c r="B163">
        <v>160</v>
      </c>
      <c r="E163">
        <v>236</v>
      </c>
      <c r="F163" t="s">
        <v>516</v>
      </c>
      <c r="G163" s="65" t="s">
        <v>2181</v>
      </c>
      <c r="H163" s="9" t="str">
        <f t="shared" si="5"/>
        <v>fig-cervutca-screening-percent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1537</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1854</v>
      </c>
      <c r="G176" s="9" t="s">
        <v>1855</v>
      </c>
      <c r="H176" s="9" t="str">
        <f t="shared" ref="H176" si="7">IF(LEFT(G176,4)="tbl-","fig-" &amp; MID(G176,5,LEN(G176)-4),"")</f>
        <v>fig-covid-mort-aar</v>
      </c>
    </row>
    <row r="177" spans="1:12" x14ac:dyDescent="0.2">
      <c r="A177" t="s">
        <v>11</v>
      </c>
      <c r="B177">
        <v>173</v>
      </c>
      <c r="E177">
        <v>249</v>
      </c>
      <c r="F177" t="s">
        <v>2180</v>
      </c>
      <c r="G177" s="65" t="s">
        <v>1539</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1538</v>
      </c>
      <c r="H178" s="9" t="str">
        <f t="shared" si="8"/>
        <v>fig-adult-flu-immi-lastyear-percent</v>
      </c>
      <c r="I178" t="s">
        <v>144</v>
      </c>
      <c r="L178" t="s">
        <v>449</v>
      </c>
    </row>
    <row r="179" spans="1:12" ht="16" x14ac:dyDescent="0.2">
      <c r="A179" t="s">
        <v>11</v>
      </c>
      <c r="B179">
        <v>175</v>
      </c>
      <c r="E179">
        <v>251</v>
      </c>
      <c r="F179" t="s">
        <v>532</v>
      </c>
      <c r="G179" s="94" t="s">
        <v>2190</v>
      </c>
      <c r="H179" s="9" t="str">
        <f t="shared" si="8"/>
        <v>fig-65+-flu-immi-percent</v>
      </c>
      <c r="I179" t="s">
        <v>144</v>
      </c>
      <c r="L179" t="s">
        <v>449</v>
      </c>
    </row>
    <row r="180" spans="1:12" x14ac:dyDescent="0.2">
      <c r="A180" t="s">
        <v>11</v>
      </c>
      <c r="B180">
        <v>176</v>
      </c>
      <c r="E180">
        <v>252</v>
      </c>
      <c r="F180" t="s">
        <v>533</v>
      </c>
      <c r="G180" s="9" t="s">
        <v>1540</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1541</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1542</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1629</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1549</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1548</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1547</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1546</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1545</v>
      </c>
      <c r="H213" s="9" t="str">
        <f t="shared" ref="H213:H218" si="16">IF(LEFT(G213,4)="tbl-","fig-" &amp; MID(G213,5,LEN(G213)-4),"")</f>
        <v>fig-rabies-test-domestic</v>
      </c>
      <c r="I213" t="s">
        <v>573</v>
      </c>
      <c r="L213" t="s">
        <v>537</v>
      </c>
    </row>
    <row r="214" spans="1:12" x14ac:dyDescent="0.2">
      <c r="A214" t="s">
        <v>11</v>
      </c>
      <c r="B214">
        <v>210</v>
      </c>
      <c r="E214" t="s">
        <v>574</v>
      </c>
      <c r="F214" t="s">
        <v>575</v>
      </c>
      <c r="G214" s="9" t="s">
        <v>1544</v>
      </c>
      <c r="H214" s="9" t="str">
        <f t="shared" si="16"/>
        <v>fig-rabies-test-wild</v>
      </c>
      <c r="I214" t="s">
        <v>573</v>
      </c>
      <c r="L214" t="s">
        <v>537</v>
      </c>
    </row>
    <row r="215" spans="1:12" x14ac:dyDescent="0.2">
      <c r="A215" t="s">
        <v>11</v>
      </c>
      <c r="B215">
        <v>211</v>
      </c>
      <c r="E215">
        <v>282</v>
      </c>
      <c r="F215" t="s">
        <v>576</v>
      </c>
      <c r="G215" s="9" t="s">
        <v>1628</v>
      </c>
      <c r="H215" s="9" t="str">
        <f t="shared" si="16"/>
        <v>fig-rabies-pep-rate</v>
      </c>
      <c r="I215" t="s">
        <v>577</v>
      </c>
      <c r="L215" t="s">
        <v>537</v>
      </c>
    </row>
    <row r="216" spans="1:12" x14ac:dyDescent="0.2">
      <c r="A216" t="s">
        <v>11</v>
      </c>
      <c r="B216">
        <v>212</v>
      </c>
      <c r="E216" t="s">
        <v>578</v>
      </c>
      <c r="F216" t="s">
        <v>579</v>
      </c>
      <c r="G216" s="9" t="s">
        <v>1627</v>
      </c>
      <c r="H216" s="9" t="str">
        <f t="shared" si="16"/>
        <v>fig-early-late-no-pnc-percent</v>
      </c>
      <c r="L216" t="s">
        <v>409</v>
      </c>
    </row>
    <row r="217" spans="1:12" x14ac:dyDescent="0.2">
      <c r="A217" t="s">
        <v>11</v>
      </c>
      <c r="B217">
        <v>213</v>
      </c>
      <c r="E217">
        <v>284</v>
      </c>
      <c r="F217" t="s">
        <v>580</v>
      </c>
      <c r="G217" s="9" t="s">
        <v>1626</v>
      </c>
      <c r="H217" s="9" t="str">
        <f t="shared" si="16"/>
        <v>fig-early-pnc-percent</v>
      </c>
      <c r="I217" t="s">
        <v>172</v>
      </c>
      <c r="K217" t="s">
        <v>428</v>
      </c>
      <c r="L217" t="s">
        <v>409</v>
      </c>
    </row>
    <row r="218" spans="1:12" x14ac:dyDescent="0.2">
      <c r="A218" t="s">
        <v>11</v>
      </c>
      <c r="B218">
        <v>214</v>
      </c>
      <c r="E218">
        <v>285</v>
      </c>
      <c r="F218" t="s">
        <v>581</v>
      </c>
      <c r="G218" s="9" t="s">
        <v>1625</v>
      </c>
      <c r="H218" s="9" t="str">
        <f t="shared" si="16"/>
        <v>fig-late-no-pnc-percent</v>
      </c>
      <c r="I218" t="s">
        <v>172</v>
      </c>
      <c r="K218" t="s">
        <v>428</v>
      </c>
      <c r="L218" t="s">
        <v>409</v>
      </c>
    </row>
    <row r="219" spans="1:12" x14ac:dyDescent="0.2">
      <c r="A219" t="s">
        <v>11</v>
      </c>
      <c r="B219">
        <v>215</v>
      </c>
      <c r="E219">
        <v>286</v>
      </c>
      <c r="F219" t="s">
        <v>582</v>
      </c>
      <c r="G219" s="9" t="s">
        <v>1624</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1623</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2178</v>
      </c>
      <c r="H222" s="9" t="str">
        <f t="shared" si="17"/>
        <v>fig-15to44-preg-rate-rande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2118</v>
      </c>
      <c r="G226" s="9" t="s">
        <v>1622</v>
      </c>
      <c r="H226" s="9" t="str">
        <f t="shared" ref="H226:H227" si="18">IF(LEFT(G226,4)="tbl-","fig-" &amp; MID(G226,5,LEN(G226)-4),"")</f>
        <v>fig-15to19-teenpreg-rate</v>
      </c>
      <c r="I226" t="s">
        <v>172</v>
      </c>
      <c r="K226" t="s">
        <v>428</v>
      </c>
      <c r="L226" t="s">
        <v>409</v>
      </c>
    </row>
    <row r="227" spans="1:12" ht="16" x14ac:dyDescent="0.2">
      <c r="A227" t="s">
        <v>11</v>
      </c>
      <c r="B227">
        <v>223</v>
      </c>
      <c r="E227">
        <v>294</v>
      </c>
      <c r="F227" t="s">
        <v>589</v>
      </c>
      <c r="G227" s="94" t="s">
        <v>1630</v>
      </c>
      <c r="H227" s="9" t="str">
        <f t="shared" si="18"/>
        <v>fig-17+-teenpreg-rande-rate</v>
      </c>
      <c r="I227" t="s">
        <v>102</v>
      </c>
      <c r="K227" t="s">
        <v>428</v>
      </c>
      <c r="L227" t="s">
        <v>409</v>
      </c>
    </row>
    <row r="228" spans="1:12" x14ac:dyDescent="0.2">
      <c r="A228" t="s">
        <v>11</v>
      </c>
      <c r="B228">
        <v>224</v>
      </c>
      <c r="E228">
        <v>295</v>
      </c>
      <c r="F228" t="s">
        <v>590</v>
      </c>
      <c r="G228" s="9" t="s">
        <v>1621</v>
      </c>
      <c r="H228" s="9" t="str">
        <f>IF(LEFT(G228,4)="tbl-","fig-" &amp; MID(G228,5,LEN(G228)-4),"")</f>
        <v>fig-financial-coverage-liveb-percent</v>
      </c>
    </row>
    <row r="229" spans="1:12" x14ac:dyDescent="0.2">
      <c r="A229" t="s">
        <v>11</v>
      </c>
      <c r="B229">
        <v>225</v>
      </c>
      <c r="G229" s="9"/>
      <c r="H229" s="9"/>
      <c r="I229" t="s">
        <v>591</v>
      </c>
      <c r="K229" t="s">
        <v>428</v>
      </c>
      <c r="L229" t="s">
        <v>409</v>
      </c>
    </row>
    <row r="230" spans="1:12" x14ac:dyDescent="0.2">
      <c r="A230" t="s">
        <v>11</v>
      </c>
      <c r="B230">
        <v>226</v>
      </c>
      <c r="E230" t="s">
        <v>504</v>
      </c>
      <c r="F230" t="s">
        <v>592</v>
      </c>
      <c r="G230" s="9" t="s">
        <v>1620</v>
      </c>
      <c r="H230" s="9" t="str">
        <f t="shared" ref="H230" si="19">IF(LEFT(G230,4)="tbl-","fig-" &amp; MID(G230,5,LEN(G230)-4),"")</f>
        <v>fig-hospital-exclusive-bf-percent</v>
      </c>
      <c r="I230" t="s">
        <v>593</v>
      </c>
      <c r="K230" t="s">
        <v>428</v>
      </c>
      <c r="L230" t="s">
        <v>409</v>
      </c>
    </row>
    <row r="231" spans="1:12" x14ac:dyDescent="0.2">
      <c r="A231" t="s">
        <v>11</v>
      </c>
      <c r="B231">
        <v>227</v>
      </c>
      <c r="E231" t="s">
        <v>594</v>
      </c>
      <c r="F231" t="s">
        <v>472</v>
      </c>
      <c r="G231" s="9"/>
      <c r="H231" s="9"/>
    </row>
    <row r="232" spans="1:12" x14ac:dyDescent="0.2">
      <c r="A232" t="s">
        <v>11</v>
      </c>
      <c r="B232">
        <v>228</v>
      </c>
      <c r="E232">
        <v>297</v>
      </c>
      <c r="F232" t="s">
        <v>595</v>
      </c>
      <c r="G232" s="9" t="s">
        <v>2179</v>
      </c>
      <c r="H232" s="9" t="str">
        <f t="shared" ref="H232" si="20">IF(LEFT(G232,4)="tbl-","fig-" &amp; MID(G232,5,LEN(G232)-4),"")</f>
        <v>fig-preterm-births-percent</v>
      </c>
      <c r="I232" t="s">
        <v>172</v>
      </c>
      <c r="L232" t="s">
        <v>409</v>
      </c>
    </row>
    <row r="233" spans="1:12" x14ac:dyDescent="0.2">
      <c r="A233" t="s">
        <v>11</v>
      </c>
      <c r="B233">
        <v>229</v>
      </c>
      <c r="E233" t="s">
        <v>596</v>
      </c>
      <c r="F233" t="s">
        <v>472</v>
      </c>
      <c r="G233" s="9"/>
      <c r="H233" s="9"/>
    </row>
    <row r="234" spans="1:12" x14ac:dyDescent="0.2">
      <c r="A234" t="s">
        <v>11</v>
      </c>
      <c r="B234">
        <v>230</v>
      </c>
      <c r="E234">
        <v>299</v>
      </c>
      <c r="F234" t="s">
        <v>597</v>
      </c>
      <c r="G234" s="9" t="s">
        <v>1563</v>
      </c>
      <c r="H234" s="9" t="str">
        <f t="shared" ref="H234:H235" si="21">IF(LEFT(G234,4)="tbl-","fig-" &amp; MID(G234,5,LEN(G234)-4),"")</f>
        <v>fig-lbw-percent</v>
      </c>
      <c r="I234" t="s">
        <v>172</v>
      </c>
      <c r="K234" t="s">
        <v>428</v>
      </c>
      <c r="L234" t="s">
        <v>409</v>
      </c>
    </row>
    <row r="235" spans="1:12" x14ac:dyDescent="0.2">
      <c r="A235" t="s">
        <v>11</v>
      </c>
      <c r="B235">
        <v>231</v>
      </c>
      <c r="E235">
        <v>300</v>
      </c>
      <c r="F235" t="s">
        <v>598</v>
      </c>
      <c r="G235" s="9" t="s">
        <v>1564</v>
      </c>
      <c r="H235" s="9" t="str">
        <f t="shared" si="21"/>
        <v>fig-lbw-rande-percent</v>
      </c>
      <c r="I235" t="s">
        <v>102</v>
      </c>
      <c r="K235" t="s">
        <v>428</v>
      </c>
      <c r="L235" t="s">
        <v>409</v>
      </c>
    </row>
    <row r="236" spans="1:12" x14ac:dyDescent="0.2">
      <c r="A236" t="s">
        <v>11</v>
      </c>
      <c r="B236">
        <v>232</v>
      </c>
      <c r="E236" t="s">
        <v>599</v>
      </c>
      <c r="F236" t="s">
        <v>472</v>
      </c>
      <c r="G236" s="9"/>
      <c r="H236" s="9"/>
    </row>
    <row r="237" spans="1:12" x14ac:dyDescent="0.2">
      <c r="A237" t="s">
        <v>11</v>
      </c>
      <c r="B237">
        <v>233</v>
      </c>
      <c r="E237">
        <v>302</v>
      </c>
      <c r="F237" t="s">
        <v>600</v>
      </c>
      <c r="G237" s="9" t="s">
        <v>1631</v>
      </c>
      <c r="H237" s="9" t="str">
        <f t="shared" ref="H237:H238" si="22">IF(LEFT(G237,4)="tbl-","fig-" &amp; MID(G237,5,LEN(G237)-4),"")</f>
        <v>fig-infant-mortal-rate</v>
      </c>
      <c r="I237" t="s">
        <v>172</v>
      </c>
      <c r="K237" t="s">
        <v>428</v>
      </c>
      <c r="L237" t="s">
        <v>409</v>
      </c>
    </row>
    <row r="238" spans="1:12" x14ac:dyDescent="0.2">
      <c r="A238" t="s">
        <v>11</v>
      </c>
      <c r="B238">
        <v>234</v>
      </c>
      <c r="E238" t="s">
        <v>504</v>
      </c>
      <c r="F238" t="s">
        <v>601</v>
      </c>
      <c r="G238" s="9" t="s">
        <v>1598</v>
      </c>
      <c r="H238" s="9" t="str">
        <f t="shared" si="22"/>
        <v>fig-maternal-mortal-rate</v>
      </c>
      <c r="I238" t="s">
        <v>502</v>
      </c>
      <c r="K238" t="s">
        <v>428</v>
      </c>
      <c r="L238" t="s">
        <v>409</v>
      </c>
    </row>
    <row r="239" spans="1:12" x14ac:dyDescent="0.2">
      <c r="A239" t="s">
        <v>11</v>
      </c>
      <c r="B239">
        <v>235</v>
      </c>
      <c r="E239" t="s">
        <v>602</v>
      </c>
      <c r="F239" t="s">
        <v>472</v>
      </c>
      <c r="G239" s="9"/>
      <c r="H239" s="9"/>
    </row>
    <row r="240" spans="1:12" x14ac:dyDescent="0.2">
      <c r="A240" t="s">
        <v>11</v>
      </c>
      <c r="B240">
        <v>236</v>
      </c>
      <c r="E240" t="s">
        <v>603</v>
      </c>
      <c r="F240" t="s">
        <v>472</v>
      </c>
      <c r="G240" s="9"/>
      <c r="H240" s="9"/>
    </row>
    <row r="241" spans="1:12" x14ac:dyDescent="0.2">
      <c r="A241" t="s">
        <v>11</v>
      </c>
      <c r="B241">
        <v>237</v>
      </c>
      <c r="E241" t="s">
        <v>604</v>
      </c>
      <c r="F241" t="s">
        <v>472</v>
      </c>
      <c r="G241" s="9"/>
      <c r="H241" s="9"/>
    </row>
    <row r="242" spans="1:12" x14ac:dyDescent="0.2">
      <c r="A242" t="s">
        <v>11</v>
      </c>
      <c r="B242">
        <v>238</v>
      </c>
      <c r="E242">
        <v>306</v>
      </c>
      <c r="F242" t="s">
        <v>605</v>
      </c>
      <c r="G242" s="9"/>
      <c r="H242" s="9"/>
      <c r="I242" t="s">
        <v>172</v>
      </c>
      <c r="L242" t="s">
        <v>409</v>
      </c>
    </row>
    <row r="243" spans="1:12" x14ac:dyDescent="0.2">
      <c r="A243" t="s">
        <v>11</v>
      </c>
      <c r="B243">
        <v>239</v>
      </c>
      <c r="E243" t="s">
        <v>606</v>
      </c>
      <c r="F243" t="s">
        <v>472</v>
      </c>
      <c r="G243" s="9"/>
      <c r="H243" s="9"/>
    </row>
    <row r="244" spans="1:12" x14ac:dyDescent="0.2">
      <c r="A244" t="s">
        <v>11</v>
      </c>
      <c r="B244">
        <v>240</v>
      </c>
      <c r="E244">
        <v>308</v>
      </c>
      <c r="F244" t="s">
        <v>607</v>
      </c>
      <c r="G244" s="9" t="s">
        <v>1599</v>
      </c>
      <c r="H244" s="9" t="str">
        <f t="shared" ref="H244:H245" si="23">IF(LEFT(G244,4)="tbl-","fig-" &amp; MID(G244,5,LEN(G244)-4),"")</f>
        <v>fig-medicaid-1dental-visit-percent</v>
      </c>
      <c r="I244" t="s">
        <v>172</v>
      </c>
      <c r="K244" t="s">
        <v>608</v>
      </c>
      <c r="L244" t="s">
        <v>470</v>
      </c>
    </row>
    <row r="245" spans="1:12" x14ac:dyDescent="0.2">
      <c r="A245" t="s">
        <v>11</v>
      </c>
      <c r="B245">
        <v>241</v>
      </c>
      <c r="E245">
        <v>309</v>
      </c>
      <c r="F245" t="s">
        <v>609</v>
      </c>
      <c r="G245" s="9" t="s">
        <v>1600</v>
      </c>
      <c r="H245" s="9" t="str">
        <f t="shared" si="23"/>
        <v>fig-medicaid-dental-past12-percent</v>
      </c>
      <c r="I245" t="s">
        <v>172</v>
      </c>
      <c r="K245" t="s">
        <v>610</v>
      </c>
      <c r="L245" t="s">
        <v>470</v>
      </c>
    </row>
    <row r="246" spans="1:12" x14ac:dyDescent="0.2">
      <c r="A246" t="s">
        <v>11</v>
      </c>
      <c r="B246">
        <v>242</v>
      </c>
      <c r="E246" t="s">
        <v>611</v>
      </c>
      <c r="F246" t="s">
        <v>472</v>
      </c>
      <c r="G246" s="9"/>
      <c r="H246" s="9"/>
    </row>
    <row r="247" spans="1:12" x14ac:dyDescent="0.2">
      <c r="A247" t="s">
        <v>11</v>
      </c>
      <c r="B247">
        <v>243</v>
      </c>
      <c r="E247">
        <v>311</v>
      </c>
      <c r="F247" t="s">
        <v>612</v>
      </c>
      <c r="G247" s="9" t="s">
        <v>1601</v>
      </c>
      <c r="H247" s="9" t="str">
        <f t="shared" ref="H247:H248" si="24">IF(LEFT(G247,4)="tbl-","fig-" &amp; MID(G247,5,LEN(G247)-4),"")</f>
        <v>fig-adult-poormh-14ormore-percent</v>
      </c>
      <c r="I247" t="s">
        <v>144</v>
      </c>
      <c r="L247" t="s">
        <v>421</v>
      </c>
    </row>
    <row r="248" spans="1:12" x14ac:dyDescent="0.2">
      <c r="A248" t="s">
        <v>11</v>
      </c>
      <c r="B248">
        <v>244</v>
      </c>
      <c r="E248">
        <v>312</v>
      </c>
      <c r="F248" t="s">
        <v>613</v>
      </c>
      <c r="G248" s="9" t="s">
        <v>1603</v>
      </c>
      <c r="H248" s="9" t="str">
        <f t="shared" si="24"/>
        <v>fig-adult-depressive-do-percent</v>
      </c>
      <c r="I248" t="s">
        <v>144</v>
      </c>
      <c r="L248" t="s">
        <v>421</v>
      </c>
    </row>
    <row r="249" spans="1:12" x14ac:dyDescent="0.2">
      <c r="A249" t="s">
        <v>11</v>
      </c>
      <c r="B249">
        <v>245</v>
      </c>
      <c r="E249" t="s">
        <v>504</v>
      </c>
      <c r="F249" t="s">
        <v>614</v>
      </c>
      <c r="G249" s="9"/>
      <c r="H249" s="9"/>
      <c r="I249" t="s">
        <v>615</v>
      </c>
      <c r="K249" t="s">
        <v>469</v>
      </c>
      <c r="L249" t="s">
        <v>421</v>
      </c>
    </row>
    <row r="250" spans="1:12" x14ac:dyDescent="0.2">
      <c r="A250" t="s">
        <v>11</v>
      </c>
      <c r="B250">
        <v>246</v>
      </c>
      <c r="E250" t="s">
        <v>616</v>
      </c>
      <c r="F250" t="s">
        <v>617</v>
      </c>
      <c r="G250" s="9" t="s">
        <v>1543</v>
      </c>
      <c r="H250" s="9" t="str">
        <f t="shared" ref="H250:H251" si="25">IF(LEFT(G250,4)="tbl-","fig-" &amp; MID(G250,5,LEN(G250)-4),"")</f>
        <v>fig-smoke-risk</v>
      </c>
      <c r="I250" t="s">
        <v>618</v>
      </c>
      <c r="K250" t="s">
        <v>619</v>
      </c>
      <c r="L250" t="s">
        <v>421</v>
      </c>
    </row>
    <row r="251" spans="1:12" x14ac:dyDescent="0.2">
      <c r="A251" t="s">
        <v>11</v>
      </c>
      <c r="B251">
        <v>247</v>
      </c>
      <c r="E251">
        <v>313</v>
      </c>
      <c r="F251" t="s">
        <v>620</v>
      </c>
      <c r="G251" s="9"/>
      <c r="H251" s="9" t="str">
        <f t="shared" si="25"/>
        <v/>
      </c>
      <c r="I251" t="s">
        <v>621</v>
      </c>
      <c r="L251" t="s">
        <v>421</v>
      </c>
    </row>
    <row r="252" spans="1:12" x14ac:dyDescent="0.2">
      <c r="A252" t="s">
        <v>11</v>
      </c>
      <c r="B252">
        <v>248</v>
      </c>
      <c r="E252">
        <v>314</v>
      </c>
      <c r="F252" t="s">
        <v>622</v>
      </c>
      <c r="G252" t="s">
        <v>1568</v>
      </c>
      <c r="H252" s="9" t="str">
        <f>IF(LEFT(G252,4)="tbl-","fig-" &amp; MID(G252,5,LEN(G252)-4),"")</f>
        <v>fig-adult-currsmoke-percent</v>
      </c>
      <c r="I252" t="s">
        <v>144</v>
      </c>
      <c r="L252" t="s">
        <v>421</v>
      </c>
    </row>
    <row r="253" spans="1:12" x14ac:dyDescent="0.2">
      <c r="A253" t="s">
        <v>11</v>
      </c>
      <c r="B253">
        <v>249</v>
      </c>
      <c r="E253">
        <v>315</v>
      </c>
      <c r="F253" t="s">
        <v>623</v>
      </c>
      <c r="G253" t="s">
        <v>1569</v>
      </c>
      <c r="H253" s="9" t="str">
        <f>IF(LEFT(G253,4)="tbl-","fig-" &amp; MID(G253,5,LEN(G253)-4),"")</f>
        <v>fig-adult-cigsmoke-poormh-percent</v>
      </c>
      <c r="I253" t="s">
        <v>144</v>
      </c>
      <c r="K253" t="s">
        <v>469</v>
      </c>
      <c r="L253" t="s">
        <v>421</v>
      </c>
    </row>
    <row r="254" spans="1:12" x14ac:dyDescent="0.2">
      <c r="A254" t="s">
        <v>11</v>
      </c>
      <c r="B254">
        <v>250</v>
      </c>
      <c r="E254">
        <v>316</v>
      </c>
      <c r="F254" t="s">
        <v>624</v>
      </c>
      <c r="G254" t="s">
        <v>1570</v>
      </c>
      <c r="H254" s="9" t="str">
        <f>IF(LEFT(G254,4)="tbl-","fig-" &amp; MID(G254,5,LEN(G254)-4),"")</f>
        <v>fig-adult-bingedrink-percent</v>
      </c>
      <c r="I254" t="s">
        <v>144</v>
      </c>
      <c r="L254" t="s">
        <v>421</v>
      </c>
    </row>
    <row r="255" spans="1:12" x14ac:dyDescent="0.2">
      <c r="A255" t="s">
        <v>11</v>
      </c>
      <c r="B255">
        <v>251</v>
      </c>
      <c r="E255" t="s">
        <v>504</v>
      </c>
      <c r="F255" t="s">
        <v>625</v>
      </c>
      <c r="G255" t="s">
        <v>1525</v>
      </c>
      <c r="H255" s="9" t="str">
        <f>IF(LEFT(G255,4)="tbl-","fig-" &amp; MID(G255,5,LEN(G255)-4),"")</f>
        <v>fig-oddeath-anydrug-crude-rate</v>
      </c>
    </row>
    <row r="256" spans="1:12" x14ac:dyDescent="0.2">
      <c r="A256" t="s">
        <v>11</v>
      </c>
      <c r="B256">
        <v>252</v>
      </c>
      <c r="E256">
        <v>317</v>
      </c>
      <c r="F256" t="s">
        <v>605</v>
      </c>
      <c r="G256" t="s">
        <v>1526</v>
      </c>
      <c r="H256" s="9"/>
      <c r="I256" t="s">
        <v>626</v>
      </c>
      <c r="K256" t="s">
        <v>456</v>
      </c>
      <c r="L256" t="s">
        <v>421</v>
      </c>
    </row>
    <row r="257" spans="1:12" x14ac:dyDescent="0.2">
      <c r="A257" t="s">
        <v>11</v>
      </c>
      <c r="B257">
        <v>253</v>
      </c>
      <c r="E257" t="s">
        <v>627</v>
      </c>
      <c r="F257" t="s">
        <v>472</v>
      </c>
      <c r="G257" t="s">
        <v>1527</v>
      </c>
      <c r="H257" s="9"/>
    </row>
    <row r="258" spans="1:12" x14ac:dyDescent="0.2">
      <c r="A258" t="s">
        <v>11</v>
      </c>
      <c r="B258">
        <v>254</v>
      </c>
      <c r="E258">
        <v>319</v>
      </c>
      <c r="F258" t="s">
        <v>628</v>
      </c>
      <c r="G258" t="s">
        <v>1605</v>
      </c>
      <c r="H258" s="9" t="str">
        <f>IF(LEFT(G258,4)="tbl-","fig-" &amp; MID(G258,5,LEN(G258)-4),"")</f>
        <v>fig-ed-visit-opioid-aar</v>
      </c>
      <c r="I258" t="s">
        <v>626</v>
      </c>
      <c r="K258" t="s">
        <v>456</v>
      </c>
      <c r="L258" t="s">
        <v>421</v>
      </c>
    </row>
    <row r="259" spans="1:12" x14ac:dyDescent="0.2">
      <c r="A259" t="s">
        <v>11</v>
      </c>
      <c r="B259">
        <v>255</v>
      </c>
      <c r="E259" t="s">
        <v>504</v>
      </c>
      <c r="F259" t="s">
        <v>629</v>
      </c>
      <c r="G259" s="9" t="s">
        <v>1606</v>
      </c>
      <c r="H259" s="9" t="str">
        <f>IF(LEFT(G259,4)="tbl-","fig-" &amp; MID(G259,5,LEN(G259)-4),"")</f>
        <v>fig-hospital-dc-opioid-aar</v>
      </c>
    </row>
    <row r="260" spans="1:12" x14ac:dyDescent="0.2">
      <c r="A260" t="s">
        <v>11</v>
      </c>
      <c r="B260">
        <v>256</v>
      </c>
      <c r="E260" t="s">
        <v>504</v>
      </c>
      <c r="F260" t="s">
        <v>630</v>
      </c>
      <c r="G260" s="9" t="s">
        <v>1607</v>
      </c>
      <c r="H260" s="9" t="str">
        <f>IF(LEFT(G260,4)="tbl-","fig-" &amp; MID(G260,5,LEN(G260)-4),"")</f>
        <v>fig-treat-prog-opioid-crude</v>
      </c>
      <c r="I260" t="s">
        <v>631</v>
      </c>
      <c r="K260" t="s">
        <v>632</v>
      </c>
      <c r="L260" t="s">
        <v>421</v>
      </c>
    </row>
    <row r="261" spans="1:12" x14ac:dyDescent="0.2">
      <c r="A261" t="s">
        <v>11</v>
      </c>
      <c r="B261">
        <v>257</v>
      </c>
      <c r="E261" t="s">
        <v>504</v>
      </c>
      <c r="F261" t="s">
        <v>633</v>
      </c>
      <c r="G261" s="9" t="s">
        <v>1609</v>
      </c>
      <c r="H261" s="9" t="str">
        <f>IF(LEFT(G261,4)="tbl-","fig-" &amp; MID(G261,5,LEN(G261)-4),"")</f>
        <v>fig-treat-prog-alcohol-crude</v>
      </c>
    </row>
    <row r="262" spans="1:12" x14ac:dyDescent="0.2">
      <c r="A262" t="s">
        <v>11</v>
      </c>
      <c r="B262">
        <v>258</v>
      </c>
      <c r="E262" t="s">
        <v>634</v>
      </c>
      <c r="F262" t="s">
        <v>472</v>
      </c>
      <c r="G262" s="9"/>
      <c r="H262" s="9"/>
    </row>
    <row r="263" spans="1:12" x14ac:dyDescent="0.2">
      <c r="A263" t="s">
        <v>11</v>
      </c>
      <c r="B263">
        <v>259</v>
      </c>
      <c r="E263">
        <v>321</v>
      </c>
      <c r="F263" t="s">
        <v>635</v>
      </c>
      <c r="G263" s="9" t="s">
        <v>1612</v>
      </c>
      <c r="H263" s="9" t="str">
        <f t="shared" ref="H263:H269" si="26">IF(LEFT(G263,4)="tbl-","fig-" &amp; MID(G263,5,LEN(G263)-4),"")</f>
        <v>fig-OD-anyopioid-crude</v>
      </c>
      <c r="I263" t="s">
        <v>626</v>
      </c>
      <c r="K263" t="s">
        <v>428</v>
      </c>
      <c r="L263" t="s">
        <v>421</v>
      </c>
    </row>
    <row r="264" spans="1:12" x14ac:dyDescent="0.2">
      <c r="A264" t="s">
        <v>11</v>
      </c>
      <c r="B264">
        <v>260</v>
      </c>
      <c r="E264">
        <v>322</v>
      </c>
      <c r="F264" t="s">
        <v>636</v>
      </c>
      <c r="G264" s="9" t="s">
        <v>1614</v>
      </c>
      <c r="H264" s="9" t="str">
        <f t="shared" si="26"/>
        <v>fig-OD-multiple-opioid-aar</v>
      </c>
      <c r="I264" t="s">
        <v>626</v>
      </c>
      <c r="K264" t="s">
        <v>469</v>
      </c>
      <c r="L264" t="s">
        <v>421</v>
      </c>
    </row>
    <row r="265" spans="1:12" x14ac:dyDescent="0.2">
      <c r="A265" t="s">
        <v>11</v>
      </c>
      <c r="B265">
        <v>261</v>
      </c>
      <c r="E265">
        <v>323</v>
      </c>
      <c r="F265" t="s">
        <v>1856</v>
      </c>
      <c r="G265" s="9" t="s">
        <v>1615</v>
      </c>
      <c r="H265" s="9" t="str">
        <f t="shared" si="26"/>
        <v>fig-18to64-anyop-od-crude</v>
      </c>
      <c r="I265" t="s">
        <v>626</v>
      </c>
      <c r="K265" t="s">
        <v>428</v>
      </c>
      <c r="L265" t="s">
        <v>421</v>
      </c>
    </row>
    <row r="266" spans="1:12" x14ac:dyDescent="0.2">
      <c r="A266" t="s">
        <v>11</v>
      </c>
      <c r="B266">
        <v>262</v>
      </c>
      <c r="E266">
        <v>324</v>
      </c>
      <c r="F266" t="s">
        <v>1857</v>
      </c>
      <c r="G266" s="9" t="s">
        <v>1616</v>
      </c>
      <c r="H266" s="9" t="str">
        <f t="shared" si="26"/>
        <v>fig-18to64-heroin-od-crude</v>
      </c>
      <c r="I266" t="s">
        <v>626</v>
      </c>
      <c r="K266" t="s">
        <v>428</v>
      </c>
      <c r="L266" t="s">
        <v>421</v>
      </c>
    </row>
    <row r="267" spans="1:12" ht="16" x14ac:dyDescent="0.2">
      <c r="A267" t="s">
        <v>11</v>
      </c>
      <c r="B267">
        <v>263</v>
      </c>
      <c r="E267">
        <v>325</v>
      </c>
      <c r="F267" s="50" t="s">
        <v>1894</v>
      </c>
      <c r="G267" s="9" t="s">
        <v>1617</v>
      </c>
      <c r="H267" s="9" t="str">
        <f t="shared" si="26"/>
        <v>fig-18to64-opioid-pain-crude</v>
      </c>
      <c r="I267" t="s">
        <v>626</v>
      </c>
      <c r="K267" t="s">
        <v>428</v>
      </c>
      <c r="L267" t="s">
        <v>421</v>
      </c>
    </row>
    <row r="268" spans="1:12" x14ac:dyDescent="0.2">
      <c r="A268" t="s">
        <v>11</v>
      </c>
      <c r="B268">
        <v>264</v>
      </c>
      <c r="E268">
        <v>326</v>
      </c>
      <c r="F268" t="s">
        <v>637</v>
      </c>
      <c r="G268" s="9" t="s">
        <v>1596</v>
      </c>
      <c r="H268" s="9" t="str">
        <f t="shared" si="26"/>
        <v>fig-opioid-analgesic-rx-aar</v>
      </c>
      <c r="I268" t="s">
        <v>626</v>
      </c>
      <c r="K268" t="s">
        <v>638</v>
      </c>
      <c r="L268" t="s">
        <v>421</v>
      </c>
    </row>
    <row r="269" spans="1:12" x14ac:dyDescent="0.2">
      <c r="A269" t="s">
        <v>11</v>
      </c>
      <c r="B269">
        <v>265</v>
      </c>
      <c r="E269">
        <v>327</v>
      </c>
      <c r="F269" t="s">
        <v>639</v>
      </c>
      <c r="G269" s="9" t="s">
        <v>1594</v>
      </c>
      <c r="H269" s="9" t="str">
        <f t="shared" si="26"/>
        <v>fig-at-least-1-bup-aar</v>
      </c>
      <c r="I269" t="s">
        <v>626</v>
      </c>
      <c r="K269" t="s">
        <v>638</v>
      </c>
      <c r="L269" t="s">
        <v>421</v>
      </c>
    </row>
    <row r="270" spans="1:12" x14ac:dyDescent="0.2">
      <c r="A270" t="s">
        <v>11</v>
      </c>
      <c r="B270">
        <v>266</v>
      </c>
      <c r="E270">
        <v>328</v>
      </c>
      <c r="F270" t="s">
        <v>472</v>
      </c>
      <c r="G270" s="9"/>
      <c r="H270" s="9"/>
      <c r="I270" t="s">
        <v>626</v>
      </c>
      <c r="L270" t="s">
        <v>421</v>
      </c>
    </row>
    <row r="271" spans="1:12" x14ac:dyDescent="0.2">
      <c r="A271" t="s">
        <v>11</v>
      </c>
      <c r="B271">
        <v>267</v>
      </c>
      <c r="E271">
        <v>329</v>
      </c>
      <c r="F271" t="s">
        <v>1903</v>
      </c>
      <c r="G271" s="9" t="s">
        <v>1593</v>
      </c>
      <c r="H271" s="9" t="str">
        <f>IF(LEFT(G271,4)="tbl-","fig-" &amp; MID(G271,5,LEN(G271)-4),"")</f>
        <v>fig-15to19-suicide-mortal-crude</v>
      </c>
      <c r="I271" t="s">
        <v>172</v>
      </c>
      <c r="K271" t="s">
        <v>428</v>
      </c>
      <c r="L271" t="s">
        <v>421</v>
      </c>
    </row>
    <row r="272" spans="1:12" x14ac:dyDescent="0.2">
      <c r="A272" t="s">
        <v>11</v>
      </c>
      <c r="B272">
        <v>268</v>
      </c>
      <c r="E272">
        <v>330</v>
      </c>
      <c r="F272" t="s">
        <v>640</v>
      </c>
      <c r="G272" s="9" t="s">
        <v>1592</v>
      </c>
      <c r="H272" s="9" t="str">
        <f>IF(LEFT(G272,4)="tbl-","fig-" &amp; MID(G272,5,LEN(G272)-4),"")</f>
        <v>fig-suicide-mortal-aar</v>
      </c>
      <c r="I272" t="s">
        <v>172</v>
      </c>
      <c r="K272" t="s">
        <v>428</v>
      </c>
      <c r="L272" t="s">
        <v>421</v>
      </c>
    </row>
    <row r="273" spans="1:12" x14ac:dyDescent="0.2">
      <c r="A273" t="s">
        <v>11</v>
      </c>
      <c r="B273">
        <v>269</v>
      </c>
      <c r="E273">
        <v>331</v>
      </c>
      <c r="F273" t="s">
        <v>641</v>
      </c>
      <c r="G273" s="9" t="s">
        <v>1591</v>
      </c>
      <c r="H273" s="9" t="str">
        <f>IF(LEFT(G273,4)="tbl-","fig-" &amp; MID(G273,5,LEN(G273)-4),"")</f>
        <v>fig-0to4-hosp-asthma-gastor-om-pnu-rate</v>
      </c>
      <c r="I273" t="s">
        <v>172</v>
      </c>
      <c r="K273" t="s">
        <v>456</v>
      </c>
      <c r="L273" t="s">
        <v>449</v>
      </c>
    </row>
    <row r="274" spans="1:12" x14ac:dyDescent="0.2">
      <c r="A274" t="s">
        <v>11</v>
      </c>
      <c r="B274">
        <v>270</v>
      </c>
      <c r="E274">
        <v>332</v>
      </c>
      <c r="F274" t="s">
        <v>642</v>
      </c>
      <c r="G274" s="9"/>
      <c r="H274" s="9"/>
      <c r="I274" t="s">
        <v>172</v>
      </c>
      <c r="K274" t="s">
        <v>456</v>
      </c>
      <c r="L274" t="s">
        <v>449</v>
      </c>
    </row>
    <row r="275" spans="1:12" x14ac:dyDescent="0.2">
      <c r="A275" t="s">
        <v>11</v>
      </c>
      <c r="B275">
        <v>271</v>
      </c>
      <c r="E275">
        <v>333</v>
      </c>
      <c r="F275" t="s">
        <v>642</v>
      </c>
      <c r="G275" s="9"/>
      <c r="H275" s="9"/>
      <c r="I275" t="s">
        <v>643</v>
      </c>
      <c r="K275" t="s">
        <v>175</v>
      </c>
      <c r="L275" t="s">
        <v>449</v>
      </c>
    </row>
    <row r="276" spans="1:12" x14ac:dyDescent="0.2">
      <c r="A276" t="s">
        <v>11</v>
      </c>
      <c r="B276">
        <v>272</v>
      </c>
      <c r="E276">
        <v>334</v>
      </c>
      <c r="F276" t="s">
        <v>644</v>
      </c>
      <c r="G276" s="9" t="s">
        <v>1590</v>
      </c>
      <c r="H276" s="9" t="str">
        <f>IF(LEFT(G276,4)="tbl-","fig-" &amp; MID(G276,5,LEN(G276)-4),"")</f>
        <v>fig-unint-injury-mortal-aar</v>
      </c>
      <c r="I276" t="s">
        <v>643</v>
      </c>
      <c r="K276" t="s">
        <v>428</v>
      </c>
      <c r="L276" t="s">
        <v>537</v>
      </c>
    </row>
    <row r="277" spans="1:12" x14ac:dyDescent="0.2">
      <c r="A277" t="s">
        <v>11</v>
      </c>
      <c r="B277">
        <v>273</v>
      </c>
      <c r="E277" t="s">
        <v>504</v>
      </c>
      <c r="F277" t="s">
        <v>1918</v>
      </c>
      <c r="G277" s="9" t="s">
        <v>1585</v>
      </c>
      <c r="H277" s="9" t="str">
        <f>IF(LEFT(G277,4)="tbl-","fig-" &amp; MID(G277,5,LEN(G277)-4),"")</f>
        <v>fig-poison-control-calls</v>
      </c>
      <c r="I277" t="s">
        <v>646</v>
      </c>
      <c r="L277" t="s">
        <v>537</v>
      </c>
    </row>
    <row r="278" spans="1:12" x14ac:dyDescent="0.2">
      <c r="A278" t="s">
        <v>11</v>
      </c>
      <c r="B278">
        <v>274</v>
      </c>
      <c r="E278" t="s">
        <v>504</v>
      </c>
      <c r="F278" t="s">
        <v>647</v>
      </c>
      <c r="G278" s="9" t="s">
        <v>1584</v>
      </c>
      <c r="H278" s="9" t="str">
        <f>IF(LEFT(G278,4)="tbl-","fig-" &amp; MID(G278,5,LEN(G278)-4),"")</f>
        <v>fig-poison-control-cannabis</v>
      </c>
      <c r="I278" t="s">
        <v>646</v>
      </c>
      <c r="L278" t="s">
        <v>537</v>
      </c>
    </row>
    <row r="279" spans="1:12" x14ac:dyDescent="0.2">
      <c r="A279" t="s">
        <v>11</v>
      </c>
      <c r="B279">
        <v>275</v>
      </c>
      <c r="E279">
        <v>335</v>
      </c>
      <c r="F279" t="s">
        <v>1919</v>
      </c>
      <c r="G279" s="9" t="s">
        <v>1579</v>
      </c>
      <c r="H279" s="9" t="str">
        <f>IF(LEFT(G279,4)="tbl-","fig-" &amp; MID(G279,5,LEN(G279)-4),"")</f>
        <v>fig-child-under5-poison-control</v>
      </c>
      <c r="I279" t="s">
        <v>649</v>
      </c>
      <c r="L279" t="s">
        <v>537</v>
      </c>
    </row>
    <row r="280" spans="1:12" x14ac:dyDescent="0.2">
      <c r="A280" t="s">
        <v>11</v>
      </c>
      <c r="B280">
        <v>276</v>
      </c>
      <c r="E280">
        <v>336</v>
      </c>
      <c r="F280" t="s">
        <v>644</v>
      </c>
      <c r="G280" s="9"/>
      <c r="H280" s="9" t="str">
        <f t="shared" ref="H280:H282" si="27">IF(LEFT(G280,4)="tbl-","fig-" &amp; MID(G280,5,LEN(G280)-4),"")</f>
        <v/>
      </c>
      <c r="I280" t="s">
        <v>643</v>
      </c>
      <c r="K280" t="s">
        <v>428</v>
      </c>
      <c r="L280" t="s">
        <v>537</v>
      </c>
    </row>
    <row r="281" spans="1:12" x14ac:dyDescent="0.2">
      <c r="A281" t="s">
        <v>11</v>
      </c>
      <c r="B281">
        <v>277</v>
      </c>
      <c r="E281">
        <v>337</v>
      </c>
      <c r="F281" t="s">
        <v>650</v>
      </c>
      <c r="G281" s="9" t="s">
        <v>1583</v>
      </c>
      <c r="H281" s="9" t="str">
        <f t="shared" si="27"/>
        <v>fig-mva-alcohol-injury-death-crude</v>
      </c>
    </row>
    <row r="282" spans="1:12" x14ac:dyDescent="0.2">
      <c r="A282" t="s">
        <v>11</v>
      </c>
      <c r="B282">
        <v>278</v>
      </c>
      <c r="E282">
        <v>338</v>
      </c>
      <c r="F282" t="s">
        <v>651</v>
      </c>
      <c r="G282" s="9" t="s">
        <v>1582</v>
      </c>
      <c r="H282" s="9" t="str">
        <f t="shared" si="27"/>
        <v>fig-mva-mortal-rate</v>
      </c>
      <c r="I282" t="s">
        <v>643</v>
      </c>
      <c r="K282" t="s">
        <v>428</v>
      </c>
      <c r="L282" t="s">
        <v>537</v>
      </c>
    </row>
    <row r="283" spans="1:12" x14ac:dyDescent="0.2">
      <c r="A283" t="s">
        <v>11</v>
      </c>
      <c r="B283">
        <v>279</v>
      </c>
      <c r="E283" t="s">
        <v>504</v>
      </c>
      <c r="F283" t="s">
        <v>652</v>
      </c>
      <c r="G283" s="9" t="s">
        <v>1586</v>
      </c>
      <c r="H283" s="9" t="str">
        <f>IF(LEFT(G283,4)="tbl-","fig-" &amp; MID(G283,5,LEN(G283)-4),"")</f>
        <v>fig-mva-mortal-rande-aar</v>
      </c>
      <c r="L283" t="s">
        <v>537</v>
      </c>
    </row>
    <row r="284" spans="1:12" x14ac:dyDescent="0.2">
      <c r="A284" t="s">
        <v>11</v>
      </c>
      <c r="B284">
        <v>280</v>
      </c>
      <c r="E284">
        <v>339</v>
      </c>
      <c r="F284" t="s">
        <v>653</v>
      </c>
      <c r="G284" s="9" t="s">
        <v>1921</v>
      </c>
      <c r="H284" s="9" t="str">
        <f>IF(LEFT(G284,4)="tbl-","fig-" &amp; MID(G284,5,LEN(G284)-4),"")</f>
        <v>fig-falls-hospital-aar</v>
      </c>
    </row>
    <row r="285" spans="1:12" x14ac:dyDescent="0.2">
      <c r="A285" t="s">
        <v>11</v>
      </c>
      <c r="B285">
        <v>281</v>
      </c>
      <c r="F285" t="s">
        <v>472</v>
      </c>
      <c r="G285" s="9"/>
      <c r="H285" s="9"/>
      <c r="I285" t="s">
        <v>643</v>
      </c>
      <c r="K285" t="s">
        <v>456</v>
      </c>
      <c r="L285" t="s">
        <v>537</v>
      </c>
    </row>
    <row r="286" spans="1:12" x14ac:dyDescent="0.2">
      <c r="A286" t="s">
        <v>11</v>
      </c>
      <c r="B286">
        <v>282</v>
      </c>
      <c r="E286">
        <v>340</v>
      </c>
      <c r="F286" t="s">
        <v>654</v>
      </c>
      <c r="G286" s="9" t="s">
        <v>1587</v>
      </c>
      <c r="H286" s="9" t="str">
        <f t="shared" ref="H286:H287" si="28">IF(LEFT(G286,4)="tbl-","fig-" &amp; MID(G286,5,LEN(G286)-4),"")</f>
        <v>fig-85+-falls-hospital</v>
      </c>
      <c r="I286" t="s">
        <v>643</v>
      </c>
      <c r="K286" t="s">
        <v>655</v>
      </c>
      <c r="L286" t="s">
        <v>537</v>
      </c>
    </row>
    <row r="287" spans="1:12" ht="16" x14ac:dyDescent="0.2">
      <c r="A287" t="s">
        <v>11</v>
      </c>
      <c r="B287">
        <v>283</v>
      </c>
      <c r="E287">
        <v>341</v>
      </c>
      <c r="F287" t="s">
        <v>656</v>
      </c>
      <c r="G287" s="92" t="s">
        <v>1922</v>
      </c>
      <c r="H287" s="9" t="str">
        <f t="shared" si="28"/>
        <v>fig-65+-falls-hospital-rande-rate</v>
      </c>
      <c r="I287" t="s">
        <v>102</v>
      </c>
      <c r="K287" t="s">
        <v>456</v>
      </c>
      <c r="L287" t="s">
        <v>537</v>
      </c>
    </row>
    <row r="288" spans="1:12" x14ac:dyDescent="0.2">
      <c r="A288" t="s">
        <v>11</v>
      </c>
      <c r="B288">
        <v>284</v>
      </c>
      <c r="E288" t="s">
        <v>657</v>
      </c>
      <c r="F288" t="s">
        <v>472</v>
      </c>
      <c r="G288" s="9"/>
      <c r="H288" s="9"/>
    </row>
    <row r="289" spans="1:12" x14ac:dyDescent="0.2">
      <c r="A289" t="s">
        <v>11</v>
      </c>
      <c r="B289">
        <v>285</v>
      </c>
      <c r="E289" t="s">
        <v>658</v>
      </c>
      <c r="F289" t="s">
        <v>472</v>
      </c>
      <c r="G289" s="9"/>
      <c r="H289" s="9"/>
    </row>
    <row r="290" spans="1:12" x14ac:dyDescent="0.2">
      <c r="A290" t="s">
        <v>11</v>
      </c>
      <c r="B290">
        <v>286</v>
      </c>
      <c r="E290" t="s">
        <v>659</v>
      </c>
      <c r="F290" t="s">
        <v>472</v>
      </c>
      <c r="G290" s="9"/>
      <c r="H290" s="9"/>
    </row>
    <row r="291" spans="1:12" x14ac:dyDescent="0.2">
      <c r="A291" t="s">
        <v>11</v>
      </c>
      <c r="B291">
        <v>287</v>
      </c>
      <c r="E291">
        <v>345</v>
      </c>
      <c r="F291" t="s">
        <v>660</v>
      </c>
      <c r="G291" t="s">
        <v>1588</v>
      </c>
      <c r="H291" s="9" t="str">
        <f t="shared" ref="H291:H294" si="29">IF(LEFT(G291,4)="tbl-","fig-" &amp; MID(G291,5,LEN(G291)-4),"")</f>
        <v>fig-mortal-homicide-aar</v>
      </c>
    </row>
    <row r="292" spans="1:12" x14ac:dyDescent="0.2">
      <c r="A292" t="s">
        <v>11</v>
      </c>
      <c r="B292">
        <v>288</v>
      </c>
      <c r="E292">
        <v>346</v>
      </c>
      <c r="F292" t="s">
        <v>661</v>
      </c>
      <c r="G292" t="s">
        <v>1524</v>
      </c>
      <c r="H292" s="9" t="str">
        <f t="shared" si="29"/>
        <v>fig-assault-hospital-aar</v>
      </c>
      <c r="I292" t="s">
        <v>172</v>
      </c>
      <c r="K292" t="s">
        <v>456</v>
      </c>
      <c r="L292" t="s">
        <v>537</v>
      </c>
    </row>
    <row r="293" spans="1:12" x14ac:dyDescent="0.2">
      <c r="A293" t="s">
        <v>11</v>
      </c>
      <c r="B293">
        <v>289</v>
      </c>
      <c r="E293">
        <v>347</v>
      </c>
      <c r="F293" t="s">
        <v>662</v>
      </c>
      <c r="G293" t="s">
        <v>1589</v>
      </c>
      <c r="H293" s="9" t="str">
        <f t="shared" si="29"/>
        <v>fig-dv-victim-rate</v>
      </c>
      <c r="I293" t="s">
        <v>190</v>
      </c>
      <c r="K293" t="s">
        <v>663</v>
      </c>
      <c r="L293" t="s">
        <v>537</v>
      </c>
    </row>
    <row r="294" spans="1:12" x14ac:dyDescent="0.2">
      <c r="F294" t="s">
        <v>1649</v>
      </c>
      <c r="G294" s="9" t="s">
        <v>1650</v>
      </c>
      <c r="H294" s="9" t="str">
        <f t="shared" si="29"/>
        <v>fig-dc-pav</v>
      </c>
    </row>
    <row r="295" spans="1:12" x14ac:dyDescent="0.2">
      <c r="F295" t="s">
        <v>1655</v>
      </c>
      <c r="G295" s="9" t="s">
        <v>1656</v>
      </c>
      <c r="H295" s="9" t="str">
        <f t="shared" ref="H295:H306" si="30">IF(LEFT(G295,4)="tbl-","fig-" &amp; MID(G295,5,LEN(G295)-4),"")</f>
        <v>fig-rccha-demo</v>
      </c>
    </row>
    <row r="296" spans="1:12" x14ac:dyDescent="0.2">
      <c r="F296" t="s">
        <v>1712</v>
      </c>
      <c r="G296" s="9" t="s">
        <v>1713</v>
      </c>
      <c r="H296" s="9" t="str">
        <f t="shared" si="30"/>
        <v>fig-resp-zip</v>
      </c>
    </row>
    <row r="297" spans="1:12" x14ac:dyDescent="0.2">
      <c r="F297" t="s">
        <v>1715</v>
      </c>
      <c r="G297" s="9" t="s">
        <v>1716</v>
      </c>
      <c r="H297" s="9" t="str">
        <f t="shared" si="30"/>
        <v>fig-resp-qol-rc</v>
      </c>
    </row>
    <row r="298" spans="1:12" x14ac:dyDescent="0.2">
      <c r="F298" t="s">
        <v>1718</v>
      </c>
      <c r="G298" s="9" t="s">
        <v>1717</v>
      </c>
      <c r="H298" s="9" t="str">
        <f t="shared" si="30"/>
        <v>fig-t3-pos-rc</v>
      </c>
    </row>
    <row r="299" spans="1:12" x14ac:dyDescent="0.2">
      <c r="F299" t="s">
        <v>1736</v>
      </c>
      <c r="G299" s="9" t="s">
        <v>1737</v>
      </c>
      <c r="H299" s="9" t="str">
        <f t="shared" si="30"/>
        <v>fig-top-need-improve</v>
      </c>
    </row>
    <row r="300" spans="1:12" x14ac:dyDescent="0.2">
      <c r="F300" t="s">
        <v>1756</v>
      </c>
      <c r="G300" s="9" t="s">
        <v>1757</v>
      </c>
      <c r="H300" s="9" t="str">
        <f t="shared" si="30"/>
        <v>fig-econ-need-improve</v>
      </c>
    </row>
    <row r="301" spans="1:12" x14ac:dyDescent="0.2">
      <c r="F301" t="s">
        <v>1758</v>
      </c>
      <c r="G301" s="9" t="s">
        <v>1759</v>
      </c>
      <c r="H301" s="9" t="str">
        <f t="shared" si="30"/>
        <v>fig-safe-health-need-improve</v>
      </c>
    </row>
    <row r="302" spans="1:12" x14ac:dyDescent="0.2">
      <c r="F302" t="s">
        <v>1780</v>
      </c>
      <c r="G302" s="9" t="s">
        <v>1781</v>
      </c>
      <c r="H302" s="9" t="str">
        <f t="shared" si="30"/>
        <v>fig-educat-need-improv</v>
      </c>
    </row>
    <row r="303" spans="1:12" x14ac:dyDescent="0.2">
      <c r="F303" t="s">
        <v>72</v>
      </c>
      <c r="G303" s="9" t="s">
        <v>1815</v>
      </c>
      <c r="H303" s="9" t="str">
        <f t="shared" si="30"/>
        <v>fig-childhood-food-insecurity</v>
      </c>
    </row>
    <row r="304" spans="1:12" ht="16" x14ac:dyDescent="0.2">
      <c r="F304" t="s">
        <v>1858</v>
      </c>
      <c r="G304" s="86" t="s">
        <v>1601</v>
      </c>
      <c r="H304" s="9" t="str">
        <f t="shared" si="30"/>
        <v>fig-adult-poormh-14ormore-percent</v>
      </c>
    </row>
    <row r="305" spans="6:8" x14ac:dyDescent="0.2">
      <c r="F305" t="s">
        <v>1914</v>
      </c>
      <c r="G305" s="9" t="s">
        <v>1915</v>
      </c>
      <c r="H305" s="9" t="str">
        <f t="shared" si="30"/>
        <v>fig-agop-hosp-0-4</v>
      </c>
    </row>
    <row r="306" spans="6:8" x14ac:dyDescent="0.2">
      <c r="F306" s="87" t="s">
        <v>1919</v>
      </c>
      <c r="G306" s="9" t="s">
        <v>1920</v>
      </c>
      <c r="H306" s="9" t="str">
        <f t="shared" si="30"/>
        <v>fig-poison-cc-5yo</v>
      </c>
    </row>
    <row r="307" spans="6:8" x14ac:dyDescent="0.2">
      <c r="F307" s="87"/>
      <c r="G307" s="9"/>
      <c r="H307" s="9"/>
    </row>
    <row r="308" spans="6:8" ht="16" x14ac:dyDescent="0.2">
      <c r="F308" s="93" t="s">
        <v>1940</v>
      </c>
      <c r="G308" s="9" t="s">
        <v>1427</v>
      </c>
      <c r="H308" s="94" t="s">
        <v>1941</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topLeftCell="F1" workbookViewId="0">
      <selection activeCell="H27" sqref="H27"/>
    </sheetView>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664</v>
      </c>
      <c r="B1" s="55" t="s">
        <v>665</v>
      </c>
      <c r="C1" s="2"/>
      <c r="D1" s="2" t="s">
        <v>666</v>
      </c>
      <c r="E1" s="2" t="s">
        <v>667</v>
      </c>
      <c r="F1" s="2" t="s">
        <v>668</v>
      </c>
      <c r="G1" s="2" t="s">
        <v>669</v>
      </c>
      <c r="H1" s="2" t="s">
        <v>670</v>
      </c>
    </row>
    <row r="2" spans="1:8" x14ac:dyDescent="0.2">
      <c r="A2" t="s">
        <v>671</v>
      </c>
      <c r="B2" t="s">
        <v>672</v>
      </c>
      <c r="C2" t="s">
        <v>673</v>
      </c>
      <c r="D2" t="s">
        <v>674</v>
      </c>
      <c r="E2" s="3" t="s">
        <v>675</v>
      </c>
      <c r="F2" s="4" t="s">
        <v>676</v>
      </c>
      <c r="G2" s="5" t="s">
        <v>677</v>
      </c>
      <c r="H2" s="6" t="s">
        <v>678</v>
      </c>
    </row>
    <row r="3" spans="1:8" x14ac:dyDescent="0.2">
      <c r="A3" t="s">
        <v>679</v>
      </c>
      <c r="B3" t="s">
        <v>680</v>
      </c>
      <c r="C3" t="s">
        <v>673</v>
      </c>
      <c r="D3" t="s">
        <v>681</v>
      </c>
      <c r="E3" s="7" t="s">
        <v>682</v>
      </c>
      <c r="F3" s="4" t="s">
        <v>683</v>
      </c>
      <c r="G3" s="5" t="s">
        <v>684</v>
      </c>
      <c r="H3" s="6" t="s">
        <v>685</v>
      </c>
    </row>
    <row r="4" spans="1:8" x14ac:dyDescent="0.2">
      <c r="A4" t="s">
        <v>686</v>
      </c>
      <c r="B4" t="s">
        <v>687</v>
      </c>
      <c r="C4" t="s">
        <v>673</v>
      </c>
      <c r="D4" t="s">
        <v>688</v>
      </c>
      <c r="E4" s="7" t="s">
        <v>689</v>
      </c>
      <c r="F4" s="4" t="s">
        <v>690</v>
      </c>
      <c r="G4" s="5" t="s">
        <v>691</v>
      </c>
      <c r="H4" s="6" t="s">
        <v>692</v>
      </c>
    </row>
    <row r="5" spans="1:8" x14ac:dyDescent="0.2">
      <c r="A5" t="s">
        <v>693</v>
      </c>
      <c r="B5" t="s">
        <v>694</v>
      </c>
      <c r="C5" t="s">
        <v>673</v>
      </c>
      <c r="D5" t="s">
        <v>695</v>
      </c>
      <c r="E5" s="7" t="s">
        <v>696</v>
      </c>
      <c r="F5" s="4" t="s">
        <v>697</v>
      </c>
      <c r="G5" s="5" t="s">
        <v>698</v>
      </c>
      <c r="H5" s="6" t="s">
        <v>699</v>
      </c>
    </row>
    <row r="6" spans="1:8" x14ac:dyDescent="0.2">
      <c r="A6" t="s">
        <v>700</v>
      </c>
      <c r="B6" t="s">
        <v>701</v>
      </c>
      <c r="C6" t="s">
        <v>673</v>
      </c>
      <c r="D6" t="s">
        <v>702</v>
      </c>
      <c r="E6" s="7" t="s">
        <v>703</v>
      </c>
      <c r="F6" s="4" t="s">
        <v>704</v>
      </c>
      <c r="G6" s="5" t="s">
        <v>705</v>
      </c>
      <c r="H6" s="6" t="s">
        <v>706</v>
      </c>
    </row>
    <row r="7" spans="1:8" x14ac:dyDescent="0.2">
      <c r="A7" t="s">
        <v>707</v>
      </c>
      <c r="B7" t="s">
        <v>708</v>
      </c>
      <c r="C7" t="s">
        <v>673</v>
      </c>
      <c r="D7" t="s">
        <v>709</v>
      </c>
      <c r="E7" s="7" t="s">
        <v>710</v>
      </c>
      <c r="F7" s="4" t="s">
        <v>711</v>
      </c>
      <c r="G7" s="5" t="s">
        <v>712</v>
      </c>
      <c r="H7" s="6" t="s">
        <v>713</v>
      </c>
    </row>
    <row r="8" spans="1:8" x14ac:dyDescent="0.2">
      <c r="A8" t="s">
        <v>714</v>
      </c>
      <c r="B8" t="s">
        <v>715</v>
      </c>
      <c r="C8" t="s">
        <v>673</v>
      </c>
      <c r="D8" t="s">
        <v>716</v>
      </c>
      <c r="E8" s="7" t="s">
        <v>717</v>
      </c>
      <c r="F8" s="4" t="s">
        <v>718</v>
      </c>
      <c r="G8" s="5" t="s">
        <v>719</v>
      </c>
      <c r="H8" s="6" t="s">
        <v>720</v>
      </c>
    </row>
    <row r="9" spans="1:8" x14ac:dyDescent="0.2">
      <c r="B9" t="s">
        <v>721</v>
      </c>
      <c r="C9" t="s">
        <v>722</v>
      </c>
      <c r="D9" t="s">
        <v>723</v>
      </c>
      <c r="E9" s="7" t="s">
        <v>724</v>
      </c>
      <c r="F9" s="4" t="s">
        <v>725</v>
      </c>
      <c r="G9" s="5" t="s">
        <v>726</v>
      </c>
      <c r="H9" s="6" t="s">
        <v>727</v>
      </c>
    </row>
    <row r="10" spans="1:8" x14ac:dyDescent="0.2">
      <c r="C10" s="8" t="s">
        <v>728</v>
      </c>
      <c r="D10" s="6" t="s">
        <v>729</v>
      </c>
      <c r="E10" s="7" t="s">
        <v>730</v>
      </c>
      <c r="F10" s="4" t="s">
        <v>731</v>
      </c>
      <c r="G10" s="5" t="s">
        <v>732</v>
      </c>
      <c r="H10" s="6" t="s">
        <v>733</v>
      </c>
    </row>
    <row r="11" spans="1:8" x14ac:dyDescent="0.2">
      <c r="C11" s="8" t="s">
        <v>728</v>
      </c>
      <c r="D11" s="6" t="s">
        <v>734</v>
      </c>
      <c r="E11" s="7" t="s">
        <v>735</v>
      </c>
      <c r="F11" s="4" t="s">
        <v>736</v>
      </c>
      <c r="G11" s="5" t="s">
        <v>737</v>
      </c>
      <c r="H11" s="6" t="s">
        <v>738</v>
      </c>
    </row>
    <row r="12" spans="1:8" x14ac:dyDescent="0.2">
      <c r="C12" s="8" t="s">
        <v>728</v>
      </c>
      <c r="D12" s="6" t="s">
        <v>739</v>
      </c>
      <c r="E12" s="7" t="s">
        <v>740</v>
      </c>
      <c r="F12" s="4" t="s">
        <v>741</v>
      </c>
      <c r="G12" s="5" t="s">
        <v>742</v>
      </c>
      <c r="H12" s="6" t="s">
        <v>743</v>
      </c>
    </row>
    <row r="13" spans="1:8" x14ac:dyDescent="0.2">
      <c r="C13" s="8" t="s">
        <v>728</v>
      </c>
      <c r="D13" s="6" t="s">
        <v>744</v>
      </c>
      <c r="E13" s="7" t="s">
        <v>745</v>
      </c>
      <c r="F13" s="4" t="s">
        <v>746</v>
      </c>
      <c r="G13" s="5" t="s">
        <v>747</v>
      </c>
      <c r="H13" s="6" t="s">
        <v>748</v>
      </c>
    </row>
    <row r="14" spans="1:8" x14ac:dyDescent="0.2">
      <c r="C14" s="8" t="s">
        <v>728</v>
      </c>
      <c r="D14" s="6" t="s">
        <v>749</v>
      </c>
      <c r="E14" s="3" t="s">
        <v>750</v>
      </c>
      <c r="F14" s="4" t="s">
        <v>751</v>
      </c>
      <c r="G14" s="5" t="s">
        <v>752</v>
      </c>
      <c r="H14" s="6" t="s">
        <v>753</v>
      </c>
    </row>
    <row r="15" spans="1:8" x14ac:dyDescent="0.2">
      <c r="C15" t="s">
        <v>754</v>
      </c>
      <c r="D15" t="s">
        <v>755</v>
      </c>
      <c r="E15" s="3" t="s">
        <v>756</v>
      </c>
      <c r="F15" s="4" t="s">
        <v>757</v>
      </c>
      <c r="G15" s="5" t="s">
        <v>758</v>
      </c>
      <c r="H15" s="6" t="s">
        <v>759</v>
      </c>
    </row>
    <row r="16" spans="1:8" x14ac:dyDescent="0.2">
      <c r="C16" t="s">
        <v>754</v>
      </c>
      <c r="D16" t="s">
        <v>760</v>
      </c>
      <c r="E16" s="3" t="s">
        <v>761</v>
      </c>
      <c r="F16" s="4" t="s">
        <v>762</v>
      </c>
      <c r="G16" s="5" t="s">
        <v>763</v>
      </c>
      <c r="H16" s="6" t="s">
        <v>764</v>
      </c>
    </row>
    <row r="17" spans="3:8" x14ac:dyDescent="0.2">
      <c r="C17" t="s">
        <v>754</v>
      </c>
      <c r="D17" s="9" t="s">
        <v>765</v>
      </c>
      <c r="E17" s="3" t="s">
        <v>766</v>
      </c>
      <c r="F17" s="4" t="s">
        <v>767</v>
      </c>
      <c r="G17" s="5" t="s">
        <v>768</v>
      </c>
      <c r="H17" s="6" t="s">
        <v>769</v>
      </c>
    </row>
    <row r="18" spans="3:8" x14ac:dyDescent="0.2">
      <c r="C18" t="s">
        <v>754</v>
      </c>
      <c r="D18" t="s">
        <v>770</v>
      </c>
      <c r="E18" s="7" t="s">
        <v>771</v>
      </c>
      <c r="F18" s="4" t="s">
        <v>772</v>
      </c>
      <c r="G18" s="5" t="s">
        <v>773</v>
      </c>
      <c r="H18" s="6" t="s">
        <v>774</v>
      </c>
    </row>
    <row r="19" spans="3:8" x14ac:dyDescent="0.2">
      <c r="C19" t="s">
        <v>754</v>
      </c>
      <c r="D19" t="s">
        <v>775</v>
      </c>
      <c r="E19" s="3" t="s">
        <v>776</v>
      </c>
      <c r="F19" s="4" t="s">
        <v>777</v>
      </c>
      <c r="G19" s="5" t="s">
        <v>778</v>
      </c>
      <c r="H19" s="6" t="s">
        <v>779</v>
      </c>
    </row>
    <row r="20" spans="3:8" x14ac:dyDescent="0.2">
      <c r="C20" s="2"/>
      <c r="D20" s="2"/>
      <c r="E20" s="7" t="s">
        <v>780</v>
      </c>
      <c r="F20" s="4" t="s">
        <v>781</v>
      </c>
      <c r="G20" s="5" t="s">
        <v>782</v>
      </c>
      <c r="H20" s="6" t="s">
        <v>783</v>
      </c>
    </row>
    <row r="21" spans="3:8" x14ac:dyDescent="0.2">
      <c r="C21" s="2"/>
      <c r="D21" s="2"/>
      <c r="E21" s="7" t="s">
        <v>784</v>
      </c>
      <c r="F21" s="4" t="s">
        <v>785</v>
      </c>
      <c r="G21" s="5" t="s">
        <v>786</v>
      </c>
      <c r="H21" s="6" t="s">
        <v>787</v>
      </c>
    </row>
    <row r="22" spans="3:8" x14ac:dyDescent="0.2">
      <c r="C22" s="2"/>
      <c r="D22" s="2"/>
      <c r="E22" s="7" t="s">
        <v>788</v>
      </c>
      <c r="F22" s="4" t="s">
        <v>789</v>
      </c>
      <c r="G22" s="5" t="s">
        <v>790</v>
      </c>
      <c r="H22" s="6" t="s">
        <v>791</v>
      </c>
    </row>
    <row r="23" spans="3:8" x14ac:dyDescent="0.2">
      <c r="C23" s="2"/>
      <c r="D23" s="2"/>
      <c r="E23" s="7" t="s">
        <v>792</v>
      </c>
      <c r="F23" s="4" t="s">
        <v>793</v>
      </c>
      <c r="G23" s="5" t="s">
        <v>794</v>
      </c>
      <c r="H23" s="6" t="s">
        <v>795</v>
      </c>
    </row>
    <row r="24" spans="3:8" x14ac:dyDescent="0.2">
      <c r="C24" s="2"/>
      <c r="D24" s="2"/>
      <c r="E24" s="7" t="s">
        <v>796</v>
      </c>
      <c r="F24" s="4" t="s">
        <v>797</v>
      </c>
      <c r="G24" s="5" t="s">
        <v>798</v>
      </c>
      <c r="H24" s="6" t="s">
        <v>799</v>
      </c>
    </row>
    <row r="25" spans="3:8" x14ac:dyDescent="0.2">
      <c r="C25" s="2"/>
      <c r="D25" s="2"/>
      <c r="E25" s="7" t="s">
        <v>800</v>
      </c>
      <c r="F25" s="4" t="s">
        <v>801</v>
      </c>
      <c r="G25" s="5" t="s">
        <v>802</v>
      </c>
      <c r="H25" s="6" t="s">
        <v>803</v>
      </c>
    </row>
    <row r="26" spans="3:8" x14ac:dyDescent="0.2">
      <c r="C26" s="2"/>
      <c r="D26" s="2"/>
      <c r="E26" s="7" t="s">
        <v>804</v>
      </c>
      <c r="F26" s="4" t="s">
        <v>805</v>
      </c>
      <c r="G26" s="5" t="s">
        <v>806</v>
      </c>
      <c r="H26" s="10" t="s">
        <v>807</v>
      </c>
    </row>
    <row r="27" spans="3:8" x14ac:dyDescent="0.2">
      <c r="C27" s="2"/>
      <c r="D27" s="2"/>
      <c r="E27" s="7" t="s">
        <v>808</v>
      </c>
      <c r="F27" s="4" t="s">
        <v>809</v>
      </c>
      <c r="G27" s="5" t="s">
        <v>810</v>
      </c>
      <c r="H27" s="6" t="s">
        <v>811</v>
      </c>
    </row>
    <row r="28" spans="3:8" x14ac:dyDescent="0.2">
      <c r="C28" s="2"/>
      <c r="D28" s="2"/>
      <c r="E28" s="7" t="s">
        <v>812</v>
      </c>
      <c r="F28" s="4" t="s">
        <v>813</v>
      </c>
      <c r="G28" s="5" t="s">
        <v>814</v>
      </c>
      <c r="H28" s="6" t="s">
        <v>815</v>
      </c>
    </row>
    <row r="29" spans="3:8" x14ac:dyDescent="0.2">
      <c r="C29" s="2"/>
      <c r="D29" s="2"/>
      <c r="E29" s="2"/>
      <c r="F29" s="4" t="s">
        <v>816</v>
      </c>
      <c r="G29" s="5" t="s">
        <v>817</v>
      </c>
      <c r="H29" s="6" t="s">
        <v>818</v>
      </c>
    </row>
    <row r="30" spans="3:8" x14ac:dyDescent="0.2">
      <c r="C30" s="2"/>
      <c r="D30" s="2"/>
      <c r="E30" s="2"/>
      <c r="F30" s="4" t="s">
        <v>819</v>
      </c>
      <c r="G30" s="5" t="s">
        <v>820</v>
      </c>
      <c r="H30" s="6" t="s">
        <v>821</v>
      </c>
    </row>
    <row r="31" spans="3:8" x14ac:dyDescent="0.2">
      <c r="C31" s="2"/>
      <c r="D31" s="2"/>
      <c r="E31" s="2"/>
      <c r="F31" s="4" t="s">
        <v>822</v>
      </c>
      <c r="G31" s="5" t="s">
        <v>823</v>
      </c>
      <c r="H31" s="10" t="s">
        <v>824</v>
      </c>
    </row>
    <row r="32" spans="3:8" x14ac:dyDescent="0.2">
      <c r="C32" s="2"/>
      <c r="D32" s="2"/>
      <c r="E32" s="2"/>
      <c r="F32" s="4" t="s">
        <v>825</v>
      </c>
      <c r="G32" s="5" t="s">
        <v>826</v>
      </c>
      <c r="H32" s="10" t="s">
        <v>827</v>
      </c>
    </row>
    <row r="33" spans="3:8" x14ac:dyDescent="0.2">
      <c r="C33" s="2"/>
      <c r="D33" s="2"/>
      <c r="E33" s="2"/>
      <c r="F33" s="4" t="s">
        <v>828</v>
      </c>
      <c r="G33" s="5" t="s">
        <v>829</v>
      </c>
      <c r="H33" s="6" t="s">
        <v>830</v>
      </c>
    </row>
    <row r="34" spans="3:8" x14ac:dyDescent="0.2">
      <c r="C34" s="2"/>
      <c r="D34" s="2"/>
      <c r="E34" s="2"/>
      <c r="F34" s="4" t="s">
        <v>831</v>
      </c>
      <c r="G34" s="5" t="s">
        <v>832</v>
      </c>
      <c r="H34" s="6" t="s">
        <v>833</v>
      </c>
    </row>
    <row r="35" spans="3:8" x14ac:dyDescent="0.2">
      <c r="C35" s="2"/>
      <c r="D35" s="2"/>
      <c r="E35" s="2"/>
      <c r="F35" s="4" t="s">
        <v>834</v>
      </c>
      <c r="G35" s="5" t="s">
        <v>835</v>
      </c>
      <c r="H35" s="6" t="s">
        <v>836</v>
      </c>
    </row>
    <row r="36" spans="3:8" x14ac:dyDescent="0.2">
      <c r="C36" s="2"/>
      <c r="D36" s="2"/>
      <c r="E36" s="2"/>
      <c r="F36" s="4" t="s">
        <v>837</v>
      </c>
      <c r="G36" s="5" t="s">
        <v>838</v>
      </c>
      <c r="H36" s="6" t="s">
        <v>839</v>
      </c>
    </row>
    <row r="37" spans="3:8" x14ac:dyDescent="0.2">
      <c r="C37" s="2"/>
      <c r="D37" s="2"/>
      <c r="E37" s="2"/>
      <c r="F37" s="4" t="s">
        <v>840</v>
      </c>
      <c r="G37" s="5" t="s">
        <v>841</v>
      </c>
      <c r="H37" s="6" t="s">
        <v>842</v>
      </c>
    </row>
    <row r="38" spans="3:8" x14ac:dyDescent="0.2">
      <c r="C38" s="2"/>
      <c r="D38" s="2"/>
      <c r="E38" s="2"/>
      <c r="F38" s="4" t="s">
        <v>843</v>
      </c>
      <c r="G38" s="5" t="s">
        <v>844</v>
      </c>
      <c r="H38" s="6" t="s">
        <v>845</v>
      </c>
    </row>
    <row r="39" spans="3:8" x14ac:dyDescent="0.2">
      <c r="C39" s="2"/>
      <c r="D39" s="2"/>
      <c r="E39" s="2"/>
      <c r="F39" s="4" t="s">
        <v>757</v>
      </c>
      <c r="G39" s="5" t="s">
        <v>846</v>
      </c>
      <c r="H39" s="6" t="s">
        <v>847</v>
      </c>
    </row>
    <row r="40" spans="3:8" x14ac:dyDescent="0.2">
      <c r="C40" s="2"/>
      <c r="D40" s="2"/>
      <c r="E40" s="2"/>
      <c r="F40" s="4" t="s">
        <v>848</v>
      </c>
      <c r="G40" s="5" t="s">
        <v>849</v>
      </c>
      <c r="H40" s="6" t="s">
        <v>850</v>
      </c>
    </row>
    <row r="41" spans="3:8" x14ac:dyDescent="0.2">
      <c r="C41" s="2"/>
      <c r="D41" s="2"/>
      <c r="E41" s="2"/>
      <c r="F41" s="4" t="s">
        <v>851</v>
      </c>
      <c r="G41" s="5" t="s">
        <v>852</v>
      </c>
      <c r="H41" s="6" t="s">
        <v>853</v>
      </c>
    </row>
    <row r="42" spans="3:8" x14ac:dyDescent="0.2">
      <c r="C42" s="2"/>
      <c r="D42" s="2"/>
      <c r="E42" s="2"/>
      <c r="F42" s="2"/>
      <c r="G42" s="5" t="s">
        <v>854</v>
      </c>
      <c r="H42" s="6" t="s">
        <v>855</v>
      </c>
    </row>
    <row r="43" spans="3:8" x14ac:dyDescent="0.2">
      <c r="C43" s="2"/>
      <c r="D43" s="2"/>
      <c r="E43" s="2"/>
      <c r="F43" s="2"/>
      <c r="G43" s="5" t="s">
        <v>856</v>
      </c>
      <c r="H43" s="6" t="s">
        <v>857</v>
      </c>
    </row>
    <row r="44" spans="3:8" x14ac:dyDescent="0.2">
      <c r="C44" s="2"/>
      <c r="D44" s="2"/>
      <c r="E44" s="2"/>
      <c r="F44" s="2"/>
      <c r="G44" s="5" t="s">
        <v>858</v>
      </c>
      <c r="H44" s="11" t="s">
        <v>859</v>
      </c>
    </row>
    <row r="45" spans="3:8" x14ac:dyDescent="0.2">
      <c r="C45" s="2"/>
      <c r="D45" s="2"/>
      <c r="E45" s="2"/>
      <c r="F45" s="2"/>
      <c r="G45" s="5" t="s">
        <v>860</v>
      </c>
      <c r="H45" s="6" t="s">
        <v>861</v>
      </c>
    </row>
    <row r="46" spans="3:8" x14ac:dyDescent="0.2">
      <c r="C46" s="2"/>
      <c r="D46" s="2"/>
      <c r="E46" s="2"/>
      <c r="F46" s="2"/>
      <c r="G46" s="5" t="s">
        <v>862</v>
      </c>
      <c r="H46" s="6" t="s">
        <v>863</v>
      </c>
    </row>
    <row r="47" spans="3:8" x14ac:dyDescent="0.2">
      <c r="C47" s="2"/>
      <c r="D47" s="2"/>
      <c r="E47" s="2"/>
      <c r="F47" s="2"/>
      <c r="G47" s="5" t="s">
        <v>864</v>
      </c>
      <c r="H47" s="12" t="s">
        <v>865</v>
      </c>
    </row>
    <row r="48" spans="3:8" x14ac:dyDescent="0.2">
      <c r="C48" s="2"/>
      <c r="D48" s="2"/>
      <c r="E48" s="2"/>
      <c r="F48" s="2"/>
      <c r="G48" s="5" t="s">
        <v>866</v>
      </c>
      <c r="H48" s="6" t="s">
        <v>867</v>
      </c>
    </row>
    <row r="49" spans="3:8" x14ac:dyDescent="0.2">
      <c r="C49" s="2"/>
      <c r="D49" s="2"/>
      <c r="E49" s="2"/>
      <c r="F49" s="2"/>
      <c r="G49" s="5" t="s">
        <v>868</v>
      </c>
      <c r="H49" s="6" t="s">
        <v>869</v>
      </c>
    </row>
    <row r="50" spans="3:8" x14ac:dyDescent="0.2">
      <c r="C50" s="2"/>
      <c r="D50" s="2"/>
      <c r="E50" s="2"/>
      <c r="F50" s="2"/>
      <c r="G50" s="5" t="s">
        <v>870</v>
      </c>
      <c r="H50" s="6" t="s">
        <v>871</v>
      </c>
    </row>
    <row r="51" spans="3:8" x14ac:dyDescent="0.2">
      <c r="C51" s="2"/>
      <c r="D51" s="2"/>
      <c r="E51" s="2"/>
      <c r="F51" s="2"/>
      <c r="G51" s="2"/>
      <c r="H51" s="6" t="s">
        <v>872</v>
      </c>
    </row>
    <row r="52" spans="3:8" x14ac:dyDescent="0.2">
      <c r="C52" s="2"/>
      <c r="D52" s="2"/>
      <c r="E52" s="2"/>
      <c r="F52" s="2"/>
      <c r="G52" s="2"/>
      <c r="H52" s="6" t="s">
        <v>873</v>
      </c>
    </row>
    <row r="53" spans="3:8" x14ac:dyDescent="0.2">
      <c r="C53" s="2"/>
      <c r="D53" s="2"/>
      <c r="E53" s="2"/>
      <c r="F53" s="2"/>
      <c r="G53" s="2"/>
      <c r="H53" s="6" t="s">
        <v>874</v>
      </c>
    </row>
    <row r="54" spans="3:8" x14ac:dyDescent="0.2">
      <c r="C54" s="2"/>
      <c r="D54" s="2"/>
      <c r="E54" s="2"/>
      <c r="F54" s="2"/>
      <c r="G54" s="2"/>
      <c r="H54" s="6" t="s">
        <v>875</v>
      </c>
    </row>
    <row r="55" spans="3:8" x14ac:dyDescent="0.2">
      <c r="C55" s="2"/>
      <c r="D55" s="2"/>
      <c r="E55" s="2"/>
      <c r="F55" s="2"/>
      <c r="G55" s="2"/>
      <c r="H55" s="6" t="s">
        <v>876</v>
      </c>
    </row>
    <row r="56" spans="3:8" x14ac:dyDescent="0.2">
      <c r="C56" s="2"/>
      <c r="D56" s="2"/>
      <c r="E56" s="2"/>
      <c r="F56" s="2"/>
      <c r="G56" s="2"/>
      <c r="H56" s="6" t="s">
        <v>877</v>
      </c>
    </row>
    <row r="57" spans="3:8" x14ac:dyDescent="0.2">
      <c r="C57" s="2"/>
      <c r="D57" s="2"/>
      <c r="E57" s="2"/>
      <c r="F57" s="2"/>
      <c r="G57" s="2"/>
      <c r="H57" s="6" t="s">
        <v>878</v>
      </c>
    </row>
    <row r="58" spans="3:8" x14ac:dyDescent="0.2">
      <c r="C58" s="2"/>
      <c r="D58" s="2"/>
      <c r="E58" s="2"/>
      <c r="F58" s="2"/>
      <c r="G58" s="2"/>
      <c r="H58" s="6" t="s">
        <v>879</v>
      </c>
    </row>
    <row r="59" spans="3:8" x14ac:dyDescent="0.2">
      <c r="C59" s="2"/>
      <c r="D59" s="2"/>
      <c r="E59" s="2"/>
      <c r="F59" s="2"/>
      <c r="G59" s="2"/>
      <c r="H59" s="6" t="s">
        <v>880</v>
      </c>
    </row>
    <row r="60" spans="3:8" x14ac:dyDescent="0.2">
      <c r="C60" s="2"/>
      <c r="D60" s="2"/>
      <c r="E60" s="2"/>
      <c r="F60" s="2"/>
      <c r="G60" s="2"/>
      <c r="H60" s="6" t="s">
        <v>881</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N16" sqref="N16"/>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14</v>
      </c>
      <c r="C1" s="97"/>
      <c r="D1" s="97"/>
      <c r="E1" s="97"/>
      <c r="F1" s="97"/>
      <c r="G1" s="97"/>
      <c r="H1" s="97"/>
      <c r="I1" s="97"/>
      <c r="J1" s="97"/>
      <c r="K1" s="97"/>
      <c r="L1" s="97"/>
      <c r="M1" s="97"/>
      <c r="N1" s="97"/>
      <c r="O1" s="97"/>
    </row>
    <row r="2" spans="1:15" x14ac:dyDescent="0.2">
      <c r="A2" s="58" t="s">
        <v>883</v>
      </c>
      <c r="B2" t="s">
        <v>12</v>
      </c>
    </row>
    <row r="3" spans="1:15" ht="16" x14ac:dyDescent="0.2">
      <c r="A3" s="58" t="s">
        <v>884</v>
      </c>
      <c r="B3" s="27" t="s">
        <v>15</v>
      </c>
    </row>
    <row r="4" spans="1:15" x14ac:dyDescent="0.2">
      <c r="E4" s="13"/>
      <c r="F4" s="13"/>
      <c r="G4" s="16" t="s">
        <v>664</v>
      </c>
      <c r="H4" s="16" t="s">
        <v>679</v>
      </c>
      <c r="I4" s="16" t="s">
        <v>679</v>
      </c>
      <c r="J4" s="16"/>
      <c r="K4" s="16"/>
      <c r="L4" s="16"/>
      <c r="M4" s="16"/>
      <c r="N4" s="16"/>
      <c r="O4" s="16"/>
    </row>
    <row r="5" spans="1:15" x14ac:dyDescent="0.2">
      <c r="A5" s="98" t="s">
        <v>885</v>
      </c>
      <c r="B5" s="97"/>
      <c r="E5" s="99" t="s">
        <v>886</v>
      </c>
      <c r="F5" t="s">
        <v>887</v>
      </c>
      <c r="G5" t="s">
        <v>888</v>
      </c>
      <c r="H5" t="s">
        <v>889</v>
      </c>
      <c r="I5" t="s">
        <v>890</v>
      </c>
    </row>
    <row r="6" spans="1:15" ht="15" customHeight="1" x14ac:dyDescent="0.2">
      <c r="A6" t="s">
        <v>891</v>
      </c>
      <c r="E6" s="97"/>
      <c r="F6" s="1" t="s">
        <v>220</v>
      </c>
      <c r="G6">
        <v>297144</v>
      </c>
      <c r="H6" s="55">
        <v>12.4</v>
      </c>
      <c r="I6" s="55">
        <v>1.5</v>
      </c>
    </row>
    <row r="7" spans="1:15" ht="15.75" customHeight="1" x14ac:dyDescent="0.2">
      <c r="A7" t="s">
        <v>892</v>
      </c>
      <c r="E7" s="97"/>
      <c r="F7" s="1" t="s">
        <v>18</v>
      </c>
      <c r="G7">
        <v>403840</v>
      </c>
      <c r="H7" s="55">
        <v>16.899999999999999</v>
      </c>
      <c r="I7" s="55">
        <v>2</v>
      </c>
    </row>
    <row r="8" spans="1:15" x14ac:dyDescent="0.2">
      <c r="E8" s="97"/>
      <c r="F8" s="1" t="s">
        <v>537</v>
      </c>
      <c r="G8">
        <v>97988</v>
      </c>
      <c r="H8" s="55">
        <v>4.0999999999999996</v>
      </c>
      <c r="I8" s="55">
        <v>0.5</v>
      </c>
    </row>
    <row r="9" spans="1:15" x14ac:dyDescent="0.2">
      <c r="A9" s="98" t="s">
        <v>893</v>
      </c>
      <c r="B9" s="97"/>
      <c r="E9" s="97"/>
      <c r="F9" s="1" t="s">
        <v>449</v>
      </c>
      <c r="G9">
        <v>338936</v>
      </c>
      <c r="H9" s="55">
        <v>14.1</v>
      </c>
      <c r="I9" s="55">
        <v>1.7</v>
      </c>
    </row>
    <row r="10" spans="1:15" x14ac:dyDescent="0.2">
      <c r="A10" t="s">
        <v>894</v>
      </c>
      <c r="E10" s="97"/>
      <c r="F10" s="1" t="s">
        <v>409</v>
      </c>
      <c r="G10">
        <v>79147</v>
      </c>
      <c r="H10" s="55">
        <v>3.3</v>
      </c>
      <c r="I10" s="55">
        <v>0.4</v>
      </c>
    </row>
    <row r="11" spans="1:15" x14ac:dyDescent="0.2">
      <c r="A11" t="s">
        <v>895</v>
      </c>
      <c r="E11" s="97"/>
      <c r="F11" s="1" t="s">
        <v>421</v>
      </c>
      <c r="G11">
        <v>182109</v>
      </c>
      <c r="H11" s="55">
        <v>7.6</v>
      </c>
      <c r="I11" s="55">
        <v>0.9</v>
      </c>
    </row>
    <row r="12" spans="1:15" x14ac:dyDescent="0.2">
      <c r="A12" t="s">
        <v>896</v>
      </c>
      <c r="E12" s="97"/>
      <c r="F12" s="1" t="s">
        <v>470</v>
      </c>
      <c r="G12">
        <v>996888</v>
      </c>
      <c r="H12" s="55">
        <v>41.6</v>
      </c>
      <c r="I12" s="55">
        <v>5</v>
      </c>
    </row>
    <row r="13" spans="1:15" x14ac:dyDescent="0.2">
      <c r="A13" t="s">
        <v>897</v>
      </c>
      <c r="E13" s="97"/>
      <c r="F13" s="1" t="s">
        <v>898</v>
      </c>
      <c r="G13">
        <v>2396052</v>
      </c>
      <c r="H13" s="55">
        <v>100</v>
      </c>
      <c r="I13" s="55">
        <v>12.1</v>
      </c>
    </row>
    <row r="14" spans="1:15" x14ac:dyDescent="0.2">
      <c r="A14" t="s">
        <v>899</v>
      </c>
      <c r="E14" s="97"/>
      <c r="F14" s="1" t="s">
        <v>914</v>
      </c>
      <c r="G14">
        <v>11356117</v>
      </c>
      <c r="H14" s="55" t="s">
        <v>900</v>
      </c>
      <c r="I14" s="55">
        <v>57.1</v>
      </c>
    </row>
    <row r="15" spans="1:15" x14ac:dyDescent="0.2">
      <c r="A15" t="s">
        <v>901</v>
      </c>
      <c r="E15" s="97"/>
      <c r="F15" s="15" t="s">
        <v>1946</v>
      </c>
      <c r="G15">
        <v>19872318</v>
      </c>
      <c r="H15" s="55" t="s">
        <v>900</v>
      </c>
      <c r="I15" s="55">
        <v>100</v>
      </c>
    </row>
    <row r="16" spans="1:15"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882</v>
      </c>
      <c r="B1" s="101" t="s">
        <v>20</v>
      </c>
      <c r="C1" s="102"/>
      <c r="D1" s="102"/>
      <c r="E1" s="102"/>
      <c r="F1" s="102"/>
      <c r="G1" s="102"/>
      <c r="H1" s="102"/>
      <c r="I1" s="102"/>
      <c r="J1" s="102"/>
      <c r="K1" s="102"/>
      <c r="L1" s="102"/>
      <c r="M1" s="102"/>
      <c r="N1" s="102"/>
      <c r="O1" s="102"/>
    </row>
    <row r="2" spans="1:15" x14ac:dyDescent="0.2">
      <c r="A2" s="28" t="s">
        <v>883</v>
      </c>
      <c r="B2" s="56" t="s">
        <v>12</v>
      </c>
      <c r="C2" s="56"/>
      <c r="D2" s="56"/>
      <c r="E2" s="56"/>
      <c r="F2" s="56"/>
      <c r="G2" s="56"/>
      <c r="H2" s="56"/>
      <c r="I2" s="56"/>
      <c r="J2" s="56"/>
      <c r="K2" s="56"/>
      <c r="L2" s="56"/>
      <c r="M2" s="56"/>
      <c r="N2" s="56"/>
      <c r="O2" s="56"/>
    </row>
    <row r="3" spans="1:15" x14ac:dyDescent="0.2">
      <c r="A3" s="28" t="s">
        <v>884</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664</v>
      </c>
      <c r="H4" s="30" t="s">
        <v>679</v>
      </c>
      <c r="I4" s="30" t="s">
        <v>664</v>
      </c>
      <c r="J4" s="30" t="s">
        <v>679</v>
      </c>
      <c r="K4" s="30"/>
      <c r="L4" s="30"/>
      <c r="M4" s="30"/>
      <c r="N4" s="30"/>
      <c r="O4" s="30"/>
    </row>
    <row r="5" spans="1:15" x14ac:dyDescent="0.2">
      <c r="A5" s="103" t="s">
        <v>885</v>
      </c>
      <c r="B5" s="102"/>
      <c r="C5" s="56"/>
      <c r="D5" s="56"/>
      <c r="E5" s="104" t="s">
        <v>886</v>
      </c>
      <c r="F5" s="107" t="s">
        <v>1950</v>
      </c>
      <c r="G5" s="106" t="s">
        <v>911</v>
      </c>
      <c r="H5" s="106"/>
      <c r="I5" s="106" t="s">
        <v>912</v>
      </c>
      <c r="J5" s="106"/>
      <c r="K5" s="56"/>
      <c r="L5" s="56"/>
      <c r="M5" s="56"/>
      <c r="N5" s="56"/>
      <c r="O5" s="56"/>
    </row>
    <row r="6" spans="1:15" ht="15" customHeight="1" x14ac:dyDescent="0.2">
      <c r="A6" s="56" t="s">
        <v>891</v>
      </c>
      <c r="B6" s="56" t="b">
        <v>1</v>
      </c>
      <c r="C6" s="56"/>
      <c r="D6" s="56"/>
      <c r="E6" s="102"/>
      <c r="F6" s="107"/>
      <c r="G6" s="18" t="s">
        <v>888</v>
      </c>
      <c r="H6" s="18" t="s">
        <v>913</v>
      </c>
      <c r="I6" s="18" t="s">
        <v>888</v>
      </c>
      <c r="J6" s="18" t="s">
        <v>913</v>
      </c>
      <c r="K6" s="56"/>
      <c r="L6" s="56"/>
      <c r="M6" s="56"/>
      <c r="N6" s="56"/>
      <c r="O6" s="56"/>
    </row>
    <row r="7" spans="1:15" ht="15.75" customHeight="1" x14ac:dyDescent="0.2">
      <c r="A7" s="56"/>
      <c r="B7" s="56"/>
      <c r="C7" s="56"/>
      <c r="D7" s="56"/>
      <c r="E7" s="102"/>
      <c r="F7" s="17" t="s">
        <v>220</v>
      </c>
      <c r="G7" s="19">
        <v>147902</v>
      </c>
      <c r="H7" s="20">
        <v>49.8</v>
      </c>
      <c r="I7" s="19">
        <v>149242</v>
      </c>
      <c r="J7" s="20">
        <v>50.2</v>
      </c>
      <c r="K7" s="56"/>
      <c r="L7" s="56"/>
      <c r="M7" s="56"/>
      <c r="N7" s="56"/>
      <c r="O7" s="56"/>
    </row>
    <row r="8" spans="1:15" x14ac:dyDescent="0.2">
      <c r="A8" s="56"/>
      <c r="B8" s="56"/>
      <c r="C8" s="56"/>
      <c r="D8" s="56"/>
      <c r="E8" s="102"/>
      <c r="F8" s="17" t="s">
        <v>18</v>
      </c>
      <c r="G8" s="19">
        <v>201512</v>
      </c>
      <c r="H8" s="20">
        <v>49.9</v>
      </c>
      <c r="I8" s="19">
        <v>202328</v>
      </c>
      <c r="J8" s="20">
        <v>50.1</v>
      </c>
      <c r="K8" s="56"/>
      <c r="L8" s="56"/>
      <c r="M8" s="56"/>
      <c r="N8" s="56"/>
      <c r="O8" s="56"/>
    </row>
    <row r="9" spans="1:15" x14ac:dyDescent="0.2">
      <c r="A9" s="103" t="s">
        <v>893</v>
      </c>
      <c r="B9" s="102"/>
      <c r="C9" s="56"/>
      <c r="D9" s="56"/>
      <c r="E9" s="102"/>
      <c r="F9" s="17" t="s">
        <v>537</v>
      </c>
      <c r="G9" s="19">
        <v>49503</v>
      </c>
      <c r="H9" s="20">
        <v>50.5</v>
      </c>
      <c r="I9" s="19">
        <v>48485</v>
      </c>
      <c r="J9" s="20">
        <v>49.5</v>
      </c>
      <c r="K9" s="56"/>
      <c r="L9" s="56"/>
      <c r="M9" s="56"/>
      <c r="N9" s="56"/>
      <c r="O9" s="56"/>
    </row>
    <row r="10" spans="1:15" x14ac:dyDescent="0.2">
      <c r="A10" s="56" t="s">
        <v>894</v>
      </c>
      <c r="B10" s="56"/>
      <c r="C10" s="56"/>
      <c r="D10" s="56"/>
      <c r="E10" s="102"/>
      <c r="F10" s="17" t="s">
        <v>449</v>
      </c>
      <c r="G10" s="19">
        <v>167624</v>
      </c>
      <c r="H10" s="20">
        <v>49.5</v>
      </c>
      <c r="I10" s="19">
        <v>171312</v>
      </c>
      <c r="J10" s="20">
        <v>50.5</v>
      </c>
      <c r="K10" s="56"/>
      <c r="L10" s="56"/>
      <c r="M10" s="56"/>
      <c r="N10" s="56"/>
      <c r="O10" s="56"/>
    </row>
    <row r="11" spans="1:15" x14ac:dyDescent="0.2">
      <c r="A11" s="56" t="s">
        <v>895</v>
      </c>
      <c r="B11" s="56"/>
      <c r="C11" s="56"/>
      <c r="D11" s="56"/>
      <c r="E11" s="102"/>
      <c r="F11" s="17" t="s">
        <v>409</v>
      </c>
      <c r="G11" s="19">
        <v>40993</v>
      </c>
      <c r="H11" s="20">
        <v>51.8</v>
      </c>
      <c r="I11" s="19">
        <v>38154</v>
      </c>
      <c r="J11" s="20">
        <v>48.2</v>
      </c>
      <c r="K11" s="56"/>
      <c r="L11" s="56"/>
      <c r="M11" s="56"/>
      <c r="N11" s="56"/>
      <c r="O11" s="56"/>
    </row>
    <row r="12" spans="1:15" x14ac:dyDescent="0.2">
      <c r="A12" s="56" t="s">
        <v>896</v>
      </c>
      <c r="B12" s="56"/>
      <c r="C12" s="56"/>
      <c r="D12" s="56"/>
      <c r="E12" s="102"/>
      <c r="F12" s="17" t="s">
        <v>421</v>
      </c>
      <c r="G12" s="19">
        <v>90719</v>
      </c>
      <c r="H12" s="20">
        <v>49.8</v>
      </c>
      <c r="I12" s="19">
        <v>91390</v>
      </c>
      <c r="J12" s="20">
        <v>50.2</v>
      </c>
      <c r="K12" s="56"/>
      <c r="L12" s="56"/>
      <c r="M12" s="56"/>
      <c r="N12" s="56"/>
      <c r="O12" s="56"/>
    </row>
    <row r="13" spans="1:15" x14ac:dyDescent="0.2">
      <c r="A13" s="56" t="s">
        <v>897</v>
      </c>
      <c r="B13" s="56"/>
      <c r="C13" s="56"/>
      <c r="D13" s="56"/>
      <c r="E13" s="102"/>
      <c r="F13" s="17" t="s">
        <v>470</v>
      </c>
      <c r="G13" s="19">
        <v>485985</v>
      </c>
      <c r="H13" s="20">
        <v>48.8</v>
      </c>
      <c r="I13" s="19">
        <v>510903</v>
      </c>
      <c r="J13" s="20">
        <v>51.2</v>
      </c>
      <c r="K13" s="56"/>
      <c r="L13" s="56"/>
      <c r="M13" s="56"/>
      <c r="N13" s="56"/>
      <c r="O13" s="56"/>
    </row>
    <row r="14" spans="1:15" x14ac:dyDescent="0.2">
      <c r="A14" s="56" t="s">
        <v>899</v>
      </c>
      <c r="B14" s="56"/>
      <c r="C14" s="56"/>
      <c r="D14" s="56"/>
      <c r="E14" s="102"/>
      <c r="F14" s="17" t="s">
        <v>898</v>
      </c>
      <c r="G14" s="19">
        <v>1184238</v>
      </c>
      <c r="H14" s="20">
        <v>49.4</v>
      </c>
      <c r="I14" s="19">
        <v>1211814</v>
      </c>
      <c r="J14" s="20">
        <v>50.6</v>
      </c>
      <c r="K14" s="56"/>
      <c r="L14" s="56"/>
      <c r="M14" s="56"/>
      <c r="N14" s="56"/>
      <c r="O14" s="56"/>
    </row>
    <row r="15" spans="1:15" x14ac:dyDescent="0.2">
      <c r="A15" s="56" t="s">
        <v>901</v>
      </c>
      <c r="B15" s="56"/>
      <c r="C15" s="56"/>
      <c r="D15" s="56"/>
      <c r="E15" s="102"/>
      <c r="F15" s="17" t="s">
        <v>914</v>
      </c>
      <c r="G15" s="19">
        <v>5614391</v>
      </c>
      <c r="H15" s="20">
        <v>49.4</v>
      </c>
      <c r="I15" s="19">
        <v>5741726</v>
      </c>
      <c r="J15" s="20">
        <v>50.6</v>
      </c>
      <c r="K15" s="56"/>
      <c r="L15" s="56"/>
      <c r="M15" s="56"/>
      <c r="N15" s="56"/>
      <c r="O15" s="56"/>
    </row>
    <row r="16" spans="1:15" x14ac:dyDescent="0.2">
      <c r="A16" s="56"/>
      <c r="B16" s="56"/>
      <c r="C16" s="56"/>
      <c r="D16" s="56"/>
      <c r="E16" s="102"/>
      <c r="F16" s="17" t="s">
        <v>915</v>
      </c>
      <c r="G16" s="19">
        <v>9702417</v>
      </c>
      <c r="H16" s="20">
        <v>48.8</v>
      </c>
      <c r="I16" s="19">
        <v>10169902</v>
      </c>
      <c r="J16" s="20">
        <v>51.2</v>
      </c>
      <c r="K16" s="56"/>
      <c r="L16" s="56"/>
      <c r="M16" s="56"/>
      <c r="N16" s="56"/>
      <c r="O16" s="56"/>
    </row>
    <row r="17" spans="1:15" x14ac:dyDescent="0.2">
      <c r="A17" s="56"/>
      <c r="B17" s="56"/>
      <c r="C17" s="56"/>
      <c r="D17" s="56"/>
      <c r="E17" s="102"/>
      <c r="F17" s="56"/>
      <c r="G17" s="56"/>
      <c r="H17" s="56"/>
      <c r="I17" s="56"/>
      <c r="J17" s="56"/>
      <c r="K17" s="56"/>
      <c r="L17" s="56"/>
      <c r="M17" s="56"/>
      <c r="N17" s="56"/>
      <c r="O17" s="56"/>
    </row>
    <row r="18" spans="1:15" x14ac:dyDescent="0.2">
      <c r="A18" s="103" t="s">
        <v>902</v>
      </c>
      <c r="B18" s="102"/>
      <c r="C18" s="56"/>
      <c r="D18" s="56"/>
      <c r="E18" s="102"/>
      <c r="F18" s="56"/>
      <c r="G18" s="56"/>
      <c r="H18" s="56"/>
      <c r="I18" s="56"/>
      <c r="J18" s="56"/>
      <c r="K18" s="56"/>
      <c r="L18" s="56"/>
      <c r="M18" s="56"/>
      <c r="N18" s="56"/>
      <c r="O18" s="56"/>
    </row>
    <row r="19" spans="1:15" x14ac:dyDescent="0.2">
      <c r="A19" s="56" t="s">
        <v>903</v>
      </c>
      <c r="B19" s="56"/>
      <c r="C19" s="56"/>
      <c r="D19" s="56"/>
      <c r="E19" s="102"/>
      <c r="F19" s="56"/>
      <c r="G19" s="56"/>
      <c r="H19" s="56"/>
      <c r="I19" s="56"/>
      <c r="J19" s="56"/>
      <c r="K19" s="56"/>
      <c r="L19" s="56"/>
      <c r="M19" s="56"/>
      <c r="N19" s="56"/>
      <c r="O19" s="56"/>
    </row>
    <row r="20" spans="1:15" x14ac:dyDescent="0.2">
      <c r="A20" s="56" t="s">
        <v>904</v>
      </c>
      <c r="B20" s="56"/>
      <c r="C20" s="56"/>
      <c r="D20" s="56"/>
      <c r="E20" s="102"/>
      <c r="F20" s="56"/>
      <c r="G20" s="56"/>
      <c r="H20" s="56"/>
      <c r="I20" s="56"/>
      <c r="J20" s="56"/>
      <c r="K20" s="56"/>
      <c r="L20" s="56"/>
      <c r="M20" s="56"/>
      <c r="N20" s="56"/>
      <c r="O20" s="56"/>
    </row>
    <row r="21" spans="1:15" x14ac:dyDescent="0.2">
      <c r="A21" s="56" t="s">
        <v>905</v>
      </c>
      <c r="B21" s="56"/>
      <c r="C21" s="56"/>
      <c r="D21" s="56"/>
      <c r="E21" s="102"/>
      <c r="F21" s="56"/>
      <c r="G21" s="56"/>
      <c r="H21" s="56"/>
      <c r="I21" s="56"/>
      <c r="J21" s="56"/>
      <c r="K21" s="56"/>
      <c r="L21" s="56"/>
      <c r="M21" s="56"/>
      <c r="N21" s="56"/>
      <c r="O21" s="56"/>
    </row>
    <row r="22" spans="1:15" x14ac:dyDescent="0.2">
      <c r="A22" s="56" t="s">
        <v>906</v>
      </c>
      <c r="B22" s="56"/>
      <c r="C22" s="56"/>
      <c r="D22" s="56"/>
      <c r="E22" s="102"/>
      <c r="F22" s="56"/>
      <c r="G22" s="56"/>
      <c r="H22" s="56"/>
      <c r="I22" s="56"/>
      <c r="J22" s="56"/>
      <c r="K22" s="56"/>
      <c r="L22" s="56"/>
      <c r="M22" s="56"/>
      <c r="N22" s="56"/>
      <c r="O22" s="56"/>
    </row>
    <row r="23" spans="1:15" x14ac:dyDescent="0.2">
      <c r="A23" s="56" t="s">
        <v>907</v>
      </c>
      <c r="B23" s="56"/>
      <c r="C23" s="56"/>
      <c r="D23" s="56"/>
      <c r="E23" s="102"/>
      <c r="F23" s="56"/>
      <c r="G23" s="56"/>
      <c r="H23" s="56"/>
      <c r="I23" s="56"/>
      <c r="J23" s="56"/>
      <c r="K23" s="56"/>
      <c r="L23" s="56"/>
      <c r="M23" s="56"/>
      <c r="N23" s="56"/>
      <c r="O23" s="56"/>
    </row>
    <row r="24" spans="1:15" x14ac:dyDescent="0.2">
      <c r="A24" s="56" t="s">
        <v>908</v>
      </c>
      <c r="B24" s="56"/>
      <c r="C24" s="56"/>
      <c r="D24" s="56"/>
      <c r="E24" s="102"/>
      <c r="F24" s="56"/>
      <c r="G24" s="56"/>
      <c r="H24" s="56"/>
      <c r="I24" s="56"/>
      <c r="J24" s="56"/>
      <c r="K24" s="56"/>
      <c r="L24" s="56"/>
      <c r="M24" s="56"/>
      <c r="N24" s="56"/>
      <c r="O24" s="56"/>
    </row>
    <row r="25" spans="1:15" x14ac:dyDescent="0.2">
      <c r="A25" s="56" t="s">
        <v>909</v>
      </c>
      <c r="B25" s="56"/>
      <c r="C25" s="56"/>
      <c r="D25" s="56"/>
      <c r="E25" s="102"/>
      <c r="F25" s="56"/>
      <c r="G25" s="56"/>
      <c r="H25" s="56"/>
      <c r="I25" s="56"/>
      <c r="J25" s="56"/>
      <c r="K25" s="56"/>
      <c r="L25" s="56"/>
      <c r="M25" s="56"/>
      <c r="N25" s="56"/>
      <c r="O25" s="56"/>
    </row>
    <row r="26" spans="1:15" x14ac:dyDescent="0.2">
      <c r="A26" s="56"/>
      <c r="B26" s="56"/>
      <c r="C26" s="56"/>
      <c r="D26" s="56"/>
      <c r="E26" s="102"/>
      <c r="F26" s="56"/>
      <c r="G26" s="56"/>
      <c r="H26" s="56"/>
      <c r="I26" s="56"/>
      <c r="J26" s="56"/>
      <c r="K26" s="56"/>
      <c r="L26" s="56"/>
      <c r="M26" s="56"/>
      <c r="N26" s="56"/>
      <c r="O26" s="56"/>
    </row>
    <row r="27" spans="1:15" x14ac:dyDescent="0.2">
      <c r="A27" s="105" t="s">
        <v>910</v>
      </c>
      <c r="B27" s="102"/>
      <c r="C27" s="56"/>
      <c r="D27" s="56"/>
      <c r="E27" s="102"/>
      <c r="F27" s="56"/>
      <c r="G27" s="56"/>
      <c r="H27" s="56"/>
      <c r="I27" s="56"/>
      <c r="J27" s="56"/>
      <c r="K27" s="56"/>
      <c r="L27" s="56"/>
      <c r="M27" s="56"/>
      <c r="N27" s="56"/>
      <c r="O27" s="56"/>
    </row>
    <row r="28" spans="1:15" x14ac:dyDescent="0.2">
      <c r="A28" s="56"/>
      <c r="B28" s="56"/>
      <c r="C28" s="56"/>
      <c r="D28" s="56"/>
      <c r="E28" s="102"/>
      <c r="F28" s="56"/>
      <c r="G28" s="56"/>
      <c r="H28" s="56"/>
      <c r="I28" s="56"/>
      <c r="J28" s="56"/>
      <c r="K28" s="56"/>
      <c r="L28" s="56"/>
      <c r="M28" s="56"/>
      <c r="N28" s="56"/>
      <c r="O28" s="56"/>
    </row>
    <row r="29" spans="1:15" x14ac:dyDescent="0.2">
      <c r="A29" s="56"/>
      <c r="B29" s="56"/>
      <c r="C29" s="56"/>
      <c r="D29" s="56"/>
      <c r="E29" s="102"/>
      <c r="F29" s="56"/>
      <c r="G29" s="56"/>
      <c r="H29" s="56"/>
      <c r="I29" s="56"/>
      <c r="J29" s="56"/>
      <c r="K29" s="56"/>
      <c r="L29" s="56"/>
      <c r="M29" s="56"/>
      <c r="N29" s="56"/>
      <c r="O29" s="56"/>
    </row>
    <row r="30" spans="1:15" x14ac:dyDescent="0.2">
      <c r="A30" s="56"/>
      <c r="B30" s="56"/>
      <c r="C30" s="56"/>
      <c r="D30" s="56"/>
      <c r="E30" s="102"/>
      <c r="F30" s="56"/>
      <c r="G30" s="56"/>
      <c r="H30" s="56"/>
      <c r="I30" s="56"/>
      <c r="J30" s="56"/>
      <c r="K30" s="56"/>
      <c r="L30" s="56"/>
      <c r="M30" s="56"/>
      <c r="N30" s="56"/>
      <c r="O30" s="56"/>
    </row>
    <row r="31" spans="1:15" x14ac:dyDescent="0.2">
      <c r="A31" s="56"/>
      <c r="B31" s="56"/>
      <c r="C31" s="56"/>
      <c r="D31" s="56"/>
      <c r="E31" s="102"/>
      <c r="F31" s="56"/>
      <c r="G31" s="56"/>
      <c r="H31" s="56"/>
      <c r="I31" s="56"/>
      <c r="J31" s="56"/>
      <c r="K31" s="56"/>
      <c r="L31" s="56"/>
      <c r="M31" s="56"/>
      <c r="N31" s="56"/>
      <c r="O31" s="56"/>
    </row>
    <row r="32" spans="1:15" x14ac:dyDescent="0.2">
      <c r="A32" s="56"/>
      <c r="B32" s="56"/>
      <c r="C32" s="56"/>
      <c r="D32" s="56"/>
      <c r="E32" s="102"/>
      <c r="F32" s="56"/>
      <c r="G32" s="56"/>
      <c r="H32" s="56"/>
      <c r="I32" s="56"/>
      <c r="J32" s="56"/>
      <c r="K32" s="56"/>
      <c r="L32" s="56"/>
      <c r="M32" s="56"/>
      <c r="N32" s="56"/>
      <c r="O32" s="56"/>
    </row>
    <row r="33" spans="1:15" x14ac:dyDescent="0.2">
      <c r="A33" s="56"/>
      <c r="B33" s="56"/>
      <c r="C33" s="56"/>
      <c r="D33" s="56"/>
      <c r="E33" s="102"/>
      <c r="F33" s="56"/>
      <c r="G33" s="56"/>
      <c r="H33" s="56"/>
      <c r="I33" s="56"/>
      <c r="J33" s="56"/>
      <c r="K33" s="56"/>
      <c r="L33" s="56"/>
      <c r="M33" s="56"/>
      <c r="N33" s="56"/>
      <c r="O33" s="56"/>
    </row>
    <row r="34" spans="1:15" x14ac:dyDescent="0.2">
      <c r="A34" s="56"/>
      <c r="B34" s="56"/>
      <c r="C34" s="56"/>
      <c r="D34" s="56"/>
      <c r="E34" s="102"/>
      <c r="F34" s="56"/>
      <c r="G34" s="56"/>
      <c r="H34" s="56"/>
      <c r="I34" s="56"/>
      <c r="J34" s="56"/>
      <c r="K34" s="56"/>
      <c r="L34" s="56"/>
      <c r="M34" s="56"/>
      <c r="N34" s="56"/>
      <c r="O34" s="56"/>
    </row>
    <row r="35" spans="1:15" x14ac:dyDescent="0.2">
      <c r="A35" s="56"/>
      <c r="B35" s="56"/>
      <c r="C35" s="56"/>
      <c r="D35" s="56"/>
      <c r="E35" s="102"/>
      <c r="F35" s="56"/>
      <c r="G35" s="56"/>
      <c r="H35" s="56"/>
      <c r="I35" s="56"/>
      <c r="J35" s="56"/>
      <c r="K35" s="56"/>
      <c r="L35" s="56"/>
      <c r="M35" s="56"/>
      <c r="N35" s="56"/>
      <c r="O35" s="56"/>
    </row>
    <row r="36" spans="1:15" x14ac:dyDescent="0.2">
      <c r="A36" s="56"/>
      <c r="B36" s="56"/>
      <c r="C36" s="56"/>
      <c r="D36" s="56"/>
      <c r="E36" s="102"/>
      <c r="F36" s="56"/>
      <c r="G36" s="56"/>
      <c r="H36" s="56"/>
      <c r="I36" s="56"/>
      <c r="J36" s="56"/>
      <c r="K36" s="56"/>
      <c r="L36" s="56"/>
      <c r="M36" s="56"/>
      <c r="N36" s="56"/>
      <c r="O36" s="56"/>
    </row>
    <row r="37" spans="1:15" x14ac:dyDescent="0.2">
      <c r="A37" s="56"/>
      <c r="B37" s="56"/>
      <c r="C37" s="56"/>
      <c r="D37" s="56"/>
      <c r="E37" s="102"/>
      <c r="F37" s="56"/>
      <c r="G37" s="56"/>
      <c r="H37" s="56"/>
      <c r="I37" s="56"/>
      <c r="J37" s="56"/>
      <c r="K37" s="56"/>
      <c r="L37" s="56"/>
      <c r="M37" s="56"/>
      <c r="N37" s="56"/>
      <c r="O37" s="56"/>
    </row>
    <row r="38" spans="1:15" x14ac:dyDescent="0.2">
      <c r="A38" s="56"/>
      <c r="B38" s="56"/>
      <c r="C38" s="56"/>
      <c r="D38" s="56"/>
      <c r="E38" s="102"/>
      <c r="F38" s="56"/>
      <c r="G38" s="56"/>
      <c r="H38" s="56"/>
      <c r="I38" s="56"/>
      <c r="J38" s="56"/>
      <c r="K38" s="56"/>
      <c r="L38" s="56"/>
      <c r="M38" s="56"/>
      <c r="N38" s="56"/>
      <c r="O38" s="56"/>
    </row>
    <row r="39" spans="1:15" x14ac:dyDescent="0.2">
      <c r="A39" s="56"/>
      <c r="B39" s="56"/>
      <c r="C39" s="56"/>
      <c r="D39" s="56"/>
      <c r="E39" s="102"/>
      <c r="F39" s="56"/>
      <c r="G39" s="56"/>
      <c r="H39" s="56"/>
      <c r="I39" s="56"/>
      <c r="J39" s="56"/>
      <c r="K39" s="56"/>
      <c r="L39" s="56"/>
      <c r="M39" s="56"/>
      <c r="N39" s="56"/>
      <c r="O39" s="56"/>
    </row>
    <row r="40" spans="1:15" x14ac:dyDescent="0.2">
      <c r="A40" s="56"/>
      <c r="B40" s="56"/>
      <c r="C40" s="56"/>
      <c r="D40" s="56"/>
      <c r="E40" s="102"/>
      <c r="F40" s="56"/>
      <c r="G40" s="56"/>
      <c r="H40" s="56"/>
      <c r="I40" s="56"/>
      <c r="J40" s="56"/>
      <c r="K40" s="56"/>
      <c r="L40" s="56"/>
      <c r="M40" s="56"/>
      <c r="N40" s="56"/>
      <c r="O40" s="56"/>
    </row>
    <row r="41" spans="1:15" x14ac:dyDescent="0.2">
      <c r="A41" s="56"/>
      <c r="B41" s="56"/>
      <c r="C41" s="56"/>
      <c r="D41" s="56"/>
      <c r="E41" s="102"/>
      <c r="F41" s="56"/>
      <c r="G41" s="56"/>
      <c r="H41" s="56"/>
      <c r="I41" s="56"/>
      <c r="J41" s="56"/>
      <c r="K41" s="56"/>
      <c r="L41" s="56"/>
      <c r="M41" s="56"/>
      <c r="N41" s="56"/>
      <c r="O41" s="56"/>
    </row>
    <row r="42" spans="1:15" x14ac:dyDescent="0.2">
      <c r="A42" s="56"/>
      <c r="B42" s="56"/>
      <c r="C42" s="56"/>
      <c r="D42" s="56"/>
      <c r="E42" s="102"/>
      <c r="F42" s="56"/>
      <c r="G42" s="56"/>
      <c r="H42" s="56"/>
      <c r="I42" s="56"/>
      <c r="J42" s="56"/>
      <c r="K42" s="56"/>
      <c r="L42" s="56"/>
      <c r="M42" s="56"/>
      <c r="N42" s="56"/>
      <c r="O42" s="56"/>
    </row>
    <row r="43" spans="1:15" x14ac:dyDescent="0.2">
      <c r="A43" s="56"/>
      <c r="B43" s="56"/>
      <c r="C43" s="56"/>
      <c r="D43" s="56"/>
      <c r="E43" s="102"/>
      <c r="F43" s="56"/>
      <c r="G43" s="56"/>
      <c r="H43" s="56"/>
      <c r="I43" s="56"/>
      <c r="J43" s="56"/>
      <c r="K43" s="56"/>
      <c r="L43" s="56"/>
      <c r="M43" s="56"/>
      <c r="N43" s="56"/>
      <c r="O43" s="56"/>
    </row>
    <row r="44" spans="1:15" x14ac:dyDescent="0.2">
      <c r="A44" s="56"/>
      <c r="B44" s="56"/>
      <c r="C44" s="56"/>
      <c r="D44" s="56"/>
      <c r="E44" s="102"/>
      <c r="F44" s="56"/>
      <c r="G44" s="56"/>
      <c r="H44" s="56"/>
      <c r="I44" s="56"/>
      <c r="J44" s="56"/>
      <c r="K44" s="56"/>
      <c r="L44" s="56"/>
      <c r="M44" s="56"/>
      <c r="N44" s="56"/>
      <c r="O44" s="56"/>
    </row>
    <row r="45" spans="1:15" x14ac:dyDescent="0.2">
      <c r="A45" s="56"/>
      <c r="B45" s="56"/>
      <c r="C45" s="56"/>
      <c r="D45" s="56"/>
      <c r="E45" s="102"/>
      <c r="F45" s="56"/>
      <c r="G45" s="56"/>
      <c r="H45" s="56"/>
      <c r="I45" s="56"/>
      <c r="J45" s="56"/>
      <c r="K45" s="56"/>
      <c r="L45" s="56"/>
      <c r="M45" s="56"/>
      <c r="N45" s="56"/>
      <c r="O45" s="56"/>
    </row>
    <row r="46" spans="1:15" x14ac:dyDescent="0.2">
      <c r="A46" s="56"/>
      <c r="B46" s="56"/>
      <c r="C46" s="56"/>
      <c r="D46" s="56"/>
      <c r="E46" s="102"/>
      <c r="F46" s="56"/>
      <c r="G46" s="56"/>
      <c r="H46" s="56"/>
      <c r="I46" s="56"/>
      <c r="J46" s="56"/>
      <c r="K46" s="56"/>
      <c r="L46" s="56"/>
      <c r="M46" s="56"/>
      <c r="N46" s="56"/>
      <c r="O46" s="56"/>
    </row>
    <row r="47" spans="1:15" x14ac:dyDescent="0.2">
      <c r="A47" s="56"/>
      <c r="B47" s="56"/>
      <c r="C47" s="56"/>
      <c r="D47" s="56"/>
      <c r="E47" s="102"/>
      <c r="F47" s="56"/>
      <c r="G47" s="56"/>
      <c r="H47" s="56"/>
      <c r="I47" s="56"/>
      <c r="J47" s="56"/>
      <c r="K47" s="56"/>
      <c r="L47" s="56"/>
      <c r="M47" s="56"/>
      <c r="N47" s="56"/>
      <c r="O47" s="56"/>
    </row>
    <row r="48" spans="1:15" x14ac:dyDescent="0.2">
      <c r="A48" s="56"/>
      <c r="B48" s="56"/>
      <c r="C48" s="56"/>
      <c r="D48" s="56"/>
      <c r="E48" s="102"/>
      <c r="F48" s="56"/>
      <c r="G48" s="56"/>
      <c r="H48" s="56"/>
      <c r="I48" s="56"/>
      <c r="J48" s="56"/>
      <c r="K48" s="56"/>
      <c r="L48" s="56"/>
      <c r="M48" s="56"/>
      <c r="N48" s="56"/>
      <c r="O48" s="56"/>
    </row>
    <row r="49" spans="1:15" x14ac:dyDescent="0.2">
      <c r="A49" s="56"/>
      <c r="B49" s="56"/>
      <c r="C49" s="56"/>
      <c r="D49" s="56"/>
      <c r="E49" s="102"/>
      <c r="F49" s="56"/>
      <c r="G49" s="56"/>
      <c r="H49" s="56"/>
      <c r="I49" s="56"/>
      <c r="J49" s="56"/>
      <c r="K49" s="56"/>
      <c r="L49" s="56"/>
      <c r="M49" s="56"/>
      <c r="N49" s="56"/>
      <c r="O49" s="56"/>
    </row>
    <row r="50" spans="1:15" x14ac:dyDescent="0.2">
      <c r="A50" s="56"/>
      <c r="B50" s="56"/>
      <c r="C50" s="56"/>
      <c r="D50" s="56"/>
      <c r="E50" s="102"/>
      <c r="F50" s="56"/>
      <c r="G50" s="56"/>
      <c r="H50" s="56"/>
      <c r="I50" s="56"/>
      <c r="J50" s="56"/>
      <c r="K50" s="56"/>
      <c r="L50" s="56"/>
      <c r="M50" s="56"/>
      <c r="N50" s="56"/>
      <c r="O50" s="56"/>
    </row>
    <row r="51" spans="1:15" x14ac:dyDescent="0.2">
      <c r="A51" s="56"/>
      <c r="B51" s="56"/>
      <c r="C51" s="56"/>
      <c r="D51" s="56"/>
      <c r="E51" s="102"/>
      <c r="F51" s="56"/>
      <c r="G51" s="56"/>
      <c r="H51" s="56"/>
      <c r="I51" s="56"/>
      <c r="J51" s="56"/>
      <c r="K51" s="56"/>
      <c r="L51" s="56"/>
      <c r="M51" s="56"/>
      <c r="N51" s="56"/>
      <c r="O51" s="56"/>
    </row>
    <row r="52" spans="1:15" x14ac:dyDescent="0.2">
      <c r="A52" s="56"/>
      <c r="B52" s="56"/>
      <c r="C52" s="56"/>
      <c r="D52" s="56"/>
      <c r="E52" s="102"/>
      <c r="F52" s="56"/>
      <c r="G52" s="56"/>
      <c r="H52" s="56"/>
      <c r="I52" s="56"/>
      <c r="J52" s="56"/>
      <c r="K52" s="56"/>
      <c r="L52" s="56"/>
      <c r="M52" s="56"/>
      <c r="N52" s="56"/>
      <c r="O52" s="56"/>
    </row>
    <row r="53" spans="1:15" x14ac:dyDescent="0.2">
      <c r="A53" s="56"/>
      <c r="B53" s="56"/>
      <c r="C53" s="56"/>
      <c r="D53" s="56"/>
      <c r="E53" s="102"/>
      <c r="F53" s="56"/>
      <c r="G53" s="56"/>
      <c r="H53" s="56"/>
      <c r="I53" s="56"/>
      <c r="J53" s="56"/>
      <c r="K53" s="56"/>
      <c r="L53" s="56"/>
      <c r="M53" s="56"/>
      <c r="N53" s="56"/>
      <c r="O53" s="56"/>
    </row>
    <row r="54" spans="1:15" x14ac:dyDescent="0.2">
      <c r="A54" s="56"/>
      <c r="B54" s="56"/>
      <c r="C54" s="56"/>
      <c r="D54" s="56"/>
      <c r="E54" s="102"/>
      <c r="F54" s="56"/>
      <c r="G54" s="56"/>
      <c r="H54" s="56"/>
      <c r="I54" s="56"/>
      <c r="J54" s="56"/>
      <c r="K54" s="56"/>
      <c r="L54" s="56"/>
      <c r="M54" s="56"/>
      <c r="N54" s="56"/>
      <c r="O54" s="56"/>
    </row>
    <row r="55" spans="1:15" x14ac:dyDescent="0.2">
      <c r="A55" s="56"/>
      <c r="B55" s="56"/>
      <c r="C55" s="56"/>
      <c r="D55" s="56"/>
      <c r="E55" s="102"/>
      <c r="F55" s="56"/>
      <c r="G55" s="56"/>
      <c r="H55" s="56"/>
      <c r="I55" s="56"/>
      <c r="J55" s="56"/>
      <c r="K55" s="56"/>
      <c r="L55" s="56"/>
      <c r="M55" s="56"/>
      <c r="N55" s="56"/>
      <c r="O55" s="56"/>
    </row>
    <row r="56" spans="1:15" x14ac:dyDescent="0.2">
      <c r="A56" s="56"/>
      <c r="B56" s="56"/>
      <c r="C56" s="56"/>
      <c r="D56" s="56"/>
      <c r="E56" s="102"/>
      <c r="F56" s="56"/>
      <c r="G56" s="56"/>
      <c r="H56" s="56"/>
      <c r="I56" s="56"/>
      <c r="J56" s="56"/>
      <c r="K56" s="56"/>
      <c r="L56" s="56"/>
      <c r="M56" s="56"/>
      <c r="N56" s="56"/>
      <c r="O56" s="56"/>
    </row>
    <row r="57" spans="1:15" x14ac:dyDescent="0.2">
      <c r="A57" s="56"/>
      <c r="B57" s="56"/>
      <c r="C57" s="56"/>
      <c r="D57" s="56"/>
      <c r="E57" s="102"/>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882</v>
      </c>
      <c r="B1" s="96" t="s">
        <v>23</v>
      </c>
      <c r="C1" s="97"/>
      <c r="D1" s="97"/>
      <c r="E1" s="97"/>
      <c r="F1" s="97"/>
      <c r="G1" s="97"/>
      <c r="H1" s="97"/>
      <c r="I1" s="97"/>
      <c r="J1" s="97"/>
      <c r="K1" s="97"/>
      <c r="L1" s="97"/>
      <c r="M1" s="97"/>
      <c r="N1" s="97"/>
      <c r="O1" s="97"/>
    </row>
    <row r="2" spans="1:28" x14ac:dyDescent="0.2">
      <c r="A2" s="58" t="s">
        <v>883</v>
      </c>
      <c r="B2" t="s">
        <v>12</v>
      </c>
    </row>
    <row r="3" spans="1:28" x14ac:dyDescent="0.2">
      <c r="A3" s="58" t="s">
        <v>884</v>
      </c>
      <c r="B3" t="str">
        <f>IF($B$1="","",_xlfn.XLOOKUP($B$1,Master!$F$2:$F$308,Master!$G$2:$G$308,""))</f>
        <v>tbl-age</v>
      </c>
    </row>
    <row r="4" spans="1:2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c r="AA4" s="16" t="s">
        <v>664</v>
      </c>
      <c r="AB4" s="16" t="s">
        <v>679</v>
      </c>
    </row>
    <row r="5" spans="1:28" x14ac:dyDescent="0.2">
      <c r="A5" s="98" t="s">
        <v>885</v>
      </c>
      <c r="B5" s="97"/>
      <c r="E5" s="99" t="s">
        <v>886</v>
      </c>
      <c r="G5" s="108" t="s">
        <v>916</v>
      </c>
      <c r="H5" s="108"/>
      <c r="I5" s="108" t="s">
        <v>917</v>
      </c>
      <c r="J5" s="108"/>
      <c r="K5" s="108" t="s">
        <v>918</v>
      </c>
      <c r="L5" s="108"/>
      <c r="M5" s="108" t="s">
        <v>919</v>
      </c>
      <c r="N5" s="108"/>
      <c r="O5" s="108" t="s">
        <v>920</v>
      </c>
      <c r="P5" s="108"/>
      <c r="Q5" s="108" t="s">
        <v>921</v>
      </c>
      <c r="R5" s="108"/>
      <c r="S5" s="108" t="s">
        <v>922</v>
      </c>
      <c r="T5" s="108"/>
      <c r="U5" s="108" t="s">
        <v>923</v>
      </c>
      <c r="V5" s="108"/>
      <c r="W5" s="108" t="s">
        <v>924</v>
      </c>
      <c r="X5" s="108"/>
      <c r="Y5" s="108" t="s">
        <v>925</v>
      </c>
      <c r="Z5" s="108"/>
      <c r="AA5" s="108" t="s">
        <v>926</v>
      </c>
      <c r="AB5" s="108"/>
    </row>
    <row r="6" spans="1:28" x14ac:dyDescent="0.2">
      <c r="A6" t="s">
        <v>891</v>
      </c>
      <c r="B6" t="b">
        <v>1</v>
      </c>
      <c r="E6" s="97"/>
      <c r="F6" s="22"/>
      <c r="G6" s="24" t="s">
        <v>888</v>
      </c>
      <c r="H6" s="24" t="s">
        <v>913</v>
      </c>
      <c r="I6" s="24" t="s">
        <v>888</v>
      </c>
      <c r="J6" s="24" t="s">
        <v>913</v>
      </c>
      <c r="K6" s="24" t="s">
        <v>888</v>
      </c>
      <c r="L6" s="24" t="s">
        <v>913</v>
      </c>
      <c r="M6" s="24" t="s">
        <v>888</v>
      </c>
      <c r="N6" s="24" t="s">
        <v>913</v>
      </c>
      <c r="O6" s="24" t="s">
        <v>888</v>
      </c>
      <c r="P6" s="24" t="s">
        <v>913</v>
      </c>
      <c r="Q6" s="24" t="s">
        <v>888</v>
      </c>
      <c r="R6" s="24" t="s">
        <v>913</v>
      </c>
      <c r="S6" s="24" t="s">
        <v>888</v>
      </c>
      <c r="T6" s="24" t="s">
        <v>913</v>
      </c>
      <c r="U6" s="24" t="s">
        <v>888</v>
      </c>
      <c r="V6" s="24" t="s">
        <v>913</v>
      </c>
      <c r="W6" s="24" t="s">
        <v>888</v>
      </c>
      <c r="X6" s="24" t="s">
        <v>913</v>
      </c>
      <c r="Y6" s="24" t="s">
        <v>888</v>
      </c>
      <c r="Z6" s="24" t="s">
        <v>913</v>
      </c>
      <c r="AA6" s="24" t="s">
        <v>888</v>
      </c>
      <c r="AB6" s="24" t="s">
        <v>913</v>
      </c>
    </row>
    <row r="7" spans="1:28" x14ac:dyDescent="0.2">
      <c r="A7" t="s">
        <v>892</v>
      </c>
      <c r="B7" t="s">
        <v>694</v>
      </c>
      <c r="E7" s="97"/>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7"/>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8" t="s">
        <v>893</v>
      </c>
      <c r="B9" s="97"/>
      <c r="E9" s="97"/>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894</v>
      </c>
      <c r="E10" s="97"/>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895</v>
      </c>
      <c r="E11" s="97"/>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896</v>
      </c>
      <c r="E12" s="97"/>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897</v>
      </c>
      <c r="E13" s="97"/>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899</v>
      </c>
      <c r="E14" s="97"/>
      <c r="F14" s="21" t="s">
        <v>898</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901</v>
      </c>
      <c r="E15" s="97"/>
      <c r="F15" s="21" t="s">
        <v>914</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7"/>
      <c r="F16" s="21" t="s">
        <v>915</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7"/>
    </row>
    <row r="18" spans="1:6" ht="19" x14ac:dyDescent="0.2">
      <c r="A18" s="98" t="s">
        <v>902</v>
      </c>
      <c r="B18" s="97"/>
      <c r="E18" s="97"/>
      <c r="F18" s="23"/>
    </row>
    <row r="19" spans="1:6" x14ac:dyDescent="0.2">
      <c r="A19" t="s">
        <v>903</v>
      </c>
      <c r="E19" s="97"/>
    </row>
    <row r="20" spans="1:6" x14ac:dyDescent="0.2">
      <c r="A20" t="s">
        <v>904</v>
      </c>
      <c r="E20" s="97"/>
    </row>
    <row r="21" spans="1:6" x14ac:dyDescent="0.2">
      <c r="A21" t="s">
        <v>905</v>
      </c>
      <c r="E21" s="97"/>
    </row>
    <row r="22" spans="1:6" x14ac:dyDescent="0.2">
      <c r="A22" t="s">
        <v>906</v>
      </c>
      <c r="E22" s="97"/>
    </row>
    <row r="23" spans="1:6" x14ac:dyDescent="0.2">
      <c r="A23" t="s">
        <v>907</v>
      </c>
      <c r="E23" s="97"/>
    </row>
    <row r="24" spans="1:6" x14ac:dyDescent="0.2">
      <c r="A24" t="s">
        <v>908</v>
      </c>
      <c r="E24" s="97"/>
    </row>
    <row r="25" spans="1:6" x14ac:dyDescent="0.2">
      <c r="A25" t="s">
        <v>909</v>
      </c>
      <c r="E25" s="97"/>
    </row>
    <row r="26" spans="1:6" x14ac:dyDescent="0.2">
      <c r="E26" s="97"/>
    </row>
    <row r="27" spans="1:6" x14ac:dyDescent="0.2">
      <c r="A27" s="100" t="s">
        <v>910</v>
      </c>
      <c r="B27" s="97"/>
      <c r="E27" s="97"/>
    </row>
    <row r="28" spans="1:6" x14ac:dyDescent="0.2">
      <c r="E28" s="97"/>
    </row>
    <row r="29" spans="1:6" x14ac:dyDescent="0.2">
      <c r="E29" s="97"/>
    </row>
    <row r="30" spans="1:6" x14ac:dyDescent="0.2">
      <c r="E30" s="97"/>
    </row>
    <row r="31" spans="1:6" x14ac:dyDescent="0.2">
      <c r="E31" s="97"/>
    </row>
    <row r="32" spans="1:6"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7">
    <mergeCell ref="AA5:AB5"/>
    <mergeCell ref="O5:P5"/>
    <mergeCell ref="Q5:R5"/>
    <mergeCell ref="S5:T5"/>
    <mergeCell ref="U5:V5"/>
    <mergeCell ref="W5:X5"/>
    <mergeCell ref="Y5:Z5"/>
    <mergeCell ref="B1:O1"/>
    <mergeCell ref="A5:B5"/>
    <mergeCell ref="E5:E57"/>
    <mergeCell ref="A9:B9"/>
    <mergeCell ref="A18:B18"/>
    <mergeCell ref="A27:B27"/>
    <mergeCell ref="G5:H5"/>
    <mergeCell ref="I5:J5"/>
    <mergeCell ref="K5:L5"/>
    <mergeCell ref="M5:N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25</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tbl-ethnicity</v>
      </c>
    </row>
    <row r="4" spans="1:15" x14ac:dyDescent="0.2">
      <c r="E4" s="13"/>
      <c r="F4" s="13"/>
      <c r="G4" s="16" t="s">
        <v>664</v>
      </c>
      <c r="H4" s="16" t="s">
        <v>679</v>
      </c>
      <c r="I4" s="16" t="s">
        <v>664</v>
      </c>
      <c r="J4" s="16" t="s">
        <v>679</v>
      </c>
      <c r="K4" s="16"/>
      <c r="L4" s="16"/>
      <c r="M4" s="16"/>
      <c r="N4" s="16"/>
      <c r="O4" s="16"/>
    </row>
    <row r="5" spans="1:15" x14ac:dyDescent="0.2">
      <c r="A5" s="98" t="s">
        <v>885</v>
      </c>
      <c r="B5" s="97"/>
      <c r="E5" s="99" t="s">
        <v>886</v>
      </c>
      <c r="F5" s="100" t="s">
        <v>1950</v>
      </c>
      <c r="G5" s="106" t="s">
        <v>927</v>
      </c>
      <c r="H5" s="106"/>
      <c r="I5" s="106" t="s">
        <v>928</v>
      </c>
      <c r="J5" s="106"/>
    </row>
    <row r="6" spans="1:15" ht="15" customHeight="1" x14ac:dyDescent="0.2">
      <c r="A6" t="s">
        <v>891</v>
      </c>
      <c r="B6" t="b">
        <v>1</v>
      </c>
      <c r="E6" s="97"/>
      <c r="F6" s="100"/>
      <c r="G6" s="18" t="s">
        <v>888</v>
      </c>
      <c r="H6" s="18" t="s">
        <v>913</v>
      </c>
      <c r="I6" s="18" t="s">
        <v>888</v>
      </c>
      <c r="J6" s="18" t="s">
        <v>913</v>
      </c>
    </row>
    <row r="7" spans="1:15" ht="15.75" customHeight="1" x14ac:dyDescent="0.2">
      <c r="A7" t="s">
        <v>892</v>
      </c>
      <c r="B7" t="s">
        <v>694</v>
      </c>
      <c r="E7" s="97"/>
      <c r="F7" s="17" t="s">
        <v>220</v>
      </c>
      <c r="G7" s="19">
        <v>44153</v>
      </c>
      <c r="H7" s="20">
        <v>14.9</v>
      </c>
      <c r="I7" s="19">
        <v>252991</v>
      </c>
      <c r="J7" s="20">
        <v>85.1</v>
      </c>
    </row>
    <row r="8" spans="1:15" x14ac:dyDescent="0.2">
      <c r="E8" s="97"/>
      <c r="F8" s="17" t="s">
        <v>18</v>
      </c>
      <c r="G8" s="19">
        <v>93608</v>
      </c>
      <c r="H8" s="20">
        <v>23.2</v>
      </c>
      <c r="I8" s="19">
        <v>310232</v>
      </c>
      <c r="J8" s="20">
        <v>76.8</v>
      </c>
    </row>
    <row r="9" spans="1:15" x14ac:dyDescent="0.2">
      <c r="A9" s="98" t="s">
        <v>893</v>
      </c>
      <c r="B9" s="97"/>
      <c r="E9" s="97"/>
      <c r="F9" s="17" t="s">
        <v>537</v>
      </c>
      <c r="G9" s="19">
        <v>18676</v>
      </c>
      <c r="H9" s="20">
        <v>19.100000000000001</v>
      </c>
      <c r="I9" s="19">
        <v>79312</v>
      </c>
      <c r="J9" s="20">
        <v>80.900000000000006</v>
      </c>
    </row>
    <row r="10" spans="1:15" x14ac:dyDescent="0.2">
      <c r="A10" t="s">
        <v>894</v>
      </c>
      <c r="E10" s="97"/>
      <c r="F10" s="17" t="s">
        <v>449</v>
      </c>
      <c r="G10" s="19">
        <v>67951</v>
      </c>
      <c r="H10" s="20">
        <v>20</v>
      </c>
      <c r="I10" s="19">
        <v>270985</v>
      </c>
      <c r="J10" s="20">
        <v>80</v>
      </c>
    </row>
    <row r="11" spans="1:15" x14ac:dyDescent="0.2">
      <c r="A11" t="s">
        <v>895</v>
      </c>
      <c r="E11" s="97"/>
      <c r="F11" s="17" t="s">
        <v>409</v>
      </c>
      <c r="G11" s="19">
        <v>14544</v>
      </c>
      <c r="H11" s="20">
        <v>18.399999999999999</v>
      </c>
      <c r="I11" s="19">
        <v>64603</v>
      </c>
      <c r="J11" s="20">
        <v>81.599999999999994</v>
      </c>
    </row>
    <row r="12" spans="1:15" x14ac:dyDescent="0.2">
      <c r="A12" t="s">
        <v>896</v>
      </c>
      <c r="E12" s="97"/>
      <c r="F12" s="17" t="s">
        <v>421</v>
      </c>
      <c r="G12" s="19">
        <v>21562</v>
      </c>
      <c r="H12" s="20">
        <v>11.8</v>
      </c>
      <c r="I12" s="19">
        <v>160547</v>
      </c>
      <c r="J12" s="20">
        <v>88.2</v>
      </c>
    </row>
    <row r="13" spans="1:15" x14ac:dyDescent="0.2">
      <c r="A13" t="s">
        <v>897</v>
      </c>
      <c r="E13" s="97"/>
      <c r="F13" s="17" t="s">
        <v>470</v>
      </c>
      <c r="G13" s="19">
        <v>269085</v>
      </c>
      <c r="H13" s="20">
        <v>27</v>
      </c>
      <c r="I13" s="19">
        <v>727803</v>
      </c>
      <c r="J13" s="20">
        <v>73</v>
      </c>
    </row>
    <row r="14" spans="1:15" x14ac:dyDescent="0.2">
      <c r="A14" t="s">
        <v>899</v>
      </c>
      <c r="E14" s="97"/>
      <c r="F14" s="17" t="s">
        <v>898</v>
      </c>
      <c r="G14" s="19">
        <v>529579</v>
      </c>
      <c r="H14" s="20">
        <v>22.1</v>
      </c>
      <c r="I14" s="19">
        <v>1866473</v>
      </c>
      <c r="J14" s="20">
        <v>77.900000000000006</v>
      </c>
    </row>
    <row r="15" spans="1:15" x14ac:dyDescent="0.2">
      <c r="A15" t="s">
        <v>901</v>
      </c>
      <c r="E15" s="97"/>
      <c r="F15" s="17" t="s">
        <v>914</v>
      </c>
      <c r="G15" s="19">
        <v>1478113</v>
      </c>
      <c r="H15" s="20">
        <v>13</v>
      </c>
      <c r="I15" s="19">
        <v>9878004</v>
      </c>
      <c r="J15" s="20">
        <v>87</v>
      </c>
    </row>
    <row r="16" spans="1:15" x14ac:dyDescent="0.2">
      <c r="E16" s="97"/>
      <c r="F16" s="17" t="s">
        <v>915</v>
      </c>
      <c r="G16" s="19">
        <v>3898652</v>
      </c>
      <c r="H16" s="20">
        <v>19.600000000000001</v>
      </c>
      <c r="I16" s="19">
        <v>15973667</v>
      </c>
      <c r="J16" s="20">
        <v>80.400000000000006</v>
      </c>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2" x14ac:dyDescent="0.2">
      <c r="A1" s="58" t="s">
        <v>882</v>
      </c>
      <c r="B1" s="96" t="s">
        <v>29</v>
      </c>
      <c r="C1" s="97"/>
      <c r="D1" s="97"/>
      <c r="E1" s="97"/>
      <c r="F1" s="97"/>
      <c r="G1" s="97"/>
      <c r="H1" s="97"/>
      <c r="I1" s="97"/>
      <c r="J1" s="97"/>
      <c r="K1" s="97"/>
      <c r="L1" s="97"/>
      <c r="M1" s="97"/>
      <c r="N1" s="97"/>
      <c r="O1" s="97"/>
    </row>
    <row r="2" spans="1:22" x14ac:dyDescent="0.2">
      <c r="A2" s="58" t="s">
        <v>883</v>
      </c>
      <c r="B2" t="s">
        <v>12</v>
      </c>
    </row>
    <row r="3" spans="1:22" x14ac:dyDescent="0.2">
      <c r="A3" s="58" t="s">
        <v>884</v>
      </c>
      <c r="B3" t="str">
        <f>IF($B$1="","",_xlfn.XLOOKUP($B$1,Master!$F$2:$F$308,Master!$G$2:$G$308,""))</f>
        <v>tbl-race</v>
      </c>
    </row>
    <row r="4" spans="1:22" x14ac:dyDescent="0.2">
      <c r="E4" s="13"/>
      <c r="F4" s="13"/>
      <c r="G4" s="16" t="s">
        <v>664</v>
      </c>
      <c r="H4" s="16" t="s">
        <v>679</v>
      </c>
      <c r="I4" s="16" t="s">
        <v>664</v>
      </c>
      <c r="J4" s="16" t="s">
        <v>679</v>
      </c>
      <c r="K4" s="16" t="s">
        <v>664</v>
      </c>
      <c r="L4" s="16" t="s">
        <v>686</v>
      </c>
      <c r="M4" s="16" t="s">
        <v>664</v>
      </c>
      <c r="N4" s="16" t="s">
        <v>679</v>
      </c>
      <c r="O4" s="16" t="s">
        <v>664</v>
      </c>
      <c r="P4" s="16" t="s">
        <v>686</v>
      </c>
      <c r="Q4" s="16" t="s">
        <v>664</v>
      </c>
      <c r="R4" s="16" t="s">
        <v>679</v>
      </c>
      <c r="S4" s="16" t="s">
        <v>664</v>
      </c>
      <c r="T4" s="16" t="s">
        <v>679</v>
      </c>
      <c r="U4" s="16"/>
      <c r="V4" s="16"/>
    </row>
    <row r="5" spans="1:22" x14ac:dyDescent="0.2">
      <c r="A5" s="98" t="s">
        <v>885</v>
      </c>
      <c r="B5" s="97"/>
      <c r="E5" s="99" t="s">
        <v>886</v>
      </c>
      <c r="F5" s="110" t="s">
        <v>1950</v>
      </c>
      <c r="G5" s="109" t="s">
        <v>929</v>
      </c>
      <c r="H5" s="109"/>
      <c r="I5" s="109" t="s">
        <v>930</v>
      </c>
      <c r="J5" s="109"/>
      <c r="K5" s="109" t="s">
        <v>931</v>
      </c>
      <c r="L5" s="109"/>
      <c r="M5" s="109" t="s">
        <v>932</v>
      </c>
      <c r="N5" s="109"/>
      <c r="O5" s="109" t="s">
        <v>933</v>
      </c>
      <c r="P5" s="109"/>
      <c r="Q5" s="109" t="s">
        <v>934</v>
      </c>
      <c r="R5" s="109"/>
      <c r="S5" s="109" t="s">
        <v>935</v>
      </c>
      <c r="T5" s="109"/>
    </row>
    <row r="6" spans="1:22" ht="15" customHeight="1" x14ac:dyDescent="0.2">
      <c r="A6" t="s">
        <v>891</v>
      </c>
      <c r="B6" t="b">
        <v>1</v>
      </c>
      <c r="E6" s="97"/>
      <c r="F6" s="110"/>
      <c r="G6" s="31" t="s">
        <v>888</v>
      </c>
      <c r="H6" s="31" t="s">
        <v>913</v>
      </c>
      <c r="I6" s="31" t="s">
        <v>888</v>
      </c>
      <c r="J6" s="31" t="s">
        <v>913</v>
      </c>
      <c r="K6" s="31" t="s">
        <v>888</v>
      </c>
      <c r="L6" s="31" t="s">
        <v>913</v>
      </c>
      <c r="M6" s="31" t="s">
        <v>888</v>
      </c>
      <c r="N6" s="31" t="s">
        <v>913</v>
      </c>
      <c r="O6" s="31" t="s">
        <v>888</v>
      </c>
      <c r="P6" s="31" t="s">
        <v>913</v>
      </c>
      <c r="Q6" s="31" t="s">
        <v>888</v>
      </c>
      <c r="R6" s="31" t="s">
        <v>913</v>
      </c>
      <c r="S6" s="31" t="s">
        <v>888</v>
      </c>
      <c r="T6" s="31" t="s">
        <v>913</v>
      </c>
    </row>
    <row r="7" spans="1:22" ht="15.75" customHeight="1" x14ac:dyDescent="0.2">
      <c r="E7" s="97"/>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7"/>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8" t="s">
        <v>893</v>
      </c>
      <c r="B9" s="97"/>
      <c r="E9" s="97"/>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894</v>
      </c>
      <c r="E10" s="97"/>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895</v>
      </c>
      <c r="E11" s="97"/>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896</v>
      </c>
      <c r="E12" s="97"/>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897</v>
      </c>
      <c r="E13" s="97"/>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899</v>
      </c>
      <c r="E14" s="97"/>
      <c r="F14" s="57" t="s">
        <v>898</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901</v>
      </c>
      <c r="E15" s="97"/>
      <c r="F15" s="57" t="s">
        <v>914</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7"/>
      <c r="F16" s="57" t="s">
        <v>915</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G5" sqref="G5:H5"/>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882</v>
      </c>
      <c r="B1" s="96" t="s">
        <v>32</v>
      </c>
      <c r="C1" s="97"/>
      <c r="D1" s="97"/>
      <c r="E1" s="97"/>
      <c r="F1" s="97"/>
      <c r="G1" s="97"/>
      <c r="H1" s="97"/>
      <c r="I1" s="97"/>
      <c r="J1" s="97"/>
      <c r="K1" s="97"/>
      <c r="L1" s="97"/>
      <c r="M1" s="97"/>
      <c r="N1" s="97"/>
      <c r="O1" s="97"/>
    </row>
    <row r="2" spans="1:18" x14ac:dyDescent="0.2">
      <c r="A2" s="58" t="s">
        <v>883</v>
      </c>
      <c r="B2" t="s">
        <v>12</v>
      </c>
    </row>
    <row r="3" spans="1:18" x14ac:dyDescent="0.2">
      <c r="A3" s="58" t="s">
        <v>884</v>
      </c>
      <c r="B3" t="str">
        <f>IF($B$1="","",_xlfn.XLOOKUP($B$1,Master!$F$2:$F$308,Master!$G$2:$G$308,""))</f>
        <v>tbl-language</v>
      </c>
    </row>
    <row r="4" spans="1:1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row>
    <row r="5" spans="1:18" x14ac:dyDescent="0.2">
      <c r="A5" s="98" t="s">
        <v>885</v>
      </c>
      <c r="B5" s="97"/>
      <c r="E5" s="99" t="s">
        <v>886</v>
      </c>
      <c r="F5" s="100" t="s">
        <v>1950</v>
      </c>
      <c r="G5" s="111" t="s">
        <v>936</v>
      </c>
      <c r="H5" s="111"/>
      <c r="I5" s="111" t="s">
        <v>937</v>
      </c>
      <c r="J5" s="111"/>
      <c r="K5" s="111" t="s">
        <v>938</v>
      </c>
      <c r="L5" s="111"/>
      <c r="M5" s="111" t="s">
        <v>939</v>
      </c>
      <c r="N5" s="111"/>
      <c r="O5" s="111" t="s">
        <v>940</v>
      </c>
      <c r="P5" s="111"/>
      <c r="Q5" s="111" t="s">
        <v>941</v>
      </c>
      <c r="R5" s="111"/>
    </row>
    <row r="6" spans="1:18" ht="15" customHeight="1" x14ac:dyDescent="0.2">
      <c r="A6" t="s">
        <v>891</v>
      </c>
      <c r="B6" t="b">
        <v>1</v>
      </c>
      <c r="E6" s="97"/>
      <c r="F6" s="100"/>
      <c r="G6" s="37" t="s">
        <v>888</v>
      </c>
      <c r="H6" s="37" t="s">
        <v>913</v>
      </c>
      <c r="I6" s="37" t="s">
        <v>888</v>
      </c>
      <c r="J6" s="37" t="s">
        <v>913</v>
      </c>
      <c r="K6" s="37" t="s">
        <v>888</v>
      </c>
      <c r="L6" s="37" t="s">
        <v>913</v>
      </c>
      <c r="M6" s="37" t="s">
        <v>888</v>
      </c>
      <c r="N6" s="37" t="s">
        <v>913</v>
      </c>
      <c r="O6" s="37" t="s">
        <v>888</v>
      </c>
      <c r="P6" s="37" t="s">
        <v>913</v>
      </c>
      <c r="Q6" s="37" t="s">
        <v>888</v>
      </c>
      <c r="R6" s="37" t="s">
        <v>913</v>
      </c>
    </row>
    <row r="7" spans="1:18" ht="15.75" customHeight="1" x14ac:dyDescent="0.2">
      <c r="E7" s="97"/>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7"/>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8" t="s">
        <v>893</v>
      </c>
      <c r="B9" s="97"/>
      <c r="E9" s="97"/>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894</v>
      </c>
      <c r="E10" s="97"/>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895</v>
      </c>
      <c r="E11" s="97"/>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896</v>
      </c>
      <c r="E12" s="97"/>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897</v>
      </c>
      <c r="E13" s="97"/>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899</v>
      </c>
      <c r="E14" s="97"/>
      <c r="F14" s="34" t="s">
        <v>898</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901</v>
      </c>
      <c r="E15" s="97"/>
      <c r="F15" s="34" t="s">
        <v>914</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7"/>
      <c r="F16" s="34" t="s">
        <v>915</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7"/>
    </row>
    <row r="18" spans="1:6" ht="21" x14ac:dyDescent="0.25">
      <c r="A18" s="98" t="s">
        <v>902</v>
      </c>
      <c r="B18" s="97"/>
      <c r="E18" s="97"/>
      <c r="F18" s="36"/>
    </row>
    <row r="19" spans="1:6" x14ac:dyDescent="0.2">
      <c r="A19" t="s">
        <v>903</v>
      </c>
      <c r="E19" s="97"/>
    </row>
    <row r="20" spans="1:6" x14ac:dyDescent="0.2">
      <c r="A20" t="s">
        <v>904</v>
      </c>
      <c r="E20" s="97"/>
    </row>
    <row r="21" spans="1:6" x14ac:dyDescent="0.2">
      <c r="A21" t="s">
        <v>905</v>
      </c>
      <c r="E21" s="97"/>
    </row>
    <row r="22" spans="1:6" x14ac:dyDescent="0.2">
      <c r="A22" t="s">
        <v>906</v>
      </c>
      <c r="E22" s="97"/>
    </row>
    <row r="23" spans="1:6" x14ac:dyDescent="0.2">
      <c r="A23" t="s">
        <v>907</v>
      </c>
      <c r="E23" s="97"/>
    </row>
    <row r="24" spans="1:6" x14ac:dyDescent="0.2">
      <c r="A24" t="s">
        <v>908</v>
      </c>
      <c r="E24" s="97"/>
    </row>
    <row r="25" spans="1:6" x14ac:dyDescent="0.2">
      <c r="A25" t="s">
        <v>909</v>
      </c>
      <c r="E25" s="97"/>
    </row>
    <row r="26" spans="1:6" x14ac:dyDescent="0.2">
      <c r="E26" s="97"/>
    </row>
    <row r="27" spans="1:6" x14ac:dyDescent="0.2">
      <c r="A27" s="100" t="s">
        <v>910</v>
      </c>
      <c r="B27" s="97"/>
      <c r="E27" s="97"/>
    </row>
    <row r="28" spans="1:6" x14ac:dyDescent="0.2">
      <c r="E28" s="97"/>
    </row>
    <row r="29" spans="1:6" x14ac:dyDescent="0.2">
      <c r="E29" s="97"/>
    </row>
    <row r="30" spans="1:6" x14ac:dyDescent="0.2">
      <c r="E30" s="97"/>
    </row>
    <row r="31" spans="1:6" x14ac:dyDescent="0.2">
      <c r="E31" s="97"/>
    </row>
    <row r="32" spans="1:6"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R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48BD237-2D60-6445-8590-522FE6B68971}">
          <x14:formula1>
            <xm:f>Master!$F$2:$F$293</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tbl-pop-25</v>
      </c>
    </row>
    <row r="4" spans="1:15" x14ac:dyDescent="0.2">
      <c r="E4" s="13"/>
      <c r="F4" s="13"/>
      <c r="G4" s="16" t="s">
        <v>664</v>
      </c>
      <c r="H4" s="16"/>
      <c r="I4" s="16"/>
      <c r="J4" s="16"/>
      <c r="K4" s="16"/>
      <c r="L4" s="16"/>
      <c r="M4" s="16"/>
      <c r="N4" s="16"/>
      <c r="O4" s="16"/>
    </row>
    <row r="5" spans="1:15" x14ac:dyDescent="0.2">
      <c r="A5" s="98" t="s">
        <v>885</v>
      </c>
      <c r="B5" s="97"/>
      <c r="E5" s="99" t="s">
        <v>886</v>
      </c>
      <c r="F5" t="s">
        <v>1950</v>
      </c>
      <c r="G5" s="34" t="s">
        <v>888</v>
      </c>
    </row>
    <row r="6" spans="1:15" ht="15" customHeight="1" x14ac:dyDescent="0.2">
      <c r="A6" t="s">
        <v>891</v>
      </c>
      <c r="B6" t="b">
        <v>0</v>
      </c>
      <c r="E6" s="97"/>
      <c r="F6" s="34" t="s">
        <v>220</v>
      </c>
      <c r="G6" s="35">
        <v>211380</v>
      </c>
    </row>
    <row r="7" spans="1:15" ht="15.75" customHeight="1" x14ac:dyDescent="0.2">
      <c r="E7" s="97"/>
      <c r="F7" s="34" t="s">
        <v>18</v>
      </c>
      <c r="G7" s="35">
        <v>258632</v>
      </c>
    </row>
    <row r="8" spans="1:15" x14ac:dyDescent="0.2">
      <c r="E8" s="97"/>
      <c r="F8" s="34" t="s">
        <v>537</v>
      </c>
      <c r="G8" s="35">
        <v>71149</v>
      </c>
    </row>
    <row r="9" spans="1:15" x14ac:dyDescent="0.2">
      <c r="A9" s="98" t="s">
        <v>893</v>
      </c>
      <c r="B9" s="97"/>
      <c r="E9" s="97"/>
      <c r="F9" s="34" t="s">
        <v>449</v>
      </c>
      <c r="G9" s="35">
        <v>208594</v>
      </c>
    </row>
    <row r="10" spans="1:15" x14ac:dyDescent="0.2">
      <c r="A10" t="s">
        <v>894</v>
      </c>
      <c r="E10" s="97"/>
      <c r="F10" s="34" t="s">
        <v>409</v>
      </c>
      <c r="G10" s="35">
        <v>55761</v>
      </c>
    </row>
    <row r="11" spans="1:15" x14ac:dyDescent="0.2">
      <c r="A11" t="s">
        <v>895</v>
      </c>
      <c r="E11" s="97"/>
      <c r="F11" s="34" t="s">
        <v>421</v>
      </c>
      <c r="G11" s="35">
        <v>134325</v>
      </c>
    </row>
    <row r="12" spans="1:15" x14ac:dyDescent="0.2">
      <c r="A12" t="s">
        <v>896</v>
      </c>
      <c r="E12" s="97"/>
      <c r="F12" s="34" t="s">
        <v>470</v>
      </c>
      <c r="G12" s="35">
        <v>697202</v>
      </c>
    </row>
    <row r="13" spans="1:15" x14ac:dyDescent="0.2">
      <c r="A13" t="s">
        <v>897</v>
      </c>
      <c r="E13" s="97"/>
      <c r="F13" s="34" t="s">
        <v>898</v>
      </c>
      <c r="G13" s="35">
        <v>1637043</v>
      </c>
    </row>
    <row r="14" spans="1:15" x14ac:dyDescent="0.2">
      <c r="A14" t="s">
        <v>899</v>
      </c>
      <c r="E14" s="97"/>
      <c r="F14" s="34" t="s">
        <v>914</v>
      </c>
      <c r="G14" s="35">
        <v>7905485</v>
      </c>
    </row>
    <row r="15" spans="1:15" x14ac:dyDescent="0.2">
      <c r="A15" t="s">
        <v>901</v>
      </c>
      <c r="E15" s="97"/>
      <c r="F15" s="34" t="s">
        <v>915</v>
      </c>
      <c r="G15" s="35">
        <v>13996138</v>
      </c>
    </row>
    <row r="16" spans="1:15" x14ac:dyDescent="0.2">
      <c r="E16" s="97"/>
    </row>
    <row r="17" spans="1:6" ht="21" x14ac:dyDescent="0.25">
      <c r="E17" s="97"/>
      <c r="F17" s="36"/>
    </row>
    <row r="18" spans="1:6" x14ac:dyDescent="0.2">
      <c r="A18" s="98" t="s">
        <v>902</v>
      </c>
      <c r="B18" s="97"/>
      <c r="E18" s="97"/>
    </row>
    <row r="19" spans="1:6" x14ac:dyDescent="0.2">
      <c r="A19" t="s">
        <v>903</v>
      </c>
      <c r="E19" s="97"/>
    </row>
    <row r="20" spans="1:6" x14ac:dyDescent="0.2">
      <c r="A20" t="s">
        <v>904</v>
      </c>
      <c r="E20" s="97"/>
    </row>
    <row r="21" spans="1:6" x14ac:dyDescent="0.2">
      <c r="A21" t="s">
        <v>905</v>
      </c>
      <c r="E21" s="97"/>
    </row>
    <row r="22" spans="1:6" x14ac:dyDescent="0.2">
      <c r="A22" t="s">
        <v>906</v>
      </c>
      <c r="E22" s="97"/>
    </row>
    <row r="23" spans="1:6" x14ac:dyDescent="0.2">
      <c r="A23" t="s">
        <v>907</v>
      </c>
      <c r="E23" s="97"/>
    </row>
    <row r="24" spans="1:6" x14ac:dyDescent="0.2">
      <c r="A24" t="s">
        <v>908</v>
      </c>
      <c r="E24" s="97"/>
    </row>
    <row r="25" spans="1:6" x14ac:dyDescent="0.2">
      <c r="A25" t="s">
        <v>909</v>
      </c>
      <c r="E25" s="97"/>
    </row>
    <row r="26" spans="1:6" x14ac:dyDescent="0.2">
      <c r="E26" s="97"/>
    </row>
    <row r="27" spans="1:6" x14ac:dyDescent="0.2">
      <c r="A27" s="100" t="s">
        <v>910</v>
      </c>
      <c r="B27" s="97"/>
      <c r="E27" s="97"/>
    </row>
    <row r="28" spans="1:6" x14ac:dyDescent="0.2">
      <c r="E28" s="97"/>
    </row>
    <row r="29" spans="1:6" x14ac:dyDescent="0.2">
      <c r="E29" s="97"/>
    </row>
    <row r="30" spans="1:6" x14ac:dyDescent="0.2">
      <c r="E30" s="97"/>
    </row>
    <row r="31" spans="1:6" x14ac:dyDescent="0.2">
      <c r="E31" s="97"/>
    </row>
    <row r="32" spans="1:6"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election activeCell="G23" sqref="G2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882</v>
      </c>
      <c r="B1" s="96" t="s">
        <v>40</v>
      </c>
      <c r="C1" s="97"/>
      <c r="D1" s="97"/>
      <c r="E1" s="97"/>
      <c r="F1" s="97"/>
      <c r="G1" s="97"/>
      <c r="H1" s="97"/>
      <c r="I1" s="97"/>
      <c r="J1" s="97"/>
      <c r="K1" s="97"/>
      <c r="L1" s="97"/>
      <c r="M1" s="97"/>
      <c r="N1" s="97"/>
      <c r="O1" s="97"/>
    </row>
    <row r="2" spans="1:20" x14ac:dyDescent="0.2">
      <c r="A2" s="58" t="s">
        <v>883</v>
      </c>
      <c r="B2" t="s">
        <v>12</v>
      </c>
    </row>
    <row r="3" spans="1:20" x14ac:dyDescent="0.2">
      <c r="A3" s="58" t="s">
        <v>884</v>
      </c>
      <c r="B3" t="str">
        <f>IF($B$1="","",_xlfn.XLOOKUP($B$1,Master!$F$2:$F$308,Master!$G$2:$G$308,""))</f>
        <v>tbl-education-base</v>
      </c>
    </row>
    <row r="4" spans="1:20"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row>
    <row r="5" spans="1:20" x14ac:dyDescent="0.2">
      <c r="A5" s="98" t="s">
        <v>885</v>
      </c>
      <c r="B5" s="97"/>
      <c r="E5" s="99" t="s">
        <v>886</v>
      </c>
      <c r="F5" s="100" t="s">
        <v>1950</v>
      </c>
      <c r="G5" s="109" t="s">
        <v>942</v>
      </c>
      <c r="H5" s="109"/>
      <c r="I5" s="109" t="s">
        <v>943</v>
      </c>
      <c r="J5" s="109"/>
      <c r="K5" s="109" t="s">
        <v>944</v>
      </c>
      <c r="L5" s="109"/>
      <c r="M5" s="109" t="s">
        <v>945</v>
      </c>
      <c r="N5" s="109"/>
      <c r="O5" s="109" t="s">
        <v>946</v>
      </c>
      <c r="P5" s="109"/>
      <c r="Q5" s="109" t="s">
        <v>947</v>
      </c>
      <c r="R5" s="109"/>
      <c r="S5" s="109" t="s">
        <v>948</v>
      </c>
      <c r="T5" s="109"/>
    </row>
    <row r="6" spans="1:20" x14ac:dyDescent="0.2">
      <c r="A6" t="s">
        <v>891</v>
      </c>
      <c r="B6" t="b">
        <v>1</v>
      </c>
      <c r="E6" s="97"/>
      <c r="F6" s="100"/>
      <c r="G6" s="31" t="s">
        <v>949</v>
      </c>
      <c r="H6" s="31" t="s">
        <v>913</v>
      </c>
      <c r="I6" s="31" t="s">
        <v>949</v>
      </c>
      <c r="J6" s="31" t="s">
        <v>913</v>
      </c>
      <c r="K6" s="31" t="s">
        <v>949</v>
      </c>
      <c r="L6" s="31" t="s">
        <v>913</v>
      </c>
      <c r="M6" s="31" t="s">
        <v>949</v>
      </c>
      <c r="N6" s="31" t="s">
        <v>913</v>
      </c>
      <c r="O6" s="31" t="s">
        <v>949</v>
      </c>
      <c r="P6" s="31" t="s">
        <v>913</v>
      </c>
      <c r="Q6" s="31" t="s">
        <v>949</v>
      </c>
      <c r="R6" s="31" t="s">
        <v>913</v>
      </c>
      <c r="S6" s="31" t="s">
        <v>949</v>
      </c>
      <c r="T6" s="31" t="s">
        <v>913</v>
      </c>
    </row>
    <row r="7" spans="1:20" ht="15.75" customHeight="1" x14ac:dyDescent="0.2">
      <c r="E7" s="97"/>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7"/>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8" t="s">
        <v>893</v>
      </c>
      <c r="B9" s="97"/>
      <c r="E9" s="97"/>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894</v>
      </c>
      <c r="E10" s="97"/>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895</v>
      </c>
      <c r="E11" s="97"/>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896</v>
      </c>
      <c r="E12" s="97"/>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897</v>
      </c>
      <c r="E13" s="97"/>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899</v>
      </c>
      <c r="E14" s="97"/>
      <c r="F14" s="17" t="s">
        <v>898</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901</v>
      </c>
      <c r="E15" s="97"/>
      <c r="F15" s="17" t="s">
        <v>914</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7"/>
      <c r="F16" s="17" t="s">
        <v>915</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4">
    <mergeCell ref="B1:O1"/>
    <mergeCell ref="A5:B5"/>
    <mergeCell ref="E5:E57"/>
    <mergeCell ref="A9:B9"/>
    <mergeCell ref="A18:B18"/>
    <mergeCell ref="A27:B27"/>
    <mergeCell ref="G5:H5"/>
    <mergeCell ref="I5:J5"/>
    <mergeCell ref="F5:F6"/>
    <mergeCell ref="S5:T5"/>
    <mergeCell ref="Q5:R5"/>
    <mergeCell ref="O5:P5"/>
    <mergeCell ref="M5:N5"/>
    <mergeCell ref="K5:L5"/>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42</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tbl-households</v>
      </c>
    </row>
    <row r="4" spans="1:15" x14ac:dyDescent="0.2">
      <c r="E4" s="13"/>
      <c r="F4" s="13"/>
      <c r="G4" s="16" t="s">
        <v>664</v>
      </c>
      <c r="H4" s="16"/>
      <c r="I4" s="16"/>
      <c r="J4" s="16"/>
      <c r="K4" s="16"/>
      <c r="L4" s="16"/>
      <c r="M4" s="16"/>
      <c r="N4" s="16"/>
      <c r="O4" s="16"/>
    </row>
    <row r="5" spans="1:15" x14ac:dyDescent="0.2">
      <c r="A5" s="98" t="s">
        <v>885</v>
      </c>
      <c r="B5" s="97"/>
      <c r="E5" s="99" t="s">
        <v>886</v>
      </c>
      <c r="G5" s="17" t="s">
        <v>950</v>
      </c>
    </row>
    <row r="6" spans="1:15" ht="15" customHeight="1" x14ac:dyDescent="0.2">
      <c r="A6" t="s">
        <v>891</v>
      </c>
      <c r="B6" t="b">
        <v>0</v>
      </c>
      <c r="E6" s="97"/>
      <c r="F6" s="17" t="s">
        <v>220</v>
      </c>
      <c r="G6" s="19">
        <v>115184</v>
      </c>
    </row>
    <row r="7" spans="1:15" ht="15.75" customHeight="1" x14ac:dyDescent="0.2">
      <c r="E7" s="97"/>
      <c r="F7" s="17" t="s">
        <v>18</v>
      </c>
      <c r="G7" s="19">
        <v>137311</v>
      </c>
    </row>
    <row r="8" spans="1:15" x14ac:dyDescent="0.2">
      <c r="E8" s="97"/>
      <c r="F8" s="17" t="s">
        <v>537</v>
      </c>
      <c r="G8" s="19">
        <v>35054</v>
      </c>
    </row>
    <row r="9" spans="1:15" x14ac:dyDescent="0.2">
      <c r="A9" s="98" t="s">
        <v>893</v>
      </c>
      <c r="B9" s="97"/>
      <c r="E9" s="97"/>
      <c r="F9" s="17" t="s">
        <v>449</v>
      </c>
      <c r="G9" s="19">
        <v>103284</v>
      </c>
    </row>
    <row r="10" spans="1:15" x14ac:dyDescent="0.2">
      <c r="A10" t="s">
        <v>894</v>
      </c>
      <c r="E10" s="97"/>
      <c r="F10" s="17" t="s">
        <v>409</v>
      </c>
      <c r="G10" s="19">
        <v>30215</v>
      </c>
    </row>
    <row r="11" spans="1:15" x14ac:dyDescent="0.2">
      <c r="A11" t="s">
        <v>895</v>
      </c>
      <c r="E11" s="97"/>
      <c r="F11" s="17" t="s">
        <v>421</v>
      </c>
      <c r="G11" s="19">
        <v>73105</v>
      </c>
    </row>
    <row r="12" spans="1:15" x14ac:dyDescent="0.2">
      <c r="A12" t="s">
        <v>896</v>
      </c>
      <c r="E12" s="97"/>
      <c r="F12" s="17" t="s">
        <v>470</v>
      </c>
      <c r="G12" s="19">
        <v>370256</v>
      </c>
    </row>
    <row r="13" spans="1:15" x14ac:dyDescent="0.2">
      <c r="A13" t="s">
        <v>897</v>
      </c>
      <c r="E13" s="97"/>
      <c r="F13" s="17" t="s">
        <v>898</v>
      </c>
      <c r="G13" s="19">
        <v>864409</v>
      </c>
    </row>
    <row r="14" spans="1:15" x14ac:dyDescent="0.2">
      <c r="A14" t="s">
        <v>899</v>
      </c>
      <c r="E14" s="97"/>
      <c r="F14" s="17" t="s">
        <v>914</v>
      </c>
      <c r="G14" s="19">
        <v>4355640</v>
      </c>
    </row>
    <row r="15" spans="1:15" x14ac:dyDescent="0.2">
      <c r="A15" t="s">
        <v>901</v>
      </c>
      <c r="E15" s="97"/>
      <c r="F15" s="17" t="s">
        <v>915</v>
      </c>
      <c r="G15" s="19">
        <v>7668956</v>
      </c>
    </row>
    <row r="16" spans="1:15"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882</v>
      </c>
      <c r="B1" s="96" t="s">
        <v>46</v>
      </c>
      <c r="C1" s="97"/>
      <c r="D1" s="97"/>
      <c r="E1" s="97"/>
      <c r="F1" s="97"/>
      <c r="G1" s="97"/>
      <c r="H1" s="97"/>
      <c r="I1" s="97"/>
      <c r="J1" s="97"/>
      <c r="K1" s="97"/>
      <c r="L1" s="97"/>
      <c r="M1" s="97"/>
      <c r="N1" s="97"/>
      <c r="O1" s="97"/>
    </row>
    <row r="2" spans="1:26" x14ac:dyDescent="0.2">
      <c r="A2" s="58" t="s">
        <v>883</v>
      </c>
      <c r="B2" t="s">
        <v>12</v>
      </c>
    </row>
    <row r="3" spans="1:26" x14ac:dyDescent="0.2">
      <c r="A3" s="58" t="s">
        <v>884</v>
      </c>
      <c r="B3" t="str">
        <f>IF($B$1="","",_xlfn.XLOOKUP($B$1,Master!$F$2:$F$308,Master!$G$2:$G$308,""))</f>
        <v>tbl-income</v>
      </c>
    </row>
    <row r="4" spans="1:26"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row>
    <row r="5" spans="1:26" x14ac:dyDescent="0.2">
      <c r="A5" s="98" t="s">
        <v>885</v>
      </c>
      <c r="B5" s="97"/>
      <c r="E5" s="99" t="s">
        <v>886</v>
      </c>
      <c r="F5" s="100" t="s">
        <v>1950</v>
      </c>
      <c r="G5" s="106" t="s">
        <v>951</v>
      </c>
      <c r="H5" s="106"/>
      <c r="I5" s="106" t="s">
        <v>952</v>
      </c>
      <c r="J5" s="106"/>
      <c r="K5" s="106" t="s">
        <v>953</v>
      </c>
      <c r="L5" s="106"/>
      <c r="M5" s="106" t="s">
        <v>954</v>
      </c>
      <c r="N5" s="106"/>
      <c r="O5" s="106" t="s">
        <v>955</v>
      </c>
      <c r="P5" s="106"/>
      <c r="Q5" s="106" t="s">
        <v>956</v>
      </c>
      <c r="R5" s="106"/>
      <c r="S5" s="106" t="s">
        <v>957</v>
      </c>
      <c r="T5" s="106"/>
      <c r="U5" s="106" t="s">
        <v>958</v>
      </c>
      <c r="V5" s="106"/>
      <c r="W5" s="106" t="s">
        <v>959</v>
      </c>
      <c r="X5" s="106"/>
      <c r="Y5" s="106" t="s">
        <v>960</v>
      </c>
      <c r="Z5" s="106"/>
    </row>
    <row r="6" spans="1:26" ht="15" customHeight="1" x14ac:dyDescent="0.2">
      <c r="A6" t="s">
        <v>891</v>
      </c>
      <c r="B6" t="b">
        <v>1</v>
      </c>
      <c r="E6" s="97"/>
      <c r="F6" s="100"/>
      <c r="G6" s="18" t="s">
        <v>888</v>
      </c>
      <c r="H6" s="18" t="s">
        <v>913</v>
      </c>
      <c r="I6" s="18" t="s">
        <v>888</v>
      </c>
      <c r="J6" s="18" t="s">
        <v>913</v>
      </c>
      <c r="K6" s="18" t="s">
        <v>888</v>
      </c>
      <c r="L6" s="18" t="s">
        <v>913</v>
      </c>
      <c r="M6" s="18" t="s">
        <v>888</v>
      </c>
      <c r="N6" s="18" t="s">
        <v>913</v>
      </c>
      <c r="O6" s="18" t="s">
        <v>888</v>
      </c>
      <c r="P6" s="18" t="s">
        <v>913</v>
      </c>
      <c r="Q6" s="18" t="s">
        <v>888</v>
      </c>
      <c r="R6" s="18" t="s">
        <v>913</v>
      </c>
      <c r="S6" s="18" t="s">
        <v>888</v>
      </c>
      <c r="T6" s="18" t="s">
        <v>913</v>
      </c>
      <c r="U6" s="18" t="s">
        <v>888</v>
      </c>
      <c r="V6" s="18" t="s">
        <v>913</v>
      </c>
      <c r="W6" s="18" t="s">
        <v>888</v>
      </c>
      <c r="X6" s="18" t="s">
        <v>913</v>
      </c>
      <c r="Y6" s="18" t="s">
        <v>888</v>
      </c>
      <c r="Z6" s="18" t="s">
        <v>913</v>
      </c>
    </row>
    <row r="7" spans="1:26" ht="15.75" customHeight="1" x14ac:dyDescent="0.2">
      <c r="E7" s="97"/>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7"/>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8" t="s">
        <v>893</v>
      </c>
      <c r="B9" s="97"/>
      <c r="E9" s="97"/>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894</v>
      </c>
      <c r="E10" s="97"/>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895</v>
      </c>
      <c r="E11" s="97"/>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896</v>
      </c>
      <c r="E12" s="97"/>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897</v>
      </c>
      <c r="E13" s="97"/>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899</v>
      </c>
      <c r="E14" s="97"/>
      <c r="F14" s="17" t="s">
        <v>898</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901</v>
      </c>
      <c r="E15" s="97"/>
      <c r="F15" s="17" t="s">
        <v>914</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7"/>
      <c r="F16" s="17" t="s">
        <v>915</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7">
    <mergeCell ref="B1:O1"/>
    <mergeCell ref="A5:B5"/>
    <mergeCell ref="E5:E57"/>
    <mergeCell ref="A9:B9"/>
    <mergeCell ref="A18:B18"/>
    <mergeCell ref="A27:B27"/>
    <mergeCell ref="O5:P5"/>
    <mergeCell ref="M5:N5"/>
    <mergeCell ref="K5:L5"/>
    <mergeCell ref="I5:J5"/>
    <mergeCell ref="G5:H5"/>
    <mergeCell ref="F5:F6"/>
    <mergeCell ref="Y5:Z5"/>
    <mergeCell ref="W5:X5"/>
    <mergeCell ref="U5:V5"/>
    <mergeCell ref="S5:T5"/>
    <mergeCell ref="Q5:R5"/>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49</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tbl-veteran</v>
      </c>
    </row>
    <row r="4" spans="1:15" x14ac:dyDescent="0.2">
      <c r="E4" s="13"/>
      <c r="F4" s="13"/>
      <c r="G4" s="16" t="s">
        <v>664</v>
      </c>
      <c r="H4" s="16" t="s">
        <v>664</v>
      </c>
      <c r="I4" s="16" t="s">
        <v>679</v>
      </c>
      <c r="J4" s="16"/>
      <c r="K4" s="16"/>
      <c r="L4" s="16"/>
      <c r="M4" s="16"/>
      <c r="N4" s="16"/>
      <c r="O4" s="16"/>
    </row>
    <row r="5" spans="1:15" x14ac:dyDescent="0.2">
      <c r="A5" s="98" t="s">
        <v>885</v>
      </c>
      <c r="B5" s="97"/>
      <c r="E5" s="99" t="s">
        <v>886</v>
      </c>
      <c r="F5" s="100" t="s">
        <v>1950</v>
      </c>
      <c r="G5" s="57" t="s">
        <v>961</v>
      </c>
      <c r="H5" s="109" t="s">
        <v>962</v>
      </c>
      <c r="I5" s="109"/>
    </row>
    <row r="6" spans="1:15" ht="15" customHeight="1" x14ac:dyDescent="0.2">
      <c r="A6" t="s">
        <v>891</v>
      </c>
      <c r="B6" t="b">
        <v>1</v>
      </c>
      <c r="E6" s="97"/>
      <c r="F6" s="100"/>
      <c r="G6" s="31" t="s">
        <v>888</v>
      </c>
      <c r="H6" s="31" t="s">
        <v>888</v>
      </c>
      <c r="I6" s="31" t="s">
        <v>913</v>
      </c>
    </row>
    <row r="7" spans="1:15" ht="15.75" customHeight="1" x14ac:dyDescent="0.2">
      <c r="E7" s="97"/>
      <c r="F7" s="17" t="s">
        <v>220</v>
      </c>
      <c r="G7" s="32">
        <v>241517</v>
      </c>
      <c r="H7" s="32">
        <v>11694</v>
      </c>
      <c r="I7" s="33">
        <v>4.8</v>
      </c>
    </row>
    <row r="8" spans="1:15" x14ac:dyDescent="0.2">
      <c r="E8" s="97"/>
      <c r="F8" s="17" t="s">
        <v>18</v>
      </c>
      <c r="G8" s="32">
        <v>296319</v>
      </c>
      <c r="H8" s="32">
        <v>16695</v>
      </c>
      <c r="I8" s="33">
        <v>5.6</v>
      </c>
    </row>
    <row r="9" spans="1:15" x14ac:dyDescent="0.2">
      <c r="A9" s="98" t="s">
        <v>893</v>
      </c>
      <c r="B9" s="97"/>
      <c r="E9" s="97"/>
      <c r="F9" s="17" t="s">
        <v>537</v>
      </c>
      <c r="G9" s="32">
        <v>78712</v>
      </c>
      <c r="H9" s="32">
        <v>3320</v>
      </c>
      <c r="I9" s="33">
        <v>4.2</v>
      </c>
    </row>
    <row r="10" spans="1:15" x14ac:dyDescent="0.2">
      <c r="A10" t="s">
        <v>894</v>
      </c>
      <c r="E10" s="97"/>
      <c r="F10" s="17" t="s">
        <v>449</v>
      </c>
      <c r="G10" s="32">
        <v>239088</v>
      </c>
      <c r="H10" s="32">
        <v>7130</v>
      </c>
      <c r="I10" s="33">
        <v>3</v>
      </c>
    </row>
    <row r="11" spans="1:15" x14ac:dyDescent="0.2">
      <c r="A11" t="s">
        <v>895</v>
      </c>
      <c r="E11" s="97"/>
      <c r="F11" s="17" t="s">
        <v>409</v>
      </c>
      <c r="G11" s="32">
        <v>62181</v>
      </c>
      <c r="H11" s="32">
        <v>3713</v>
      </c>
      <c r="I11" s="33">
        <v>6</v>
      </c>
    </row>
    <row r="12" spans="1:15" x14ac:dyDescent="0.2">
      <c r="A12" t="s">
        <v>896</v>
      </c>
      <c r="E12" s="97"/>
      <c r="F12" s="17" t="s">
        <v>421</v>
      </c>
      <c r="G12" s="32">
        <v>150409</v>
      </c>
      <c r="H12" s="32">
        <v>6711</v>
      </c>
      <c r="I12" s="33">
        <v>4.5</v>
      </c>
    </row>
    <row r="13" spans="1:15" x14ac:dyDescent="0.2">
      <c r="A13" t="s">
        <v>897</v>
      </c>
      <c r="E13" s="97"/>
      <c r="F13" s="17" t="s">
        <v>470</v>
      </c>
      <c r="G13" s="32">
        <v>781837</v>
      </c>
      <c r="H13" s="32">
        <v>23744</v>
      </c>
      <c r="I13" s="33">
        <v>3</v>
      </c>
    </row>
    <row r="14" spans="1:15" x14ac:dyDescent="0.2">
      <c r="A14" t="s">
        <v>899</v>
      </c>
      <c r="E14" s="97"/>
      <c r="F14" s="17" t="s">
        <v>898</v>
      </c>
      <c r="G14" s="32">
        <v>1850063</v>
      </c>
      <c r="H14" s="32">
        <v>73007</v>
      </c>
      <c r="I14" s="33">
        <v>3.9</v>
      </c>
    </row>
    <row r="15" spans="1:15" x14ac:dyDescent="0.2">
      <c r="A15" t="s">
        <v>901</v>
      </c>
      <c r="E15" s="97"/>
      <c r="F15" s="17" t="s">
        <v>914</v>
      </c>
      <c r="G15" s="32">
        <v>8964773</v>
      </c>
      <c r="H15" s="32">
        <v>478417</v>
      </c>
      <c r="I15" s="33">
        <v>5.3</v>
      </c>
    </row>
    <row r="16" spans="1:15" x14ac:dyDescent="0.2">
      <c r="E16" s="97"/>
      <c r="F16" s="17" t="s">
        <v>915</v>
      </c>
      <c r="G16" s="32">
        <v>15737168</v>
      </c>
      <c r="H16" s="32">
        <v>607728</v>
      </c>
      <c r="I16" s="33">
        <v>3.9</v>
      </c>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O29" sqref="O29"/>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882</v>
      </c>
      <c r="B1" s="96" t="s">
        <v>53</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tbl-disability</v>
      </c>
    </row>
    <row r="4" spans="1:15" x14ac:dyDescent="0.2">
      <c r="E4" s="13"/>
      <c r="F4" s="13"/>
      <c r="G4" s="16" t="s">
        <v>679</v>
      </c>
      <c r="H4" s="16" t="s">
        <v>679</v>
      </c>
      <c r="I4" s="16" t="s">
        <v>679</v>
      </c>
      <c r="J4" s="16" t="s">
        <v>679</v>
      </c>
      <c r="K4" s="16" t="s">
        <v>679</v>
      </c>
      <c r="L4" s="16" t="s">
        <v>679</v>
      </c>
      <c r="M4" s="16" t="s">
        <v>679</v>
      </c>
      <c r="N4" s="16"/>
      <c r="O4" s="16"/>
    </row>
    <row r="5" spans="1:15" x14ac:dyDescent="0.2">
      <c r="A5" s="98" t="s">
        <v>885</v>
      </c>
      <c r="B5" s="97"/>
      <c r="E5" s="99" t="s">
        <v>886</v>
      </c>
      <c r="G5" s="17" t="s">
        <v>963</v>
      </c>
      <c r="H5" s="17" t="s">
        <v>964</v>
      </c>
      <c r="I5" s="17" t="s">
        <v>965</v>
      </c>
      <c r="J5" s="17" t="s">
        <v>966</v>
      </c>
      <c r="K5" s="17" t="s">
        <v>967</v>
      </c>
      <c r="L5" s="17" t="s">
        <v>1947</v>
      </c>
      <c r="M5" s="17" t="s">
        <v>968</v>
      </c>
    </row>
    <row r="6" spans="1:15" ht="15" customHeight="1" x14ac:dyDescent="0.2">
      <c r="A6" t="s">
        <v>891</v>
      </c>
      <c r="B6" t="b">
        <v>0</v>
      </c>
      <c r="E6" s="97"/>
      <c r="F6" s="17" t="s">
        <v>220</v>
      </c>
      <c r="G6" s="20">
        <v>12.2</v>
      </c>
      <c r="H6" s="20">
        <v>3.5</v>
      </c>
      <c r="I6" s="20">
        <v>2</v>
      </c>
      <c r="J6" s="20">
        <v>4.7</v>
      </c>
      <c r="K6" s="20">
        <v>6.3</v>
      </c>
      <c r="L6" s="20">
        <v>2.6</v>
      </c>
      <c r="M6" s="20">
        <v>5.9</v>
      </c>
    </row>
    <row r="7" spans="1:15" ht="15.75" customHeight="1" x14ac:dyDescent="0.2">
      <c r="E7" s="97"/>
      <c r="F7" s="17" t="s">
        <v>18</v>
      </c>
      <c r="G7" s="20">
        <v>11.7</v>
      </c>
      <c r="H7" s="20">
        <v>3.2</v>
      </c>
      <c r="I7" s="20">
        <v>2.1</v>
      </c>
      <c r="J7" s="20">
        <v>5.4</v>
      </c>
      <c r="K7" s="20">
        <v>6.3</v>
      </c>
      <c r="L7" s="20">
        <v>2.9</v>
      </c>
      <c r="M7" s="20">
        <v>6.2</v>
      </c>
    </row>
    <row r="8" spans="1:15" x14ac:dyDescent="0.2">
      <c r="E8" s="97"/>
      <c r="F8" s="17" t="s">
        <v>537</v>
      </c>
      <c r="G8" s="20">
        <v>9.6</v>
      </c>
      <c r="H8" s="20">
        <v>2.8</v>
      </c>
      <c r="I8" s="20">
        <v>1.4</v>
      </c>
      <c r="J8" s="20">
        <v>3.5</v>
      </c>
      <c r="K8" s="20">
        <v>5.4</v>
      </c>
      <c r="L8" s="20">
        <v>2.4</v>
      </c>
      <c r="M8" s="20">
        <v>4.5999999999999996</v>
      </c>
    </row>
    <row r="9" spans="1:15" x14ac:dyDescent="0.2">
      <c r="A9" s="98" t="s">
        <v>893</v>
      </c>
      <c r="B9" s="97"/>
      <c r="E9" s="97"/>
      <c r="F9" s="17" t="s">
        <v>449</v>
      </c>
      <c r="G9" s="20">
        <v>8.6999999999999993</v>
      </c>
      <c r="H9" s="20">
        <v>2.7</v>
      </c>
      <c r="I9" s="20">
        <v>1.4</v>
      </c>
      <c r="J9" s="20">
        <v>3.4</v>
      </c>
      <c r="K9" s="20">
        <v>4.4000000000000004</v>
      </c>
      <c r="L9" s="20">
        <v>2.2000000000000002</v>
      </c>
      <c r="M9" s="20">
        <v>4.5</v>
      </c>
    </row>
    <row r="10" spans="1:15" x14ac:dyDescent="0.2">
      <c r="A10" t="s">
        <v>894</v>
      </c>
      <c r="E10" s="97"/>
      <c r="F10" s="17" t="s">
        <v>409</v>
      </c>
      <c r="G10" s="20">
        <v>15.9</v>
      </c>
      <c r="H10" s="20">
        <v>4.4000000000000004</v>
      </c>
      <c r="I10" s="20">
        <v>3</v>
      </c>
      <c r="J10" s="20">
        <v>6.4</v>
      </c>
      <c r="K10" s="20">
        <v>9.1</v>
      </c>
      <c r="L10" s="20">
        <v>3.7</v>
      </c>
      <c r="M10" s="20">
        <v>7.2</v>
      </c>
    </row>
    <row r="11" spans="1:15" x14ac:dyDescent="0.2">
      <c r="A11" t="s">
        <v>895</v>
      </c>
      <c r="E11" s="97"/>
      <c r="F11" s="17" t="s">
        <v>421</v>
      </c>
      <c r="G11" s="20">
        <v>14.4</v>
      </c>
      <c r="H11" s="20">
        <v>4.2</v>
      </c>
      <c r="I11" s="20">
        <v>2.2999999999999998</v>
      </c>
      <c r="J11" s="20">
        <v>5.0999999999999996</v>
      </c>
      <c r="K11" s="20">
        <v>7.4</v>
      </c>
      <c r="L11" s="20">
        <v>3</v>
      </c>
      <c r="M11" s="20">
        <v>6</v>
      </c>
    </row>
    <row r="12" spans="1:15" x14ac:dyDescent="0.2">
      <c r="A12" t="s">
        <v>896</v>
      </c>
      <c r="E12" s="97"/>
      <c r="F12" s="17" t="s">
        <v>470</v>
      </c>
      <c r="G12" s="20">
        <v>9.5</v>
      </c>
      <c r="H12" s="20">
        <v>2.5</v>
      </c>
      <c r="I12" s="20">
        <v>1.6</v>
      </c>
      <c r="J12" s="20">
        <v>3.7</v>
      </c>
      <c r="K12" s="20">
        <v>5.3</v>
      </c>
      <c r="L12" s="20">
        <v>2.2999999999999998</v>
      </c>
      <c r="M12" s="20">
        <v>4.8</v>
      </c>
    </row>
    <row r="13" spans="1:15" x14ac:dyDescent="0.2">
      <c r="A13" t="s">
        <v>897</v>
      </c>
      <c r="E13" s="97"/>
      <c r="F13" s="17" t="s">
        <v>898</v>
      </c>
      <c r="G13" s="20">
        <v>10.199999999999999</v>
      </c>
      <c r="H13" s="20">
        <v>2.8</v>
      </c>
      <c r="I13" s="20">
        <v>1.7</v>
      </c>
      <c r="J13" s="20">
        <v>3.8</v>
      </c>
      <c r="K13" s="20">
        <v>5.2</v>
      </c>
      <c r="L13" s="20">
        <v>2.2999999999999998</v>
      </c>
      <c r="M13" s="20">
        <v>3.9</v>
      </c>
    </row>
    <row r="14" spans="1:15" x14ac:dyDescent="0.2">
      <c r="A14" t="s">
        <v>899</v>
      </c>
      <c r="E14" s="97"/>
      <c r="F14" s="17" t="s">
        <v>915</v>
      </c>
      <c r="G14" s="20">
        <v>11.6</v>
      </c>
      <c r="H14" s="20">
        <v>2.8</v>
      </c>
      <c r="I14" s="20">
        <v>2.1</v>
      </c>
      <c r="J14" s="20">
        <v>4.5</v>
      </c>
      <c r="K14" s="20">
        <v>6.6</v>
      </c>
      <c r="L14" s="20">
        <v>2.7</v>
      </c>
      <c r="M14" s="20">
        <v>5.7</v>
      </c>
    </row>
    <row r="15" spans="1:15" x14ac:dyDescent="0.2">
      <c r="A15" t="s">
        <v>901</v>
      </c>
      <c r="E15" s="97"/>
    </row>
    <row r="16" spans="1:15"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204</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tbl-no-vehicles</v>
      </c>
    </row>
    <row r="4" spans="1:15"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row>
    <row r="5" spans="1:15" x14ac:dyDescent="0.2">
      <c r="A5" s="98" t="s">
        <v>885</v>
      </c>
      <c r="B5" s="97"/>
      <c r="E5" s="99" t="s">
        <v>886</v>
      </c>
      <c r="G5" s="55" t="s">
        <v>220</v>
      </c>
      <c r="H5" s="55" t="s">
        <v>18</v>
      </c>
      <c r="I5" s="55" t="s">
        <v>537</v>
      </c>
      <c r="J5" s="55" t="s">
        <v>449</v>
      </c>
      <c r="K5" s="55" t="s">
        <v>409</v>
      </c>
      <c r="L5" s="55" t="s">
        <v>421</v>
      </c>
      <c r="M5" s="55" t="s">
        <v>470</v>
      </c>
      <c r="N5" s="55" t="s">
        <v>915</v>
      </c>
    </row>
    <row r="6" spans="1:15" ht="15" customHeight="1" x14ac:dyDescent="0.2">
      <c r="A6" t="s">
        <v>891</v>
      </c>
      <c r="B6" t="b">
        <v>0</v>
      </c>
      <c r="E6" s="97"/>
      <c r="F6" t="s">
        <v>969</v>
      </c>
      <c r="G6" s="55">
        <v>7.2</v>
      </c>
      <c r="H6" s="55">
        <v>8.9</v>
      </c>
      <c r="I6" s="55">
        <v>4.7</v>
      </c>
      <c r="J6" s="55">
        <v>10.4</v>
      </c>
      <c r="K6" s="55">
        <v>10.4</v>
      </c>
      <c r="L6" s="55">
        <v>6.8</v>
      </c>
      <c r="M6" s="55">
        <v>14.3</v>
      </c>
      <c r="N6" s="55">
        <v>28.9</v>
      </c>
    </row>
    <row r="7" spans="1:15" ht="15.75" customHeight="1" x14ac:dyDescent="0.2">
      <c r="E7" s="97"/>
      <c r="F7" t="s">
        <v>970</v>
      </c>
      <c r="G7" s="55">
        <v>7.2</v>
      </c>
      <c r="H7" s="55">
        <v>8.6</v>
      </c>
      <c r="I7" s="55">
        <v>4.0999999999999996</v>
      </c>
      <c r="J7" s="55">
        <v>9.9</v>
      </c>
      <c r="K7" s="55">
        <v>9.9</v>
      </c>
      <c r="L7" s="55">
        <v>7.2</v>
      </c>
      <c r="M7" s="55">
        <v>14.2</v>
      </c>
      <c r="N7" s="59">
        <v>29</v>
      </c>
    </row>
    <row r="8" spans="1:15" x14ac:dyDescent="0.2">
      <c r="E8" s="97"/>
      <c r="F8" t="s">
        <v>971</v>
      </c>
      <c r="G8" s="59">
        <v>7</v>
      </c>
      <c r="H8" s="55">
        <v>8.6</v>
      </c>
      <c r="I8" s="55">
        <v>4.2</v>
      </c>
      <c r="J8" s="55">
        <v>9.6999999999999993</v>
      </c>
      <c r="K8" s="55">
        <v>8.8000000000000007</v>
      </c>
      <c r="L8" s="55">
        <v>7.5</v>
      </c>
      <c r="M8" s="55">
        <v>14.2</v>
      </c>
      <c r="N8" s="59">
        <v>29</v>
      </c>
    </row>
    <row r="9" spans="1:15" x14ac:dyDescent="0.2">
      <c r="A9" s="98" t="s">
        <v>893</v>
      </c>
      <c r="B9" s="97"/>
      <c r="E9" s="97"/>
    </row>
    <row r="10" spans="1:15" x14ac:dyDescent="0.2">
      <c r="A10" t="s">
        <v>894</v>
      </c>
      <c r="B10" t="s">
        <v>972</v>
      </c>
      <c r="E10" s="97"/>
    </row>
    <row r="11" spans="1:15" x14ac:dyDescent="0.2">
      <c r="A11" t="s">
        <v>895</v>
      </c>
      <c r="B11" t="s">
        <v>973</v>
      </c>
      <c r="E11" s="97"/>
    </row>
    <row r="12" spans="1:15" x14ac:dyDescent="0.2">
      <c r="A12" t="s">
        <v>896</v>
      </c>
      <c r="B12" t="s">
        <v>694</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E16" s="97"/>
    </row>
    <row r="17" spans="1:5" x14ac:dyDescent="0.2">
      <c r="E17" s="97"/>
    </row>
    <row r="18" spans="1:5" x14ac:dyDescent="0.2">
      <c r="A18" s="98" t="s">
        <v>902</v>
      </c>
      <c r="B18" s="97"/>
      <c r="E18" s="97"/>
    </row>
    <row r="19" spans="1:5" x14ac:dyDescent="0.2">
      <c r="A19" t="s">
        <v>903</v>
      </c>
      <c r="E19" s="97"/>
    </row>
    <row r="20" spans="1:5" ht="144" x14ac:dyDescent="0.2">
      <c r="A20" t="s">
        <v>904</v>
      </c>
      <c r="B20" s="50" t="s">
        <v>974</v>
      </c>
      <c r="E20" s="97"/>
    </row>
    <row r="21" spans="1:5" x14ac:dyDescent="0.2">
      <c r="A21" t="s">
        <v>905</v>
      </c>
      <c r="B21" t="s">
        <v>975</v>
      </c>
      <c r="E21" s="97"/>
    </row>
    <row r="22" spans="1:5" x14ac:dyDescent="0.2">
      <c r="A22" t="s">
        <v>906</v>
      </c>
      <c r="E22" s="97"/>
    </row>
    <row r="23" spans="1:5" x14ac:dyDescent="0.2">
      <c r="A23" t="s">
        <v>907</v>
      </c>
      <c r="B23" t="s">
        <v>976</v>
      </c>
      <c r="E23" s="97"/>
    </row>
    <row r="24" spans="1:5" x14ac:dyDescent="0.2">
      <c r="A24" t="s">
        <v>908</v>
      </c>
      <c r="B24">
        <v>2025</v>
      </c>
      <c r="E24" s="97"/>
    </row>
    <row r="25" spans="1:5" x14ac:dyDescent="0.2">
      <c r="A25" t="s">
        <v>909</v>
      </c>
      <c r="E25" s="97"/>
    </row>
    <row r="26" spans="1:5" x14ac:dyDescent="0.2">
      <c r="E26" s="97"/>
    </row>
    <row r="27" spans="1:5" x14ac:dyDescent="0.2">
      <c r="A27" s="100" t="s">
        <v>977</v>
      </c>
      <c r="B27" s="97"/>
      <c r="E27" s="97"/>
    </row>
    <row r="28" spans="1:5" x14ac:dyDescent="0.2">
      <c r="A28" t="s">
        <v>978</v>
      </c>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206</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tbl-mode-to-work</v>
      </c>
    </row>
    <row r="4" spans="1:15" x14ac:dyDescent="0.2">
      <c r="A4" s="58" t="s">
        <v>6</v>
      </c>
      <c r="B4" t="str">
        <f>IF($B$1="","",_xlfn.XLOOKUP($B$1,Master!$F$2:$F$308,Master!$H$2:$H$308,""))</f>
        <v>fig-mode-to-work</v>
      </c>
      <c r="E4" s="13"/>
      <c r="F4" s="13"/>
      <c r="G4" s="16" t="s">
        <v>679</v>
      </c>
      <c r="H4" s="16" t="s">
        <v>679</v>
      </c>
      <c r="I4" s="16" t="s">
        <v>679</v>
      </c>
      <c r="J4" s="16" t="s">
        <v>679</v>
      </c>
      <c r="K4" s="16" t="s">
        <v>679</v>
      </c>
      <c r="L4" s="16" t="s">
        <v>679</v>
      </c>
      <c r="M4" s="16" t="s">
        <v>679</v>
      </c>
      <c r="N4" s="16" t="s">
        <v>679</v>
      </c>
      <c r="O4" s="16"/>
    </row>
    <row r="5" spans="1:15" x14ac:dyDescent="0.2">
      <c r="A5" s="98" t="s">
        <v>885</v>
      </c>
      <c r="B5" s="97"/>
      <c r="E5" s="99" t="s">
        <v>886</v>
      </c>
      <c r="G5" s="55" t="s">
        <v>220</v>
      </c>
      <c r="H5" s="55" t="s">
        <v>18</v>
      </c>
      <c r="I5" s="55" t="s">
        <v>537</v>
      </c>
      <c r="J5" s="55" t="s">
        <v>449</v>
      </c>
      <c r="K5" s="55" t="s">
        <v>409</v>
      </c>
      <c r="L5" s="55" t="s">
        <v>421</v>
      </c>
      <c r="M5" s="55" t="s">
        <v>470</v>
      </c>
      <c r="N5" s="55" t="s">
        <v>915</v>
      </c>
    </row>
    <row r="6" spans="1:15" ht="15" customHeight="1" x14ac:dyDescent="0.2">
      <c r="A6" t="s">
        <v>891</v>
      </c>
      <c r="B6" t="b">
        <v>0</v>
      </c>
      <c r="E6" s="97"/>
      <c r="F6" t="s">
        <v>979</v>
      </c>
      <c r="G6">
        <v>71.400000000000006</v>
      </c>
      <c r="H6">
        <v>69.8</v>
      </c>
      <c r="I6">
        <v>70.599999999999994</v>
      </c>
      <c r="J6">
        <v>66.599999999999994</v>
      </c>
      <c r="K6">
        <v>74.099999999999994</v>
      </c>
      <c r="L6">
        <v>71.7</v>
      </c>
      <c r="M6">
        <v>51.9</v>
      </c>
      <c r="N6" s="14">
        <v>50</v>
      </c>
    </row>
    <row r="7" spans="1:15" ht="15.75" customHeight="1" x14ac:dyDescent="0.2">
      <c r="E7" s="97"/>
      <c r="F7" t="s">
        <v>980</v>
      </c>
      <c r="G7">
        <v>7.5</v>
      </c>
      <c r="H7">
        <v>9.6</v>
      </c>
      <c r="I7">
        <v>7.6</v>
      </c>
      <c r="J7">
        <v>8.5</v>
      </c>
      <c r="K7">
        <v>8.8000000000000007</v>
      </c>
      <c r="L7">
        <v>6.7</v>
      </c>
      <c r="M7">
        <v>7.2</v>
      </c>
      <c r="N7" s="14">
        <v>6.3</v>
      </c>
    </row>
    <row r="8" spans="1:15" x14ac:dyDescent="0.2">
      <c r="E8" s="97"/>
      <c r="F8" t="s">
        <v>981</v>
      </c>
      <c r="G8" s="14">
        <v>3.7</v>
      </c>
      <c r="H8">
        <v>4.4000000000000004</v>
      </c>
      <c r="I8">
        <v>5.6</v>
      </c>
      <c r="J8">
        <v>6.2</v>
      </c>
      <c r="K8">
        <v>1.2</v>
      </c>
      <c r="L8">
        <v>2.1</v>
      </c>
      <c r="M8">
        <v>17.8</v>
      </c>
      <c r="N8" s="14">
        <v>22.4</v>
      </c>
    </row>
    <row r="9" spans="1:15" x14ac:dyDescent="0.2">
      <c r="A9" s="98" t="s">
        <v>893</v>
      </c>
      <c r="B9" s="97"/>
      <c r="E9" s="97"/>
      <c r="F9" t="s">
        <v>982</v>
      </c>
      <c r="G9">
        <v>2.2999999999999998</v>
      </c>
      <c r="H9">
        <v>3.1</v>
      </c>
      <c r="I9">
        <v>1.5</v>
      </c>
      <c r="J9">
        <v>3.1</v>
      </c>
      <c r="K9">
        <v>2.4</v>
      </c>
      <c r="L9">
        <v>2.4</v>
      </c>
      <c r="M9">
        <v>3.7</v>
      </c>
      <c r="N9">
        <v>5.3</v>
      </c>
    </row>
    <row r="10" spans="1:15" x14ac:dyDescent="0.2">
      <c r="A10" t="s">
        <v>894</v>
      </c>
      <c r="B10" t="s">
        <v>983</v>
      </c>
      <c r="E10" s="97"/>
      <c r="F10" t="s">
        <v>984</v>
      </c>
      <c r="G10">
        <v>1.7</v>
      </c>
      <c r="H10" s="14">
        <v>2</v>
      </c>
      <c r="I10" s="14">
        <v>1</v>
      </c>
      <c r="J10">
        <v>2.8</v>
      </c>
      <c r="K10">
        <v>1.9</v>
      </c>
      <c r="L10">
        <v>1.8</v>
      </c>
      <c r="M10">
        <v>2.1</v>
      </c>
      <c r="N10">
        <v>2.6</v>
      </c>
    </row>
    <row r="11" spans="1:15" x14ac:dyDescent="0.2">
      <c r="A11" t="s">
        <v>895</v>
      </c>
      <c r="B11" t="s">
        <v>985</v>
      </c>
      <c r="E11" s="97"/>
      <c r="F11" t="s">
        <v>986</v>
      </c>
      <c r="G11">
        <v>13.4</v>
      </c>
      <c r="H11">
        <v>11.1</v>
      </c>
      <c r="I11">
        <v>13.7</v>
      </c>
      <c r="J11">
        <v>12.7</v>
      </c>
      <c r="K11">
        <v>11.6</v>
      </c>
      <c r="L11">
        <v>15.3</v>
      </c>
      <c r="M11">
        <v>17.3</v>
      </c>
      <c r="N11">
        <v>13.3</v>
      </c>
    </row>
    <row r="12" spans="1:15" x14ac:dyDescent="0.2">
      <c r="A12" t="s">
        <v>896</v>
      </c>
      <c r="B12" t="s">
        <v>694</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B20" t="s">
        <v>987</v>
      </c>
      <c r="E20" s="97"/>
    </row>
    <row r="21" spans="1:5" x14ac:dyDescent="0.2">
      <c r="A21" t="s">
        <v>905</v>
      </c>
      <c r="B21">
        <v>2023</v>
      </c>
      <c r="E21" s="97"/>
    </row>
    <row r="22" spans="1:5" x14ac:dyDescent="0.2">
      <c r="A22" t="s">
        <v>906</v>
      </c>
      <c r="E22" s="97"/>
    </row>
    <row r="23" spans="1:5" x14ac:dyDescent="0.2">
      <c r="A23" t="s">
        <v>907</v>
      </c>
      <c r="B23" t="s">
        <v>976</v>
      </c>
      <c r="E23" s="97"/>
    </row>
    <row r="24" spans="1:5" x14ac:dyDescent="0.2">
      <c r="A24" t="s">
        <v>908</v>
      </c>
      <c r="B24">
        <v>2025</v>
      </c>
      <c r="E24" s="97"/>
    </row>
    <row r="25" spans="1:5" x14ac:dyDescent="0.2">
      <c r="A25" t="s">
        <v>909</v>
      </c>
      <c r="E25" s="97"/>
    </row>
    <row r="26" spans="1:5" x14ac:dyDescent="0.2">
      <c r="E26" s="97"/>
    </row>
    <row r="27" spans="1:5" x14ac:dyDescent="0.2">
      <c r="A27" s="100" t="s">
        <v>977</v>
      </c>
      <c r="B27" s="97"/>
      <c r="E27" s="97"/>
    </row>
    <row r="28" spans="1:5" ht="208" x14ac:dyDescent="0.2">
      <c r="A28" s="50" t="s">
        <v>988</v>
      </c>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211</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tbl-mean-time-work</v>
      </c>
    </row>
    <row r="4" spans="1:15"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row>
    <row r="5" spans="1:15" x14ac:dyDescent="0.2">
      <c r="A5" s="98" t="s">
        <v>885</v>
      </c>
      <c r="B5" s="97"/>
      <c r="E5" s="99" t="s">
        <v>886</v>
      </c>
      <c r="G5" s="55" t="s">
        <v>220</v>
      </c>
      <c r="H5" s="55" t="s">
        <v>18</v>
      </c>
      <c r="I5" s="55" t="s">
        <v>537</v>
      </c>
      <c r="J5" s="55" t="s">
        <v>449</v>
      </c>
      <c r="K5" s="55" t="s">
        <v>409</v>
      </c>
      <c r="L5" s="55" t="s">
        <v>421</v>
      </c>
      <c r="M5" s="55" t="s">
        <v>470</v>
      </c>
      <c r="N5" s="55" t="s">
        <v>915</v>
      </c>
    </row>
    <row r="6" spans="1:15" ht="15" customHeight="1" x14ac:dyDescent="0.2">
      <c r="A6" t="s">
        <v>891</v>
      </c>
      <c r="B6" t="b">
        <v>0</v>
      </c>
      <c r="E6" s="97"/>
      <c r="F6" t="s">
        <v>969</v>
      </c>
      <c r="G6" s="59">
        <v>32</v>
      </c>
      <c r="H6" s="59">
        <v>34.1</v>
      </c>
      <c r="I6" s="59">
        <v>39.200000000000003</v>
      </c>
      <c r="J6" s="59">
        <v>31.2</v>
      </c>
      <c r="K6" s="59">
        <v>28.6</v>
      </c>
      <c r="L6" s="59">
        <v>28.6</v>
      </c>
      <c r="M6" s="59">
        <v>34.799999999999997</v>
      </c>
      <c r="N6" s="59">
        <v>33.299999999999997</v>
      </c>
    </row>
    <row r="7" spans="1:15" ht="15.75" customHeight="1" x14ac:dyDescent="0.2">
      <c r="E7" s="97"/>
      <c r="F7" t="s">
        <v>970</v>
      </c>
      <c r="G7" s="59">
        <v>32.299999999999997</v>
      </c>
      <c r="H7" s="59">
        <v>34.1</v>
      </c>
      <c r="I7" s="59">
        <v>39.9</v>
      </c>
      <c r="J7" s="59">
        <v>31</v>
      </c>
      <c r="K7" s="59">
        <v>28.1</v>
      </c>
      <c r="L7" s="59">
        <v>28.1</v>
      </c>
      <c r="M7" s="59">
        <v>34.799999999999997</v>
      </c>
      <c r="N7" s="59">
        <v>33.200000000000003</v>
      </c>
    </row>
    <row r="8" spans="1:15" x14ac:dyDescent="0.2">
      <c r="E8" s="97"/>
      <c r="F8" t="s">
        <v>971</v>
      </c>
      <c r="G8" s="59">
        <v>31.4</v>
      </c>
      <c r="H8" s="59">
        <v>34.200000000000003</v>
      </c>
      <c r="I8" s="59">
        <v>39.5</v>
      </c>
      <c r="J8" s="59">
        <v>30.3</v>
      </c>
      <c r="K8" s="59">
        <v>27.8</v>
      </c>
      <c r="L8" s="59">
        <v>27.8</v>
      </c>
      <c r="M8" s="59">
        <v>34.700000000000003</v>
      </c>
      <c r="N8" s="59">
        <v>32.799999999999997</v>
      </c>
    </row>
    <row r="9" spans="1:15" x14ac:dyDescent="0.2">
      <c r="A9" s="98" t="s">
        <v>893</v>
      </c>
      <c r="B9" s="97"/>
      <c r="E9" s="97"/>
    </row>
    <row r="10" spans="1:15" x14ac:dyDescent="0.2">
      <c r="A10" t="s">
        <v>894</v>
      </c>
      <c r="B10" t="s">
        <v>972</v>
      </c>
      <c r="E10" s="97"/>
    </row>
    <row r="11" spans="1:15" x14ac:dyDescent="0.2">
      <c r="A11" t="s">
        <v>895</v>
      </c>
      <c r="B11" t="s">
        <v>973</v>
      </c>
      <c r="E11" s="97"/>
    </row>
    <row r="12" spans="1:15" x14ac:dyDescent="0.2">
      <c r="A12" t="s">
        <v>896</v>
      </c>
      <c r="B12" t="s">
        <v>989</v>
      </c>
      <c r="E12" s="97"/>
    </row>
    <row r="13" spans="1:15" x14ac:dyDescent="0.2">
      <c r="A13" t="s">
        <v>897</v>
      </c>
      <c r="E13" s="97"/>
    </row>
    <row r="14" spans="1:15" x14ac:dyDescent="0.2">
      <c r="A14" t="s">
        <v>899</v>
      </c>
      <c r="B14" t="s">
        <v>989</v>
      </c>
      <c r="E14" s="97"/>
    </row>
    <row r="15" spans="1:15" x14ac:dyDescent="0.2">
      <c r="A15" t="s">
        <v>901</v>
      </c>
      <c r="B15" t="b">
        <v>1</v>
      </c>
      <c r="E15" s="97"/>
    </row>
    <row r="16" spans="1:15"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B20" t="s">
        <v>990</v>
      </c>
      <c r="E20" s="97"/>
    </row>
    <row r="21" spans="1:5" x14ac:dyDescent="0.2">
      <c r="A21" t="s">
        <v>905</v>
      </c>
      <c r="B21" t="s">
        <v>975</v>
      </c>
      <c r="E21" s="97"/>
    </row>
    <row r="22" spans="1:5" x14ac:dyDescent="0.2">
      <c r="A22" t="s">
        <v>906</v>
      </c>
      <c r="E22" s="97"/>
    </row>
    <row r="23" spans="1:5" x14ac:dyDescent="0.2">
      <c r="A23" t="s">
        <v>907</v>
      </c>
      <c r="B23" t="s">
        <v>976</v>
      </c>
      <c r="E23" s="97"/>
    </row>
    <row r="24" spans="1:5" x14ac:dyDescent="0.2">
      <c r="A24" t="s">
        <v>908</v>
      </c>
      <c r="B24">
        <v>2025</v>
      </c>
      <c r="E24" s="97"/>
    </row>
    <row r="25" spans="1:5" x14ac:dyDescent="0.2">
      <c r="A25" t="s">
        <v>909</v>
      </c>
      <c r="E25" s="97"/>
    </row>
    <row r="26" spans="1:5" x14ac:dyDescent="0.2">
      <c r="E26" s="97"/>
    </row>
    <row r="27" spans="1:5" x14ac:dyDescent="0.2">
      <c r="A27" s="100" t="s">
        <v>977</v>
      </c>
      <c r="B27" s="97"/>
      <c r="E27" s="97"/>
    </row>
    <row r="28" spans="1:5" ht="350" x14ac:dyDescent="0.2">
      <c r="A28" s="50" t="s">
        <v>991</v>
      </c>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882</v>
      </c>
      <c r="B1" s="112" t="s">
        <v>215</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tbl-DC-affect-health</v>
      </c>
    </row>
    <row r="4" spans="1:15" x14ac:dyDescent="0.2">
      <c r="A4" s="58" t="s">
        <v>6</v>
      </c>
      <c r="B4" t="str">
        <f>IF($B$1="","",_xlfn.XLOOKUP($B$1,Master!$F$2:$F$308,Master!$H$2:$H$308,""))</f>
        <v>fig-DC-affect-health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7"/>
      <c r="E5" s="99" t="s">
        <v>886</v>
      </c>
      <c r="F5" s="55" t="s">
        <v>992</v>
      </c>
      <c r="G5" s="55" t="s">
        <v>993</v>
      </c>
      <c r="H5" s="55" t="s">
        <v>994</v>
      </c>
      <c r="I5" s="55" t="s">
        <v>995</v>
      </c>
      <c r="J5" s="55" t="s">
        <v>996</v>
      </c>
      <c r="K5" s="55" t="s">
        <v>997</v>
      </c>
      <c r="L5" s="55" t="s">
        <v>998</v>
      </c>
      <c r="M5" s="55" t="s">
        <v>999</v>
      </c>
      <c r="N5" s="55" t="s">
        <v>1000</v>
      </c>
      <c r="O5" s="55" t="s">
        <v>1001</v>
      </c>
    </row>
    <row r="6" spans="1:15" ht="15" customHeight="1" x14ac:dyDescent="0.2">
      <c r="A6" t="s">
        <v>891</v>
      </c>
      <c r="B6" t="b">
        <v>0</v>
      </c>
      <c r="E6" s="97"/>
      <c r="F6" s="59">
        <v>48.6</v>
      </c>
      <c r="G6" s="59">
        <v>47.7</v>
      </c>
      <c r="H6" s="59">
        <v>46.8</v>
      </c>
      <c r="I6" s="59">
        <v>42.2</v>
      </c>
      <c r="J6" s="59">
        <v>40.4</v>
      </c>
      <c r="K6" s="59">
        <v>34.9</v>
      </c>
      <c r="L6" s="59">
        <v>18.399999999999999</v>
      </c>
      <c r="M6" s="59">
        <v>12</v>
      </c>
      <c r="N6" s="59">
        <v>8.3000000000000007</v>
      </c>
      <c r="O6" s="59">
        <v>0.9</v>
      </c>
    </row>
    <row r="7" spans="1:15" ht="15.75" customHeight="1" x14ac:dyDescent="0.2">
      <c r="E7" s="97"/>
      <c r="N7" s="14"/>
    </row>
    <row r="8" spans="1:15" x14ac:dyDescent="0.2">
      <c r="E8" s="97"/>
      <c r="G8" s="14"/>
      <c r="N8" s="14"/>
    </row>
    <row r="9" spans="1:15" x14ac:dyDescent="0.2">
      <c r="A9" s="98" t="s">
        <v>893</v>
      </c>
      <c r="B9" s="97"/>
      <c r="E9" s="97"/>
    </row>
    <row r="10" spans="1:15" x14ac:dyDescent="0.2">
      <c r="A10" t="s">
        <v>894</v>
      </c>
      <c r="B10" t="s">
        <v>1002</v>
      </c>
      <c r="E10" s="97"/>
      <c r="H10" s="14"/>
      <c r="I10" s="14"/>
    </row>
    <row r="11" spans="1:15" x14ac:dyDescent="0.2">
      <c r="A11" t="s">
        <v>895</v>
      </c>
      <c r="B11" t="s">
        <v>985</v>
      </c>
      <c r="E11" s="97"/>
    </row>
    <row r="12" spans="1:15" x14ac:dyDescent="0.2">
      <c r="A12" t="s">
        <v>896</v>
      </c>
      <c r="B12" t="s">
        <v>694</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2" t="s">
        <v>222</v>
      </c>
      <c r="C1" s="113"/>
      <c r="D1" s="113"/>
      <c r="E1" s="113"/>
      <c r="F1" s="113"/>
      <c r="G1" s="113"/>
      <c r="H1" s="113"/>
      <c r="I1" s="113"/>
      <c r="J1" s="113"/>
      <c r="K1" s="113"/>
      <c r="L1" s="113"/>
      <c r="M1" s="113"/>
      <c r="N1" s="113"/>
      <c r="O1" s="113"/>
    </row>
    <row r="2" spans="1:17" x14ac:dyDescent="0.2">
      <c r="A2" s="58" t="s">
        <v>883</v>
      </c>
      <c r="B2" t="s">
        <v>56</v>
      </c>
    </row>
    <row r="3" spans="1:17" x14ac:dyDescent="0.2">
      <c r="A3" s="58" t="s">
        <v>884</v>
      </c>
      <c r="B3" t="str">
        <f>IF($B$1="","",_xlfn.XLOOKUP($B$1,Master!$F$2:$F$308,Master!$G$2:$G$308,""))</f>
        <v>tbl-DC-achieve-health</v>
      </c>
    </row>
    <row r="4" spans="1:17" x14ac:dyDescent="0.2">
      <c r="A4" s="58" t="s">
        <v>6</v>
      </c>
      <c r="B4" t="str">
        <f>IF($B$1="","",_xlfn.XLOOKUP($B$1,Master!$F$2:$F$308,Master!$H$2:$H$308,""))</f>
        <v>fig-DC-achieve-health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7"/>
      <c r="E5" s="99" t="s">
        <v>886</v>
      </c>
      <c r="F5" t="s">
        <v>1003</v>
      </c>
      <c r="G5" t="s">
        <v>1004</v>
      </c>
      <c r="H5" t="s">
        <v>1005</v>
      </c>
      <c r="I5" t="s">
        <v>1006</v>
      </c>
      <c r="J5" t="s">
        <v>1007</v>
      </c>
      <c r="K5" t="s">
        <v>1008</v>
      </c>
      <c r="L5" t="s">
        <v>728</v>
      </c>
      <c r="M5" t="s">
        <v>1009</v>
      </c>
      <c r="N5" t="s">
        <v>1010</v>
      </c>
      <c r="O5" t="s">
        <v>1011</v>
      </c>
      <c r="P5" t="s">
        <v>1012</v>
      </c>
      <c r="Q5" t="s">
        <v>1013</v>
      </c>
    </row>
    <row r="6" spans="1:17" ht="15" customHeight="1" x14ac:dyDescent="0.2">
      <c r="A6" t="s">
        <v>891</v>
      </c>
      <c r="B6" t="b">
        <v>0</v>
      </c>
      <c r="E6" s="97"/>
      <c r="F6">
        <v>77.099999999999994</v>
      </c>
      <c r="G6">
        <v>51.4</v>
      </c>
      <c r="H6">
        <v>34.9</v>
      </c>
      <c r="I6">
        <v>32.1</v>
      </c>
      <c r="J6">
        <v>25.7</v>
      </c>
      <c r="K6">
        <v>25.7</v>
      </c>
      <c r="L6">
        <v>17.399999999999999</v>
      </c>
      <c r="M6">
        <v>9.1999999999999993</v>
      </c>
      <c r="N6" s="14">
        <v>7.3</v>
      </c>
      <c r="O6">
        <v>6.4</v>
      </c>
      <c r="P6">
        <v>6.4</v>
      </c>
      <c r="Q6">
        <v>6.4</v>
      </c>
    </row>
    <row r="7" spans="1:17" ht="15.75" customHeight="1" x14ac:dyDescent="0.2">
      <c r="E7" s="97"/>
      <c r="N7" s="14"/>
    </row>
    <row r="8" spans="1:17" x14ac:dyDescent="0.2">
      <c r="E8" s="97"/>
      <c r="G8" s="14"/>
      <c r="N8" s="14"/>
    </row>
    <row r="9" spans="1:17" x14ac:dyDescent="0.2">
      <c r="A9" s="98" t="s">
        <v>893</v>
      </c>
      <c r="B9" s="97"/>
      <c r="E9" s="97"/>
    </row>
    <row r="10" spans="1:17" x14ac:dyDescent="0.2">
      <c r="A10" t="s">
        <v>894</v>
      </c>
      <c r="B10" t="s">
        <v>1002</v>
      </c>
      <c r="E10" s="97"/>
      <c r="H10" s="14"/>
      <c r="I10" s="14"/>
    </row>
    <row r="11" spans="1:17" x14ac:dyDescent="0.2">
      <c r="A11" t="s">
        <v>895</v>
      </c>
      <c r="B11" t="s">
        <v>985</v>
      </c>
      <c r="E11" s="97"/>
    </row>
    <row r="12" spans="1:17" x14ac:dyDescent="0.2">
      <c r="A12" t="s">
        <v>896</v>
      </c>
      <c r="B12" t="s">
        <v>694</v>
      </c>
      <c r="E12" s="97"/>
    </row>
    <row r="13" spans="1:17" x14ac:dyDescent="0.2">
      <c r="A13" t="s">
        <v>897</v>
      </c>
      <c r="E13" s="97"/>
    </row>
    <row r="14" spans="1:17" x14ac:dyDescent="0.2">
      <c r="A14" t="s">
        <v>899</v>
      </c>
      <c r="B14" t="s">
        <v>694</v>
      </c>
      <c r="E14" s="97"/>
    </row>
    <row r="15" spans="1:17" x14ac:dyDescent="0.2">
      <c r="A15" t="s">
        <v>901</v>
      </c>
      <c r="B15" t="b">
        <v>1</v>
      </c>
      <c r="E15" s="97"/>
    </row>
    <row r="16" spans="1:17"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7.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226</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tbl-DC-impact-hlth-issue</v>
      </c>
    </row>
    <row r="4" spans="1:15" x14ac:dyDescent="0.2">
      <c r="A4" s="58" t="s">
        <v>6</v>
      </c>
      <c r="B4" t="str">
        <f>IF($B$1="","",_xlfn.XLOOKUP($B$1,Master!$F$2:$F$308,Master!$H$2:$H$308,""))</f>
        <v>fig-DC-impact-hlth-issue</v>
      </c>
      <c r="E4" s="13"/>
      <c r="F4" s="16"/>
      <c r="G4" s="16" t="s">
        <v>679</v>
      </c>
      <c r="H4" s="16" t="s">
        <v>679</v>
      </c>
      <c r="I4" s="16" t="s">
        <v>679</v>
      </c>
      <c r="J4" s="16" t="s">
        <v>679</v>
      </c>
      <c r="K4" s="16" t="s">
        <v>679</v>
      </c>
      <c r="L4" s="16" t="s">
        <v>679</v>
      </c>
      <c r="M4" s="16"/>
      <c r="N4" s="16"/>
      <c r="O4" s="16"/>
    </row>
    <row r="5" spans="1:15" ht="15" customHeight="1" x14ac:dyDescent="0.2">
      <c r="A5" s="98" t="s">
        <v>885</v>
      </c>
      <c r="B5" s="97"/>
      <c r="E5" s="99"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6.7</v>
      </c>
      <c r="H6" s="55">
        <v>3.9</v>
      </c>
      <c r="I6" s="55">
        <v>4.9000000000000004</v>
      </c>
      <c r="J6" s="55">
        <v>22.3</v>
      </c>
      <c r="K6" s="55">
        <v>17.600000000000001</v>
      </c>
      <c r="L6" s="55">
        <v>21.2</v>
      </c>
      <c r="N6" s="14"/>
    </row>
    <row r="7" spans="1:15" ht="15.75" customHeight="1" x14ac:dyDescent="0.2">
      <c r="E7" s="99"/>
      <c r="F7" s="61">
        <v>2</v>
      </c>
      <c r="G7" s="55">
        <v>3.8</v>
      </c>
      <c r="H7" s="55">
        <v>8.6999999999999993</v>
      </c>
      <c r="I7" s="55">
        <v>6.9</v>
      </c>
      <c r="J7" s="55">
        <v>12.6</v>
      </c>
      <c r="K7" s="55">
        <v>17.7</v>
      </c>
      <c r="L7" s="55">
        <v>19.2</v>
      </c>
      <c r="N7" s="14"/>
    </row>
    <row r="8" spans="1:15" x14ac:dyDescent="0.2">
      <c r="E8" s="99"/>
      <c r="F8" s="61">
        <v>3</v>
      </c>
      <c r="G8" s="59">
        <v>21</v>
      </c>
      <c r="H8" s="55">
        <v>18.5</v>
      </c>
      <c r="I8" s="55">
        <v>13.7</v>
      </c>
      <c r="J8" s="55">
        <v>26.2</v>
      </c>
      <c r="K8" s="55">
        <v>24.5</v>
      </c>
      <c r="L8" s="55">
        <v>28.9</v>
      </c>
      <c r="N8" s="14"/>
    </row>
    <row r="9" spans="1:15" x14ac:dyDescent="0.2">
      <c r="A9" s="98" t="s">
        <v>893</v>
      </c>
      <c r="B9" s="97"/>
      <c r="E9" s="99"/>
      <c r="F9" s="61">
        <v>4</v>
      </c>
      <c r="G9" s="55">
        <v>16.2</v>
      </c>
      <c r="H9" s="55">
        <v>25.2</v>
      </c>
      <c r="I9" s="55">
        <v>22.6</v>
      </c>
      <c r="J9" s="55">
        <v>14.6</v>
      </c>
      <c r="K9" s="55">
        <v>19.600000000000001</v>
      </c>
      <c r="L9" s="55">
        <v>14.4</v>
      </c>
    </row>
    <row r="10" spans="1:15" x14ac:dyDescent="0.2">
      <c r="A10" t="s">
        <v>894</v>
      </c>
      <c r="B10" t="s">
        <v>983</v>
      </c>
      <c r="E10" s="99"/>
      <c r="F10" s="61">
        <v>5</v>
      </c>
      <c r="G10" s="55">
        <v>52.4</v>
      </c>
      <c r="H10" s="59">
        <v>43.7</v>
      </c>
      <c r="I10" s="59">
        <v>52</v>
      </c>
      <c r="J10" s="55">
        <v>24.3</v>
      </c>
      <c r="K10" s="55">
        <v>19.600000000000001</v>
      </c>
      <c r="L10" s="55">
        <v>14.4</v>
      </c>
    </row>
    <row r="11" spans="1:15" x14ac:dyDescent="0.2">
      <c r="A11" t="s">
        <v>895</v>
      </c>
      <c r="B11" t="s">
        <v>1827</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7"/>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0" t="s">
        <v>977</v>
      </c>
      <c r="B27" s="97"/>
      <c r="E27" s="99"/>
    </row>
    <row r="28" spans="1:5" ht="32" x14ac:dyDescent="0.2">
      <c r="A28" s="50" t="s">
        <v>1826</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230</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tbl-DC-impact-sdoh</v>
      </c>
    </row>
    <row r="4" spans="1:15" x14ac:dyDescent="0.2">
      <c r="A4" s="58" t="s">
        <v>6</v>
      </c>
      <c r="B4" t="str">
        <f>IF($B$1="","",_xlfn.XLOOKUP($B$1,Master!$F$2:$F$308,Master!$H$2:$H$308,""))</f>
        <v>fig-DC-impact-sdoh</v>
      </c>
      <c r="E4" s="13"/>
      <c r="F4" s="16" t="s">
        <v>679</v>
      </c>
      <c r="G4" s="16" t="s">
        <v>679</v>
      </c>
      <c r="H4" s="16" t="s">
        <v>679</v>
      </c>
      <c r="I4" s="16" t="s">
        <v>679</v>
      </c>
      <c r="J4" s="16" t="s">
        <v>679</v>
      </c>
      <c r="K4" s="16" t="s">
        <v>679</v>
      </c>
      <c r="L4" s="16"/>
      <c r="M4" s="16"/>
      <c r="N4" s="16"/>
      <c r="O4" s="16"/>
    </row>
    <row r="5" spans="1:15" x14ac:dyDescent="0.2">
      <c r="A5" s="98" t="s">
        <v>885</v>
      </c>
      <c r="B5" s="97"/>
      <c r="E5" s="99" t="s">
        <v>886</v>
      </c>
      <c r="F5" s="55" t="s">
        <v>1021</v>
      </c>
      <c r="G5" s="55" t="s">
        <v>1022</v>
      </c>
      <c r="H5" s="55" t="s">
        <v>1023</v>
      </c>
      <c r="I5" s="55" t="s">
        <v>1024</v>
      </c>
      <c r="J5" s="55" t="s">
        <v>1025</v>
      </c>
      <c r="K5" s="55" t="s">
        <v>1026</v>
      </c>
      <c r="M5" s="55"/>
      <c r="N5" s="55"/>
    </row>
    <row r="6" spans="1:15" ht="15" customHeight="1" x14ac:dyDescent="0.2">
      <c r="A6" t="s">
        <v>891</v>
      </c>
      <c r="B6" t="b">
        <v>0</v>
      </c>
      <c r="E6" s="97"/>
      <c r="F6" s="55">
        <v>77.7</v>
      </c>
      <c r="G6" s="55">
        <v>73.8</v>
      </c>
      <c r="H6" s="59">
        <v>50</v>
      </c>
      <c r="I6" s="55">
        <v>48.5</v>
      </c>
      <c r="J6" s="55">
        <v>28.2</v>
      </c>
      <c r="K6" s="55">
        <v>25.2</v>
      </c>
      <c r="N6" s="14"/>
    </row>
    <row r="7" spans="1:15" ht="15.75" customHeight="1" x14ac:dyDescent="0.2">
      <c r="E7" s="97"/>
      <c r="F7" s="55"/>
      <c r="G7" s="55"/>
      <c r="H7" s="55"/>
      <c r="I7" s="55"/>
      <c r="J7" s="55"/>
      <c r="K7" s="55"/>
      <c r="N7" s="14"/>
    </row>
    <row r="8" spans="1:15" x14ac:dyDescent="0.2">
      <c r="E8" s="97"/>
      <c r="F8" s="59"/>
      <c r="G8" s="55"/>
      <c r="H8" s="55"/>
      <c r="I8" s="55"/>
      <c r="J8" s="55"/>
      <c r="K8" s="55"/>
      <c r="N8" s="14"/>
    </row>
    <row r="9" spans="1:15" x14ac:dyDescent="0.2">
      <c r="A9" s="98" t="s">
        <v>893</v>
      </c>
      <c r="B9" s="97"/>
      <c r="E9" s="97"/>
      <c r="F9" s="55"/>
      <c r="G9" s="55"/>
      <c r="H9" s="55"/>
      <c r="I9" s="55"/>
      <c r="J9" s="55"/>
      <c r="K9" s="55"/>
    </row>
    <row r="10" spans="1:15" x14ac:dyDescent="0.2">
      <c r="A10" t="s">
        <v>894</v>
      </c>
      <c r="B10" t="s">
        <v>1002</v>
      </c>
      <c r="E10" s="97"/>
      <c r="F10" s="55"/>
      <c r="G10" s="59"/>
      <c r="H10" s="59"/>
      <c r="I10" s="55"/>
      <c r="J10" s="55"/>
      <c r="K10" s="55"/>
    </row>
    <row r="11" spans="1:15" x14ac:dyDescent="0.2">
      <c r="A11" t="s">
        <v>895</v>
      </c>
      <c r="B11" t="s">
        <v>985</v>
      </c>
      <c r="E11" s="97"/>
      <c r="F11" s="55"/>
      <c r="G11" s="55"/>
      <c r="H11" s="55"/>
      <c r="I11" s="55"/>
      <c r="J11" s="55"/>
      <c r="K11" s="55"/>
    </row>
    <row r="12" spans="1:15" x14ac:dyDescent="0.2">
      <c r="A12" t="s">
        <v>896</v>
      </c>
      <c r="B12" t="s">
        <v>694</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234</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tbl-DC-eco-wellbeing</v>
      </c>
    </row>
    <row r="4" spans="1:15" x14ac:dyDescent="0.2">
      <c r="A4" s="58" t="s">
        <v>6</v>
      </c>
      <c r="B4" t="str">
        <f>IF($B$1="","",_xlfn.XLOOKUP($B$1,Master!$F$2:$F$308,Master!$H$2:$H$308,""))</f>
        <v>fig-DC-eco-wellbeing</v>
      </c>
      <c r="E4" s="13"/>
      <c r="F4" s="13"/>
      <c r="G4" s="16" t="s">
        <v>679</v>
      </c>
      <c r="H4" s="16" t="s">
        <v>679</v>
      </c>
      <c r="I4" s="16" t="s">
        <v>679</v>
      </c>
      <c r="J4" s="16" t="s">
        <v>679</v>
      </c>
      <c r="K4" s="16"/>
      <c r="L4" s="16"/>
      <c r="M4" s="16"/>
      <c r="N4" s="16"/>
      <c r="O4" s="16"/>
    </row>
    <row r="5" spans="1:15" x14ac:dyDescent="0.2">
      <c r="A5" s="98" t="s">
        <v>885</v>
      </c>
      <c r="B5" s="97"/>
      <c r="E5" s="99" t="s">
        <v>886</v>
      </c>
      <c r="F5" t="s">
        <v>1829</v>
      </c>
      <c r="G5" s="55" t="s">
        <v>1027</v>
      </c>
      <c r="H5" s="55" t="s">
        <v>1028</v>
      </c>
      <c r="I5" s="55" t="s">
        <v>1029</v>
      </c>
      <c r="J5" s="55" t="s">
        <v>1030</v>
      </c>
      <c r="K5" s="55"/>
      <c r="L5" s="55"/>
      <c r="M5" s="55"/>
      <c r="N5" s="55"/>
    </row>
    <row r="6" spans="1:15" ht="15" customHeight="1" x14ac:dyDescent="0.2">
      <c r="A6" t="s">
        <v>891</v>
      </c>
      <c r="B6" t="b">
        <v>0</v>
      </c>
      <c r="E6" s="97"/>
      <c r="F6" s="61">
        <v>1</v>
      </c>
      <c r="G6" s="59">
        <v>3.9</v>
      </c>
      <c r="H6" s="59">
        <v>7</v>
      </c>
      <c r="I6" s="59">
        <v>5</v>
      </c>
      <c r="J6" s="59">
        <v>3.6</v>
      </c>
      <c r="N6" s="14"/>
    </row>
    <row r="7" spans="1:15" ht="15.75" customHeight="1" x14ac:dyDescent="0.2">
      <c r="E7" s="97"/>
      <c r="F7" s="61">
        <v>2</v>
      </c>
      <c r="G7" s="59">
        <v>5.8</v>
      </c>
      <c r="H7" s="59">
        <v>10.199999999999999</v>
      </c>
      <c r="I7" s="59">
        <v>7</v>
      </c>
      <c r="J7" s="59">
        <v>8.8000000000000007</v>
      </c>
      <c r="N7" s="14"/>
    </row>
    <row r="8" spans="1:15" x14ac:dyDescent="0.2">
      <c r="E8" s="97"/>
      <c r="F8" s="61">
        <v>3</v>
      </c>
      <c r="G8" s="59">
        <v>24.3</v>
      </c>
      <c r="H8" s="59">
        <v>26.3</v>
      </c>
      <c r="I8" s="59">
        <v>28</v>
      </c>
      <c r="J8" s="59">
        <v>19.5</v>
      </c>
      <c r="N8" s="14"/>
    </row>
    <row r="9" spans="1:15" x14ac:dyDescent="0.2">
      <c r="A9" s="98" t="s">
        <v>893</v>
      </c>
      <c r="B9" s="97"/>
      <c r="E9" s="97"/>
      <c r="F9" s="61">
        <v>4</v>
      </c>
      <c r="G9" s="59">
        <v>12.6</v>
      </c>
      <c r="H9" s="59">
        <v>29</v>
      </c>
      <c r="I9" s="59">
        <v>23</v>
      </c>
      <c r="J9" s="59">
        <v>21.1</v>
      </c>
    </row>
    <row r="10" spans="1:15" x14ac:dyDescent="0.2">
      <c r="A10" t="s">
        <v>894</v>
      </c>
      <c r="B10" t="s">
        <v>983</v>
      </c>
      <c r="E10" s="97"/>
      <c r="F10" s="61">
        <v>5</v>
      </c>
      <c r="G10" s="59">
        <v>53.4</v>
      </c>
      <c r="H10" s="59">
        <v>27.6</v>
      </c>
      <c r="I10" s="59">
        <v>37</v>
      </c>
      <c r="J10" s="59">
        <v>47.1</v>
      </c>
    </row>
    <row r="11" spans="1:15" x14ac:dyDescent="0.2">
      <c r="A11" t="s">
        <v>895</v>
      </c>
      <c r="B11" t="s">
        <v>1830</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A16" t="s">
        <v>1816</v>
      </c>
      <c r="B16" t="b">
        <v>1</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238</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tbl-DC-impact-mhsu</v>
      </c>
    </row>
    <row r="4" spans="1:15" x14ac:dyDescent="0.2">
      <c r="A4" s="58" t="s">
        <v>6</v>
      </c>
      <c r="B4" t="str">
        <f>IF($B$1="","",_xlfn.XLOOKUP($B$1,Master!$F$2:$F$308,Master!$H$2:$H$308,""))</f>
        <v>fig-DC-impact-mhsu</v>
      </c>
      <c r="E4" s="13"/>
      <c r="F4" s="16"/>
      <c r="G4" s="16" t="s">
        <v>679</v>
      </c>
      <c r="H4" s="16" t="s">
        <v>679</v>
      </c>
      <c r="I4" s="16" t="s">
        <v>679</v>
      </c>
      <c r="J4" s="16" t="s">
        <v>679</v>
      </c>
      <c r="K4" s="16" t="s">
        <v>679</v>
      </c>
      <c r="L4" s="16" t="s">
        <v>679</v>
      </c>
      <c r="M4" s="16"/>
      <c r="N4" s="16"/>
      <c r="O4" s="16"/>
    </row>
    <row r="5" spans="1:15" x14ac:dyDescent="0.2">
      <c r="A5" s="98" t="s">
        <v>885</v>
      </c>
      <c r="B5" s="97"/>
      <c r="E5" s="99" t="s">
        <v>886</v>
      </c>
      <c r="F5" t="s">
        <v>1829</v>
      </c>
      <c r="G5" s="55" t="s">
        <v>1031</v>
      </c>
      <c r="H5" s="55" t="s">
        <v>1032</v>
      </c>
      <c r="I5" s="55" t="s">
        <v>1033</v>
      </c>
      <c r="J5" s="55" t="s">
        <v>1034</v>
      </c>
      <c r="K5" s="55" t="s">
        <v>1035</v>
      </c>
      <c r="L5" s="55" t="s">
        <v>1036</v>
      </c>
      <c r="M5" s="55"/>
      <c r="N5" s="55"/>
    </row>
    <row r="6" spans="1:15" ht="15" customHeight="1" x14ac:dyDescent="0.2">
      <c r="A6" t="s">
        <v>891</v>
      </c>
      <c r="B6" t="b">
        <v>0</v>
      </c>
      <c r="E6" s="97"/>
      <c r="F6" s="61">
        <v>1</v>
      </c>
      <c r="G6" s="51">
        <v>0</v>
      </c>
      <c r="H6" s="59">
        <v>20.399999999999999</v>
      </c>
      <c r="I6" s="59">
        <v>2</v>
      </c>
      <c r="J6" s="59">
        <v>11.1</v>
      </c>
      <c r="K6" s="59">
        <v>4</v>
      </c>
      <c r="L6" s="59">
        <v>5</v>
      </c>
      <c r="N6" s="14"/>
    </row>
    <row r="7" spans="1:15" ht="15.75" customHeight="1" x14ac:dyDescent="0.2">
      <c r="E7" s="97"/>
      <c r="F7" s="61">
        <v>2</v>
      </c>
      <c r="G7" s="59">
        <v>2.6</v>
      </c>
      <c r="H7" s="59">
        <v>17.399999999999999</v>
      </c>
      <c r="I7" s="59">
        <v>12</v>
      </c>
      <c r="J7" s="59">
        <v>11.1</v>
      </c>
      <c r="K7" s="59">
        <v>10.1</v>
      </c>
      <c r="L7" s="59">
        <v>5.9</v>
      </c>
      <c r="N7" s="14"/>
    </row>
    <row r="8" spans="1:15" x14ac:dyDescent="0.2">
      <c r="E8" s="97"/>
      <c r="F8" s="61">
        <v>3</v>
      </c>
      <c r="G8" s="59">
        <v>12.4</v>
      </c>
      <c r="H8" s="59">
        <v>27.6</v>
      </c>
      <c r="I8" s="59">
        <v>17</v>
      </c>
      <c r="J8" s="59">
        <v>23.2</v>
      </c>
      <c r="K8" s="59">
        <v>24.2</v>
      </c>
      <c r="L8" s="59">
        <v>23.8</v>
      </c>
      <c r="N8" s="14"/>
    </row>
    <row r="9" spans="1:15" x14ac:dyDescent="0.2">
      <c r="A9" s="98" t="s">
        <v>893</v>
      </c>
      <c r="B9" s="97"/>
      <c r="E9" s="97"/>
      <c r="F9" s="61">
        <v>4</v>
      </c>
      <c r="G9" s="59">
        <v>23.8</v>
      </c>
      <c r="H9" s="59">
        <v>19.399999999999999</v>
      </c>
      <c r="I9" s="59">
        <v>28</v>
      </c>
      <c r="J9" s="59">
        <v>15.2</v>
      </c>
      <c r="K9" s="59">
        <v>28.3</v>
      </c>
      <c r="L9" s="59">
        <v>27.7</v>
      </c>
    </row>
    <row r="10" spans="1:15" x14ac:dyDescent="0.2">
      <c r="A10" t="s">
        <v>894</v>
      </c>
      <c r="B10" t="s">
        <v>983</v>
      </c>
      <c r="E10" s="97"/>
      <c r="F10" s="61">
        <v>5</v>
      </c>
      <c r="G10" s="59">
        <v>60.9</v>
      </c>
      <c r="H10" s="59">
        <v>15.3</v>
      </c>
      <c r="I10" s="59">
        <v>41</v>
      </c>
      <c r="J10" s="59">
        <v>39.4</v>
      </c>
      <c r="K10" s="59">
        <v>33.299999999999997</v>
      </c>
      <c r="L10" s="59">
        <v>37.6</v>
      </c>
    </row>
    <row r="11" spans="1:15" x14ac:dyDescent="0.2">
      <c r="A11" t="s">
        <v>895</v>
      </c>
      <c r="B11" t="s">
        <v>1828</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A16" t="s">
        <v>1816</v>
      </c>
      <c r="B16" t="b">
        <v>1</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242</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tbl-DC-impact-hlthinsur-access</v>
      </c>
    </row>
    <row r="4" spans="1:15" x14ac:dyDescent="0.2">
      <c r="A4" s="58" t="s">
        <v>6</v>
      </c>
      <c r="B4" t="str">
        <f>IF($B$1="","",_xlfn.XLOOKUP($B$1,Master!$F$2:$F$308,Master!$H$2:$H$308,""))</f>
        <v>fig-DC-impact-hlthinsur-access</v>
      </c>
      <c r="E4" s="13"/>
      <c r="F4" s="16"/>
      <c r="G4" s="16" t="s">
        <v>679</v>
      </c>
      <c r="H4" s="16" t="s">
        <v>679</v>
      </c>
      <c r="I4" s="16" t="s">
        <v>679</v>
      </c>
      <c r="J4" s="16" t="s">
        <v>679</v>
      </c>
      <c r="K4" s="16"/>
      <c r="L4" s="16"/>
      <c r="M4" s="16"/>
      <c r="N4" s="16"/>
      <c r="O4" s="16"/>
    </row>
    <row r="5" spans="1:15" x14ac:dyDescent="0.2">
      <c r="A5" s="98" t="s">
        <v>885</v>
      </c>
      <c r="B5" s="97"/>
      <c r="E5" s="99" t="s">
        <v>886</v>
      </c>
      <c r="F5" t="s">
        <v>1829</v>
      </c>
      <c r="G5" s="55" t="s">
        <v>1037</v>
      </c>
      <c r="H5" s="55" t="s">
        <v>1038</v>
      </c>
      <c r="I5" s="55" t="s">
        <v>1039</v>
      </c>
      <c r="J5" s="55" t="s">
        <v>1040</v>
      </c>
      <c r="K5" s="55"/>
      <c r="L5" s="55"/>
      <c r="M5" s="55"/>
      <c r="N5" s="55"/>
    </row>
    <row r="6" spans="1:15" ht="15" customHeight="1" x14ac:dyDescent="0.2">
      <c r="A6" t="s">
        <v>891</v>
      </c>
      <c r="B6" t="b">
        <v>0</v>
      </c>
      <c r="E6" s="97"/>
      <c r="F6" s="61">
        <v>1</v>
      </c>
      <c r="G6" s="59">
        <v>27.5</v>
      </c>
      <c r="H6" s="59">
        <v>29.6</v>
      </c>
      <c r="I6" s="59">
        <v>3</v>
      </c>
      <c r="J6" s="59">
        <v>7</v>
      </c>
      <c r="N6" s="14"/>
    </row>
    <row r="7" spans="1:15" ht="15.75" customHeight="1" x14ac:dyDescent="0.2">
      <c r="E7" s="97"/>
      <c r="F7" s="61">
        <v>2</v>
      </c>
      <c r="G7" s="59">
        <v>14.3</v>
      </c>
      <c r="H7" s="59">
        <v>14.3</v>
      </c>
      <c r="I7" s="59">
        <v>11.1</v>
      </c>
      <c r="J7" s="59">
        <v>12</v>
      </c>
      <c r="N7" s="14"/>
    </row>
    <row r="8" spans="1:15" x14ac:dyDescent="0.2">
      <c r="E8" s="97"/>
      <c r="F8" s="61">
        <v>3</v>
      </c>
      <c r="G8" s="59">
        <v>24.5</v>
      </c>
      <c r="H8" s="59">
        <v>26.5</v>
      </c>
      <c r="I8" s="59">
        <v>18.2</v>
      </c>
      <c r="J8" s="59">
        <v>19</v>
      </c>
      <c r="N8" s="14"/>
    </row>
    <row r="9" spans="1:15" x14ac:dyDescent="0.2">
      <c r="A9" s="98" t="s">
        <v>893</v>
      </c>
      <c r="B9" s="97"/>
      <c r="E9" s="97"/>
      <c r="F9" s="61">
        <v>4</v>
      </c>
      <c r="G9" s="59">
        <v>13.3</v>
      </c>
      <c r="H9" s="59">
        <v>11.2</v>
      </c>
      <c r="I9" s="59">
        <v>22.2</v>
      </c>
      <c r="J9" s="59">
        <v>23</v>
      </c>
    </row>
    <row r="10" spans="1:15" x14ac:dyDescent="0.2">
      <c r="A10" t="s">
        <v>894</v>
      </c>
      <c r="B10" t="s">
        <v>983</v>
      </c>
      <c r="E10" s="97"/>
      <c r="F10" s="61">
        <v>5</v>
      </c>
      <c r="G10" s="59">
        <v>20.399999999999999</v>
      </c>
      <c r="H10" s="59">
        <v>18.399999999999999</v>
      </c>
      <c r="I10" s="59">
        <v>45.5</v>
      </c>
      <c r="J10" s="59">
        <v>39</v>
      </c>
    </row>
    <row r="11" spans="1:15" x14ac:dyDescent="0.2">
      <c r="A11" t="s">
        <v>895</v>
      </c>
      <c r="B11" t="s">
        <v>1023</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A16" t="s">
        <v>1816</v>
      </c>
      <c r="B16" t="b">
        <v>1</v>
      </c>
      <c r="E16" s="97"/>
    </row>
    <row r="17" spans="1:5" ht="16" x14ac:dyDescent="0.2">
      <c r="A17" t="s">
        <v>1824</v>
      </c>
      <c r="B17" s="80" t="s">
        <v>1825</v>
      </c>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246</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tbl-OC-affect-health</v>
      </c>
    </row>
    <row r="4" spans="1:15" x14ac:dyDescent="0.2">
      <c r="A4" s="58" t="s">
        <v>6</v>
      </c>
      <c r="B4" t="str">
        <f>IF($B$1="","",_xlfn.XLOOKUP($B$1,Master!$F$2:$F$308,Master!$H$2:$H$308,""))</f>
        <v>fig-OC-affect-health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7"/>
      <c r="E5" s="99" t="s">
        <v>886</v>
      </c>
      <c r="F5" s="55" t="s">
        <v>993</v>
      </c>
      <c r="G5" s="55" t="s">
        <v>994</v>
      </c>
      <c r="H5" s="55" t="s">
        <v>995</v>
      </c>
      <c r="I5" s="55" t="s">
        <v>996</v>
      </c>
      <c r="J5" s="55" t="s">
        <v>997</v>
      </c>
      <c r="K5" s="55" t="s">
        <v>992</v>
      </c>
      <c r="L5" s="55" t="s">
        <v>998</v>
      </c>
      <c r="M5" s="55" t="s">
        <v>999</v>
      </c>
      <c r="N5" s="55" t="s">
        <v>1000</v>
      </c>
      <c r="O5" s="55" t="s">
        <v>1001</v>
      </c>
    </row>
    <row r="6" spans="1:15" ht="15" customHeight="1" x14ac:dyDescent="0.2">
      <c r="A6" t="s">
        <v>891</v>
      </c>
      <c r="B6" t="b">
        <v>0</v>
      </c>
      <c r="E6" s="97"/>
      <c r="F6" s="59">
        <v>58.2</v>
      </c>
      <c r="G6" s="59">
        <v>42.4</v>
      </c>
      <c r="H6" s="59">
        <v>40.6</v>
      </c>
      <c r="I6" s="59">
        <v>37.700000000000003</v>
      </c>
      <c r="J6" s="59">
        <v>36.5</v>
      </c>
      <c r="K6" s="59">
        <v>34.1</v>
      </c>
      <c r="L6" s="59">
        <v>30</v>
      </c>
      <c r="M6" s="59">
        <v>10.6</v>
      </c>
      <c r="N6" s="59">
        <v>10</v>
      </c>
      <c r="O6" s="51">
        <v>0</v>
      </c>
    </row>
    <row r="7" spans="1:15" ht="15.75" customHeight="1" x14ac:dyDescent="0.2">
      <c r="E7" s="97"/>
    </row>
    <row r="8" spans="1:15" x14ac:dyDescent="0.2">
      <c r="E8" s="97"/>
    </row>
    <row r="9" spans="1:15" x14ac:dyDescent="0.2">
      <c r="A9" s="98" t="s">
        <v>893</v>
      </c>
      <c r="B9" s="97"/>
      <c r="E9" s="97"/>
    </row>
    <row r="10" spans="1:15" x14ac:dyDescent="0.2">
      <c r="A10" t="s">
        <v>894</v>
      </c>
      <c r="B10" t="s">
        <v>1002</v>
      </c>
      <c r="E10" s="97"/>
      <c r="H10" s="14"/>
      <c r="I10" s="14"/>
    </row>
    <row r="11" spans="1:15" x14ac:dyDescent="0.2">
      <c r="A11" t="s">
        <v>895</v>
      </c>
      <c r="B11" t="s">
        <v>985</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2" t="s">
        <v>250</v>
      </c>
      <c r="C1" s="113"/>
      <c r="D1" s="113"/>
      <c r="E1" s="113"/>
      <c r="F1" s="113"/>
      <c r="G1" s="113"/>
      <c r="H1" s="113"/>
      <c r="I1" s="113"/>
      <c r="J1" s="113"/>
      <c r="K1" s="113"/>
      <c r="L1" s="113"/>
      <c r="M1" s="113"/>
      <c r="N1" s="113"/>
      <c r="O1" s="113"/>
    </row>
    <row r="2" spans="1:17" x14ac:dyDescent="0.2">
      <c r="A2" s="58" t="s">
        <v>883</v>
      </c>
      <c r="B2" t="s">
        <v>56</v>
      </c>
    </row>
    <row r="3" spans="1:17" x14ac:dyDescent="0.2">
      <c r="A3" s="58" t="s">
        <v>884</v>
      </c>
      <c r="B3" t="str">
        <f>IF($B$1="","",_xlfn.XLOOKUP($B$1,Master!$F$2:$F$308,Master!$G$2:$G$308,""))</f>
        <v>tbl-OC-achieve-health</v>
      </c>
    </row>
    <row r="4" spans="1:17" x14ac:dyDescent="0.2">
      <c r="A4" s="58" t="s">
        <v>6</v>
      </c>
      <c r="B4" t="str">
        <f>IF($B$1="","",_xlfn.XLOOKUP($B$1,Master!$F$2:$F$308,Master!$H$2:$H$308,""))</f>
        <v>fig-OC-achieve-health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7"/>
      <c r="E5" s="99" t="s">
        <v>886</v>
      </c>
      <c r="F5" t="s">
        <v>1003</v>
      </c>
      <c r="G5" t="s">
        <v>1004</v>
      </c>
      <c r="H5" t="s">
        <v>1005</v>
      </c>
      <c r="I5" t="s">
        <v>1007</v>
      </c>
      <c r="J5" t="s">
        <v>1006</v>
      </c>
      <c r="K5" t="s">
        <v>1008</v>
      </c>
      <c r="L5" t="s">
        <v>728</v>
      </c>
      <c r="M5" t="s">
        <v>1013</v>
      </c>
      <c r="N5" t="s">
        <v>1011</v>
      </c>
      <c r="O5" t="s">
        <v>1012</v>
      </c>
      <c r="P5" t="s">
        <v>1009</v>
      </c>
      <c r="Q5" t="s">
        <v>1010</v>
      </c>
    </row>
    <row r="6" spans="1:17" ht="15" customHeight="1" x14ac:dyDescent="0.2">
      <c r="A6" t="s">
        <v>891</v>
      </c>
      <c r="B6" t="b">
        <v>0</v>
      </c>
      <c r="E6" s="97"/>
      <c r="F6">
        <v>67.099999999999994</v>
      </c>
      <c r="G6">
        <v>50.6</v>
      </c>
      <c r="H6">
        <v>32.4</v>
      </c>
      <c r="I6">
        <v>31.2</v>
      </c>
      <c r="J6">
        <v>28.8</v>
      </c>
      <c r="K6">
        <v>27.7</v>
      </c>
      <c r="L6">
        <v>21.2</v>
      </c>
      <c r="M6">
        <v>9.4</v>
      </c>
      <c r="N6">
        <v>8.1999999999999993</v>
      </c>
      <c r="O6">
        <v>8.1999999999999993</v>
      </c>
      <c r="P6">
        <v>7.7</v>
      </c>
      <c r="Q6" s="14">
        <v>7.7</v>
      </c>
    </row>
    <row r="7" spans="1:17" ht="15.75" customHeight="1" x14ac:dyDescent="0.2">
      <c r="E7" s="97"/>
    </row>
    <row r="8" spans="1:17" x14ac:dyDescent="0.2">
      <c r="E8" s="97"/>
      <c r="G8" s="14"/>
    </row>
    <row r="9" spans="1:17" x14ac:dyDescent="0.2">
      <c r="A9" s="98" t="s">
        <v>893</v>
      </c>
      <c r="B9" s="97"/>
      <c r="E9" s="97"/>
    </row>
    <row r="10" spans="1:17" x14ac:dyDescent="0.2">
      <c r="A10" t="s">
        <v>894</v>
      </c>
      <c r="B10" t="s">
        <v>1002</v>
      </c>
      <c r="E10" s="97"/>
      <c r="H10" s="14"/>
      <c r="I10" s="14"/>
    </row>
    <row r="11" spans="1:17" x14ac:dyDescent="0.2">
      <c r="A11" t="s">
        <v>895</v>
      </c>
      <c r="B11" t="s">
        <v>985</v>
      </c>
      <c r="E11" s="97"/>
    </row>
    <row r="12" spans="1:17" x14ac:dyDescent="0.2">
      <c r="A12" t="s">
        <v>896</v>
      </c>
      <c r="E12" s="97"/>
    </row>
    <row r="13" spans="1:17" x14ac:dyDescent="0.2">
      <c r="A13" t="s">
        <v>897</v>
      </c>
      <c r="E13" s="97"/>
    </row>
    <row r="14" spans="1:17" x14ac:dyDescent="0.2">
      <c r="A14" t="s">
        <v>899</v>
      </c>
      <c r="B14" t="s">
        <v>694</v>
      </c>
      <c r="E14" s="97"/>
    </row>
    <row r="15" spans="1:17" x14ac:dyDescent="0.2">
      <c r="A15" t="s">
        <v>901</v>
      </c>
      <c r="B15" t="b">
        <v>1</v>
      </c>
      <c r="E15" s="97"/>
    </row>
    <row r="16" spans="1:17"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254</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tbl-OC-impact-hlth-issue</v>
      </c>
    </row>
    <row r="4" spans="1:15" x14ac:dyDescent="0.2">
      <c r="A4" s="58" t="s">
        <v>6</v>
      </c>
      <c r="B4" t="str">
        <f>IF($B$1="","",_xlfn.XLOOKUP($B$1,Master!$F$2:$F$308,Master!$H$2:$H$308,""))</f>
        <v>fig-OC-impact-hlth-issue</v>
      </c>
      <c r="E4" s="13"/>
      <c r="F4" s="16"/>
      <c r="G4" s="16" t="s">
        <v>679</v>
      </c>
      <c r="H4" s="16" t="s">
        <v>679</v>
      </c>
      <c r="I4" s="16" t="s">
        <v>679</v>
      </c>
      <c r="J4" s="16" t="s">
        <v>679</v>
      </c>
      <c r="K4" s="16" t="s">
        <v>679</v>
      </c>
      <c r="L4" s="16" t="s">
        <v>679</v>
      </c>
      <c r="M4" s="16"/>
      <c r="N4" s="16"/>
      <c r="O4" s="16"/>
    </row>
    <row r="5" spans="1:15" x14ac:dyDescent="0.2">
      <c r="A5" s="98" t="s">
        <v>885</v>
      </c>
      <c r="B5" s="97"/>
      <c r="E5" s="99" t="s">
        <v>886</v>
      </c>
      <c r="F5" t="s">
        <v>1829</v>
      </c>
      <c r="G5" s="55" t="s">
        <v>1014</v>
      </c>
      <c r="H5" s="55" t="s">
        <v>1015</v>
      </c>
      <c r="I5" s="55" t="s">
        <v>1016</v>
      </c>
      <c r="J5" s="55" t="s">
        <v>1017</v>
      </c>
      <c r="K5" s="55" t="s">
        <v>1018</v>
      </c>
      <c r="L5" s="55" t="s">
        <v>1019</v>
      </c>
      <c r="M5" s="55"/>
      <c r="N5" s="55"/>
    </row>
    <row r="6" spans="1:15" ht="15" customHeight="1" x14ac:dyDescent="0.2">
      <c r="A6" t="s">
        <v>891</v>
      </c>
      <c r="B6" t="b">
        <v>0</v>
      </c>
      <c r="E6" s="97"/>
      <c r="F6" s="61">
        <v>1</v>
      </c>
      <c r="G6" s="59">
        <v>3.1</v>
      </c>
      <c r="H6" s="59">
        <v>4.4000000000000004</v>
      </c>
      <c r="I6" s="59">
        <v>3.7</v>
      </c>
      <c r="J6" s="59">
        <v>16.899999999999999</v>
      </c>
      <c r="K6" s="59">
        <v>16.100000000000001</v>
      </c>
      <c r="L6" s="59">
        <v>19</v>
      </c>
      <c r="N6" s="14"/>
    </row>
    <row r="7" spans="1:15" ht="15.75" customHeight="1" x14ac:dyDescent="0.2">
      <c r="E7" s="97"/>
      <c r="F7" s="61">
        <v>2</v>
      </c>
      <c r="G7" s="59">
        <v>5.6</v>
      </c>
      <c r="H7" s="59">
        <v>5</v>
      </c>
      <c r="I7" s="59">
        <v>5</v>
      </c>
      <c r="J7" s="59">
        <v>10</v>
      </c>
      <c r="K7" s="59">
        <v>15.4</v>
      </c>
      <c r="L7" s="59">
        <v>14.7</v>
      </c>
      <c r="N7" s="14"/>
    </row>
    <row r="8" spans="1:15" x14ac:dyDescent="0.2">
      <c r="E8" s="97"/>
      <c r="F8" s="61">
        <v>3</v>
      </c>
      <c r="G8" s="59">
        <v>12.4</v>
      </c>
      <c r="H8" s="59">
        <v>18.899999999999999</v>
      </c>
      <c r="I8" s="59">
        <v>15.5</v>
      </c>
      <c r="J8" s="59">
        <v>31.3</v>
      </c>
      <c r="K8" s="59">
        <v>34</v>
      </c>
      <c r="L8" s="59">
        <v>32.5</v>
      </c>
      <c r="N8" s="14"/>
    </row>
    <row r="9" spans="1:15" x14ac:dyDescent="0.2">
      <c r="A9" s="98" t="s">
        <v>893</v>
      </c>
      <c r="B9" s="97"/>
      <c r="E9" s="97"/>
      <c r="F9" s="61">
        <v>4</v>
      </c>
      <c r="G9" s="59">
        <v>15.5</v>
      </c>
      <c r="H9" s="59">
        <v>28.3</v>
      </c>
      <c r="I9" s="59">
        <v>19.899999999999999</v>
      </c>
      <c r="J9" s="59">
        <v>18.8</v>
      </c>
      <c r="K9" s="59">
        <v>17.899999999999999</v>
      </c>
      <c r="L9" s="59">
        <v>16</v>
      </c>
    </row>
    <row r="10" spans="1:15" x14ac:dyDescent="0.2">
      <c r="A10" t="s">
        <v>894</v>
      </c>
      <c r="B10" t="s">
        <v>983</v>
      </c>
      <c r="E10" s="97"/>
      <c r="F10" s="61">
        <v>5</v>
      </c>
      <c r="G10" s="59">
        <v>63.4</v>
      </c>
      <c r="H10" s="59">
        <v>43.4</v>
      </c>
      <c r="I10" s="59">
        <v>55.9</v>
      </c>
      <c r="J10" s="59">
        <v>23.1</v>
      </c>
      <c r="K10" s="59">
        <v>16.7</v>
      </c>
      <c r="L10" s="59">
        <v>17.8</v>
      </c>
    </row>
    <row r="11" spans="1:15" x14ac:dyDescent="0.2">
      <c r="A11" t="s">
        <v>895</v>
      </c>
      <c r="B11" t="s">
        <v>1832</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A16" t="s">
        <v>1146</v>
      </c>
      <c r="B16" t="b">
        <v>1</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258</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tbl-OC-impact-sdoh</v>
      </c>
    </row>
    <row r="4" spans="1:15" x14ac:dyDescent="0.2">
      <c r="A4" s="58" t="s">
        <v>6</v>
      </c>
      <c r="B4" t="str">
        <f>IF($B$1="","",_xlfn.XLOOKUP($B$1,Master!$F$2:$F$308,Master!$H$2:$H$308,""))</f>
        <v>fig-OC-impact-sdoh</v>
      </c>
      <c r="E4" s="13"/>
      <c r="F4" s="16" t="s">
        <v>679</v>
      </c>
      <c r="G4" s="16" t="s">
        <v>679</v>
      </c>
      <c r="H4" s="16" t="s">
        <v>679</v>
      </c>
      <c r="I4" s="16" t="s">
        <v>679</v>
      </c>
      <c r="J4" s="16" t="s">
        <v>679</v>
      </c>
      <c r="K4" s="16" t="s">
        <v>679</v>
      </c>
      <c r="L4" s="16"/>
      <c r="M4" s="16"/>
      <c r="N4" s="16"/>
      <c r="O4" s="16"/>
    </row>
    <row r="5" spans="1:15" x14ac:dyDescent="0.2">
      <c r="A5" s="98" t="s">
        <v>885</v>
      </c>
      <c r="B5" s="97"/>
      <c r="E5" s="99" t="s">
        <v>886</v>
      </c>
      <c r="F5" s="55" t="s">
        <v>1022</v>
      </c>
      <c r="G5" s="55" t="s">
        <v>1021</v>
      </c>
      <c r="H5" s="55" t="s">
        <v>1023</v>
      </c>
      <c r="I5" s="55" t="s">
        <v>1024</v>
      </c>
      <c r="J5" s="55" t="s">
        <v>1025</v>
      </c>
      <c r="K5" s="55" t="s">
        <v>1026</v>
      </c>
      <c r="M5" s="55"/>
      <c r="N5" s="55"/>
    </row>
    <row r="6" spans="1:15" ht="15" customHeight="1" x14ac:dyDescent="0.2">
      <c r="A6" t="s">
        <v>891</v>
      </c>
      <c r="B6" t="b">
        <v>0</v>
      </c>
      <c r="E6" s="97"/>
      <c r="F6" s="55">
        <v>77.5</v>
      </c>
      <c r="G6" s="55">
        <v>76.900000000000006</v>
      </c>
      <c r="H6" s="59">
        <v>61.9</v>
      </c>
      <c r="I6" s="55">
        <v>48.8</v>
      </c>
      <c r="J6" s="55">
        <v>18.8</v>
      </c>
      <c r="K6" s="55">
        <v>16.3</v>
      </c>
      <c r="N6" s="14"/>
    </row>
    <row r="7" spans="1:15" ht="15.75" customHeight="1" x14ac:dyDescent="0.2">
      <c r="E7" s="97"/>
      <c r="F7" s="55"/>
      <c r="G7" s="55"/>
      <c r="H7" s="55"/>
      <c r="I7" s="55"/>
      <c r="J7" s="55"/>
      <c r="K7" s="55"/>
      <c r="N7" s="14"/>
    </row>
    <row r="8" spans="1:15" x14ac:dyDescent="0.2">
      <c r="E8" s="97"/>
      <c r="H8" s="55"/>
      <c r="I8" s="55"/>
      <c r="J8" s="55"/>
      <c r="K8" s="55"/>
      <c r="N8" s="14"/>
    </row>
    <row r="9" spans="1:15" x14ac:dyDescent="0.2">
      <c r="A9" s="98" t="s">
        <v>893</v>
      </c>
      <c r="B9" s="97"/>
      <c r="E9" s="97"/>
      <c r="H9" s="55"/>
      <c r="I9" s="55"/>
      <c r="J9" s="55"/>
      <c r="K9" s="55"/>
    </row>
    <row r="10" spans="1:15" x14ac:dyDescent="0.2">
      <c r="A10" t="s">
        <v>894</v>
      </c>
      <c r="B10" t="s">
        <v>1002</v>
      </c>
      <c r="E10" s="97"/>
      <c r="F10" s="55"/>
      <c r="G10" s="59"/>
      <c r="H10" s="59"/>
      <c r="I10" s="55"/>
      <c r="J10" s="55"/>
      <c r="K10" s="55"/>
    </row>
    <row r="11" spans="1:15" x14ac:dyDescent="0.2">
      <c r="A11" t="s">
        <v>895</v>
      </c>
      <c r="B11" t="s">
        <v>985</v>
      </c>
      <c r="E11" s="97"/>
      <c r="F11" s="55"/>
      <c r="G11" s="55"/>
      <c r="H11" s="55"/>
      <c r="I11" s="55"/>
      <c r="J11" s="55"/>
      <c r="K11" s="55"/>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262</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tbl-OC-eco-wellbeing</v>
      </c>
    </row>
    <row r="4" spans="1:15" x14ac:dyDescent="0.2">
      <c r="A4" s="58" t="s">
        <v>6</v>
      </c>
      <c r="B4" t="str">
        <f>IF($B$1="","",_xlfn.XLOOKUP($B$1,Master!$F$2:$F$308,Master!$H$2:$H$308,""))</f>
        <v>fig-OC-eco-wellbeing</v>
      </c>
      <c r="E4" s="13"/>
      <c r="F4" s="16"/>
      <c r="G4" s="16" t="s">
        <v>679</v>
      </c>
      <c r="H4" s="16" t="s">
        <v>679</v>
      </c>
      <c r="I4" s="16" t="s">
        <v>679</v>
      </c>
      <c r="J4" s="16" t="s">
        <v>679</v>
      </c>
      <c r="K4" s="16"/>
      <c r="L4" s="16"/>
      <c r="M4" s="16"/>
      <c r="N4" s="16"/>
      <c r="O4" s="16"/>
    </row>
    <row r="5" spans="1:15" x14ac:dyDescent="0.2">
      <c r="A5" s="98" t="s">
        <v>885</v>
      </c>
      <c r="B5" s="97"/>
      <c r="E5" s="99" t="s">
        <v>886</v>
      </c>
      <c r="F5" t="s">
        <v>1829</v>
      </c>
      <c r="G5" s="55" t="s">
        <v>1027</v>
      </c>
      <c r="H5" s="55" t="s">
        <v>1028</v>
      </c>
      <c r="I5" s="55" t="s">
        <v>1029</v>
      </c>
      <c r="J5" s="55" t="s">
        <v>1030</v>
      </c>
      <c r="K5" s="55"/>
      <c r="L5" s="55"/>
      <c r="M5" s="55"/>
      <c r="N5" s="55"/>
    </row>
    <row r="6" spans="1:15" ht="15" customHeight="1" x14ac:dyDescent="0.2">
      <c r="A6" t="s">
        <v>891</v>
      </c>
      <c r="B6" t="b">
        <v>0</v>
      </c>
      <c r="E6" s="97"/>
      <c r="F6" s="61">
        <v>1</v>
      </c>
      <c r="G6" s="59">
        <v>1.9</v>
      </c>
      <c r="H6" s="59">
        <v>5.7</v>
      </c>
      <c r="I6" s="59">
        <v>3.9</v>
      </c>
      <c r="J6" s="59">
        <v>2.5</v>
      </c>
      <c r="K6" s="59"/>
      <c r="N6" s="14"/>
    </row>
    <row r="7" spans="1:15" ht="15.75" customHeight="1" x14ac:dyDescent="0.2">
      <c r="E7" s="97"/>
      <c r="F7" s="61">
        <v>2</v>
      </c>
      <c r="G7" s="59">
        <v>5.7</v>
      </c>
      <c r="H7" s="59">
        <v>8.9</v>
      </c>
      <c r="I7" s="59">
        <v>8.3000000000000007</v>
      </c>
      <c r="J7" s="59">
        <v>5.7</v>
      </c>
      <c r="N7" s="14"/>
    </row>
    <row r="8" spans="1:15" x14ac:dyDescent="0.2">
      <c r="E8" s="97"/>
      <c r="F8" s="61">
        <v>3</v>
      </c>
      <c r="G8" s="59">
        <v>20.8</v>
      </c>
      <c r="H8" s="59">
        <v>28.5</v>
      </c>
      <c r="I8" s="59">
        <v>25.6</v>
      </c>
      <c r="J8" s="59">
        <v>23.3</v>
      </c>
      <c r="N8" s="14"/>
    </row>
    <row r="9" spans="1:15" x14ac:dyDescent="0.2">
      <c r="A9" s="98" t="s">
        <v>893</v>
      </c>
      <c r="B9" s="97"/>
      <c r="E9" s="97"/>
      <c r="F9" s="61">
        <v>4</v>
      </c>
      <c r="G9" s="59">
        <v>21.4</v>
      </c>
      <c r="H9" s="59">
        <v>31</v>
      </c>
      <c r="I9" s="59">
        <v>27.6</v>
      </c>
      <c r="J9" s="59">
        <v>18.899999999999999</v>
      </c>
    </row>
    <row r="10" spans="1:15" x14ac:dyDescent="0.2">
      <c r="A10" t="s">
        <v>894</v>
      </c>
      <c r="B10" t="s">
        <v>983</v>
      </c>
      <c r="E10" s="97"/>
      <c r="F10" s="61">
        <v>5</v>
      </c>
      <c r="G10" s="59">
        <v>50.3</v>
      </c>
      <c r="H10" s="59">
        <v>26</v>
      </c>
      <c r="I10" s="59">
        <v>34.6</v>
      </c>
      <c r="J10" s="59">
        <v>50</v>
      </c>
    </row>
    <row r="11" spans="1:15" x14ac:dyDescent="0.2">
      <c r="A11" t="s">
        <v>895</v>
      </c>
      <c r="B11" t="s">
        <v>1654</v>
      </c>
      <c r="E11" s="97"/>
    </row>
    <row r="12" spans="1:15" x14ac:dyDescent="0.2">
      <c r="A12" t="s">
        <v>896</v>
      </c>
      <c r="B12" t="s">
        <v>694</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A16" t="s">
        <v>1146</v>
      </c>
      <c r="B16" t="b">
        <v>1</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266</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tbl-OC-impact-mhsu</v>
      </c>
    </row>
    <row r="4" spans="1:15" x14ac:dyDescent="0.2">
      <c r="A4" s="58" t="s">
        <v>6</v>
      </c>
      <c r="B4" t="str">
        <f>IF($B$1="","",_xlfn.XLOOKUP($B$1,Master!$F$2:$F$308,Master!$H$2:$H$308,""))</f>
        <v>fig-OC-impact-mhsu</v>
      </c>
      <c r="E4" s="13"/>
      <c r="F4" s="16"/>
      <c r="G4" s="16" t="s">
        <v>679</v>
      </c>
      <c r="H4" s="16" t="s">
        <v>679</v>
      </c>
      <c r="I4" s="16" t="s">
        <v>679</v>
      </c>
      <c r="J4" s="16" t="s">
        <v>679</v>
      </c>
      <c r="K4" s="16" t="s">
        <v>679</v>
      </c>
      <c r="L4" s="16" t="s">
        <v>679</v>
      </c>
      <c r="M4" s="16"/>
      <c r="N4" s="16"/>
      <c r="O4" s="16"/>
    </row>
    <row r="5" spans="1:15" x14ac:dyDescent="0.2">
      <c r="A5" s="98" t="s">
        <v>885</v>
      </c>
      <c r="B5" s="97"/>
      <c r="E5" s="99" t="s">
        <v>886</v>
      </c>
      <c r="F5" t="s">
        <v>1829</v>
      </c>
      <c r="G5" s="55" t="s">
        <v>1031</v>
      </c>
      <c r="H5" s="55" t="s">
        <v>1032</v>
      </c>
      <c r="I5" s="55" t="s">
        <v>1033</v>
      </c>
      <c r="J5" s="55" t="s">
        <v>1034</v>
      </c>
      <c r="K5" s="55" t="s">
        <v>1035</v>
      </c>
      <c r="L5" s="55" t="s">
        <v>1036</v>
      </c>
      <c r="M5" s="55"/>
      <c r="N5" s="55"/>
    </row>
    <row r="6" spans="1:15" ht="15" customHeight="1" x14ac:dyDescent="0.2">
      <c r="A6" t="s">
        <v>891</v>
      </c>
      <c r="B6" t="b">
        <v>0</v>
      </c>
      <c r="E6" s="97"/>
      <c r="F6" s="61">
        <v>1</v>
      </c>
      <c r="G6" s="51">
        <v>0</v>
      </c>
      <c r="H6" s="59">
        <v>14.3</v>
      </c>
      <c r="I6" s="59">
        <v>1.3</v>
      </c>
      <c r="J6" s="59">
        <v>7.7</v>
      </c>
      <c r="K6" s="59">
        <v>9.6999999999999993</v>
      </c>
      <c r="L6" s="59">
        <v>3.8</v>
      </c>
      <c r="N6" s="14"/>
    </row>
    <row r="7" spans="1:15" ht="15.75" customHeight="1" x14ac:dyDescent="0.2">
      <c r="E7" s="97"/>
      <c r="F7" s="61">
        <v>2</v>
      </c>
      <c r="G7" s="59">
        <v>1.9</v>
      </c>
      <c r="H7" s="59">
        <v>20.8</v>
      </c>
      <c r="I7" s="59">
        <v>5.7</v>
      </c>
      <c r="J7" s="59">
        <v>8.4</v>
      </c>
      <c r="K7" s="59">
        <v>11.6</v>
      </c>
      <c r="L7" s="59">
        <v>9.6</v>
      </c>
      <c r="N7" s="14"/>
    </row>
    <row r="8" spans="1:15" x14ac:dyDescent="0.2">
      <c r="E8" s="97"/>
      <c r="F8" s="61">
        <v>3</v>
      </c>
      <c r="G8" s="59">
        <v>8.3000000000000007</v>
      </c>
      <c r="H8" s="59">
        <v>26</v>
      </c>
      <c r="I8" s="59">
        <v>13.4</v>
      </c>
      <c r="J8" s="59">
        <v>21.3</v>
      </c>
      <c r="K8" s="59">
        <v>22.6</v>
      </c>
      <c r="L8" s="59">
        <v>21.7</v>
      </c>
      <c r="N8" s="14"/>
    </row>
    <row r="9" spans="1:15" x14ac:dyDescent="0.2">
      <c r="A9" s="98" t="s">
        <v>893</v>
      </c>
      <c r="B9" s="97"/>
      <c r="E9" s="97"/>
      <c r="F9" s="61">
        <v>4</v>
      </c>
      <c r="G9" s="59">
        <v>26.1</v>
      </c>
      <c r="H9" s="59">
        <v>23.4</v>
      </c>
      <c r="I9" s="59">
        <v>31.2</v>
      </c>
      <c r="J9" s="59">
        <v>24.5</v>
      </c>
      <c r="K9" s="59">
        <v>28.4</v>
      </c>
      <c r="L9" s="59">
        <v>27.4</v>
      </c>
    </row>
    <row r="10" spans="1:15" x14ac:dyDescent="0.2">
      <c r="A10" t="s">
        <v>894</v>
      </c>
      <c r="B10" t="s">
        <v>983</v>
      </c>
      <c r="E10" s="97"/>
      <c r="F10" s="61">
        <v>5</v>
      </c>
      <c r="G10" s="59">
        <v>63.7</v>
      </c>
      <c r="H10" s="59">
        <v>15.6</v>
      </c>
      <c r="I10" s="59">
        <v>48.4</v>
      </c>
      <c r="J10" s="59">
        <v>38.1</v>
      </c>
      <c r="K10" s="59">
        <v>27.7</v>
      </c>
      <c r="L10" s="59">
        <v>37.6</v>
      </c>
    </row>
    <row r="11" spans="1:15" x14ac:dyDescent="0.2">
      <c r="A11" t="s">
        <v>895</v>
      </c>
      <c r="B11" t="s">
        <v>1022</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A16" t="s">
        <v>1146</v>
      </c>
      <c r="B16" t="b">
        <v>1</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270</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tbl-OC-impact-hlthinsur-access</v>
      </c>
    </row>
    <row r="4" spans="1:15" x14ac:dyDescent="0.2">
      <c r="A4" s="58" t="s">
        <v>6</v>
      </c>
      <c r="B4" t="str">
        <f>IF($B$1="","",_xlfn.XLOOKUP($B$1,Master!$F$2:$F$308,Master!$H$2:$H$308,""))</f>
        <v>fig-OC-impact-hlthinsur-access</v>
      </c>
      <c r="E4" s="13"/>
      <c r="F4" s="16"/>
      <c r="G4" s="16" t="s">
        <v>679</v>
      </c>
      <c r="H4" s="16" t="s">
        <v>679</v>
      </c>
      <c r="I4" s="16" t="s">
        <v>679</v>
      </c>
      <c r="J4" s="16" t="s">
        <v>679</v>
      </c>
      <c r="K4" s="16"/>
      <c r="L4" s="16"/>
      <c r="M4" s="16"/>
      <c r="N4" s="16"/>
      <c r="O4" s="16"/>
    </row>
    <row r="5" spans="1:15" x14ac:dyDescent="0.2">
      <c r="A5" s="98" t="s">
        <v>885</v>
      </c>
      <c r="B5" s="97"/>
      <c r="E5" s="99" t="s">
        <v>886</v>
      </c>
      <c r="F5" t="s">
        <v>1829</v>
      </c>
      <c r="G5" t="s">
        <v>1037</v>
      </c>
      <c r="H5" t="s">
        <v>1038</v>
      </c>
      <c r="I5" t="s">
        <v>1039</v>
      </c>
      <c r="J5" t="s">
        <v>1040</v>
      </c>
      <c r="K5" s="55"/>
      <c r="L5" s="55"/>
      <c r="M5" s="55"/>
      <c r="N5" s="55"/>
    </row>
    <row r="6" spans="1:15" ht="15" customHeight="1" x14ac:dyDescent="0.2">
      <c r="A6" t="s">
        <v>891</v>
      </c>
      <c r="B6" t="b">
        <v>0</v>
      </c>
      <c r="E6" s="97"/>
      <c r="F6" s="61">
        <v>1</v>
      </c>
      <c r="G6" s="14">
        <v>18.8</v>
      </c>
      <c r="H6" s="14">
        <v>21.4</v>
      </c>
      <c r="I6" s="14">
        <v>3.2</v>
      </c>
      <c r="J6" s="14">
        <v>8.3000000000000007</v>
      </c>
      <c r="N6" s="14"/>
    </row>
    <row r="7" spans="1:15" ht="15.75" customHeight="1" x14ac:dyDescent="0.2">
      <c r="E7" s="97"/>
      <c r="F7" s="61">
        <v>2</v>
      </c>
      <c r="G7" s="14">
        <v>14.3</v>
      </c>
      <c r="H7" s="14">
        <v>18.8</v>
      </c>
      <c r="I7" s="14">
        <v>8.4</v>
      </c>
      <c r="J7" s="14">
        <v>7.1</v>
      </c>
      <c r="N7" s="14"/>
    </row>
    <row r="8" spans="1:15" x14ac:dyDescent="0.2">
      <c r="E8" s="97"/>
      <c r="F8" s="61">
        <v>3</v>
      </c>
      <c r="G8" s="14">
        <v>30</v>
      </c>
      <c r="H8" s="14">
        <v>28.6</v>
      </c>
      <c r="I8" s="14">
        <v>20.7</v>
      </c>
      <c r="J8" s="14">
        <v>23.1</v>
      </c>
      <c r="N8" s="14"/>
    </row>
    <row r="9" spans="1:15" x14ac:dyDescent="0.2">
      <c r="A9" s="98" t="s">
        <v>893</v>
      </c>
      <c r="B9" s="97"/>
      <c r="E9" s="97"/>
      <c r="F9" s="61">
        <v>4</v>
      </c>
      <c r="G9" s="14">
        <v>16.899999999999999</v>
      </c>
      <c r="H9" s="14">
        <v>15.6</v>
      </c>
      <c r="I9" s="14">
        <v>27.7</v>
      </c>
      <c r="J9" s="14">
        <v>30.8</v>
      </c>
    </row>
    <row r="10" spans="1:15" x14ac:dyDescent="0.2">
      <c r="A10" t="s">
        <v>894</v>
      </c>
      <c r="B10" t="s">
        <v>983</v>
      </c>
      <c r="E10" s="97"/>
      <c r="F10" s="61">
        <v>5</v>
      </c>
      <c r="G10" s="14">
        <v>20.100000000000001</v>
      </c>
      <c r="H10" s="14">
        <v>15.6</v>
      </c>
      <c r="I10" s="14">
        <v>40</v>
      </c>
      <c r="J10" s="14">
        <v>30.8</v>
      </c>
    </row>
    <row r="11" spans="1:15" x14ac:dyDescent="0.2">
      <c r="A11" t="s">
        <v>895</v>
      </c>
      <c r="B11" t="s">
        <v>1831</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A16" t="s">
        <v>1146</v>
      </c>
      <c r="B16" t="b">
        <v>1</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882</v>
      </c>
      <c r="B1" s="112" t="s">
        <v>274</v>
      </c>
      <c r="C1" s="113"/>
      <c r="D1" s="113"/>
      <c r="E1" s="113"/>
      <c r="F1" s="113"/>
      <c r="G1" s="113"/>
      <c r="H1" s="113"/>
      <c r="I1" s="113"/>
      <c r="J1" s="113"/>
      <c r="K1" s="113"/>
      <c r="L1" s="113"/>
      <c r="M1" s="113"/>
      <c r="N1" s="113"/>
      <c r="O1" s="113"/>
    </row>
    <row r="2" spans="1:26" x14ac:dyDescent="0.2">
      <c r="A2" s="58" t="s">
        <v>883</v>
      </c>
      <c r="B2" t="s">
        <v>56</v>
      </c>
    </row>
    <row r="3" spans="1:26" x14ac:dyDescent="0.2">
      <c r="A3" s="58" t="s">
        <v>884</v>
      </c>
      <c r="B3" t="str">
        <f>IF($B$1="","",_xlfn.XLOOKUP($B$1,Master!$F$2:$F$308,Master!$G$2:$G$308,""))</f>
        <v>tbl-PC-big-hlth-prob</v>
      </c>
    </row>
    <row r="4" spans="1:26" x14ac:dyDescent="0.2">
      <c r="A4" s="58" t="s">
        <v>6</v>
      </c>
      <c r="B4" t="str">
        <f>IF($B$1="","",_xlfn.XLOOKUP($B$1,Master!$F$2:$F$308,Master!$H$2:$H$308,""))</f>
        <v>fig-PC-big-hlth-prob</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row>
    <row r="5" spans="1:26" x14ac:dyDescent="0.2">
      <c r="A5" s="98" t="s">
        <v>885</v>
      </c>
      <c r="B5" s="97"/>
      <c r="E5" s="99" t="s">
        <v>886</v>
      </c>
      <c r="F5" t="s">
        <v>1041</v>
      </c>
      <c r="G5" t="s">
        <v>1042</v>
      </c>
      <c r="H5" t="s">
        <v>1043</v>
      </c>
      <c r="I5" t="s">
        <v>1044</v>
      </c>
      <c r="J5" t="s">
        <v>1045</v>
      </c>
      <c r="K5" t="s">
        <v>1046</v>
      </c>
      <c r="L5" t="s">
        <v>1047</v>
      </c>
      <c r="M5" t="s">
        <v>1048</v>
      </c>
      <c r="N5" t="s">
        <v>1049</v>
      </c>
      <c r="O5" t="s">
        <v>1050</v>
      </c>
      <c r="P5" t="s">
        <v>1051</v>
      </c>
      <c r="Q5" t="s">
        <v>1052</v>
      </c>
      <c r="R5" t="s">
        <v>1053</v>
      </c>
      <c r="S5" t="s">
        <v>1054</v>
      </c>
      <c r="T5" t="s">
        <v>1055</v>
      </c>
      <c r="U5" t="s">
        <v>1056</v>
      </c>
      <c r="V5" t="s">
        <v>1057</v>
      </c>
      <c r="W5" t="s">
        <v>1058</v>
      </c>
      <c r="X5" t="s">
        <v>1059</v>
      </c>
      <c r="Y5" t="s">
        <v>1060</v>
      </c>
      <c r="Z5" t="s">
        <v>1061</v>
      </c>
    </row>
    <row r="6" spans="1:26" ht="15" customHeight="1" x14ac:dyDescent="0.2">
      <c r="A6" t="s">
        <v>891</v>
      </c>
      <c r="B6" t="b">
        <v>0</v>
      </c>
      <c r="E6" s="97"/>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7"/>
      <c r="N7" s="14"/>
    </row>
    <row r="8" spans="1:26" x14ac:dyDescent="0.2">
      <c r="E8" s="97"/>
      <c r="G8" s="14"/>
      <c r="N8" s="14"/>
    </row>
    <row r="9" spans="1:26" x14ac:dyDescent="0.2">
      <c r="A9" s="98" t="s">
        <v>893</v>
      </c>
      <c r="B9" s="97"/>
      <c r="E9" s="97"/>
    </row>
    <row r="10" spans="1:26" x14ac:dyDescent="0.2">
      <c r="A10" t="s">
        <v>894</v>
      </c>
      <c r="B10" t="s">
        <v>1062</v>
      </c>
      <c r="E10" s="97"/>
      <c r="H10" s="14"/>
      <c r="I10" s="14"/>
    </row>
    <row r="11" spans="1:26" x14ac:dyDescent="0.2">
      <c r="A11" t="s">
        <v>895</v>
      </c>
      <c r="B11" t="s">
        <v>985</v>
      </c>
      <c r="E11" s="97"/>
    </row>
    <row r="12" spans="1:26" x14ac:dyDescent="0.2">
      <c r="A12" t="s">
        <v>896</v>
      </c>
      <c r="E12" s="97"/>
    </row>
    <row r="13" spans="1:26" x14ac:dyDescent="0.2">
      <c r="A13" t="s">
        <v>897</v>
      </c>
      <c r="E13" s="97"/>
    </row>
    <row r="14" spans="1:26" x14ac:dyDescent="0.2">
      <c r="A14" t="s">
        <v>899</v>
      </c>
      <c r="B14" t="s">
        <v>694</v>
      </c>
      <c r="E14" s="97"/>
    </row>
    <row r="15" spans="1:26" x14ac:dyDescent="0.2">
      <c r="A15" t="s">
        <v>901</v>
      </c>
      <c r="B15" t="b">
        <v>1</v>
      </c>
      <c r="E15" s="97"/>
    </row>
    <row r="16" spans="1:26"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election activeCell="I5" sqref="I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882</v>
      </c>
      <c r="B1" s="112" t="s">
        <v>278</v>
      </c>
      <c r="C1" s="113"/>
      <c r="D1" s="113"/>
      <c r="E1" s="113"/>
      <c r="F1" s="113"/>
      <c r="G1" s="113"/>
      <c r="H1" s="113"/>
      <c r="I1" s="113"/>
      <c r="J1" s="113"/>
      <c r="K1" s="113"/>
      <c r="L1" s="113"/>
      <c r="M1" s="113"/>
      <c r="N1" s="113"/>
      <c r="O1" s="113"/>
    </row>
    <row r="2" spans="1:23" x14ac:dyDescent="0.2">
      <c r="A2" s="58" t="s">
        <v>883</v>
      </c>
      <c r="B2" t="s">
        <v>56</v>
      </c>
    </row>
    <row r="3" spans="1:23" x14ac:dyDescent="0.2">
      <c r="A3" s="58" t="s">
        <v>884</v>
      </c>
      <c r="B3" t="str">
        <f>IF($B$1="","",_xlfn.XLOOKUP($B$1,Master!$F$2:$F$308,Master!$G$2:$G$308,""))</f>
        <v>tbl-PC-help-improve-hlth</v>
      </c>
    </row>
    <row r="4" spans="1:23" x14ac:dyDescent="0.2">
      <c r="A4" s="58" t="s">
        <v>6</v>
      </c>
      <c r="B4" t="str">
        <f>IF($B$1="","",_xlfn.XLOOKUP($B$1,Master!$F$2:$F$308,Master!$H$2:$H$308,""))</f>
        <v>fig-PC-help-improve-hlth</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row>
    <row r="5" spans="1:23" x14ac:dyDescent="0.2">
      <c r="A5" s="98" t="s">
        <v>885</v>
      </c>
      <c r="B5" s="97"/>
      <c r="E5" s="99" t="s">
        <v>886</v>
      </c>
      <c r="F5" t="s">
        <v>1063</v>
      </c>
      <c r="G5" t="s">
        <v>1064</v>
      </c>
      <c r="H5" t="s">
        <v>1065</v>
      </c>
      <c r="I5" t="s">
        <v>1066</v>
      </c>
      <c r="J5" t="s">
        <v>1067</v>
      </c>
      <c r="K5" t="s">
        <v>1068</v>
      </c>
      <c r="L5" t="s">
        <v>1069</v>
      </c>
      <c r="M5" t="s">
        <v>1070</v>
      </c>
      <c r="N5" t="s">
        <v>1071</v>
      </c>
      <c r="O5" t="s">
        <v>1072</v>
      </c>
      <c r="P5" t="s">
        <v>1073</v>
      </c>
      <c r="Q5" t="s">
        <v>1074</v>
      </c>
      <c r="R5" t="s">
        <v>1075</v>
      </c>
      <c r="S5" t="s">
        <v>1076</v>
      </c>
      <c r="T5" t="s">
        <v>1077</v>
      </c>
      <c r="U5" t="s">
        <v>1078</v>
      </c>
      <c r="V5" t="s">
        <v>1079</v>
      </c>
      <c r="W5" t="s">
        <v>1080</v>
      </c>
    </row>
    <row r="6" spans="1:23" ht="15" customHeight="1" x14ac:dyDescent="0.2">
      <c r="A6" t="s">
        <v>891</v>
      </c>
      <c r="B6" t="b">
        <v>0</v>
      </c>
      <c r="E6" s="97"/>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7"/>
    </row>
    <row r="8" spans="1:23" x14ac:dyDescent="0.2">
      <c r="E8" s="97"/>
      <c r="H8" s="14"/>
      <c r="I8" s="14"/>
    </row>
    <row r="9" spans="1:23" x14ac:dyDescent="0.2">
      <c r="A9" s="98" t="s">
        <v>893</v>
      </c>
      <c r="B9" s="97"/>
      <c r="E9" s="97"/>
    </row>
    <row r="10" spans="1:23" x14ac:dyDescent="0.2">
      <c r="A10" t="s">
        <v>894</v>
      </c>
      <c r="B10" t="s">
        <v>1062</v>
      </c>
      <c r="E10" s="97"/>
    </row>
    <row r="11" spans="1:23" x14ac:dyDescent="0.2">
      <c r="A11" t="s">
        <v>895</v>
      </c>
      <c r="B11" t="s">
        <v>985</v>
      </c>
      <c r="E11" s="97"/>
    </row>
    <row r="12" spans="1:23" x14ac:dyDescent="0.2">
      <c r="A12" t="s">
        <v>896</v>
      </c>
      <c r="E12" s="97"/>
    </row>
    <row r="13" spans="1:23" x14ac:dyDescent="0.2">
      <c r="A13" t="s">
        <v>897</v>
      </c>
      <c r="E13" s="97"/>
    </row>
    <row r="14" spans="1:23" x14ac:dyDescent="0.2">
      <c r="A14" t="s">
        <v>899</v>
      </c>
      <c r="B14" t="s">
        <v>694</v>
      </c>
      <c r="E14" s="97"/>
    </row>
    <row r="15" spans="1:23" x14ac:dyDescent="0.2">
      <c r="A15" t="s">
        <v>901</v>
      </c>
      <c r="B15" t="b">
        <v>1</v>
      </c>
      <c r="E15" s="97"/>
    </row>
    <row r="16" spans="1:23"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election activeCell="K5" sqref="K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882</v>
      </c>
      <c r="B1" s="112" t="s">
        <v>1081</v>
      </c>
      <c r="C1" s="113"/>
      <c r="D1" s="113"/>
      <c r="E1" s="113"/>
      <c r="F1" s="113"/>
      <c r="G1" s="113"/>
      <c r="H1" s="113"/>
      <c r="I1" s="113"/>
      <c r="J1" s="113"/>
      <c r="K1" s="113"/>
      <c r="L1" s="113"/>
      <c r="M1" s="113"/>
      <c r="N1" s="113"/>
      <c r="O1" s="113"/>
    </row>
    <row r="2" spans="1:28" x14ac:dyDescent="0.2">
      <c r="A2" s="58" t="s">
        <v>883</v>
      </c>
      <c r="B2" t="s">
        <v>56</v>
      </c>
    </row>
    <row r="3" spans="1:28" x14ac:dyDescent="0.2">
      <c r="A3" s="58" t="s">
        <v>884</v>
      </c>
      <c r="B3" t="str">
        <f>IF($B$1="","",_xlfn.XLOOKUP($B$1,Master!$F$2:$F$308,Master!$G$2:$G$308,""))</f>
        <v>tbl-PC-help-hlth-screen-education</v>
      </c>
    </row>
    <row r="4" spans="1:28" x14ac:dyDescent="0.2">
      <c r="A4" s="58" t="s">
        <v>6</v>
      </c>
      <c r="B4" t="str">
        <f>IF($B$1="","",_xlfn.XLOOKUP($B$1,Master!$F$2:$F$308,Master!$H$2:$H$308,""))</f>
        <v>fig-PC-help-hlth-screen-education</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c r="AA4" s="16" t="s">
        <v>679</v>
      </c>
      <c r="AB4" s="16" t="s">
        <v>679</v>
      </c>
    </row>
    <row r="5" spans="1:28" x14ac:dyDescent="0.2">
      <c r="A5" s="98" t="s">
        <v>885</v>
      </c>
      <c r="B5" s="97"/>
      <c r="E5" s="99" t="s">
        <v>886</v>
      </c>
      <c r="F5" s="55" t="s">
        <v>1082</v>
      </c>
      <c r="G5" s="55" t="s">
        <v>1083</v>
      </c>
      <c r="H5" s="55" t="s">
        <v>1084</v>
      </c>
      <c r="I5" s="55" t="s">
        <v>1085</v>
      </c>
      <c r="J5" s="55" t="s">
        <v>1086</v>
      </c>
      <c r="K5" s="55" t="s">
        <v>1087</v>
      </c>
      <c r="L5" t="s">
        <v>1088</v>
      </c>
      <c r="M5" s="55" t="s">
        <v>1089</v>
      </c>
      <c r="N5" s="55" t="s">
        <v>1090</v>
      </c>
      <c r="O5" t="s">
        <v>1091</v>
      </c>
      <c r="P5" t="s">
        <v>1092</v>
      </c>
      <c r="Q5" t="s">
        <v>1093</v>
      </c>
      <c r="R5" t="s">
        <v>1094</v>
      </c>
      <c r="S5" t="s">
        <v>1095</v>
      </c>
      <c r="T5" t="s">
        <v>1049</v>
      </c>
      <c r="U5" t="s">
        <v>1096</v>
      </c>
      <c r="V5" t="s">
        <v>1097</v>
      </c>
      <c r="W5" t="s">
        <v>1098</v>
      </c>
      <c r="X5" t="s">
        <v>1099</v>
      </c>
      <c r="Y5" t="s">
        <v>1051</v>
      </c>
      <c r="Z5" t="s">
        <v>1100</v>
      </c>
      <c r="AA5" t="s">
        <v>1101</v>
      </c>
      <c r="AB5" t="s">
        <v>1102</v>
      </c>
    </row>
    <row r="6" spans="1:28" ht="15" customHeight="1" x14ac:dyDescent="0.2">
      <c r="A6" t="s">
        <v>891</v>
      </c>
      <c r="B6" t="b">
        <v>0</v>
      </c>
      <c r="E6" s="97"/>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7"/>
      <c r="F7" s="61"/>
      <c r="G7" s="55"/>
      <c r="H7" s="55"/>
      <c r="I7" s="55"/>
      <c r="J7" s="55"/>
      <c r="K7" s="55"/>
      <c r="L7" s="55"/>
      <c r="N7" s="14"/>
    </row>
    <row r="8" spans="1:28" x14ac:dyDescent="0.2">
      <c r="E8" s="97"/>
      <c r="F8" s="61"/>
      <c r="G8" s="59"/>
      <c r="H8" s="55"/>
      <c r="I8" s="55"/>
      <c r="J8" s="55"/>
      <c r="K8" s="55"/>
      <c r="L8" s="55"/>
      <c r="N8" s="14"/>
    </row>
    <row r="9" spans="1:28" x14ac:dyDescent="0.2">
      <c r="A9" s="98" t="s">
        <v>893</v>
      </c>
      <c r="B9" s="97"/>
      <c r="E9" s="97"/>
      <c r="F9" s="61"/>
      <c r="G9" s="55"/>
      <c r="H9" s="55"/>
      <c r="I9" s="55"/>
      <c r="J9" s="55"/>
      <c r="K9" s="55"/>
      <c r="L9" s="55"/>
    </row>
    <row r="10" spans="1:28" x14ac:dyDescent="0.2">
      <c r="A10" t="s">
        <v>894</v>
      </c>
      <c r="B10" t="s">
        <v>1062</v>
      </c>
      <c r="E10" s="97"/>
      <c r="F10" s="61"/>
      <c r="G10" s="55"/>
      <c r="H10" s="59"/>
      <c r="I10" s="59"/>
      <c r="J10" s="55"/>
      <c r="K10" s="55"/>
      <c r="L10" s="55"/>
    </row>
    <row r="11" spans="1:28" x14ac:dyDescent="0.2">
      <c r="A11" t="s">
        <v>895</v>
      </c>
      <c r="B11" t="s">
        <v>985</v>
      </c>
      <c r="E11" s="97"/>
    </row>
    <row r="12" spans="1:28" x14ac:dyDescent="0.2">
      <c r="A12" t="s">
        <v>896</v>
      </c>
      <c r="E12" s="97"/>
    </row>
    <row r="13" spans="1:28" x14ac:dyDescent="0.2">
      <c r="A13" t="s">
        <v>897</v>
      </c>
      <c r="E13" s="97"/>
    </row>
    <row r="14" spans="1:28" x14ac:dyDescent="0.2">
      <c r="A14" t="s">
        <v>899</v>
      </c>
      <c r="B14" t="s">
        <v>694</v>
      </c>
      <c r="E14" s="97"/>
    </row>
    <row r="15" spans="1:28" x14ac:dyDescent="0.2">
      <c r="A15" t="s">
        <v>901</v>
      </c>
      <c r="B15" t="b">
        <v>1</v>
      </c>
      <c r="E15" s="97"/>
    </row>
    <row r="16" spans="1:28"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285</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tbl-PC-reason-no-hlthcare</v>
      </c>
    </row>
    <row r="4" spans="1:15" x14ac:dyDescent="0.2">
      <c r="A4" s="58" t="s">
        <v>6</v>
      </c>
      <c r="B4" t="str">
        <f>IF($B$1="","",_xlfn.XLOOKUP($B$1,Master!$F$2:$F$308,Master!$H$2:$H$308,""))</f>
        <v>fig-PC-reason-no-hlthcare</v>
      </c>
      <c r="E4" s="13"/>
      <c r="F4" s="16" t="s">
        <v>679</v>
      </c>
      <c r="G4" s="16" t="s">
        <v>679</v>
      </c>
      <c r="H4" s="16" t="s">
        <v>679</v>
      </c>
      <c r="I4" s="16" t="s">
        <v>679</v>
      </c>
      <c r="J4" s="16" t="s">
        <v>679</v>
      </c>
      <c r="K4" s="16" t="s">
        <v>679</v>
      </c>
      <c r="L4" s="16"/>
      <c r="M4" s="16"/>
      <c r="N4" s="16"/>
      <c r="O4" s="16"/>
    </row>
    <row r="5" spans="1:15" x14ac:dyDescent="0.2">
      <c r="A5" s="98" t="s">
        <v>885</v>
      </c>
      <c r="B5" s="97"/>
      <c r="E5" s="99" t="s">
        <v>886</v>
      </c>
      <c r="F5" s="55" t="s">
        <v>1103</v>
      </c>
      <c r="G5" s="55" t="s">
        <v>1104</v>
      </c>
      <c r="H5" s="55" t="s">
        <v>1105</v>
      </c>
      <c r="I5" s="55" t="s">
        <v>1106</v>
      </c>
      <c r="J5" s="55" t="s">
        <v>1107</v>
      </c>
      <c r="K5" s="55" t="s">
        <v>1108</v>
      </c>
      <c r="L5" s="55" t="s">
        <v>1109</v>
      </c>
      <c r="M5" s="55" t="s">
        <v>1110</v>
      </c>
      <c r="N5" s="55"/>
    </row>
    <row r="6" spans="1:15" ht="15" customHeight="1" x14ac:dyDescent="0.2">
      <c r="A6" t="s">
        <v>891</v>
      </c>
      <c r="B6" t="b">
        <v>0</v>
      </c>
      <c r="E6" s="97"/>
      <c r="F6" s="59">
        <v>4</v>
      </c>
      <c r="G6" s="59">
        <v>10</v>
      </c>
      <c r="H6" s="59">
        <v>15</v>
      </c>
      <c r="I6" s="59">
        <v>23</v>
      </c>
      <c r="J6" s="59">
        <v>38</v>
      </c>
      <c r="K6" s="59">
        <v>40</v>
      </c>
      <c r="L6" s="59">
        <v>44</v>
      </c>
      <c r="M6" s="59">
        <v>52</v>
      </c>
      <c r="N6" s="14"/>
    </row>
    <row r="7" spans="1:15" ht="15.75" customHeight="1" x14ac:dyDescent="0.2">
      <c r="E7" s="97"/>
      <c r="F7" s="55"/>
      <c r="G7" s="55"/>
      <c r="H7" s="55"/>
      <c r="I7" s="55"/>
      <c r="J7" s="55"/>
      <c r="K7" s="55"/>
      <c r="N7" s="14"/>
    </row>
    <row r="8" spans="1:15" x14ac:dyDescent="0.2">
      <c r="E8" s="97"/>
      <c r="F8" s="59"/>
      <c r="G8" s="55"/>
      <c r="H8" s="55"/>
      <c r="I8" s="55"/>
      <c r="J8" s="55"/>
      <c r="K8" s="55"/>
      <c r="N8" s="14"/>
    </row>
    <row r="9" spans="1:15" x14ac:dyDescent="0.2">
      <c r="A9" s="98" t="s">
        <v>893</v>
      </c>
      <c r="B9" s="97"/>
      <c r="E9" s="97"/>
      <c r="F9" s="55"/>
      <c r="G9" s="55"/>
      <c r="H9" s="55"/>
      <c r="I9" s="55"/>
      <c r="J9" s="55"/>
      <c r="K9" s="55"/>
    </row>
    <row r="10" spans="1:15" x14ac:dyDescent="0.2">
      <c r="A10" t="s">
        <v>894</v>
      </c>
      <c r="B10" t="s">
        <v>1062</v>
      </c>
      <c r="E10" s="97"/>
      <c r="F10" s="55"/>
      <c r="G10" s="59"/>
      <c r="H10" s="59"/>
      <c r="I10" s="55"/>
      <c r="J10" s="55"/>
      <c r="K10" s="55"/>
    </row>
    <row r="11" spans="1:15" x14ac:dyDescent="0.2">
      <c r="A11" t="s">
        <v>895</v>
      </c>
      <c r="B11" t="s">
        <v>985</v>
      </c>
      <c r="E11" s="97"/>
      <c r="F11" s="55"/>
      <c r="G11" s="55"/>
      <c r="H11" s="55"/>
      <c r="I11" s="55"/>
      <c r="J11" s="55"/>
      <c r="K11" s="55"/>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289</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tbl-PC-trust-hlth-source</v>
      </c>
    </row>
    <row r="4" spans="1:15" x14ac:dyDescent="0.2">
      <c r="A4" s="58" t="s">
        <v>6</v>
      </c>
      <c r="B4" t="str">
        <f>IF($B$1="","",_xlfn.XLOOKUP($B$1,Master!$F$2:$F$308,Master!$H$2:$H$308,""))</f>
        <v>fig-PC-trust-hlth-source</v>
      </c>
      <c r="E4" s="13"/>
      <c r="F4" s="16" t="s">
        <v>679</v>
      </c>
      <c r="G4" s="16" t="s">
        <v>679</v>
      </c>
      <c r="H4" s="16" t="s">
        <v>679</v>
      </c>
      <c r="I4" s="16" t="s">
        <v>679</v>
      </c>
      <c r="J4" s="16" t="s">
        <v>679</v>
      </c>
      <c r="K4" s="16" t="s">
        <v>679</v>
      </c>
      <c r="L4" s="16" t="s">
        <v>679</v>
      </c>
      <c r="M4" s="16" t="s">
        <v>679</v>
      </c>
    </row>
    <row r="5" spans="1:15" x14ac:dyDescent="0.2">
      <c r="A5" s="98" t="s">
        <v>885</v>
      </c>
      <c r="B5" s="97"/>
      <c r="E5" s="99" t="s">
        <v>886</v>
      </c>
      <c r="F5" t="s">
        <v>1111</v>
      </c>
      <c r="G5" t="s">
        <v>1112</v>
      </c>
      <c r="H5" t="s">
        <v>1113</v>
      </c>
      <c r="I5" t="s">
        <v>1114</v>
      </c>
      <c r="J5" t="s">
        <v>1115</v>
      </c>
      <c r="K5" t="s">
        <v>1116</v>
      </c>
      <c r="L5" t="s">
        <v>1117</v>
      </c>
      <c r="M5" t="s">
        <v>1118</v>
      </c>
      <c r="N5" s="55"/>
    </row>
    <row r="6" spans="1:15" ht="15" customHeight="1" x14ac:dyDescent="0.2">
      <c r="A6" t="s">
        <v>891</v>
      </c>
      <c r="B6" t="b">
        <v>0</v>
      </c>
      <c r="E6" s="97"/>
      <c r="F6" s="53">
        <v>10</v>
      </c>
      <c r="G6" s="59">
        <v>16</v>
      </c>
      <c r="H6" s="59">
        <v>21</v>
      </c>
      <c r="I6" s="59">
        <v>28</v>
      </c>
      <c r="J6" s="59">
        <v>39</v>
      </c>
      <c r="K6" s="59">
        <v>45</v>
      </c>
      <c r="L6" s="59">
        <v>48</v>
      </c>
      <c r="M6" s="59">
        <v>76</v>
      </c>
      <c r="N6" s="14"/>
    </row>
    <row r="7" spans="1:15" ht="15.75" customHeight="1" x14ac:dyDescent="0.2">
      <c r="E7" s="97"/>
      <c r="F7" s="61"/>
      <c r="G7" s="59"/>
      <c r="H7" s="59"/>
      <c r="I7" s="59"/>
      <c r="J7" s="59"/>
      <c r="N7" s="14"/>
    </row>
    <row r="8" spans="1:15" x14ac:dyDescent="0.2">
      <c r="E8" s="97"/>
      <c r="F8" s="61"/>
      <c r="G8" s="59"/>
      <c r="H8" s="59"/>
      <c r="I8" s="59"/>
      <c r="J8" s="59"/>
      <c r="N8" s="14"/>
    </row>
    <row r="9" spans="1:15" x14ac:dyDescent="0.2">
      <c r="A9" s="98" t="s">
        <v>893</v>
      </c>
      <c r="B9" s="97"/>
      <c r="E9" s="97"/>
      <c r="F9" s="61"/>
      <c r="G9" s="59"/>
      <c r="H9" s="59"/>
      <c r="I9" s="59"/>
      <c r="J9" s="59"/>
    </row>
    <row r="10" spans="1:15" x14ac:dyDescent="0.2">
      <c r="A10" t="s">
        <v>894</v>
      </c>
      <c r="B10" t="s">
        <v>1062</v>
      </c>
      <c r="E10" s="97"/>
      <c r="F10" s="61"/>
      <c r="G10" s="59"/>
      <c r="H10" s="59"/>
      <c r="I10" s="59"/>
      <c r="J10" s="59"/>
    </row>
    <row r="11" spans="1:15" x14ac:dyDescent="0.2">
      <c r="A11" t="s">
        <v>895</v>
      </c>
      <c r="B11" t="s">
        <v>985</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293</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tbl-RC-affect-health</v>
      </c>
    </row>
    <row r="4" spans="1:15" x14ac:dyDescent="0.2">
      <c r="A4" s="58" t="s">
        <v>6</v>
      </c>
      <c r="B4" t="str">
        <f>IF($B$1="","",_xlfn.XLOOKUP($B$1,Master!$F$2:$F$308,Master!$H$2:$H$308,""))</f>
        <v>fig-RC-affect-health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7"/>
      <c r="E5" s="99" t="s">
        <v>886</v>
      </c>
      <c r="F5" s="55" t="s">
        <v>993</v>
      </c>
      <c r="G5" s="55" t="s">
        <v>994</v>
      </c>
      <c r="H5" s="55" t="s">
        <v>995</v>
      </c>
      <c r="I5" s="55" t="s">
        <v>997</v>
      </c>
      <c r="J5" s="55" t="s">
        <v>996</v>
      </c>
      <c r="K5" s="55" t="s">
        <v>992</v>
      </c>
      <c r="L5" s="55" t="s">
        <v>998</v>
      </c>
      <c r="M5" s="55" t="s">
        <v>999</v>
      </c>
      <c r="N5" s="55" t="s">
        <v>1000</v>
      </c>
      <c r="O5" s="55" t="s">
        <v>1001</v>
      </c>
    </row>
    <row r="6" spans="1:15" ht="15" customHeight="1" x14ac:dyDescent="0.2">
      <c r="A6" t="s">
        <v>891</v>
      </c>
      <c r="B6" t="b">
        <v>0</v>
      </c>
      <c r="E6" s="97"/>
      <c r="F6" s="59">
        <v>50.4</v>
      </c>
      <c r="G6" s="59">
        <v>46.7</v>
      </c>
      <c r="H6" s="59">
        <v>43</v>
      </c>
      <c r="I6" s="59">
        <v>38.5</v>
      </c>
      <c r="J6" s="59">
        <v>31.9</v>
      </c>
      <c r="K6" s="59">
        <v>29.6</v>
      </c>
      <c r="L6" s="59">
        <v>27.4</v>
      </c>
      <c r="M6" s="59">
        <v>17</v>
      </c>
      <c r="N6" s="59">
        <v>14.1</v>
      </c>
      <c r="O6" s="59">
        <v>1.5</v>
      </c>
    </row>
    <row r="7" spans="1:15" ht="15.75" customHeight="1" x14ac:dyDescent="0.2">
      <c r="E7" s="97"/>
      <c r="N7" s="14"/>
    </row>
    <row r="8" spans="1:15" x14ac:dyDescent="0.2">
      <c r="E8" s="97"/>
      <c r="N8" s="14"/>
    </row>
    <row r="9" spans="1:15" x14ac:dyDescent="0.2">
      <c r="A9" s="98" t="s">
        <v>893</v>
      </c>
      <c r="B9" s="97"/>
      <c r="E9" s="97"/>
    </row>
    <row r="10" spans="1:15" x14ac:dyDescent="0.2">
      <c r="A10" t="s">
        <v>894</v>
      </c>
      <c r="B10" t="s">
        <v>1002</v>
      </c>
      <c r="E10" s="97"/>
      <c r="H10" s="14"/>
      <c r="I10" s="14"/>
    </row>
    <row r="11" spans="1:15" x14ac:dyDescent="0.2">
      <c r="A11" t="s">
        <v>895</v>
      </c>
      <c r="B11" t="s">
        <v>985</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2" t="s">
        <v>297</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tbl-RC-achieve-health</v>
      </c>
    </row>
    <row r="4" spans="1:17" x14ac:dyDescent="0.2">
      <c r="A4" s="58" t="s">
        <v>6</v>
      </c>
      <c r="B4" t="str">
        <f>IF($B$1="","",_xlfn.XLOOKUP($B$1,Master!$F$2:$F$308,Master!$H$2:$H$308,""))</f>
        <v>fig-RC-achieve-health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7"/>
      <c r="E5" s="99" t="s">
        <v>886</v>
      </c>
      <c r="F5" t="s">
        <v>1003</v>
      </c>
      <c r="G5" t="s">
        <v>1004</v>
      </c>
      <c r="H5" t="s">
        <v>1006</v>
      </c>
      <c r="I5" t="s">
        <v>1007</v>
      </c>
      <c r="J5" t="s">
        <v>1008</v>
      </c>
      <c r="K5" t="s">
        <v>728</v>
      </c>
      <c r="L5" t="s">
        <v>1013</v>
      </c>
      <c r="M5" t="s">
        <v>1005</v>
      </c>
      <c r="N5" t="s">
        <v>1011</v>
      </c>
      <c r="O5" t="s">
        <v>1012</v>
      </c>
      <c r="P5" t="s">
        <v>1010</v>
      </c>
      <c r="Q5" t="s">
        <v>1009</v>
      </c>
    </row>
    <row r="6" spans="1:17" ht="15" customHeight="1" x14ac:dyDescent="0.2">
      <c r="A6" t="s">
        <v>891</v>
      </c>
      <c r="B6" t="b">
        <v>0</v>
      </c>
      <c r="E6" s="97"/>
      <c r="F6" s="14">
        <v>66</v>
      </c>
      <c r="G6">
        <v>59.3</v>
      </c>
      <c r="H6">
        <v>34.1</v>
      </c>
      <c r="I6">
        <v>26.7</v>
      </c>
      <c r="J6">
        <v>23.7</v>
      </c>
      <c r="K6">
        <v>21.5</v>
      </c>
      <c r="L6">
        <v>19.3</v>
      </c>
      <c r="M6">
        <v>18.5</v>
      </c>
      <c r="N6">
        <v>9.6</v>
      </c>
      <c r="O6">
        <v>9.6</v>
      </c>
      <c r="P6" s="14">
        <v>6.7</v>
      </c>
      <c r="Q6">
        <v>5.2</v>
      </c>
    </row>
    <row r="7" spans="1:17" ht="15.75" customHeight="1" x14ac:dyDescent="0.2">
      <c r="E7" s="97"/>
      <c r="N7" s="14"/>
    </row>
    <row r="8" spans="1:17" x14ac:dyDescent="0.2">
      <c r="E8" s="97"/>
      <c r="G8" s="14"/>
      <c r="N8" s="14"/>
    </row>
    <row r="9" spans="1:17" x14ac:dyDescent="0.2">
      <c r="A9" s="98" t="s">
        <v>893</v>
      </c>
      <c r="B9" s="97"/>
      <c r="E9" s="97"/>
    </row>
    <row r="10" spans="1:17" x14ac:dyDescent="0.2">
      <c r="A10" t="s">
        <v>894</v>
      </c>
      <c r="B10" t="s">
        <v>1002</v>
      </c>
      <c r="E10" s="97"/>
      <c r="H10" s="14"/>
      <c r="I10" s="14"/>
    </row>
    <row r="11" spans="1:17" x14ac:dyDescent="0.2">
      <c r="A11" t="s">
        <v>895</v>
      </c>
      <c r="B11" t="s">
        <v>985</v>
      </c>
      <c r="E11" s="97"/>
    </row>
    <row r="12" spans="1:17" x14ac:dyDescent="0.2">
      <c r="A12" t="s">
        <v>896</v>
      </c>
      <c r="E12" s="97"/>
    </row>
    <row r="13" spans="1:17" x14ac:dyDescent="0.2">
      <c r="A13" t="s">
        <v>897</v>
      </c>
      <c r="E13" s="97"/>
    </row>
    <row r="14" spans="1:17" x14ac:dyDescent="0.2">
      <c r="A14" t="s">
        <v>899</v>
      </c>
      <c r="B14" t="s">
        <v>694</v>
      </c>
      <c r="E14" s="97"/>
    </row>
    <row r="15" spans="1:17" x14ac:dyDescent="0.2">
      <c r="A15" t="s">
        <v>901</v>
      </c>
      <c r="B15" t="b">
        <v>1</v>
      </c>
      <c r="E15" s="97"/>
    </row>
    <row r="16" spans="1:17"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301</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tbl-RC-impact-hlth-issue</v>
      </c>
    </row>
    <row r="4" spans="1:15" x14ac:dyDescent="0.2">
      <c r="A4" s="58" t="s">
        <v>6</v>
      </c>
      <c r="B4" t="str">
        <f>IF($B$1="","",_xlfn.XLOOKUP($B$1,Master!$F$2:$F$308,Master!$H$2:$H$308,""))</f>
        <v>fig-RC-impact-hlth-issue</v>
      </c>
      <c r="E4" s="13"/>
      <c r="F4" s="16" t="s">
        <v>671</v>
      </c>
      <c r="G4" s="16" t="s">
        <v>679</v>
      </c>
      <c r="H4" s="16" t="s">
        <v>679</v>
      </c>
      <c r="I4" s="16" t="s">
        <v>679</v>
      </c>
      <c r="J4" s="16" t="s">
        <v>679</v>
      </c>
      <c r="K4" s="16" t="s">
        <v>679</v>
      </c>
      <c r="L4" s="16" t="s">
        <v>679</v>
      </c>
      <c r="M4" s="16"/>
      <c r="N4" s="16"/>
      <c r="O4" s="16"/>
    </row>
    <row r="5" spans="1:15" x14ac:dyDescent="0.2">
      <c r="A5" s="98" t="s">
        <v>885</v>
      </c>
      <c r="B5" s="97"/>
      <c r="E5" s="99" t="s">
        <v>886</v>
      </c>
      <c r="F5" t="s">
        <v>1829</v>
      </c>
      <c r="G5" s="55" t="s">
        <v>1014</v>
      </c>
      <c r="H5" s="55" t="s">
        <v>1015</v>
      </c>
      <c r="I5" s="55" t="s">
        <v>1016</v>
      </c>
      <c r="J5" s="55" t="s">
        <v>1017</v>
      </c>
      <c r="K5" s="55" t="s">
        <v>1018</v>
      </c>
      <c r="L5" s="55" t="s">
        <v>1019</v>
      </c>
      <c r="M5" s="55"/>
      <c r="N5" s="55"/>
    </row>
    <row r="6" spans="1:15" ht="15" customHeight="1" x14ac:dyDescent="0.2">
      <c r="A6" t="s">
        <v>891</v>
      </c>
      <c r="B6" t="b">
        <v>0</v>
      </c>
      <c r="E6" s="97"/>
      <c r="F6" s="61">
        <v>1</v>
      </c>
      <c r="G6" s="55">
        <v>5.4</v>
      </c>
      <c r="H6" s="55">
        <v>4.7</v>
      </c>
      <c r="I6" s="55">
        <v>3.1</v>
      </c>
      <c r="J6" s="55">
        <v>14.6</v>
      </c>
      <c r="K6" s="59">
        <v>16</v>
      </c>
      <c r="L6" s="55">
        <v>21.4</v>
      </c>
      <c r="N6" s="14"/>
    </row>
    <row r="7" spans="1:15" ht="15.75" customHeight="1" x14ac:dyDescent="0.2">
      <c r="E7" s="97"/>
      <c r="F7" s="61">
        <v>2</v>
      </c>
      <c r="G7" s="55">
        <v>2.2999999999999998</v>
      </c>
      <c r="H7" s="55">
        <v>6.2</v>
      </c>
      <c r="I7" s="55">
        <v>6.3</v>
      </c>
      <c r="J7" s="55">
        <v>16.2</v>
      </c>
      <c r="K7" s="55">
        <v>19.899999999999999</v>
      </c>
      <c r="L7" s="54">
        <v>16</v>
      </c>
      <c r="N7" s="14"/>
    </row>
    <row r="8" spans="1:15" x14ac:dyDescent="0.2">
      <c r="E8" s="97"/>
      <c r="F8" s="61">
        <v>3</v>
      </c>
      <c r="G8" s="59">
        <v>16.3</v>
      </c>
      <c r="H8" s="55">
        <v>22.5</v>
      </c>
      <c r="I8" s="59">
        <v>18</v>
      </c>
      <c r="J8" s="55">
        <v>28.5</v>
      </c>
      <c r="K8" s="55">
        <v>28.2</v>
      </c>
      <c r="L8" s="55">
        <v>30.5</v>
      </c>
      <c r="N8" s="14"/>
    </row>
    <row r="9" spans="1:15" x14ac:dyDescent="0.2">
      <c r="A9" s="98" t="s">
        <v>893</v>
      </c>
      <c r="B9" s="97"/>
      <c r="E9" s="97"/>
      <c r="F9" s="61">
        <v>4</v>
      </c>
      <c r="G9" s="55">
        <v>21.7</v>
      </c>
      <c r="H9" s="55">
        <v>27.1</v>
      </c>
      <c r="I9" s="55">
        <v>24.2</v>
      </c>
      <c r="J9" s="59">
        <v>20</v>
      </c>
      <c r="K9" s="55">
        <v>17.600000000000001</v>
      </c>
      <c r="L9" s="55">
        <v>18.3</v>
      </c>
    </row>
    <row r="10" spans="1:15" x14ac:dyDescent="0.2">
      <c r="A10" t="s">
        <v>894</v>
      </c>
      <c r="B10" t="s">
        <v>983</v>
      </c>
      <c r="E10" s="97"/>
      <c r="F10" s="61">
        <v>5</v>
      </c>
      <c r="G10" s="55">
        <v>54.3</v>
      </c>
      <c r="H10" s="59">
        <v>40</v>
      </c>
      <c r="I10" s="59">
        <v>48.4</v>
      </c>
      <c r="J10" s="55">
        <v>20.8</v>
      </c>
      <c r="K10" s="55">
        <v>18.3</v>
      </c>
      <c r="L10" s="55">
        <v>13.7</v>
      </c>
    </row>
    <row r="11" spans="1:15" x14ac:dyDescent="0.2">
      <c r="A11" t="s">
        <v>895</v>
      </c>
      <c r="B11" t="s">
        <v>1833</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A16" t="s">
        <v>1146</v>
      </c>
      <c r="B16" t="b">
        <v>1</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305</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tbl-RC-impact-sdoh</v>
      </c>
    </row>
    <row r="4" spans="1:15" x14ac:dyDescent="0.2">
      <c r="A4" s="58" t="s">
        <v>6</v>
      </c>
      <c r="B4" t="str">
        <f>IF($B$1="","",_xlfn.XLOOKUP($B$1,Master!$F$2:$F$308,Master!$H$2:$H$308,""))</f>
        <v>fig-RC-impact-sdoh</v>
      </c>
      <c r="E4" s="13"/>
      <c r="F4" s="16" t="s">
        <v>679</v>
      </c>
      <c r="G4" s="16" t="s">
        <v>679</v>
      </c>
      <c r="H4" s="16" t="s">
        <v>679</v>
      </c>
      <c r="I4" s="16" t="s">
        <v>679</v>
      </c>
      <c r="J4" s="16" t="s">
        <v>679</v>
      </c>
      <c r="K4" s="16" t="s">
        <v>679</v>
      </c>
      <c r="L4" s="16"/>
      <c r="M4" s="16"/>
      <c r="N4" s="16"/>
      <c r="O4" s="16"/>
    </row>
    <row r="5" spans="1:15" x14ac:dyDescent="0.2">
      <c r="A5" s="98" t="s">
        <v>885</v>
      </c>
      <c r="B5" s="97"/>
      <c r="E5" s="99" t="s">
        <v>886</v>
      </c>
      <c r="F5" s="55" t="s">
        <v>1021</v>
      </c>
      <c r="G5" s="55" t="s">
        <v>1022</v>
      </c>
      <c r="H5" s="55" t="s">
        <v>1023</v>
      </c>
      <c r="I5" s="55" t="s">
        <v>1024</v>
      </c>
      <c r="J5" s="55" t="s">
        <v>1025</v>
      </c>
      <c r="K5" s="55" t="s">
        <v>1026</v>
      </c>
      <c r="M5" s="55"/>
      <c r="N5" s="55"/>
    </row>
    <row r="6" spans="1:15" ht="15" customHeight="1" x14ac:dyDescent="0.2">
      <c r="A6" t="s">
        <v>891</v>
      </c>
      <c r="B6" t="b">
        <v>0</v>
      </c>
      <c r="E6" s="97"/>
      <c r="F6" s="55">
        <v>79.7</v>
      </c>
      <c r="G6" s="55">
        <v>70.3</v>
      </c>
      <c r="H6" s="59">
        <v>68.8</v>
      </c>
      <c r="I6" s="55">
        <v>46.9</v>
      </c>
      <c r="J6" s="55">
        <v>17.2</v>
      </c>
      <c r="K6" s="55">
        <v>17.2</v>
      </c>
      <c r="N6" s="14"/>
    </row>
    <row r="7" spans="1:15" ht="15.75" customHeight="1" x14ac:dyDescent="0.2">
      <c r="E7" s="97"/>
      <c r="F7" s="55"/>
      <c r="G7" s="55"/>
      <c r="H7" s="55"/>
      <c r="I7" s="55"/>
      <c r="J7" s="55"/>
      <c r="K7" s="55"/>
      <c r="N7" s="14"/>
    </row>
    <row r="8" spans="1:15" x14ac:dyDescent="0.2">
      <c r="E8" s="97"/>
      <c r="F8" s="59"/>
      <c r="G8" s="55"/>
      <c r="H8" s="55"/>
      <c r="I8" s="55"/>
      <c r="J8" s="55"/>
      <c r="K8" s="55"/>
      <c r="N8" s="14"/>
    </row>
    <row r="9" spans="1:15" x14ac:dyDescent="0.2">
      <c r="A9" s="98" t="s">
        <v>893</v>
      </c>
      <c r="B9" s="97"/>
      <c r="E9" s="97"/>
      <c r="F9" s="55"/>
      <c r="G9" s="55"/>
      <c r="H9" s="55"/>
      <c r="I9" s="55"/>
      <c r="J9" s="55"/>
      <c r="K9" s="55"/>
    </row>
    <row r="10" spans="1:15" x14ac:dyDescent="0.2">
      <c r="A10" t="s">
        <v>894</v>
      </c>
      <c r="B10" t="s">
        <v>1002</v>
      </c>
      <c r="E10" s="97"/>
      <c r="F10" s="55"/>
      <c r="G10" s="59"/>
      <c r="H10" s="59"/>
      <c r="I10" s="55"/>
      <c r="J10" s="55"/>
      <c r="K10" s="55"/>
    </row>
    <row r="11" spans="1:15" x14ac:dyDescent="0.2">
      <c r="A11" t="s">
        <v>895</v>
      </c>
      <c r="B11" t="s">
        <v>985</v>
      </c>
      <c r="E11" s="97"/>
      <c r="F11" s="55"/>
      <c r="H11" s="55"/>
      <c r="I11" s="55"/>
      <c r="J11" s="55"/>
      <c r="K11" s="55"/>
    </row>
    <row r="12" spans="1:15" x14ac:dyDescent="0.2">
      <c r="A12" t="s">
        <v>896</v>
      </c>
      <c r="B12" t="s">
        <v>694</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309</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tbl-RC-eco-wellbeing</v>
      </c>
    </row>
    <row r="4" spans="1:15" x14ac:dyDescent="0.2">
      <c r="A4" s="58" t="s">
        <v>6</v>
      </c>
      <c r="B4" t="str">
        <f>IF($B$1="","",_xlfn.XLOOKUP($B$1,Master!$F$2:$F$308,Master!$H$2:$H$308,""))</f>
        <v>fig-RC-eco-wellbeing</v>
      </c>
      <c r="E4" s="13"/>
      <c r="F4" s="16" t="s">
        <v>671</v>
      </c>
      <c r="G4" s="16" t="s">
        <v>679</v>
      </c>
      <c r="H4" s="16" t="s">
        <v>679</v>
      </c>
      <c r="I4" s="16" t="s">
        <v>679</v>
      </c>
      <c r="J4" s="16" t="s">
        <v>679</v>
      </c>
      <c r="K4" s="16"/>
      <c r="L4" s="16"/>
      <c r="M4" s="16"/>
      <c r="N4" s="16"/>
      <c r="O4" s="16"/>
    </row>
    <row r="5" spans="1:15" x14ac:dyDescent="0.2">
      <c r="A5" s="98" t="s">
        <v>885</v>
      </c>
      <c r="B5" s="97"/>
      <c r="E5" s="99" t="s">
        <v>886</v>
      </c>
      <c r="F5" t="s">
        <v>1829</v>
      </c>
      <c r="G5" s="55" t="s">
        <v>1027</v>
      </c>
      <c r="H5" s="55" t="s">
        <v>1028</v>
      </c>
      <c r="I5" s="55" t="s">
        <v>1029</v>
      </c>
      <c r="J5" s="55" t="s">
        <v>1030</v>
      </c>
      <c r="K5" s="55"/>
      <c r="L5" s="55"/>
      <c r="M5" s="55"/>
      <c r="N5" s="55"/>
    </row>
    <row r="6" spans="1:15" ht="15" customHeight="1" x14ac:dyDescent="0.2">
      <c r="A6" t="s">
        <v>891</v>
      </c>
      <c r="B6" t="b">
        <v>0</v>
      </c>
      <c r="E6" s="97"/>
      <c r="F6" s="61">
        <v>1</v>
      </c>
      <c r="G6" s="59">
        <v>2.4</v>
      </c>
      <c r="H6" s="59">
        <v>3.3</v>
      </c>
      <c r="I6" s="59">
        <v>6.4</v>
      </c>
      <c r="J6" s="59">
        <v>2.4</v>
      </c>
      <c r="N6" s="14"/>
    </row>
    <row r="7" spans="1:15" ht="15.75" customHeight="1" x14ac:dyDescent="0.2">
      <c r="E7" s="97"/>
      <c r="F7" s="61">
        <v>2</v>
      </c>
      <c r="G7" s="59">
        <v>6.3</v>
      </c>
      <c r="H7" s="59">
        <v>12.2</v>
      </c>
      <c r="I7" s="59">
        <v>14.4</v>
      </c>
      <c r="J7" s="59">
        <v>9.5</v>
      </c>
      <c r="N7" s="14"/>
    </row>
    <row r="8" spans="1:15" x14ac:dyDescent="0.2">
      <c r="E8" s="97"/>
      <c r="F8" s="61">
        <v>3</v>
      </c>
      <c r="G8" s="59">
        <v>22.1</v>
      </c>
      <c r="H8" s="59">
        <v>26.8</v>
      </c>
      <c r="I8" s="59">
        <v>23.2</v>
      </c>
      <c r="J8" s="59">
        <v>19.8</v>
      </c>
      <c r="N8" s="14"/>
    </row>
    <row r="9" spans="1:15" x14ac:dyDescent="0.2">
      <c r="A9" s="98" t="s">
        <v>893</v>
      </c>
      <c r="B9" s="97"/>
      <c r="E9" s="97"/>
      <c r="F9" s="61">
        <v>4</v>
      </c>
      <c r="G9" s="59">
        <v>21.3</v>
      </c>
      <c r="H9" s="59">
        <v>30.9</v>
      </c>
      <c r="I9" s="59">
        <v>28</v>
      </c>
      <c r="J9" s="59">
        <v>23.8</v>
      </c>
    </row>
    <row r="10" spans="1:15" x14ac:dyDescent="0.2">
      <c r="A10" t="s">
        <v>894</v>
      </c>
      <c r="B10" t="s">
        <v>983</v>
      </c>
      <c r="E10" s="97"/>
      <c r="F10" s="61">
        <v>5</v>
      </c>
      <c r="G10" s="59">
        <v>48</v>
      </c>
      <c r="H10" s="59">
        <v>26.8</v>
      </c>
      <c r="I10" s="59">
        <v>28</v>
      </c>
      <c r="J10" s="59">
        <v>44.4</v>
      </c>
    </row>
    <row r="11" spans="1:15" x14ac:dyDescent="0.2">
      <c r="A11" t="s">
        <v>895</v>
      </c>
      <c r="B11" t="s">
        <v>1654</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A16" t="s">
        <v>1816</v>
      </c>
      <c r="B16" t="b">
        <v>1</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313</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tbl-RC-impact-mhsu</v>
      </c>
    </row>
    <row r="4" spans="1:15" x14ac:dyDescent="0.2">
      <c r="A4" s="58" t="s">
        <v>6</v>
      </c>
      <c r="B4" t="str">
        <f>IF($B$1="","",_xlfn.XLOOKUP($B$1,Master!$F$2:$F$308,Master!$H$2:$H$308,""))</f>
        <v>fig-RC-impact-mhsu</v>
      </c>
      <c r="E4" s="13"/>
      <c r="F4" s="16" t="s">
        <v>671</v>
      </c>
      <c r="G4" s="16" t="s">
        <v>679</v>
      </c>
      <c r="H4" s="16" t="s">
        <v>679</v>
      </c>
      <c r="I4" s="16" t="s">
        <v>679</v>
      </c>
      <c r="J4" s="16" t="s">
        <v>679</v>
      </c>
      <c r="K4" s="16" t="s">
        <v>679</v>
      </c>
      <c r="L4" s="16" t="s">
        <v>679</v>
      </c>
      <c r="M4" s="16"/>
      <c r="N4" s="16"/>
      <c r="O4" s="16"/>
    </row>
    <row r="5" spans="1:15" x14ac:dyDescent="0.2">
      <c r="A5" s="98" t="s">
        <v>885</v>
      </c>
      <c r="B5" s="97"/>
      <c r="E5" s="99" t="s">
        <v>886</v>
      </c>
      <c r="F5" t="s">
        <v>1829</v>
      </c>
      <c r="G5" s="55" t="s">
        <v>1031</v>
      </c>
      <c r="H5" s="55" t="s">
        <v>1032</v>
      </c>
      <c r="I5" s="55" t="s">
        <v>1033</v>
      </c>
      <c r="J5" s="55" t="s">
        <v>1034</v>
      </c>
      <c r="K5" s="55" t="s">
        <v>1035</v>
      </c>
      <c r="L5" s="55" t="s">
        <v>1036</v>
      </c>
      <c r="M5" s="55"/>
      <c r="N5" s="55"/>
    </row>
    <row r="6" spans="1:15" ht="15" customHeight="1" x14ac:dyDescent="0.2">
      <c r="A6" t="s">
        <v>891</v>
      </c>
      <c r="B6" t="b">
        <v>0</v>
      </c>
      <c r="E6" s="97"/>
      <c r="F6" s="61">
        <v>1</v>
      </c>
      <c r="G6" s="59">
        <v>0.8</v>
      </c>
      <c r="H6" s="59">
        <v>18.7</v>
      </c>
      <c r="I6" s="59">
        <v>1.6</v>
      </c>
      <c r="J6" s="59">
        <v>11.4</v>
      </c>
      <c r="K6" s="59">
        <v>12.2</v>
      </c>
      <c r="L6" s="59">
        <v>3.2</v>
      </c>
      <c r="N6" s="14"/>
    </row>
    <row r="7" spans="1:15" ht="15.75" customHeight="1" x14ac:dyDescent="0.2">
      <c r="E7" s="97"/>
      <c r="F7" s="61">
        <v>2</v>
      </c>
      <c r="G7" s="59">
        <v>2.4</v>
      </c>
      <c r="H7" s="59">
        <v>17.899999999999999</v>
      </c>
      <c r="I7" s="59">
        <v>5.7</v>
      </c>
      <c r="J7" s="59">
        <v>11.4</v>
      </c>
      <c r="K7" s="59">
        <v>10.6</v>
      </c>
      <c r="L7" s="59">
        <v>12.1</v>
      </c>
      <c r="N7" s="14"/>
    </row>
    <row r="8" spans="1:15" x14ac:dyDescent="0.2">
      <c r="E8" s="97"/>
      <c r="F8" s="61">
        <v>3</v>
      </c>
      <c r="G8" s="59">
        <v>15.2</v>
      </c>
      <c r="H8" s="59">
        <v>30.9</v>
      </c>
      <c r="I8" s="59">
        <v>24.4</v>
      </c>
      <c r="J8" s="59">
        <v>24.4</v>
      </c>
      <c r="K8" s="59">
        <v>23.6</v>
      </c>
      <c r="L8" s="59">
        <v>21.8</v>
      </c>
      <c r="N8" s="14"/>
    </row>
    <row r="9" spans="1:15" x14ac:dyDescent="0.2">
      <c r="A9" s="98" t="s">
        <v>893</v>
      </c>
      <c r="B9" s="97"/>
      <c r="E9" s="97"/>
      <c r="F9" s="61">
        <v>4</v>
      </c>
      <c r="G9" s="59">
        <v>20</v>
      </c>
      <c r="H9" s="59">
        <v>19.5</v>
      </c>
      <c r="I9" s="59">
        <v>28.5</v>
      </c>
      <c r="J9" s="59">
        <v>22</v>
      </c>
      <c r="K9" s="59">
        <v>28.5</v>
      </c>
      <c r="L9" s="59">
        <v>29</v>
      </c>
    </row>
    <row r="10" spans="1:15" x14ac:dyDescent="0.2">
      <c r="A10" t="s">
        <v>894</v>
      </c>
      <c r="B10" t="s">
        <v>983</v>
      </c>
      <c r="E10" s="97"/>
      <c r="F10" s="61">
        <v>5</v>
      </c>
      <c r="G10" s="59">
        <v>61.6</v>
      </c>
      <c r="H10" s="59">
        <v>13</v>
      </c>
      <c r="I10" s="59">
        <v>39.799999999999997</v>
      </c>
      <c r="J10" s="59">
        <v>30.9</v>
      </c>
      <c r="K10" s="59">
        <v>25.2</v>
      </c>
      <c r="L10" s="59">
        <v>33.9</v>
      </c>
    </row>
    <row r="11" spans="1:15" x14ac:dyDescent="0.2">
      <c r="A11" t="s">
        <v>895</v>
      </c>
      <c r="B11" t="s">
        <v>1022</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A16" t="s">
        <v>1816</v>
      </c>
      <c r="B16" t="b">
        <v>1</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317</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tbl-RC-impact-hlthinsur-access</v>
      </c>
    </row>
    <row r="4" spans="1:15" x14ac:dyDescent="0.2">
      <c r="A4" s="58" t="s">
        <v>6</v>
      </c>
      <c r="B4" t="str">
        <f>IF($B$1="","",_xlfn.XLOOKUP($B$1,Master!$F$2:$F$308,Master!$H$2:$H$308,""))</f>
        <v>fig-RC-impact-hlthinsur-access</v>
      </c>
      <c r="E4" s="13"/>
      <c r="F4" s="16" t="s">
        <v>671</v>
      </c>
      <c r="G4" s="16" t="s">
        <v>679</v>
      </c>
      <c r="H4" s="16" t="s">
        <v>679</v>
      </c>
      <c r="I4" s="16" t="s">
        <v>679</v>
      </c>
      <c r="J4" s="16" t="s">
        <v>679</v>
      </c>
      <c r="K4" s="16"/>
      <c r="L4" s="16"/>
      <c r="M4" s="16"/>
      <c r="N4" s="16"/>
      <c r="O4" s="16"/>
    </row>
    <row r="5" spans="1:15" x14ac:dyDescent="0.2">
      <c r="A5" s="98" t="s">
        <v>885</v>
      </c>
      <c r="B5" s="97"/>
      <c r="E5" s="99" t="s">
        <v>886</v>
      </c>
      <c r="F5" t="s">
        <v>1829</v>
      </c>
      <c r="G5" t="s">
        <v>1037</v>
      </c>
      <c r="H5" t="s">
        <v>1038</v>
      </c>
      <c r="I5" t="s">
        <v>1039</v>
      </c>
      <c r="J5" t="s">
        <v>1040</v>
      </c>
      <c r="K5" s="55"/>
      <c r="L5" s="55"/>
      <c r="M5" s="55"/>
      <c r="N5" s="55"/>
    </row>
    <row r="6" spans="1:15" ht="15" customHeight="1" x14ac:dyDescent="0.2">
      <c r="A6" t="s">
        <v>891</v>
      </c>
      <c r="B6" t="b">
        <v>0</v>
      </c>
      <c r="E6" s="97"/>
      <c r="F6">
        <v>1</v>
      </c>
      <c r="G6" s="14">
        <v>23.6</v>
      </c>
      <c r="H6" s="14">
        <v>27.6</v>
      </c>
      <c r="I6" s="14">
        <v>8.1</v>
      </c>
      <c r="J6" s="14">
        <v>9.8000000000000007</v>
      </c>
      <c r="N6" s="14"/>
    </row>
    <row r="7" spans="1:15" ht="15.75" customHeight="1" x14ac:dyDescent="0.2">
      <c r="E7" s="97"/>
      <c r="F7">
        <v>2</v>
      </c>
      <c r="G7" s="14">
        <v>15.5</v>
      </c>
      <c r="H7" s="14">
        <v>17.899999999999999</v>
      </c>
      <c r="I7" s="14">
        <v>7.3</v>
      </c>
      <c r="J7" s="14">
        <v>7.4</v>
      </c>
      <c r="N7" s="14"/>
    </row>
    <row r="8" spans="1:15" x14ac:dyDescent="0.2">
      <c r="E8" s="97"/>
      <c r="F8">
        <v>3</v>
      </c>
      <c r="G8" s="14">
        <v>26.8</v>
      </c>
      <c r="H8" s="14">
        <v>28.5</v>
      </c>
      <c r="I8" s="14">
        <v>23.6</v>
      </c>
      <c r="J8" s="14">
        <v>28.7</v>
      </c>
      <c r="N8" s="14"/>
    </row>
    <row r="9" spans="1:15" x14ac:dyDescent="0.2">
      <c r="A9" s="98" t="s">
        <v>893</v>
      </c>
      <c r="B9" s="97"/>
      <c r="E9" s="97"/>
      <c r="F9">
        <v>4</v>
      </c>
      <c r="G9" s="14">
        <v>16.3</v>
      </c>
      <c r="H9" s="14">
        <v>11.4</v>
      </c>
      <c r="I9" s="14">
        <v>25.2</v>
      </c>
      <c r="J9" s="14">
        <v>22.1</v>
      </c>
    </row>
    <row r="10" spans="1:15" x14ac:dyDescent="0.2">
      <c r="A10" t="s">
        <v>894</v>
      </c>
      <c r="B10" t="s">
        <v>983</v>
      </c>
      <c r="E10" s="97"/>
      <c r="F10">
        <v>5</v>
      </c>
      <c r="G10" s="14">
        <v>17.899999999999999</v>
      </c>
      <c r="H10" s="14">
        <v>14.6</v>
      </c>
      <c r="I10" s="14">
        <v>35.799999999999997</v>
      </c>
      <c r="J10" s="14">
        <v>32</v>
      </c>
    </row>
    <row r="11" spans="1:15" x14ac:dyDescent="0.2">
      <c r="A11" t="s">
        <v>895</v>
      </c>
      <c r="B11" t="s">
        <v>1023</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A16" t="s">
        <v>1816</v>
      </c>
      <c r="B16" t="b">
        <v>1</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321</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tbl-SC-affect-health</v>
      </c>
    </row>
    <row r="4" spans="1:15" x14ac:dyDescent="0.2">
      <c r="A4" s="58" t="s">
        <v>6</v>
      </c>
      <c r="B4" t="str">
        <f>IF($B$1="","",_xlfn.XLOOKUP($B$1,Master!$F$2:$F$308,Master!$H$2:$H$308,""))</f>
        <v>fig-SC-affect-health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7"/>
      <c r="E5" s="99" t="s">
        <v>886</v>
      </c>
      <c r="F5" s="55" t="s">
        <v>993</v>
      </c>
      <c r="G5" s="55" t="s">
        <v>994</v>
      </c>
      <c r="H5" s="55" t="s">
        <v>996</v>
      </c>
      <c r="I5" s="55" t="s">
        <v>992</v>
      </c>
      <c r="J5" s="55" t="s">
        <v>995</v>
      </c>
      <c r="K5" s="55" t="s">
        <v>997</v>
      </c>
      <c r="L5" s="55" t="s">
        <v>998</v>
      </c>
      <c r="M5" s="55" t="s">
        <v>1000</v>
      </c>
      <c r="N5" s="55" t="s">
        <v>999</v>
      </c>
      <c r="O5" s="55" t="s">
        <v>1001</v>
      </c>
    </row>
    <row r="6" spans="1:15" ht="15" customHeight="1" x14ac:dyDescent="0.2">
      <c r="A6" t="s">
        <v>891</v>
      </c>
      <c r="B6" t="b">
        <v>0</v>
      </c>
      <c r="E6" s="97"/>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7"/>
    </row>
    <row r="8" spans="1:15" x14ac:dyDescent="0.2">
      <c r="E8" s="97"/>
      <c r="G8" s="14"/>
    </row>
    <row r="9" spans="1:15" x14ac:dyDescent="0.2">
      <c r="A9" s="98" t="s">
        <v>893</v>
      </c>
      <c r="B9" s="97"/>
      <c r="E9" s="97"/>
    </row>
    <row r="10" spans="1:15" x14ac:dyDescent="0.2">
      <c r="A10" t="s">
        <v>894</v>
      </c>
      <c r="B10" t="s">
        <v>1002</v>
      </c>
      <c r="E10" s="97"/>
      <c r="H10" s="14"/>
      <c r="I10" s="14"/>
    </row>
    <row r="11" spans="1:15" x14ac:dyDescent="0.2">
      <c r="A11" t="s">
        <v>895</v>
      </c>
      <c r="B11" t="s">
        <v>985</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2" t="s">
        <v>325</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tbl-SC-achieve-health</v>
      </c>
    </row>
    <row r="4" spans="1:17" x14ac:dyDescent="0.2">
      <c r="A4" s="58" t="s">
        <v>6</v>
      </c>
      <c r="B4" t="str">
        <f>IF($B$1="","",_xlfn.XLOOKUP($B$1,Master!$F$2:$F$308,Master!$H$2:$H$308,""))</f>
        <v>fig-SC-achieve-health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7"/>
      <c r="E5" s="99" t="s">
        <v>886</v>
      </c>
      <c r="F5" t="s">
        <v>1003</v>
      </c>
      <c r="G5" t="s">
        <v>1119</v>
      </c>
      <c r="H5" t="s">
        <v>1004</v>
      </c>
      <c r="I5" t="s">
        <v>1008</v>
      </c>
      <c r="J5" t="s">
        <v>1006</v>
      </c>
      <c r="K5" t="s">
        <v>1007</v>
      </c>
      <c r="L5" t="s">
        <v>728</v>
      </c>
      <c r="M5" t="s">
        <v>1012</v>
      </c>
      <c r="N5" t="s">
        <v>1011</v>
      </c>
      <c r="O5" t="s">
        <v>1010</v>
      </c>
      <c r="P5" t="s">
        <v>1013</v>
      </c>
      <c r="Q5" t="s">
        <v>1009</v>
      </c>
    </row>
    <row r="6" spans="1:17" ht="15" customHeight="1" x14ac:dyDescent="0.2">
      <c r="A6" t="s">
        <v>891</v>
      </c>
      <c r="B6" t="b">
        <v>0</v>
      </c>
      <c r="E6" s="97"/>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7"/>
      <c r="N7" s="14"/>
    </row>
    <row r="8" spans="1:17" x14ac:dyDescent="0.2">
      <c r="E8" s="97"/>
      <c r="N8" s="14"/>
    </row>
    <row r="9" spans="1:17" x14ac:dyDescent="0.2">
      <c r="A9" s="98" t="s">
        <v>893</v>
      </c>
      <c r="B9" s="97"/>
      <c r="E9" s="97"/>
    </row>
    <row r="10" spans="1:17" x14ac:dyDescent="0.2">
      <c r="A10" t="s">
        <v>894</v>
      </c>
      <c r="B10" t="s">
        <v>1002</v>
      </c>
      <c r="E10" s="97"/>
      <c r="H10" s="14"/>
      <c r="I10" s="14"/>
    </row>
    <row r="11" spans="1:17" x14ac:dyDescent="0.2">
      <c r="A11" t="s">
        <v>895</v>
      </c>
      <c r="B11" t="s">
        <v>985</v>
      </c>
      <c r="E11" s="97"/>
    </row>
    <row r="12" spans="1:17" x14ac:dyDescent="0.2">
      <c r="A12" t="s">
        <v>896</v>
      </c>
      <c r="E12" s="97"/>
    </row>
    <row r="13" spans="1:17" x14ac:dyDescent="0.2">
      <c r="A13" t="s">
        <v>897</v>
      </c>
      <c r="E13" s="97"/>
    </row>
    <row r="14" spans="1:17" x14ac:dyDescent="0.2">
      <c r="A14" t="s">
        <v>899</v>
      </c>
      <c r="B14" t="s">
        <v>694</v>
      </c>
      <c r="E14" s="97"/>
    </row>
    <row r="15" spans="1:17" x14ac:dyDescent="0.2">
      <c r="A15" t="s">
        <v>901</v>
      </c>
      <c r="B15" t="b">
        <v>1</v>
      </c>
      <c r="E15" s="97"/>
    </row>
    <row r="16" spans="1:17"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910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329</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tbl-SC-impact-hlth-issue</v>
      </c>
    </row>
    <row r="4" spans="1:15" x14ac:dyDescent="0.2">
      <c r="A4" s="58" t="s">
        <v>6</v>
      </c>
      <c r="B4" t="str">
        <f>IF($B$1="","",_xlfn.XLOOKUP($B$1,Master!$F$2:$F$308,Master!$H$2:$H$308,""))</f>
        <v>fig-SC-impact-hlth-issue</v>
      </c>
      <c r="E4" s="13"/>
      <c r="F4" s="16" t="s">
        <v>671</v>
      </c>
      <c r="G4" s="16" t="s">
        <v>679</v>
      </c>
      <c r="H4" s="16" t="s">
        <v>679</v>
      </c>
      <c r="I4" s="16" t="s">
        <v>679</v>
      </c>
      <c r="J4" s="16" t="s">
        <v>679</v>
      </c>
      <c r="K4" s="16" t="s">
        <v>679</v>
      </c>
      <c r="L4" s="16" t="s">
        <v>679</v>
      </c>
      <c r="M4" s="16"/>
      <c r="N4" s="16"/>
      <c r="O4" s="16"/>
    </row>
    <row r="5" spans="1:15" x14ac:dyDescent="0.2">
      <c r="A5" s="98" t="s">
        <v>885</v>
      </c>
      <c r="B5" s="97"/>
      <c r="E5" s="99" t="s">
        <v>886</v>
      </c>
      <c r="F5" t="s">
        <v>1829</v>
      </c>
      <c r="G5" s="55" t="s">
        <v>1014</v>
      </c>
      <c r="H5" s="55" t="s">
        <v>1015</v>
      </c>
      <c r="I5" s="55" t="s">
        <v>1016</v>
      </c>
      <c r="J5" s="55" t="s">
        <v>1017</v>
      </c>
      <c r="K5" s="55" t="s">
        <v>1018</v>
      </c>
      <c r="L5" s="55" t="s">
        <v>1019</v>
      </c>
      <c r="M5" s="55"/>
      <c r="N5" s="55"/>
    </row>
    <row r="6" spans="1:15" ht="15" customHeight="1" x14ac:dyDescent="0.2">
      <c r="A6" t="s">
        <v>891</v>
      </c>
      <c r="B6" t="b">
        <v>0</v>
      </c>
      <c r="E6" s="97"/>
      <c r="F6" s="61">
        <v>1</v>
      </c>
      <c r="G6" s="55">
        <v>5.2</v>
      </c>
      <c r="H6" s="55">
        <v>3.1</v>
      </c>
      <c r="I6" s="55">
        <v>4.0999999999999996</v>
      </c>
      <c r="J6" s="55">
        <v>9.3000000000000007</v>
      </c>
      <c r="K6" s="55">
        <v>12.4</v>
      </c>
      <c r="L6" s="55">
        <v>17.399999999999999</v>
      </c>
      <c r="N6" s="14"/>
    </row>
    <row r="7" spans="1:15" ht="15.75" customHeight="1" x14ac:dyDescent="0.2">
      <c r="E7" s="97"/>
      <c r="F7" s="61">
        <v>2</v>
      </c>
      <c r="G7" s="55">
        <v>4.0999999999999996</v>
      </c>
      <c r="H7" s="55">
        <v>5.2</v>
      </c>
      <c r="I7" s="55">
        <v>6.2</v>
      </c>
      <c r="J7" s="55">
        <v>10.3</v>
      </c>
      <c r="K7" s="55">
        <v>19.600000000000001</v>
      </c>
      <c r="L7" s="55">
        <v>14.3</v>
      </c>
      <c r="N7" s="14"/>
    </row>
    <row r="8" spans="1:15" x14ac:dyDescent="0.2">
      <c r="E8" s="97"/>
      <c r="F8" s="61">
        <v>3</v>
      </c>
      <c r="G8" s="59">
        <v>14.4</v>
      </c>
      <c r="H8" s="55">
        <v>19.8</v>
      </c>
      <c r="I8" s="55">
        <v>13.4</v>
      </c>
      <c r="J8" s="55">
        <v>35.1</v>
      </c>
      <c r="K8" s="59">
        <v>32</v>
      </c>
      <c r="L8" s="59">
        <v>30</v>
      </c>
      <c r="N8" s="14"/>
    </row>
    <row r="9" spans="1:15" x14ac:dyDescent="0.2">
      <c r="A9" s="98" t="s">
        <v>893</v>
      </c>
      <c r="B9" s="97"/>
      <c r="E9" s="97"/>
      <c r="F9" s="61">
        <v>4</v>
      </c>
      <c r="G9" s="55">
        <v>19.600000000000001</v>
      </c>
      <c r="H9" s="55">
        <v>27.1</v>
      </c>
      <c r="I9" s="55">
        <v>19.600000000000001</v>
      </c>
      <c r="J9" s="55">
        <v>16.5</v>
      </c>
      <c r="K9" s="55">
        <v>14.4</v>
      </c>
      <c r="L9" s="55">
        <v>21.4</v>
      </c>
    </row>
    <row r="10" spans="1:15" x14ac:dyDescent="0.2">
      <c r="A10" t="s">
        <v>894</v>
      </c>
      <c r="B10" t="s">
        <v>983</v>
      </c>
      <c r="E10" s="97"/>
      <c r="F10" s="61">
        <v>5</v>
      </c>
      <c r="G10" s="55">
        <v>56.7</v>
      </c>
      <c r="H10" s="59">
        <v>44.8</v>
      </c>
      <c r="I10" s="59">
        <v>56.7</v>
      </c>
      <c r="J10" s="55">
        <v>28.9</v>
      </c>
      <c r="K10" s="55">
        <v>21.7</v>
      </c>
      <c r="L10" s="55">
        <v>17.399999999999999</v>
      </c>
    </row>
    <row r="11" spans="1:15" x14ac:dyDescent="0.2">
      <c r="A11" t="s">
        <v>895</v>
      </c>
      <c r="B11" t="s">
        <v>1832</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A16" t="s">
        <v>1816</v>
      </c>
      <c r="B16" t="b">
        <v>1</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333</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tbl-SC-impact-sdoh</v>
      </c>
    </row>
    <row r="4" spans="1:15" x14ac:dyDescent="0.2">
      <c r="A4" s="58" t="s">
        <v>6</v>
      </c>
      <c r="B4" t="str">
        <f>IF($B$1="","",_xlfn.XLOOKUP($B$1,Master!$F$2:$F$308,Master!$H$2:$H$308,""))</f>
        <v>fig-SC-impact-sdoh</v>
      </c>
      <c r="E4" s="13"/>
      <c r="F4" s="16" t="s">
        <v>679</v>
      </c>
      <c r="G4" s="16" t="s">
        <v>679</v>
      </c>
      <c r="H4" s="16" t="s">
        <v>679</v>
      </c>
      <c r="I4" s="16" t="s">
        <v>679</v>
      </c>
      <c r="J4" s="16" t="s">
        <v>679</v>
      </c>
      <c r="K4" s="16" t="s">
        <v>679</v>
      </c>
      <c r="L4" s="16"/>
      <c r="M4" s="16"/>
      <c r="N4" s="16"/>
      <c r="O4" s="16"/>
    </row>
    <row r="5" spans="1:15" x14ac:dyDescent="0.2">
      <c r="A5" s="98" t="s">
        <v>885</v>
      </c>
      <c r="B5" s="97"/>
      <c r="E5" s="99" t="s">
        <v>886</v>
      </c>
      <c r="F5" s="55" t="s">
        <v>1022</v>
      </c>
      <c r="G5" s="55" t="s">
        <v>1021</v>
      </c>
      <c r="H5" s="55" t="s">
        <v>1023</v>
      </c>
      <c r="I5" s="55" t="s">
        <v>1024</v>
      </c>
      <c r="J5" s="55" t="s">
        <v>1025</v>
      </c>
      <c r="K5" s="55" t="s">
        <v>1026</v>
      </c>
      <c r="M5" s="55"/>
      <c r="N5" s="55"/>
    </row>
    <row r="6" spans="1:15" ht="15" customHeight="1" x14ac:dyDescent="0.2">
      <c r="A6" t="s">
        <v>891</v>
      </c>
      <c r="B6" t="b">
        <v>0</v>
      </c>
      <c r="E6" s="97"/>
      <c r="F6" s="55">
        <v>83.3</v>
      </c>
      <c r="G6" s="55">
        <v>80.2</v>
      </c>
      <c r="H6" s="59">
        <v>56.3</v>
      </c>
      <c r="I6" s="55">
        <v>44.8</v>
      </c>
      <c r="J6" s="55">
        <v>20.8</v>
      </c>
      <c r="K6" s="55">
        <v>14.6</v>
      </c>
      <c r="N6" s="14"/>
    </row>
    <row r="7" spans="1:15" ht="15.75" customHeight="1" x14ac:dyDescent="0.2">
      <c r="E7" s="97"/>
      <c r="G7" s="55"/>
      <c r="H7" s="55"/>
      <c r="I7" s="55"/>
      <c r="J7" s="55"/>
      <c r="K7" s="55"/>
      <c r="N7" s="14"/>
    </row>
    <row r="8" spans="1:15" x14ac:dyDescent="0.2">
      <c r="E8" s="97"/>
      <c r="G8" s="55"/>
      <c r="H8" s="55"/>
      <c r="I8" s="55"/>
      <c r="J8" s="55"/>
      <c r="K8" s="55"/>
      <c r="N8" s="14"/>
    </row>
    <row r="9" spans="1:15" x14ac:dyDescent="0.2">
      <c r="A9" s="98" t="s">
        <v>893</v>
      </c>
      <c r="B9" s="97"/>
      <c r="E9" s="97"/>
      <c r="F9" s="55"/>
      <c r="G9" s="55"/>
      <c r="H9" s="55"/>
      <c r="I9" s="55"/>
      <c r="J9" s="55"/>
      <c r="K9" s="55"/>
    </row>
    <row r="10" spans="1:15" x14ac:dyDescent="0.2">
      <c r="A10" t="s">
        <v>894</v>
      </c>
      <c r="B10" t="s">
        <v>1002</v>
      </c>
      <c r="E10" s="97"/>
      <c r="G10" s="59"/>
      <c r="H10" s="59"/>
      <c r="I10" s="55"/>
      <c r="J10" s="55"/>
      <c r="K10" s="55"/>
    </row>
    <row r="11" spans="1:15" x14ac:dyDescent="0.2">
      <c r="A11" t="s">
        <v>895</v>
      </c>
      <c r="B11" t="s">
        <v>985</v>
      </c>
      <c r="E11" s="97"/>
      <c r="G11" s="55"/>
      <c r="H11" s="55"/>
      <c r="I11" s="55"/>
      <c r="J11" s="55"/>
      <c r="K11" s="55"/>
    </row>
    <row r="12" spans="1:15" x14ac:dyDescent="0.2">
      <c r="A12" t="s">
        <v>896</v>
      </c>
      <c r="B12" t="s">
        <v>694</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337</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tbl-SC-eco-wellbeing</v>
      </c>
    </row>
    <row r="4" spans="1:15" x14ac:dyDescent="0.2">
      <c r="A4" s="58" t="s">
        <v>6</v>
      </c>
      <c r="B4" t="str">
        <f>IF($B$1="","",_xlfn.XLOOKUP($B$1,Master!$F$2:$F$308,Master!$H$2:$H$308,""))</f>
        <v>fig-SC-eco-wellbeing</v>
      </c>
      <c r="E4" s="13"/>
      <c r="F4" s="16" t="s">
        <v>671</v>
      </c>
      <c r="G4" s="16" t="s">
        <v>679</v>
      </c>
      <c r="H4" s="16" t="s">
        <v>679</v>
      </c>
      <c r="I4" s="16" t="s">
        <v>679</v>
      </c>
      <c r="J4" s="16" t="s">
        <v>679</v>
      </c>
      <c r="K4" s="16"/>
      <c r="L4" s="16"/>
      <c r="M4" s="16"/>
      <c r="N4" s="16"/>
      <c r="O4" s="16"/>
    </row>
    <row r="5" spans="1:15" x14ac:dyDescent="0.2">
      <c r="A5" s="98" t="s">
        <v>885</v>
      </c>
      <c r="B5" s="97"/>
      <c r="E5" s="99" t="s">
        <v>886</v>
      </c>
      <c r="F5" t="s">
        <v>1829</v>
      </c>
      <c r="G5" s="55" t="s">
        <v>1027</v>
      </c>
      <c r="H5" s="55" t="s">
        <v>1028</v>
      </c>
      <c r="I5" s="55" t="s">
        <v>1029</v>
      </c>
      <c r="J5" s="55" t="s">
        <v>1030</v>
      </c>
      <c r="K5" s="55"/>
      <c r="L5" s="55"/>
      <c r="M5" s="55"/>
      <c r="N5" s="55"/>
    </row>
    <row r="6" spans="1:15" ht="15" customHeight="1" x14ac:dyDescent="0.2">
      <c r="A6" t="s">
        <v>891</v>
      </c>
      <c r="B6" t="b">
        <v>0</v>
      </c>
      <c r="E6" s="97"/>
      <c r="F6" s="61">
        <v>1</v>
      </c>
      <c r="G6" s="59">
        <v>1.1000000000000001</v>
      </c>
      <c r="H6" s="59">
        <v>4.2</v>
      </c>
      <c r="I6" s="59">
        <v>2.1</v>
      </c>
      <c r="J6" s="59">
        <v>2.1</v>
      </c>
      <c r="N6" s="14"/>
    </row>
    <row r="7" spans="1:15" ht="15.75" customHeight="1" x14ac:dyDescent="0.2">
      <c r="E7" s="97"/>
      <c r="F7" s="61">
        <v>2</v>
      </c>
      <c r="G7" s="59">
        <v>5.3</v>
      </c>
      <c r="H7" s="59">
        <v>7.4</v>
      </c>
      <c r="I7" s="59">
        <v>5.3</v>
      </c>
      <c r="J7" s="59">
        <v>6.3</v>
      </c>
      <c r="N7" s="14"/>
    </row>
    <row r="8" spans="1:15" x14ac:dyDescent="0.2">
      <c r="E8" s="97"/>
      <c r="F8" s="61">
        <v>3</v>
      </c>
      <c r="G8" s="59">
        <v>20</v>
      </c>
      <c r="H8" s="59">
        <v>24.2</v>
      </c>
      <c r="I8" s="59">
        <v>31.9</v>
      </c>
      <c r="J8" s="59">
        <v>24.2</v>
      </c>
      <c r="N8" s="14"/>
    </row>
    <row r="9" spans="1:15" x14ac:dyDescent="0.2">
      <c r="A9" s="98" t="s">
        <v>893</v>
      </c>
      <c r="B9" s="97"/>
      <c r="E9" s="97"/>
      <c r="F9" s="61">
        <v>4</v>
      </c>
      <c r="G9" s="59">
        <v>16.8</v>
      </c>
      <c r="H9" s="59">
        <v>34.700000000000003</v>
      </c>
      <c r="I9" s="59">
        <v>24.5</v>
      </c>
      <c r="J9" s="59">
        <v>16.8</v>
      </c>
    </row>
    <row r="10" spans="1:15" x14ac:dyDescent="0.2">
      <c r="A10" t="s">
        <v>894</v>
      </c>
      <c r="B10" t="s">
        <v>983</v>
      </c>
      <c r="E10" s="97"/>
      <c r="F10" s="61">
        <v>5</v>
      </c>
      <c r="G10" s="59">
        <v>56.8</v>
      </c>
      <c r="H10" s="59">
        <v>29.5</v>
      </c>
      <c r="I10" s="59">
        <v>36.200000000000003</v>
      </c>
      <c r="J10" s="59">
        <v>50.5</v>
      </c>
    </row>
    <row r="11" spans="1:15" x14ac:dyDescent="0.2">
      <c r="A11" t="s">
        <v>895</v>
      </c>
      <c r="B11" t="s">
        <v>1654</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A16" t="s">
        <v>1816</v>
      </c>
      <c r="B16" t="b">
        <v>1</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341</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tbl-SC-impact-mhsu</v>
      </c>
    </row>
    <row r="4" spans="1:15" x14ac:dyDescent="0.2">
      <c r="A4" s="58" t="s">
        <v>6</v>
      </c>
      <c r="B4" t="str">
        <f>IF($B$1="","",_xlfn.XLOOKUP($B$1,Master!$F$2:$F$308,Master!$H$2:$H$308,""))</f>
        <v>fig-SC-impact-mhsu</v>
      </c>
      <c r="E4" s="13"/>
      <c r="F4" s="16" t="s">
        <v>671</v>
      </c>
      <c r="G4" s="16" t="s">
        <v>679</v>
      </c>
      <c r="H4" s="16" t="s">
        <v>679</v>
      </c>
      <c r="I4" s="16" t="s">
        <v>679</v>
      </c>
      <c r="J4" s="16" t="s">
        <v>679</v>
      </c>
      <c r="K4" s="16" t="s">
        <v>679</v>
      </c>
      <c r="L4" s="16" t="s">
        <v>679</v>
      </c>
      <c r="M4" s="16"/>
      <c r="N4" s="16"/>
      <c r="O4" s="16"/>
    </row>
    <row r="5" spans="1:15" x14ac:dyDescent="0.2">
      <c r="A5" s="98" t="s">
        <v>885</v>
      </c>
      <c r="B5" s="97"/>
      <c r="E5" s="99" t="s">
        <v>886</v>
      </c>
      <c r="F5" t="s">
        <v>1829</v>
      </c>
      <c r="G5" s="55" t="s">
        <v>1031</v>
      </c>
      <c r="H5" s="55" t="s">
        <v>1032</v>
      </c>
      <c r="I5" s="55" t="s">
        <v>1033</v>
      </c>
      <c r="J5" s="55" t="s">
        <v>1034</v>
      </c>
      <c r="K5" s="55" t="s">
        <v>1035</v>
      </c>
      <c r="L5" s="55" t="s">
        <v>1036</v>
      </c>
      <c r="M5" s="55"/>
      <c r="N5" s="55"/>
    </row>
    <row r="6" spans="1:15" ht="15" customHeight="1" x14ac:dyDescent="0.2">
      <c r="A6" t="s">
        <v>891</v>
      </c>
      <c r="B6" t="b">
        <v>0</v>
      </c>
      <c r="E6" s="97"/>
      <c r="F6" s="61">
        <v>1</v>
      </c>
      <c r="G6" s="51">
        <v>0</v>
      </c>
      <c r="H6" s="59">
        <v>10.9</v>
      </c>
      <c r="I6" s="51">
        <v>0</v>
      </c>
      <c r="J6" s="59">
        <v>5.5</v>
      </c>
      <c r="K6" s="59">
        <v>7.6</v>
      </c>
      <c r="L6" s="59">
        <v>3.2</v>
      </c>
      <c r="N6" s="14"/>
    </row>
    <row r="7" spans="1:15" ht="15.75" customHeight="1" x14ac:dyDescent="0.2">
      <c r="E7" s="97"/>
      <c r="F7" s="61">
        <v>2</v>
      </c>
      <c r="G7" s="59">
        <v>1.1000000000000001</v>
      </c>
      <c r="H7" s="59">
        <v>14.1</v>
      </c>
      <c r="I7" s="59">
        <v>6.5</v>
      </c>
      <c r="J7" s="59">
        <v>8.8000000000000007</v>
      </c>
      <c r="K7" s="59">
        <v>13</v>
      </c>
      <c r="L7" s="59">
        <v>7.5</v>
      </c>
      <c r="N7" s="14"/>
    </row>
    <row r="8" spans="1:15" x14ac:dyDescent="0.2">
      <c r="E8" s="97"/>
      <c r="F8" s="61">
        <v>3</v>
      </c>
      <c r="G8" s="59">
        <v>10.8</v>
      </c>
      <c r="H8" s="59">
        <v>32.6</v>
      </c>
      <c r="I8" s="59">
        <v>17.2</v>
      </c>
      <c r="J8" s="59">
        <v>22</v>
      </c>
      <c r="K8" s="59">
        <v>21.7</v>
      </c>
      <c r="L8" s="59">
        <v>18.3</v>
      </c>
      <c r="N8" s="14"/>
    </row>
    <row r="9" spans="1:15" x14ac:dyDescent="0.2">
      <c r="A9" s="98" t="s">
        <v>893</v>
      </c>
      <c r="B9" s="97"/>
      <c r="E9" s="97"/>
      <c r="F9" s="61">
        <v>4</v>
      </c>
      <c r="G9" s="59">
        <v>20.399999999999999</v>
      </c>
      <c r="H9" s="59">
        <v>27.2</v>
      </c>
      <c r="I9" s="59">
        <v>31.2</v>
      </c>
      <c r="J9" s="59">
        <v>24.2</v>
      </c>
      <c r="K9" s="59">
        <v>24</v>
      </c>
      <c r="L9" s="59">
        <v>33.299999999999997</v>
      </c>
    </row>
    <row r="10" spans="1:15" x14ac:dyDescent="0.2">
      <c r="A10" t="s">
        <v>894</v>
      </c>
      <c r="B10" t="s">
        <v>983</v>
      </c>
      <c r="E10" s="97"/>
      <c r="F10" s="61">
        <v>5</v>
      </c>
      <c r="G10" s="59">
        <v>67.7</v>
      </c>
      <c r="H10" s="59">
        <v>15.2</v>
      </c>
      <c r="I10" s="59">
        <v>45.2</v>
      </c>
      <c r="J10" s="59">
        <v>39.6</v>
      </c>
      <c r="K10" s="59">
        <v>33.700000000000003</v>
      </c>
      <c r="L10" s="59">
        <v>37.6</v>
      </c>
    </row>
    <row r="11" spans="1:15" x14ac:dyDescent="0.2">
      <c r="A11" t="s">
        <v>895</v>
      </c>
      <c r="B11" t="s">
        <v>1022</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A16" t="s">
        <v>1816</v>
      </c>
      <c r="B16" t="b">
        <v>1</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345</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tbl-SC-impact-hlthinsur-access</v>
      </c>
    </row>
    <row r="4" spans="1:15" x14ac:dyDescent="0.2">
      <c r="A4" s="58" t="s">
        <v>6</v>
      </c>
      <c r="B4" t="str">
        <f>IF($B$1="","",_xlfn.XLOOKUP($B$1,Master!$F$2:$F$308,Master!$H$2:$H$308,""))</f>
        <v>fig-SC-impact-hlthinsur-access</v>
      </c>
      <c r="E4" s="13"/>
      <c r="F4" s="16" t="s">
        <v>671</v>
      </c>
      <c r="G4" s="16" t="s">
        <v>679</v>
      </c>
      <c r="H4" s="16" t="s">
        <v>679</v>
      </c>
      <c r="I4" s="16" t="s">
        <v>679</v>
      </c>
      <c r="J4" s="16" t="s">
        <v>679</v>
      </c>
      <c r="K4" s="16"/>
      <c r="L4" s="16"/>
      <c r="M4" s="16"/>
      <c r="N4" s="16"/>
      <c r="O4" s="16"/>
    </row>
    <row r="5" spans="1:15" x14ac:dyDescent="0.2">
      <c r="A5" s="98" t="s">
        <v>885</v>
      </c>
      <c r="B5" s="97"/>
      <c r="E5" s="99" t="s">
        <v>886</v>
      </c>
      <c r="F5" t="s">
        <v>1829</v>
      </c>
      <c r="G5" t="s">
        <v>1037</v>
      </c>
      <c r="H5" t="s">
        <v>1038</v>
      </c>
      <c r="I5" t="s">
        <v>1039</v>
      </c>
      <c r="J5" t="s">
        <v>1040</v>
      </c>
      <c r="K5" s="55"/>
      <c r="L5" s="55"/>
      <c r="M5" s="55"/>
      <c r="N5" s="55"/>
    </row>
    <row r="6" spans="1:15" ht="15" customHeight="1" x14ac:dyDescent="0.2">
      <c r="A6" t="s">
        <v>891</v>
      </c>
      <c r="B6" t="b">
        <v>0</v>
      </c>
      <c r="E6" s="97"/>
      <c r="F6">
        <v>1</v>
      </c>
      <c r="G6" s="14">
        <v>9.8000000000000007</v>
      </c>
      <c r="H6" s="14">
        <v>12</v>
      </c>
      <c r="I6" s="14">
        <v>1.1000000000000001</v>
      </c>
      <c r="J6" s="14">
        <v>5.4</v>
      </c>
      <c r="N6" s="14"/>
    </row>
    <row r="7" spans="1:15" ht="15.75" customHeight="1" x14ac:dyDescent="0.2">
      <c r="E7" s="97"/>
      <c r="F7">
        <v>2</v>
      </c>
      <c r="G7" s="14">
        <v>13</v>
      </c>
      <c r="H7" s="14">
        <v>19.600000000000001</v>
      </c>
      <c r="I7" s="14">
        <v>8.6999999999999993</v>
      </c>
      <c r="J7" s="14">
        <v>7.6</v>
      </c>
      <c r="N7" s="14"/>
    </row>
    <row r="8" spans="1:15" x14ac:dyDescent="0.2">
      <c r="E8" s="97"/>
      <c r="F8">
        <v>3</v>
      </c>
      <c r="G8" s="14">
        <v>35.9</v>
      </c>
      <c r="H8" s="14">
        <v>31.5</v>
      </c>
      <c r="I8" s="14">
        <v>20.7</v>
      </c>
      <c r="J8" s="14">
        <v>23.9</v>
      </c>
      <c r="N8" s="14"/>
    </row>
    <row r="9" spans="1:15" x14ac:dyDescent="0.2">
      <c r="A9" s="98" t="s">
        <v>893</v>
      </c>
      <c r="B9" s="97"/>
      <c r="E9" s="97"/>
      <c r="F9">
        <v>4</v>
      </c>
      <c r="G9" s="14">
        <v>25</v>
      </c>
      <c r="H9" s="14">
        <v>22.8</v>
      </c>
      <c r="I9" s="14">
        <v>31.5</v>
      </c>
      <c r="J9" s="14">
        <v>34.799999999999997</v>
      </c>
    </row>
    <row r="10" spans="1:15" x14ac:dyDescent="0.2">
      <c r="A10" t="s">
        <v>894</v>
      </c>
      <c r="B10" t="s">
        <v>983</v>
      </c>
      <c r="E10" s="97"/>
      <c r="F10">
        <v>5</v>
      </c>
      <c r="G10" s="14">
        <v>16.3</v>
      </c>
      <c r="H10" s="14">
        <v>14.1</v>
      </c>
      <c r="I10" s="14">
        <v>38</v>
      </c>
      <c r="J10" s="14">
        <v>28.3</v>
      </c>
    </row>
    <row r="11" spans="1:15" x14ac:dyDescent="0.2">
      <c r="A11" t="s">
        <v>895</v>
      </c>
      <c r="B11" t="s">
        <v>1023</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A16" t="s">
        <v>1816</v>
      </c>
      <c r="B16" t="b">
        <v>1</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349</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tbl-UC-affect-health</v>
      </c>
    </row>
    <row r="4" spans="1:15" x14ac:dyDescent="0.2">
      <c r="A4" s="58" t="s">
        <v>6</v>
      </c>
      <c r="B4" t="str">
        <f>IF($B$1="","",_xlfn.XLOOKUP($B$1,Master!$F$2:$F$308,Master!$H$2:$H$308,""))</f>
        <v>fig-UC-affect-health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7"/>
      <c r="E5" s="99" t="s">
        <v>886</v>
      </c>
      <c r="F5" s="55" t="s">
        <v>994</v>
      </c>
      <c r="G5" s="55" t="s">
        <v>993</v>
      </c>
      <c r="H5" s="55" t="s">
        <v>995</v>
      </c>
      <c r="I5" t="s">
        <v>992</v>
      </c>
      <c r="J5" s="55" t="s">
        <v>996</v>
      </c>
      <c r="K5" s="55" t="s">
        <v>997</v>
      </c>
      <c r="L5" s="55" t="s">
        <v>998</v>
      </c>
      <c r="M5" s="55" t="s">
        <v>1000</v>
      </c>
      <c r="N5" s="55" t="s">
        <v>999</v>
      </c>
      <c r="O5" s="55" t="s">
        <v>1001</v>
      </c>
    </row>
    <row r="6" spans="1:15" ht="15" customHeight="1" x14ac:dyDescent="0.2">
      <c r="A6" t="s">
        <v>891</v>
      </c>
      <c r="B6" t="b">
        <v>0</v>
      </c>
      <c r="E6" s="97"/>
      <c r="F6" s="59">
        <v>52.1</v>
      </c>
      <c r="G6" s="59">
        <v>50.7</v>
      </c>
      <c r="H6" s="59">
        <v>43.8</v>
      </c>
      <c r="I6" s="59">
        <v>40</v>
      </c>
      <c r="J6" s="59">
        <v>37</v>
      </c>
      <c r="K6" s="59">
        <v>30.1</v>
      </c>
      <c r="L6" s="59">
        <v>24.7</v>
      </c>
      <c r="M6" s="59">
        <v>11</v>
      </c>
      <c r="N6" s="59">
        <v>11</v>
      </c>
      <c r="O6" s="51">
        <v>0</v>
      </c>
    </row>
    <row r="7" spans="1:15" ht="15.75" customHeight="1" x14ac:dyDescent="0.2">
      <c r="E7" s="97"/>
      <c r="I7" s="55"/>
    </row>
    <row r="8" spans="1:15" x14ac:dyDescent="0.2">
      <c r="E8" s="97"/>
      <c r="G8" s="14"/>
    </row>
    <row r="9" spans="1:15" x14ac:dyDescent="0.2">
      <c r="A9" s="98" t="s">
        <v>893</v>
      </c>
      <c r="B9" s="97"/>
      <c r="E9" s="97"/>
    </row>
    <row r="10" spans="1:15" x14ac:dyDescent="0.2">
      <c r="A10" t="s">
        <v>894</v>
      </c>
      <c r="B10" t="s">
        <v>983</v>
      </c>
      <c r="E10" s="97"/>
      <c r="H10" s="14"/>
      <c r="I10" s="14"/>
    </row>
    <row r="11" spans="1:15" x14ac:dyDescent="0.2">
      <c r="A11" t="s">
        <v>895</v>
      </c>
      <c r="B11" t="s">
        <v>985</v>
      </c>
      <c r="E11" s="97"/>
    </row>
    <row r="12" spans="1:15" x14ac:dyDescent="0.2">
      <c r="A12" t="s">
        <v>896</v>
      </c>
      <c r="B12" t="s">
        <v>694</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2" t="s">
        <v>353</v>
      </c>
      <c r="C1" s="113"/>
      <c r="D1" s="113"/>
      <c r="E1" s="113"/>
      <c r="F1" s="113"/>
      <c r="G1" s="113"/>
      <c r="H1" s="113"/>
      <c r="I1" s="113"/>
      <c r="J1" s="113"/>
      <c r="K1" s="113"/>
      <c r="L1" s="113"/>
      <c r="M1" s="113"/>
      <c r="N1" s="113"/>
      <c r="O1" s="113"/>
    </row>
    <row r="2" spans="1:17" x14ac:dyDescent="0.2">
      <c r="A2" s="58" t="s">
        <v>883</v>
      </c>
      <c r="B2" t="s">
        <v>56</v>
      </c>
    </row>
    <row r="3" spans="1:17" x14ac:dyDescent="0.2">
      <c r="A3" s="58" t="s">
        <v>884</v>
      </c>
      <c r="B3" t="str">
        <f>IF($B$1="","",_xlfn.XLOOKUP($B$1,Master!$F$2:$F$308,Master!$G$2:$G$308,""))</f>
        <v>tbl-UC-achieve-health</v>
      </c>
    </row>
    <row r="4" spans="1:17" x14ac:dyDescent="0.2">
      <c r="A4" s="58" t="s">
        <v>6</v>
      </c>
      <c r="B4" t="str">
        <f>IF($B$1="","",_xlfn.XLOOKUP($B$1,Master!$F$2:$F$308,Master!$H$2:$H$308,""))</f>
        <v>fig-UC-achieve-health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7"/>
      <c r="E5" s="99" t="s">
        <v>886</v>
      </c>
      <c r="F5" t="s">
        <v>1003</v>
      </c>
      <c r="G5" t="s">
        <v>1004</v>
      </c>
      <c r="H5" t="s">
        <v>1008</v>
      </c>
      <c r="I5" t="s">
        <v>1006</v>
      </c>
      <c r="J5" t="s">
        <v>1005</v>
      </c>
      <c r="K5" t="s">
        <v>1007</v>
      </c>
      <c r="L5" t="s">
        <v>728</v>
      </c>
      <c r="M5" t="s">
        <v>1012</v>
      </c>
      <c r="N5" t="s">
        <v>1011</v>
      </c>
      <c r="O5" t="s">
        <v>1009</v>
      </c>
      <c r="P5" t="s">
        <v>1013</v>
      </c>
      <c r="Q5" t="s">
        <v>1010</v>
      </c>
    </row>
    <row r="6" spans="1:17" ht="15" customHeight="1" x14ac:dyDescent="0.2">
      <c r="A6" t="s">
        <v>891</v>
      </c>
      <c r="B6" t="b">
        <v>0</v>
      </c>
      <c r="E6" s="97"/>
      <c r="F6">
        <v>65.8</v>
      </c>
      <c r="G6">
        <v>46.6</v>
      </c>
      <c r="H6">
        <v>38.4</v>
      </c>
      <c r="I6" s="14">
        <v>37</v>
      </c>
      <c r="J6">
        <v>35.6</v>
      </c>
      <c r="K6">
        <v>27.4</v>
      </c>
      <c r="L6">
        <v>20.6</v>
      </c>
      <c r="M6">
        <v>9.6</v>
      </c>
      <c r="N6">
        <v>6.9</v>
      </c>
      <c r="O6">
        <v>5.5</v>
      </c>
      <c r="P6">
        <v>4.0999999999999996</v>
      </c>
      <c r="Q6" s="14">
        <v>2.7</v>
      </c>
    </row>
    <row r="7" spans="1:17" ht="15.75" customHeight="1" x14ac:dyDescent="0.2">
      <c r="E7" s="97"/>
      <c r="N7" s="14"/>
    </row>
    <row r="8" spans="1:17" x14ac:dyDescent="0.2">
      <c r="E8" s="97"/>
      <c r="G8" s="14"/>
      <c r="N8" s="14"/>
    </row>
    <row r="9" spans="1:17" x14ac:dyDescent="0.2">
      <c r="A9" s="98" t="s">
        <v>893</v>
      </c>
      <c r="B9" s="97"/>
      <c r="E9" s="97"/>
    </row>
    <row r="10" spans="1:17" x14ac:dyDescent="0.2">
      <c r="A10" t="s">
        <v>894</v>
      </c>
      <c r="B10" t="s">
        <v>983</v>
      </c>
      <c r="E10" s="97"/>
      <c r="H10" s="14"/>
      <c r="I10" s="14"/>
    </row>
    <row r="11" spans="1:17" x14ac:dyDescent="0.2">
      <c r="A11" t="s">
        <v>895</v>
      </c>
      <c r="B11" t="s">
        <v>985</v>
      </c>
      <c r="E11" s="97"/>
    </row>
    <row r="12" spans="1:17" x14ac:dyDescent="0.2">
      <c r="A12" t="s">
        <v>896</v>
      </c>
      <c r="B12" t="s">
        <v>694</v>
      </c>
      <c r="E12" s="97"/>
    </row>
    <row r="13" spans="1:17" x14ac:dyDescent="0.2">
      <c r="A13" t="s">
        <v>897</v>
      </c>
      <c r="E13" s="97"/>
    </row>
    <row r="14" spans="1:17" x14ac:dyDescent="0.2">
      <c r="A14" t="s">
        <v>899</v>
      </c>
      <c r="B14" t="s">
        <v>694</v>
      </c>
      <c r="E14" s="97"/>
    </row>
    <row r="15" spans="1:17" x14ac:dyDescent="0.2">
      <c r="A15" t="s">
        <v>901</v>
      </c>
      <c r="B15" t="b">
        <v>1</v>
      </c>
      <c r="E15" s="97"/>
    </row>
    <row r="16" spans="1:17"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357</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tbl-UC-impact-hlth-issue</v>
      </c>
    </row>
    <row r="4" spans="1:15" x14ac:dyDescent="0.2">
      <c r="A4" s="58" t="s">
        <v>6</v>
      </c>
      <c r="B4" t="str">
        <f>IF($B$1="","",_xlfn.XLOOKUP($B$1,Master!$F$2:$F$308,Master!$H$2:$H$308,""))</f>
        <v>fig-UC-impact-hlth-issue</v>
      </c>
      <c r="E4" s="13"/>
      <c r="F4" s="16" t="s">
        <v>671</v>
      </c>
      <c r="G4" s="16" t="s">
        <v>679</v>
      </c>
      <c r="H4" s="16" t="s">
        <v>679</v>
      </c>
      <c r="I4" s="16" t="s">
        <v>679</v>
      </c>
      <c r="J4" s="16" t="s">
        <v>679</v>
      </c>
      <c r="K4" s="16" t="s">
        <v>679</v>
      </c>
      <c r="L4" s="16" t="s">
        <v>679</v>
      </c>
      <c r="M4" s="16"/>
      <c r="N4" s="16"/>
      <c r="O4" s="16"/>
    </row>
    <row r="5" spans="1:15" x14ac:dyDescent="0.2">
      <c r="A5" s="98" t="s">
        <v>885</v>
      </c>
      <c r="B5" s="97"/>
      <c r="E5" s="99" t="s">
        <v>886</v>
      </c>
      <c r="F5" t="s">
        <v>1829</v>
      </c>
      <c r="G5" s="55" t="s">
        <v>1014</v>
      </c>
      <c r="H5" s="55" t="s">
        <v>1015</v>
      </c>
      <c r="I5" s="55" t="s">
        <v>1016</v>
      </c>
      <c r="J5" s="55" t="s">
        <v>1017</v>
      </c>
      <c r="K5" s="55" t="s">
        <v>1018</v>
      </c>
      <c r="L5" s="55" t="s">
        <v>1019</v>
      </c>
      <c r="M5" s="55"/>
      <c r="N5" s="55"/>
    </row>
    <row r="6" spans="1:15" ht="15" customHeight="1" x14ac:dyDescent="0.2">
      <c r="A6" t="s">
        <v>891</v>
      </c>
      <c r="B6" t="b">
        <v>0</v>
      </c>
      <c r="E6" s="97"/>
      <c r="F6" s="61">
        <v>1</v>
      </c>
      <c r="G6" s="55">
        <v>2.9</v>
      </c>
      <c r="H6" s="55">
        <v>2.9</v>
      </c>
      <c r="I6" s="55">
        <v>2.9</v>
      </c>
      <c r="J6" s="59">
        <v>13</v>
      </c>
      <c r="K6" s="59">
        <v>15.7</v>
      </c>
      <c r="L6" s="55">
        <v>16.899999999999999</v>
      </c>
      <c r="N6" s="14"/>
    </row>
    <row r="7" spans="1:15" ht="15.75" customHeight="1" x14ac:dyDescent="0.2">
      <c r="E7" s="97"/>
      <c r="F7" s="61">
        <v>2</v>
      </c>
      <c r="G7" s="55">
        <v>4.3</v>
      </c>
      <c r="H7" s="55">
        <v>5.7</v>
      </c>
      <c r="I7" s="55">
        <v>5.7</v>
      </c>
      <c r="J7" s="59">
        <v>8.6999999999999993</v>
      </c>
      <c r="K7" s="59">
        <v>15.7</v>
      </c>
      <c r="L7" s="55">
        <v>19.7</v>
      </c>
      <c r="N7" s="14"/>
    </row>
    <row r="8" spans="1:15" x14ac:dyDescent="0.2">
      <c r="E8" s="97"/>
      <c r="F8" s="61">
        <v>3</v>
      </c>
      <c r="G8" s="59">
        <v>14.3</v>
      </c>
      <c r="H8" s="59">
        <v>10</v>
      </c>
      <c r="I8" s="55">
        <v>14.3</v>
      </c>
      <c r="J8" s="59">
        <v>34.799999999999997</v>
      </c>
      <c r="K8" s="59">
        <v>30</v>
      </c>
      <c r="L8" s="59">
        <v>31</v>
      </c>
      <c r="N8" s="14"/>
    </row>
    <row r="9" spans="1:15" x14ac:dyDescent="0.2">
      <c r="A9" s="98" t="s">
        <v>893</v>
      </c>
      <c r="B9" s="97"/>
      <c r="E9" s="97"/>
      <c r="F9" s="61">
        <v>4</v>
      </c>
      <c r="G9" s="55">
        <v>18.600000000000001</v>
      </c>
      <c r="H9" s="55">
        <v>31.4</v>
      </c>
      <c r="I9" s="59">
        <v>20</v>
      </c>
      <c r="J9" s="59">
        <v>14.5</v>
      </c>
      <c r="K9" s="59">
        <v>18.600000000000001</v>
      </c>
      <c r="L9" s="55">
        <v>14.1</v>
      </c>
    </row>
    <row r="10" spans="1:15" x14ac:dyDescent="0.2">
      <c r="A10" t="s">
        <v>894</v>
      </c>
      <c r="B10" t="s">
        <v>983</v>
      </c>
      <c r="E10" s="97"/>
      <c r="F10" s="61">
        <v>5</v>
      </c>
      <c r="G10" s="59">
        <v>60</v>
      </c>
      <c r="H10" s="59">
        <v>50</v>
      </c>
      <c r="I10" s="59">
        <v>57.1</v>
      </c>
      <c r="J10" s="59">
        <v>29</v>
      </c>
      <c r="K10" s="59">
        <v>20</v>
      </c>
      <c r="L10" s="55">
        <v>18.3</v>
      </c>
    </row>
    <row r="11" spans="1:15" x14ac:dyDescent="0.2">
      <c r="A11" t="s">
        <v>895</v>
      </c>
      <c r="B11" t="s">
        <v>1832</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A16" t="s">
        <v>1146</v>
      </c>
      <c r="B16" t="b">
        <v>1</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361</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tbl-UC-impact-sdoh</v>
      </c>
    </row>
    <row r="4" spans="1:15" x14ac:dyDescent="0.2">
      <c r="A4" s="58" t="s">
        <v>6</v>
      </c>
      <c r="B4" t="str">
        <f>IF($B$1="","",_xlfn.XLOOKUP($B$1,Master!$F$2:$F$308,Master!$H$2:$H$308,""))</f>
        <v>fig-UC-impact-sdoh</v>
      </c>
      <c r="E4" s="13"/>
      <c r="F4" s="16" t="s">
        <v>679</v>
      </c>
      <c r="G4" s="16" t="s">
        <v>679</v>
      </c>
      <c r="H4" s="16" t="s">
        <v>679</v>
      </c>
      <c r="I4" s="16" t="s">
        <v>679</v>
      </c>
      <c r="J4" s="16" t="s">
        <v>679</v>
      </c>
      <c r="K4" s="16" t="s">
        <v>679</v>
      </c>
      <c r="L4" s="16"/>
      <c r="M4" s="16"/>
      <c r="N4" s="16"/>
      <c r="O4" s="16"/>
    </row>
    <row r="5" spans="1:15" x14ac:dyDescent="0.2">
      <c r="A5" s="98" t="s">
        <v>885</v>
      </c>
      <c r="B5" s="97"/>
      <c r="E5" s="99" t="s">
        <v>886</v>
      </c>
      <c r="F5" s="55" t="s">
        <v>1021</v>
      </c>
      <c r="G5" s="55" t="s">
        <v>1022</v>
      </c>
      <c r="H5" s="55" t="s">
        <v>1023</v>
      </c>
      <c r="I5" s="55" t="s">
        <v>1024</v>
      </c>
      <c r="J5" s="55" t="s">
        <v>1025</v>
      </c>
      <c r="K5" s="55" t="s">
        <v>1026</v>
      </c>
      <c r="M5" s="55"/>
      <c r="N5" s="55"/>
    </row>
    <row r="6" spans="1:15" ht="15" customHeight="1" x14ac:dyDescent="0.2">
      <c r="A6" t="s">
        <v>891</v>
      </c>
      <c r="B6" t="b">
        <v>0</v>
      </c>
      <c r="E6" s="97"/>
      <c r="F6" s="55">
        <v>84.3</v>
      </c>
      <c r="G6" s="55">
        <v>78.599999999999994</v>
      </c>
      <c r="H6" s="59">
        <v>60</v>
      </c>
      <c r="I6" s="55">
        <v>47.1</v>
      </c>
      <c r="J6" s="55">
        <v>18.600000000000001</v>
      </c>
      <c r="K6" s="55">
        <v>11.4</v>
      </c>
      <c r="N6" s="14"/>
    </row>
    <row r="7" spans="1:15" ht="15.75" customHeight="1" x14ac:dyDescent="0.2">
      <c r="E7" s="97"/>
      <c r="F7" s="55"/>
      <c r="G7" s="55"/>
      <c r="H7" s="55"/>
      <c r="I7" s="55"/>
      <c r="J7" s="55"/>
      <c r="K7" s="55"/>
      <c r="N7" s="14"/>
    </row>
    <row r="8" spans="1:15" x14ac:dyDescent="0.2">
      <c r="E8" s="97"/>
      <c r="F8" s="59"/>
      <c r="H8" s="55"/>
      <c r="I8" s="55"/>
      <c r="J8" s="55"/>
      <c r="K8" s="55"/>
      <c r="N8" s="14"/>
    </row>
    <row r="9" spans="1:15" x14ac:dyDescent="0.2">
      <c r="A9" s="98" t="s">
        <v>893</v>
      </c>
      <c r="B9" s="97"/>
      <c r="E9" s="97"/>
      <c r="F9" s="55"/>
      <c r="H9" s="55"/>
      <c r="I9" s="55"/>
      <c r="J9" s="55"/>
      <c r="K9" s="55"/>
    </row>
    <row r="10" spans="1:15" x14ac:dyDescent="0.2">
      <c r="A10" t="s">
        <v>894</v>
      </c>
      <c r="B10" t="s">
        <v>983</v>
      </c>
      <c r="E10" s="97"/>
      <c r="F10" s="55"/>
      <c r="H10" s="59"/>
      <c r="I10" s="55"/>
      <c r="J10" s="55"/>
      <c r="K10" s="55"/>
    </row>
    <row r="11" spans="1:15" x14ac:dyDescent="0.2">
      <c r="A11" t="s">
        <v>895</v>
      </c>
      <c r="B11" t="s">
        <v>985</v>
      </c>
      <c r="E11" s="97"/>
      <c r="F11" s="55"/>
      <c r="H11" s="55"/>
      <c r="I11" s="55"/>
      <c r="J11" s="55"/>
      <c r="K11" s="55"/>
    </row>
    <row r="12" spans="1:15" x14ac:dyDescent="0.2">
      <c r="A12" t="s">
        <v>896</v>
      </c>
      <c r="B12" t="s">
        <v>694</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910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365</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tbl-UC-eco-wellbeing</v>
      </c>
    </row>
    <row r="4" spans="1:15" x14ac:dyDescent="0.2">
      <c r="A4" s="58" t="s">
        <v>6</v>
      </c>
      <c r="B4" t="str">
        <f>IF($B$1="","",_xlfn.XLOOKUP($B$1,Master!$F$2:$F$308,Master!$H$2:$H$308,""))</f>
        <v>fig-UC-eco-wellbeing</v>
      </c>
      <c r="E4" s="13"/>
      <c r="F4" s="16" t="s">
        <v>671</v>
      </c>
      <c r="G4" s="16" t="s">
        <v>679</v>
      </c>
      <c r="H4" s="16" t="s">
        <v>679</v>
      </c>
      <c r="I4" s="16" t="s">
        <v>679</v>
      </c>
      <c r="J4" s="16" t="s">
        <v>679</v>
      </c>
      <c r="K4" s="16"/>
      <c r="L4" s="16"/>
      <c r="M4" s="16"/>
      <c r="N4" s="16"/>
      <c r="O4" s="16"/>
    </row>
    <row r="5" spans="1:15" x14ac:dyDescent="0.2">
      <c r="A5" s="98" t="s">
        <v>885</v>
      </c>
      <c r="B5" s="97"/>
      <c r="E5" s="99" t="s">
        <v>886</v>
      </c>
      <c r="F5" t="s">
        <v>1829</v>
      </c>
      <c r="G5" s="55" t="s">
        <v>1027</v>
      </c>
      <c r="H5" s="55" t="s">
        <v>1028</v>
      </c>
      <c r="I5" s="55" t="s">
        <v>1029</v>
      </c>
      <c r="J5" s="55" t="s">
        <v>1030</v>
      </c>
      <c r="K5" s="55"/>
      <c r="L5" s="55"/>
      <c r="M5" s="55"/>
      <c r="N5" s="55"/>
    </row>
    <row r="6" spans="1:15" ht="15" customHeight="1" x14ac:dyDescent="0.2">
      <c r="A6" t="s">
        <v>891</v>
      </c>
      <c r="B6" t="b">
        <v>0</v>
      </c>
      <c r="E6" s="97"/>
      <c r="F6" s="61">
        <v>1</v>
      </c>
      <c r="G6" s="59">
        <v>1.5</v>
      </c>
      <c r="H6" s="59">
        <v>1.5</v>
      </c>
      <c r="I6" s="59">
        <v>3</v>
      </c>
      <c r="J6" s="59">
        <v>2.9</v>
      </c>
      <c r="K6" s="59"/>
      <c r="N6" s="14"/>
    </row>
    <row r="7" spans="1:15" ht="15.75" customHeight="1" x14ac:dyDescent="0.2">
      <c r="E7" s="97"/>
      <c r="F7" s="61">
        <v>2</v>
      </c>
      <c r="G7" s="59">
        <v>1.5</v>
      </c>
      <c r="H7" s="59">
        <v>7.4</v>
      </c>
      <c r="I7" s="59">
        <v>6</v>
      </c>
      <c r="J7" s="59">
        <v>2.9</v>
      </c>
      <c r="N7" s="14"/>
    </row>
    <row r="8" spans="1:15" x14ac:dyDescent="0.2">
      <c r="E8" s="97"/>
      <c r="F8" s="61">
        <v>3</v>
      </c>
      <c r="G8" s="59">
        <v>20.3</v>
      </c>
      <c r="H8" s="59">
        <v>22.1</v>
      </c>
      <c r="I8" s="59">
        <v>23.9</v>
      </c>
      <c r="J8" s="59">
        <v>20.3</v>
      </c>
      <c r="N8" s="14"/>
    </row>
    <row r="9" spans="1:15" x14ac:dyDescent="0.2">
      <c r="A9" s="98" t="s">
        <v>893</v>
      </c>
      <c r="B9" s="97"/>
      <c r="E9" s="97"/>
      <c r="F9" s="61">
        <v>4</v>
      </c>
      <c r="G9" s="59">
        <v>20.3</v>
      </c>
      <c r="H9" s="59">
        <v>38.200000000000003</v>
      </c>
      <c r="I9" s="59">
        <v>29.9</v>
      </c>
      <c r="J9" s="59">
        <v>20.3</v>
      </c>
    </row>
    <row r="10" spans="1:15" x14ac:dyDescent="0.2">
      <c r="A10" t="s">
        <v>894</v>
      </c>
      <c r="B10" t="s">
        <v>983</v>
      </c>
      <c r="E10" s="97"/>
      <c r="F10" s="61">
        <v>5</v>
      </c>
      <c r="G10" s="59">
        <v>56.5</v>
      </c>
      <c r="H10" s="59">
        <v>30.9</v>
      </c>
      <c r="I10" s="59">
        <v>37.299999999999997</v>
      </c>
      <c r="J10" s="59">
        <v>53.6</v>
      </c>
    </row>
    <row r="11" spans="1:15" x14ac:dyDescent="0.2">
      <c r="A11" t="s">
        <v>895</v>
      </c>
      <c r="B11" t="s">
        <v>1654</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A16" t="s">
        <v>1146</v>
      </c>
      <c r="B16" t="b">
        <v>1</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369</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tbl-UC-impact-mhsu</v>
      </c>
    </row>
    <row r="4" spans="1:15" x14ac:dyDescent="0.2">
      <c r="A4" s="58" t="s">
        <v>6</v>
      </c>
      <c r="B4" t="str">
        <f>IF($B$1="","",_xlfn.XLOOKUP($B$1,Master!$F$2:$F$308,Master!$H$2:$H$308,""))</f>
        <v>fig-UC-impact-mhsu</v>
      </c>
      <c r="E4" s="13"/>
      <c r="F4" s="16" t="s">
        <v>671</v>
      </c>
      <c r="G4" s="16" t="s">
        <v>679</v>
      </c>
      <c r="H4" s="16" t="s">
        <v>679</v>
      </c>
      <c r="I4" s="16" t="s">
        <v>679</v>
      </c>
      <c r="J4" s="16" t="s">
        <v>679</v>
      </c>
      <c r="K4" s="16" t="s">
        <v>679</v>
      </c>
      <c r="L4" s="16" t="s">
        <v>679</v>
      </c>
      <c r="M4" s="16"/>
      <c r="N4" s="16"/>
      <c r="O4" s="16"/>
    </row>
    <row r="5" spans="1:15" x14ac:dyDescent="0.2">
      <c r="A5" s="98" t="s">
        <v>885</v>
      </c>
      <c r="B5" s="97"/>
      <c r="E5" s="99" t="s">
        <v>886</v>
      </c>
      <c r="F5" t="s">
        <v>1829</v>
      </c>
      <c r="G5" s="55" t="s">
        <v>1031</v>
      </c>
      <c r="H5" s="55" t="s">
        <v>1032</v>
      </c>
      <c r="I5" s="55" t="s">
        <v>1033</v>
      </c>
      <c r="J5" s="55" t="s">
        <v>1034</v>
      </c>
      <c r="K5" s="55" t="s">
        <v>1035</v>
      </c>
      <c r="L5" s="55" t="s">
        <v>1036</v>
      </c>
      <c r="M5" s="55"/>
      <c r="N5" s="55"/>
    </row>
    <row r="6" spans="1:15" ht="15" customHeight="1" x14ac:dyDescent="0.2">
      <c r="A6" t="s">
        <v>891</v>
      </c>
      <c r="B6" t="b">
        <v>0</v>
      </c>
      <c r="E6" s="97"/>
      <c r="F6" s="61">
        <v>1</v>
      </c>
      <c r="G6" s="51">
        <v>0</v>
      </c>
      <c r="H6" s="59">
        <v>12.3</v>
      </c>
      <c r="I6" s="51">
        <v>0</v>
      </c>
      <c r="J6" s="59">
        <v>3.1</v>
      </c>
      <c r="K6" s="59">
        <v>4.5999999999999996</v>
      </c>
      <c r="L6" s="59">
        <v>6</v>
      </c>
      <c r="N6" s="14"/>
    </row>
    <row r="7" spans="1:15" ht="15.75" customHeight="1" x14ac:dyDescent="0.2">
      <c r="E7" s="97"/>
      <c r="F7" s="61">
        <v>2</v>
      </c>
      <c r="G7" s="59">
        <v>1.5</v>
      </c>
      <c r="H7" s="59">
        <v>13.9</v>
      </c>
      <c r="I7" s="59">
        <v>4.5</v>
      </c>
      <c r="J7" s="59">
        <v>6.2</v>
      </c>
      <c r="K7" s="59">
        <v>9.1999999999999993</v>
      </c>
      <c r="L7" s="59">
        <v>9</v>
      </c>
      <c r="N7" s="14"/>
    </row>
    <row r="8" spans="1:15" x14ac:dyDescent="0.2">
      <c r="E8" s="97"/>
      <c r="F8" s="61">
        <v>3</v>
      </c>
      <c r="G8" s="59">
        <v>6</v>
      </c>
      <c r="H8" s="59">
        <v>29.2</v>
      </c>
      <c r="I8" s="59">
        <v>14.9</v>
      </c>
      <c r="J8" s="59">
        <v>26.2</v>
      </c>
      <c r="K8" s="59">
        <v>27.7</v>
      </c>
      <c r="L8" s="59">
        <v>22.4</v>
      </c>
      <c r="N8" s="14"/>
    </row>
    <row r="9" spans="1:15" x14ac:dyDescent="0.2">
      <c r="A9" s="98" t="s">
        <v>893</v>
      </c>
      <c r="B9" s="97"/>
      <c r="E9" s="97"/>
      <c r="F9" s="61">
        <v>4</v>
      </c>
      <c r="G9" s="59">
        <v>31.3</v>
      </c>
      <c r="H9" s="59">
        <v>30.8</v>
      </c>
      <c r="I9" s="59">
        <v>32.799999999999997</v>
      </c>
      <c r="J9" s="59">
        <v>23.1</v>
      </c>
      <c r="K9" s="59">
        <v>27.7</v>
      </c>
      <c r="L9" s="59">
        <v>30</v>
      </c>
    </row>
    <row r="10" spans="1:15" x14ac:dyDescent="0.2">
      <c r="A10" t="s">
        <v>894</v>
      </c>
      <c r="B10" t="s">
        <v>983</v>
      </c>
      <c r="E10" s="97"/>
      <c r="F10" s="61">
        <v>5</v>
      </c>
      <c r="G10" s="59">
        <v>61.2</v>
      </c>
      <c r="H10" s="59">
        <v>13.9</v>
      </c>
      <c r="I10" s="59">
        <v>47.8</v>
      </c>
      <c r="J10" s="59">
        <v>41.6</v>
      </c>
      <c r="K10" s="59">
        <v>30.8</v>
      </c>
      <c r="L10" s="59">
        <v>32.799999999999997</v>
      </c>
    </row>
    <row r="11" spans="1:15" x14ac:dyDescent="0.2">
      <c r="A11" t="s">
        <v>895</v>
      </c>
      <c r="B11" t="s">
        <v>1022</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A16" t="s">
        <v>1146</v>
      </c>
      <c r="B16" t="b">
        <v>1</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910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373</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tbl-UC-impact-hlthinsur-access</v>
      </c>
    </row>
    <row r="4" spans="1:15" x14ac:dyDescent="0.2">
      <c r="A4" s="58" t="s">
        <v>6</v>
      </c>
      <c r="B4" t="str">
        <f>IF($B$1="","",_xlfn.XLOOKUP($B$1,Master!$F$2:$F$308,Master!$H$2:$H$308,""))</f>
        <v>fig-UC-impact-hlthinsur-access</v>
      </c>
      <c r="E4" s="13"/>
      <c r="F4" s="16" t="s">
        <v>671</v>
      </c>
      <c r="G4" s="16" t="s">
        <v>679</v>
      </c>
      <c r="H4" s="16" t="s">
        <v>679</v>
      </c>
      <c r="I4" s="16" t="s">
        <v>679</v>
      </c>
      <c r="J4" s="16" t="s">
        <v>679</v>
      </c>
      <c r="K4" s="16"/>
      <c r="L4" s="16"/>
      <c r="M4" s="16"/>
      <c r="N4" s="16"/>
      <c r="O4" s="16"/>
    </row>
    <row r="5" spans="1:15" x14ac:dyDescent="0.2">
      <c r="A5" s="98" t="s">
        <v>885</v>
      </c>
      <c r="B5" s="97"/>
      <c r="E5" s="99" t="s">
        <v>886</v>
      </c>
      <c r="F5" t="s">
        <v>1829</v>
      </c>
      <c r="G5" t="s">
        <v>1037</v>
      </c>
      <c r="H5" t="s">
        <v>1038</v>
      </c>
      <c r="I5" t="s">
        <v>1039</v>
      </c>
      <c r="J5" t="s">
        <v>1040</v>
      </c>
      <c r="K5" s="55"/>
      <c r="L5" s="55"/>
      <c r="M5" s="55"/>
      <c r="N5" s="55"/>
    </row>
    <row r="6" spans="1:15" ht="15" customHeight="1" x14ac:dyDescent="0.2">
      <c r="A6" t="s">
        <v>891</v>
      </c>
      <c r="B6" t="b">
        <v>0</v>
      </c>
      <c r="E6" s="97"/>
      <c r="F6" s="61">
        <v>1</v>
      </c>
      <c r="G6" s="14">
        <v>16.899999999999999</v>
      </c>
      <c r="H6" s="14">
        <v>20</v>
      </c>
      <c r="I6" s="14">
        <v>3</v>
      </c>
      <c r="J6" s="14">
        <v>10.6</v>
      </c>
      <c r="N6" s="14"/>
    </row>
    <row r="7" spans="1:15" ht="15.75" customHeight="1" x14ac:dyDescent="0.2">
      <c r="E7" s="97"/>
      <c r="F7" s="61">
        <v>2</v>
      </c>
      <c r="G7" s="14">
        <v>13.9</v>
      </c>
      <c r="H7" s="14">
        <v>13.9</v>
      </c>
      <c r="I7" s="14">
        <v>12.1</v>
      </c>
      <c r="J7" s="14">
        <v>6.1</v>
      </c>
      <c r="N7" s="14"/>
    </row>
    <row r="8" spans="1:15" x14ac:dyDescent="0.2">
      <c r="E8" s="97"/>
      <c r="F8" s="61">
        <v>3</v>
      </c>
      <c r="G8" s="14">
        <v>30.8</v>
      </c>
      <c r="H8" s="14">
        <v>30.8</v>
      </c>
      <c r="I8" s="14">
        <v>13.6</v>
      </c>
      <c r="J8" s="14">
        <v>19.7</v>
      </c>
      <c r="N8" s="14"/>
    </row>
    <row r="9" spans="1:15" x14ac:dyDescent="0.2">
      <c r="A9" s="98" t="s">
        <v>893</v>
      </c>
      <c r="B9" s="97"/>
      <c r="E9" s="97"/>
      <c r="F9" s="61">
        <v>4</v>
      </c>
      <c r="G9" s="14">
        <v>20</v>
      </c>
      <c r="H9" s="14">
        <v>20</v>
      </c>
      <c r="I9" s="14">
        <v>31.8</v>
      </c>
      <c r="J9" s="14">
        <v>31.8</v>
      </c>
    </row>
    <row r="10" spans="1:15" x14ac:dyDescent="0.2">
      <c r="A10" t="s">
        <v>894</v>
      </c>
      <c r="B10" t="s">
        <v>983</v>
      </c>
      <c r="E10" s="97"/>
      <c r="F10" s="61">
        <v>5</v>
      </c>
      <c r="G10" s="14">
        <v>18.5</v>
      </c>
      <c r="H10" s="14">
        <v>15.4</v>
      </c>
      <c r="I10" s="14">
        <v>39.4</v>
      </c>
      <c r="J10" s="14">
        <v>31.8</v>
      </c>
    </row>
    <row r="11" spans="1:15" x14ac:dyDescent="0.2">
      <c r="A11" t="s">
        <v>895</v>
      </c>
      <c r="B11" t="s">
        <v>1023</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A16" t="s">
        <v>1146</v>
      </c>
      <c r="B16" t="b">
        <v>1</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910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377</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tbl-WC-affect-health</v>
      </c>
    </row>
    <row r="4" spans="1:15" x14ac:dyDescent="0.2">
      <c r="A4" s="58" t="s">
        <v>6</v>
      </c>
      <c r="B4" t="str">
        <f>IF($B$1="","",_xlfn.XLOOKUP($B$1,Master!$F$2:$F$308,Master!$H$2:$H$308,""))</f>
        <v>fig-WC-affect-health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7"/>
      <c r="E5" s="99" t="s">
        <v>886</v>
      </c>
      <c r="F5" s="55" t="s">
        <v>993</v>
      </c>
      <c r="G5" s="55" t="s">
        <v>995</v>
      </c>
      <c r="H5" s="55" t="s">
        <v>994</v>
      </c>
      <c r="I5" s="55" t="s">
        <v>996</v>
      </c>
      <c r="J5" s="55" t="s">
        <v>992</v>
      </c>
      <c r="K5" s="55" t="s">
        <v>998</v>
      </c>
      <c r="L5" s="55" t="s">
        <v>997</v>
      </c>
      <c r="M5" s="55" t="s">
        <v>999</v>
      </c>
      <c r="N5" s="55" t="s">
        <v>1000</v>
      </c>
      <c r="O5" s="55" t="s">
        <v>1001</v>
      </c>
    </row>
    <row r="6" spans="1:15" ht="15" customHeight="1" x14ac:dyDescent="0.2">
      <c r="A6" t="s">
        <v>891</v>
      </c>
      <c r="B6" t="b">
        <v>0</v>
      </c>
      <c r="E6" s="97"/>
      <c r="F6" s="59">
        <v>57.5</v>
      </c>
      <c r="G6" s="59">
        <v>50</v>
      </c>
      <c r="H6" s="59">
        <v>42.5</v>
      </c>
      <c r="I6" s="59">
        <v>35</v>
      </c>
      <c r="J6" s="59">
        <v>32.5</v>
      </c>
      <c r="K6" s="59">
        <v>27.5</v>
      </c>
      <c r="L6" s="59">
        <v>22.5</v>
      </c>
      <c r="M6" s="59">
        <v>17.5</v>
      </c>
      <c r="N6" s="59">
        <v>15</v>
      </c>
      <c r="O6" s="59">
        <v>0</v>
      </c>
    </row>
    <row r="7" spans="1:15" ht="15.75" customHeight="1" x14ac:dyDescent="0.2">
      <c r="E7" s="97"/>
      <c r="N7" s="14"/>
    </row>
    <row r="8" spans="1:15" x14ac:dyDescent="0.2">
      <c r="E8" s="97"/>
      <c r="G8" s="14"/>
      <c r="N8" s="14"/>
    </row>
    <row r="9" spans="1:15" x14ac:dyDescent="0.2">
      <c r="A9" s="98" t="s">
        <v>893</v>
      </c>
      <c r="B9" s="97"/>
      <c r="E9" s="97"/>
    </row>
    <row r="10" spans="1:15" x14ac:dyDescent="0.2">
      <c r="A10" t="s">
        <v>894</v>
      </c>
      <c r="B10" t="s">
        <v>983</v>
      </c>
      <c r="E10" s="97"/>
      <c r="H10" s="14"/>
      <c r="I10" s="14"/>
    </row>
    <row r="11" spans="1:15" x14ac:dyDescent="0.2">
      <c r="A11" t="s">
        <v>895</v>
      </c>
      <c r="B11" t="s">
        <v>985</v>
      </c>
      <c r="E11" s="97"/>
    </row>
    <row r="12" spans="1:15" x14ac:dyDescent="0.2">
      <c r="A12" t="s">
        <v>896</v>
      </c>
      <c r="B12" t="s">
        <v>694</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2" t="s">
        <v>381</v>
      </c>
      <c r="C1" s="113"/>
      <c r="D1" s="113"/>
      <c r="E1" s="113"/>
      <c r="F1" s="113"/>
      <c r="G1" s="113"/>
      <c r="H1" s="113"/>
      <c r="I1" s="113"/>
      <c r="J1" s="113"/>
      <c r="K1" s="113"/>
      <c r="L1" s="113"/>
      <c r="M1" s="113"/>
      <c r="N1" s="113"/>
      <c r="O1" s="113"/>
    </row>
    <row r="2" spans="1:17" x14ac:dyDescent="0.2">
      <c r="A2" s="58" t="s">
        <v>883</v>
      </c>
      <c r="B2" t="s">
        <v>56</v>
      </c>
    </row>
    <row r="3" spans="1:17" x14ac:dyDescent="0.2">
      <c r="A3" s="58" t="s">
        <v>884</v>
      </c>
      <c r="B3" t="str">
        <f>IF($B$1="","",_xlfn.XLOOKUP($B$1,Master!$F$2:$F$308,Master!$G$2:$G$308,""))</f>
        <v>tbl-WC-achieve-health</v>
      </c>
    </row>
    <row r="4" spans="1:17" x14ac:dyDescent="0.2">
      <c r="A4" s="58" t="s">
        <v>6</v>
      </c>
      <c r="B4" t="str">
        <f>IF($B$1="","",_xlfn.XLOOKUP($B$1,Master!$F$2:$F$308,Master!$H$2:$H$308,""))</f>
        <v>fig-WC-achieve-health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7"/>
      <c r="E5" s="99" t="s">
        <v>886</v>
      </c>
      <c r="F5" t="s">
        <v>1003</v>
      </c>
      <c r="G5" t="s">
        <v>1004</v>
      </c>
      <c r="H5" t="s">
        <v>1007</v>
      </c>
      <c r="I5" t="s">
        <v>1006</v>
      </c>
      <c r="J5" t="s">
        <v>1119</v>
      </c>
      <c r="K5" t="s">
        <v>1008</v>
      </c>
      <c r="L5" t="s">
        <v>728</v>
      </c>
      <c r="M5" t="s">
        <v>1012</v>
      </c>
      <c r="N5" t="s">
        <v>1013</v>
      </c>
      <c r="O5" t="s">
        <v>1011</v>
      </c>
      <c r="P5" t="s">
        <v>1009</v>
      </c>
      <c r="Q5" t="s">
        <v>1010</v>
      </c>
    </row>
    <row r="6" spans="1:17" ht="15" customHeight="1" x14ac:dyDescent="0.2">
      <c r="A6" t="s">
        <v>891</v>
      </c>
      <c r="B6" t="b">
        <v>0</v>
      </c>
      <c r="E6" s="97"/>
      <c r="F6" s="14">
        <v>62.5</v>
      </c>
      <c r="G6" s="14">
        <v>50</v>
      </c>
      <c r="H6" s="14">
        <v>35</v>
      </c>
      <c r="I6" s="14">
        <v>32.5</v>
      </c>
      <c r="J6" s="14">
        <v>30</v>
      </c>
      <c r="K6" s="14">
        <v>27.5</v>
      </c>
      <c r="L6" s="14">
        <v>25</v>
      </c>
      <c r="M6" s="14">
        <v>15</v>
      </c>
      <c r="N6" s="14">
        <v>10</v>
      </c>
      <c r="O6" s="14">
        <v>7.5</v>
      </c>
      <c r="P6" s="14">
        <v>5</v>
      </c>
      <c r="Q6" s="14">
        <v>0</v>
      </c>
    </row>
    <row r="7" spans="1:17" ht="15.75" customHeight="1" x14ac:dyDescent="0.2">
      <c r="E7" s="97"/>
      <c r="N7" s="14"/>
    </row>
    <row r="8" spans="1:17" x14ac:dyDescent="0.2">
      <c r="E8" s="97"/>
      <c r="G8" s="14"/>
      <c r="N8" s="14"/>
    </row>
    <row r="9" spans="1:17" x14ac:dyDescent="0.2">
      <c r="A9" s="98" t="s">
        <v>893</v>
      </c>
      <c r="B9" s="97"/>
      <c r="E9" s="97"/>
    </row>
    <row r="10" spans="1:17" x14ac:dyDescent="0.2">
      <c r="A10" t="s">
        <v>894</v>
      </c>
      <c r="B10" t="s">
        <v>983</v>
      </c>
      <c r="E10" s="97"/>
      <c r="H10" s="14"/>
      <c r="I10" s="14"/>
    </row>
    <row r="11" spans="1:17" x14ac:dyDescent="0.2">
      <c r="A11" t="s">
        <v>895</v>
      </c>
      <c r="B11" t="s">
        <v>985</v>
      </c>
      <c r="E11" s="97"/>
    </row>
    <row r="12" spans="1:17" x14ac:dyDescent="0.2">
      <c r="A12" t="s">
        <v>896</v>
      </c>
      <c r="B12" t="s">
        <v>694</v>
      </c>
      <c r="E12" s="97"/>
    </row>
    <row r="13" spans="1:17" x14ac:dyDescent="0.2">
      <c r="A13" t="s">
        <v>897</v>
      </c>
      <c r="E13" s="97"/>
    </row>
    <row r="14" spans="1:17" x14ac:dyDescent="0.2">
      <c r="A14" t="s">
        <v>899</v>
      </c>
      <c r="B14" t="s">
        <v>694</v>
      </c>
      <c r="E14" s="97"/>
    </row>
    <row r="15" spans="1:17" x14ac:dyDescent="0.2">
      <c r="A15" t="s">
        <v>901</v>
      </c>
      <c r="B15" t="b">
        <v>1</v>
      </c>
      <c r="E15" s="97"/>
    </row>
    <row r="16" spans="1:17"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910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385</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tbl-WC-impact-hlth-issue</v>
      </c>
    </row>
    <row r="4" spans="1:15" x14ac:dyDescent="0.2">
      <c r="A4" s="58" t="s">
        <v>6</v>
      </c>
      <c r="B4" t="str">
        <f>IF($B$1="","",_xlfn.XLOOKUP($B$1,Master!$F$2:$F$308,Master!$H$2:$H$308,""))</f>
        <v>fig-WC-impact-hlth-issue</v>
      </c>
      <c r="E4" s="13"/>
      <c r="F4" s="16" t="s">
        <v>671</v>
      </c>
      <c r="G4" s="16" t="s">
        <v>679</v>
      </c>
      <c r="H4" s="16" t="s">
        <v>679</v>
      </c>
      <c r="I4" s="16" t="s">
        <v>679</v>
      </c>
      <c r="J4" s="16" t="s">
        <v>679</v>
      </c>
      <c r="K4" s="16" t="s">
        <v>679</v>
      </c>
      <c r="L4" s="16" t="s">
        <v>679</v>
      </c>
      <c r="M4" s="16"/>
      <c r="N4" s="16"/>
      <c r="O4" s="16"/>
    </row>
    <row r="5" spans="1:15" x14ac:dyDescent="0.2">
      <c r="A5" s="98" t="s">
        <v>885</v>
      </c>
      <c r="B5" s="97"/>
      <c r="E5" s="99" t="s">
        <v>886</v>
      </c>
      <c r="F5" t="s">
        <v>1829</v>
      </c>
      <c r="G5" s="55" t="s">
        <v>1014</v>
      </c>
      <c r="H5" s="55" t="s">
        <v>1015</v>
      </c>
      <c r="I5" s="55" t="s">
        <v>1016</v>
      </c>
      <c r="J5" s="55" t="s">
        <v>1017</v>
      </c>
      <c r="K5" s="55" t="s">
        <v>1018</v>
      </c>
      <c r="L5" s="55" t="s">
        <v>1019</v>
      </c>
      <c r="M5" s="55"/>
      <c r="N5" s="55"/>
    </row>
    <row r="6" spans="1:15" ht="15" customHeight="1" x14ac:dyDescent="0.2">
      <c r="A6" t="s">
        <v>891</v>
      </c>
      <c r="B6" t="b">
        <v>0</v>
      </c>
      <c r="E6" s="97"/>
      <c r="F6" s="61">
        <v>1</v>
      </c>
      <c r="G6" s="55">
        <v>5.3</v>
      </c>
      <c r="H6" s="55">
        <v>2.6</v>
      </c>
      <c r="I6" s="55">
        <v>2.6</v>
      </c>
      <c r="J6" s="55">
        <v>10.3</v>
      </c>
      <c r="K6" s="55">
        <v>15.8</v>
      </c>
      <c r="L6" s="55">
        <v>15.4</v>
      </c>
      <c r="N6" s="14"/>
    </row>
    <row r="7" spans="1:15" ht="15.75" customHeight="1" x14ac:dyDescent="0.2">
      <c r="E7" s="97"/>
      <c r="F7" s="61">
        <v>2</v>
      </c>
      <c r="G7" s="55">
        <v>2.6</v>
      </c>
      <c r="H7" s="55">
        <v>2.6</v>
      </c>
      <c r="I7" s="55">
        <v>7.9</v>
      </c>
      <c r="J7" s="55">
        <v>10.3</v>
      </c>
      <c r="K7" s="55">
        <v>13.2</v>
      </c>
      <c r="L7" s="59">
        <v>18</v>
      </c>
      <c r="N7" s="14"/>
    </row>
    <row r="8" spans="1:15" x14ac:dyDescent="0.2">
      <c r="E8" s="97"/>
      <c r="F8" s="61">
        <v>3</v>
      </c>
      <c r="G8" s="59">
        <v>18.399999999999999</v>
      </c>
      <c r="H8" s="55">
        <v>18.399999999999999</v>
      </c>
      <c r="I8" s="55">
        <v>7.9</v>
      </c>
      <c r="J8" s="55">
        <v>38.5</v>
      </c>
      <c r="K8" s="55">
        <v>34.200000000000003</v>
      </c>
      <c r="L8" s="55">
        <v>38.5</v>
      </c>
      <c r="N8" s="14"/>
    </row>
    <row r="9" spans="1:15" x14ac:dyDescent="0.2">
      <c r="A9" s="98" t="s">
        <v>893</v>
      </c>
      <c r="B9" s="97"/>
      <c r="E9" s="97"/>
      <c r="F9" s="61">
        <v>4</v>
      </c>
      <c r="G9" s="55">
        <v>18.399999999999999</v>
      </c>
      <c r="H9" s="55">
        <v>21.1</v>
      </c>
      <c r="I9" s="55">
        <v>21.1</v>
      </c>
      <c r="J9" s="55">
        <v>12.8</v>
      </c>
      <c r="K9" s="55">
        <v>23.7</v>
      </c>
      <c r="L9" s="55">
        <v>7.7</v>
      </c>
    </row>
    <row r="10" spans="1:15" x14ac:dyDescent="0.2">
      <c r="A10" t="s">
        <v>894</v>
      </c>
      <c r="B10" t="s">
        <v>983</v>
      </c>
      <c r="E10" s="97"/>
      <c r="F10" s="61">
        <v>5</v>
      </c>
      <c r="G10" s="55">
        <v>55.3</v>
      </c>
      <c r="H10" s="59">
        <v>55.3</v>
      </c>
      <c r="I10" s="59">
        <v>60.5</v>
      </c>
      <c r="J10" s="55">
        <v>28.2</v>
      </c>
      <c r="K10" s="55">
        <v>13.2</v>
      </c>
      <c r="L10" s="55">
        <v>20.5</v>
      </c>
    </row>
    <row r="11" spans="1:15" x14ac:dyDescent="0.2">
      <c r="A11" t="s">
        <v>895</v>
      </c>
      <c r="B11" t="s">
        <v>1832</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A16" t="s">
        <v>1816</v>
      </c>
      <c r="B16" t="b">
        <v>1</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389</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tbl-WC-impact-sdoh</v>
      </c>
    </row>
    <row r="4" spans="1:15" x14ac:dyDescent="0.2">
      <c r="A4" s="58" t="s">
        <v>6</v>
      </c>
      <c r="B4" t="str">
        <f>IF($B$1="","",_xlfn.XLOOKUP($B$1,Master!$F$2:$F$308,Master!$H$2:$H$308,""))</f>
        <v>fig-WC-impact-sdoh</v>
      </c>
      <c r="E4" s="13"/>
      <c r="F4" s="16" t="s">
        <v>679</v>
      </c>
      <c r="G4" s="16" t="s">
        <v>679</v>
      </c>
      <c r="H4" s="16" t="s">
        <v>679</v>
      </c>
      <c r="I4" s="16" t="s">
        <v>679</v>
      </c>
      <c r="J4" s="16" t="s">
        <v>679</v>
      </c>
      <c r="K4" s="16" t="s">
        <v>679</v>
      </c>
      <c r="L4" s="16"/>
      <c r="M4" s="16"/>
      <c r="N4" s="16"/>
      <c r="O4" s="16"/>
    </row>
    <row r="5" spans="1:15" x14ac:dyDescent="0.2">
      <c r="A5" s="98" t="s">
        <v>885</v>
      </c>
      <c r="B5" s="97"/>
      <c r="E5" s="99" t="s">
        <v>886</v>
      </c>
      <c r="F5" s="55" t="s">
        <v>1022</v>
      </c>
      <c r="G5" s="55" t="s">
        <v>1021</v>
      </c>
      <c r="H5" s="55" t="s">
        <v>1023</v>
      </c>
      <c r="I5" s="55" t="s">
        <v>1024</v>
      </c>
      <c r="J5" s="55" t="s">
        <v>1025</v>
      </c>
      <c r="K5" s="55" t="s">
        <v>1026</v>
      </c>
      <c r="M5" s="55"/>
      <c r="N5" s="55"/>
    </row>
    <row r="6" spans="1:15" ht="15" customHeight="1" x14ac:dyDescent="0.2">
      <c r="A6" t="s">
        <v>891</v>
      </c>
      <c r="B6" t="b">
        <v>0</v>
      </c>
      <c r="E6" s="97"/>
      <c r="F6" s="55">
        <v>81.599999999999994</v>
      </c>
      <c r="G6" s="59">
        <v>79</v>
      </c>
      <c r="H6" s="59">
        <v>68.400000000000006</v>
      </c>
      <c r="I6" s="55">
        <v>36.799999999999997</v>
      </c>
      <c r="J6" s="55">
        <v>18.399999999999999</v>
      </c>
      <c r="K6" s="55">
        <v>15.8</v>
      </c>
      <c r="N6" s="14"/>
    </row>
    <row r="7" spans="1:15" ht="15.75" customHeight="1" x14ac:dyDescent="0.2">
      <c r="E7" s="97"/>
      <c r="G7" s="55"/>
      <c r="H7" s="55"/>
      <c r="I7" s="55"/>
      <c r="J7" s="55"/>
      <c r="K7" s="55"/>
      <c r="N7" s="14"/>
    </row>
    <row r="8" spans="1:15" x14ac:dyDescent="0.2">
      <c r="E8" s="97"/>
      <c r="G8" s="55"/>
      <c r="H8" s="55"/>
      <c r="I8" s="55"/>
      <c r="J8" s="55"/>
      <c r="K8" s="55"/>
      <c r="N8" s="14"/>
    </row>
    <row r="9" spans="1:15" x14ac:dyDescent="0.2">
      <c r="A9" s="98" t="s">
        <v>893</v>
      </c>
      <c r="B9" s="97"/>
      <c r="E9" s="97"/>
      <c r="F9" s="55"/>
      <c r="H9" s="55"/>
      <c r="I9" s="55"/>
      <c r="J9" s="55"/>
      <c r="K9" s="55"/>
    </row>
    <row r="10" spans="1:15" x14ac:dyDescent="0.2">
      <c r="A10" t="s">
        <v>894</v>
      </c>
      <c r="B10" t="s">
        <v>983</v>
      </c>
      <c r="E10" s="97"/>
      <c r="F10" s="55"/>
      <c r="H10" s="59"/>
      <c r="I10" s="55"/>
      <c r="J10" s="55"/>
      <c r="K10" s="55"/>
    </row>
    <row r="11" spans="1:15" x14ac:dyDescent="0.2">
      <c r="A11" t="s">
        <v>895</v>
      </c>
      <c r="B11" t="s">
        <v>985</v>
      </c>
      <c r="E11" s="97"/>
      <c r="F11" s="55"/>
      <c r="H11" s="55"/>
      <c r="I11" s="55"/>
      <c r="J11" s="55"/>
      <c r="K11" s="55"/>
    </row>
    <row r="12" spans="1:15" x14ac:dyDescent="0.2">
      <c r="A12" t="s">
        <v>896</v>
      </c>
      <c r="B12" t="s">
        <v>694</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910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393</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tbl-WC-eco-wellbeing</v>
      </c>
    </row>
    <row r="4" spans="1:15" x14ac:dyDescent="0.2">
      <c r="A4" s="58" t="s">
        <v>6</v>
      </c>
      <c r="B4" t="str">
        <f>IF($B$1="","",_xlfn.XLOOKUP($B$1,Master!$F$2:$F$308,Master!$H$2:$H$308,""))</f>
        <v>fig-WC-eco-wellbeing</v>
      </c>
      <c r="E4" s="13"/>
      <c r="F4" s="16" t="s">
        <v>671</v>
      </c>
      <c r="G4" s="16" t="s">
        <v>679</v>
      </c>
      <c r="H4" s="16" t="s">
        <v>679</v>
      </c>
      <c r="I4" s="16" t="s">
        <v>679</v>
      </c>
      <c r="J4" s="16" t="s">
        <v>679</v>
      </c>
      <c r="K4" s="16"/>
      <c r="L4" s="16"/>
      <c r="M4" s="16"/>
      <c r="N4" s="16"/>
      <c r="O4" s="16"/>
    </row>
    <row r="5" spans="1:15" x14ac:dyDescent="0.2">
      <c r="A5" s="98" t="s">
        <v>885</v>
      </c>
      <c r="B5" s="97"/>
      <c r="E5" s="99" t="s">
        <v>886</v>
      </c>
      <c r="F5" t="s">
        <v>1829</v>
      </c>
      <c r="G5" s="55" t="s">
        <v>1027</v>
      </c>
      <c r="H5" s="55" t="s">
        <v>1028</v>
      </c>
      <c r="I5" s="55" t="s">
        <v>1029</v>
      </c>
      <c r="J5" s="55" t="s">
        <v>1030</v>
      </c>
      <c r="K5" s="55"/>
      <c r="L5" s="55"/>
      <c r="M5" s="55"/>
      <c r="N5" s="55"/>
    </row>
    <row r="6" spans="1:15" ht="15" customHeight="1" x14ac:dyDescent="0.2">
      <c r="A6" t="s">
        <v>891</v>
      </c>
      <c r="B6" t="b">
        <v>0</v>
      </c>
      <c r="E6" s="97"/>
      <c r="F6" s="61">
        <v>1</v>
      </c>
      <c r="G6" s="51">
        <v>0</v>
      </c>
      <c r="H6" s="59">
        <v>2.8</v>
      </c>
      <c r="I6" s="51">
        <v>0</v>
      </c>
      <c r="J6" s="51">
        <v>0</v>
      </c>
      <c r="N6" s="14"/>
    </row>
    <row r="7" spans="1:15" ht="15.75" customHeight="1" x14ac:dyDescent="0.2">
      <c r="E7" s="97"/>
      <c r="F7" s="61">
        <v>2</v>
      </c>
      <c r="G7" s="59">
        <v>5.4</v>
      </c>
      <c r="H7" s="59">
        <v>2.8</v>
      </c>
      <c r="I7" s="59">
        <v>11.1</v>
      </c>
      <c r="J7" s="59">
        <v>2.7</v>
      </c>
      <c r="N7" s="14"/>
    </row>
    <row r="8" spans="1:15" x14ac:dyDescent="0.2">
      <c r="E8" s="97"/>
      <c r="F8" s="61">
        <v>3</v>
      </c>
      <c r="G8" s="59">
        <v>21.6</v>
      </c>
      <c r="H8" s="59">
        <v>22.2</v>
      </c>
      <c r="I8" s="59">
        <v>27.8</v>
      </c>
      <c r="J8" s="59">
        <v>24.3</v>
      </c>
      <c r="N8" s="14"/>
    </row>
    <row r="9" spans="1:15" x14ac:dyDescent="0.2">
      <c r="A9" s="98" t="s">
        <v>893</v>
      </c>
      <c r="B9" s="97"/>
      <c r="E9" s="97"/>
      <c r="F9" s="61">
        <v>4</v>
      </c>
      <c r="G9" s="59">
        <v>16.2</v>
      </c>
      <c r="H9" s="59">
        <v>50</v>
      </c>
      <c r="I9" s="59">
        <v>36.1</v>
      </c>
      <c r="J9" s="59">
        <v>13.5</v>
      </c>
    </row>
    <row r="10" spans="1:15" x14ac:dyDescent="0.2">
      <c r="A10" t="s">
        <v>894</v>
      </c>
      <c r="B10" t="s">
        <v>983</v>
      </c>
      <c r="E10" s="97"/>
      <c r="F10" s="61">
        <v>5</v>
      </c>
      <c r="G10" s="59">
        <v>56.8</v>
      </c>
      <c r="H10" s="59">
        <v>22.2</v>
      </c>
      <c r="I10" s="59">
        <v>25</v>
      </c>
      <c r="J10" s="59">
        <v>59.5</v>
      </c>
    </row>
    <row r="11" spans="1:15" x14ac:dyDescent="0.2">
      <c r="A11" t="s">
        <v>895</v>
      </c>
      <c r="B11" t="s">
        <v>1654</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A16" t="s">
        <v>1816</v>
      </c>
      <c r="B16" t="b">
        <v>1</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977</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397</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tbl-WC-impact-mhsu</v>
      </c>
    </row>
    <row r="4" spans="1:15" x14ac:dyDescent="0.2">
      <c r="A4" s="58" t="s">
        <v>6</v>
      </c>
      <c r="B4" t="str">
        <f>IF($B$1="","",_xlfn.XLOOKUP($B$1,Master!$F$2:$F$308,Master!$H$2:$H$308,""))</f>
        <v>fig-WC-impact-mhsu</v>
      </c>
      <c r="E4" s="13"/>
      <c r="F4" s="16" t="s">
        <v>671</v>
      </c>
      <c r="G4" s="16" t="s">
        <v>679</v>
      </c>
      <c r="H4" s="16" t="s">
        <v>679</v>
      </c>
      <c r="I4" s="16" t="s">
        <v>679</v>
      </c>
      <c r="J4" s="16" t="s">
        <v>679</v>
      </c>
      <c r="K4" s="16" t="s">
        <v>679</v>
      </c>
      <c r="L4" s="16" t="s">
        <v>679</v>
      </c>
      <c r="M4" s="16"/>
      <c r="N4" s="16"/>
      <c r="O4" s="16"/>
    </row>
    <row r="5" spans="1:15" x14ac:dyDescent="0.2">
      <c r="A5" s="98" t="s">
        <v>885</v>
      </c>
      <c r="B5" s="97"/>
      <c r="E5" s="99" t="s">
        <v>886</v>
      </c>
      <c r="F5" t="s">
        <v>1829</v>
      </c>
      <c r="G5" s="55" t="s">
        <v>1031</v>
      </c>
      <c r="H5" s="55" t="s">
        <v>1032</v>
      </c>
      <c r="I5" s="55" t="s">
        <v>1033</v>
      </c>
      <c r="J5" s="55" t="s">
        <v>1034</v>
      </c>
      <c r="K5" s="55" t="s">
        <v>1035</v>
      </c>
      <c r="L5" s="55" t="s">
        <v>1036</v>
      </c>
      <c r="M5" s="55"/>
      <c r="N5" s="55"/>
    </row>
    <row r="6" spans="1:15" ht="15" customHeight="1" x14ac:dyDescent="0.2">
      <c r="A6" t="s">
        <v>891</v>
      </c>
      <c r="B6" t="b">
        <v>0</v>
      </c>
      <c r="E6" s="97"/>
      <c r="F6" s="61">
        <v>1</v>
      </c>
      <c r="G6" s="51">
        <v>0</v>
      </c>
      <c r="H6" s="59">
        <v>14.3</v>
      </c>
      <c r="I6" s="51">
        <v>0</v>
      </c>
      <c r="J6" s="59">
        <v>11.8</v>
      </c>
      <c r="K6" s="59">
        <v>8.6</v>
      </c>
      <c r="L6" s="59">
        <v>2.9</v>
      </c>
      <c r="N6" s="14"/>
    </row>
    <row r="7" spans="1:15" ht="15.75" customHeight="1" x14ac:dyDescent="0.2">
      <c r="E7" s="97"/>
      <c r="F7" s="61">
        <v>2</v>
      </c>
      <c r="G7" s="59">
        <v>2.9</v>
      </c>
      <c r="H7" s="59">
        <v>20</v>
      </c>
      <c r="I7" s="59">
        <v>5.7</v>
      </c>
      <c r="J7" s="59">
        <v>5.9</v>
      </c>
      <c r="K7" s="59">
        <v>11.4</v>
      </c>
      <c r="L7" s="59">
        <v>11.4</v>
      </c>
      <c r="N7" s="14"/>
    </row>
    <row r="8" spans="1:15" x14ac:dyDescent="0.2">
      <c r="E8" s="97"/>
      <c r="F8" s="61">
        <v>3</v>
      </c>
      <c r="G8" s="59">
        <v>2.9</v>
      </c>
      <c r="H8" s="59">
        <v>25.7</v>
      </c>
      <c r="I8" s="59">
        <v>11.4</v>
      </c>
      <c r="J8" s="59">
        <v>17.7</v>
      </c>
      <c r="K8" s="59">
        <v>17.100000000000001</v>
      </c>
      <c r="L8" s="59">
        <v>22.9</v>
      </c>
      <c r="N8" s="14"/>
    </row>
    <row r="9" spans="1:15" x14ac:dyDescent="0.2">
      <c r="A9" s="98" t="s">
        <v>893</v>
      </c>
      <c r="B9" s="97"/>
      <c r="E9" s="97"/>
      <c r="F9" s="61">
        <v>4</v>
      </c>
      <c r="G9" s="59">
        <v>28.6</v>
      </c>
      <c r="H9" s="59">
        <v>22.9</v>
      </c>
      <c r="I9" s="59">
        <v>37.1</v>
      </c>
      <c r="J9" s="59">
        <v>32.4</v>
      </c>
      <c r="K9" s="59">
        <v>31.4</v>
      </c>
      <c r="L9" s="59">
        <v>25.7</v>
      </c>
    </row>
    <row r="10" spans="1:15" x14ac:dyDescent="0.2">
      <c r="A10" t="s">
        <v>894</v>
      </c>
      <c r="B10" t="s">
        <v>983</v>
      </c>
      <c r="E10" s="97"/>
      <c r="F10" s="61">
        <v>5</v>
      </c>
      <c r="G10" s="59">
        <v>65.7</v>
      </c>
      <c r="H10" s="59">
        <v>17.100000000000001</v>
      </c>
      <c r="I10" s="59">
        <v>45.7</v>
      </c>
      <c r="J10" s="59">
        <v>32.4</v>
      </c>
      <c r="K10" s="59">
        <v>31.4</v>
      </c>
      <c r="L10" s="59">
        <v>37.1</v>
      </c>
    </row>
    <row r="11" spans="1:15" x14ac:dyDescent="0.2">
      <c r="A11" t="s">
        <v>895</v>
      </c>
      <c r="B11" t="s">
        <v>1022</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A16" t="s">
        <v>1816</v>
      </c>
      <c r="B16" t="b">
        <v>1</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910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401</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tbl-WC-impact-hlthinsur-access</v>
      </c>
    </row>
    <row r="4" spans="1:15" x14ac:dyDescent="0.2">
      <c r="A4" s="58" t="s">
        <v>6</v>
      </c>
      <c r="B4" t="str">
        <f>IF($B$1="","",_xlfn.XLOOKUP($B$1,Master!$F$2:$F$308,Master!$H$2:$H$308,""))</f>
        <v>fig-WC-impact-hlthinsur-access</v>
      </c>
      <c r="E4" s="13"/>
      <c r="F4" s="81" t="s">
        <v>671</v>
      </c>
      <c r="G4" s="16" t="s">
        <v>679</v>
      </c>
      <c r="H4" s="16" t="s">
        <v>679</v>
      </c>
      <c r="I4" s="16" t="s">
        <v>679</v>
      </c>
      <c r="J4" s="16" t="s">
        <v>679</v>
      </c>
      <c r="K4" s="16"/>
      <c r="L4" s="16"/>
      <c r="M4" s="16"/>
      <c r="N4" s="16"/>
      <c r="O4" s="16"/>
    </row>
    <row r="5" spans="1:15" x14ac:dyDescent="0.2">
      <c r="A5" s="98" t="s">
        <v>885</v>
      </c>
      <c r="B5" s="97"/>
      <c r="E5" s="99" t="s">
        <v>886</v>
      </c>
      <c r="F5" s="82" t="s">
        <v>1829</v>
      </c>
      <c r="G5" t="s">
        <v>1037</v>
      </c>
      <c r="H5" t="s">
        <v>1038</v>
      </c>
      <c r="I5" t="s">
        <v>1039</v>
      </c>
      <c r="J5" t="s">
        <v>1040</v>
      </c>
      <c r="K5" s="55"/>
      <c r="L5" s="55"/>
      <c r="M5" s="55"/>
      <c r="N5" s="55"/>
    </row>
    <row r="6" spans="1:15" ht="15" customHeight="1" x14ac:dyDescent="0.2">
      <c r="A6" t="s">
        <v>891</v>
      </c>
      <c r="B6" t="b">
        <v>0</v>
      </c>
      <c r="E6" s="97"/>
      <c r="F6" s="83">
        <v>1</v>
      </c>
      <c r="G6" s="14">
        <v>11.4</v>
      </c>
      <c r="H6" s="14">
        <v>17.100000000000001</v>
      </c>
      <c r="I6" s="14">
        <v>5.9</v>
      </c>
      <c r="J6" s="14">
        <v>8.6</v>
      </c>
      <c r="N6" s="14"/>
    </row>
    <row r="7" spans="1:15" ht="15.75" customHeight="1" x14ac:dyDescent="0.2">
      <c r="E7" s="97"/>
      <c r="F7" s="83">
        <v>2</v>
      </c>
      <c r="G7" s="14">
        <v>20</v>
      </c>
      <c r="H7" s="14">
        <v>20</v>
      </c>
      <c r="I7" s="14">
        <v>8.8000000000000007</v>
      </c>
      <c r="J7" s="14">
        <v>5.7</v>
      </c>
      <c r="N7" s="14"/>
    </row>
    <row r="8" spans="1:15" x14ac:dyDescent="0.2">
      <c r="E8" s="97"/>
      <c r="F8" s="83">
        <v>3</v>
      </c>
      <c r="G8" s="14">
        <v>28.6</v>
      </c>
      <c r="H8" s="14">
        <v>28.6</v>
      </c>
      <c r="I8" s="14">
        <v>14.7</v>
      </c>
      <c r="J8" s="14">
        <v>20</v>
      </c>
      <c r="N8" s="14"/>
    </row>
    <row r="9" spans="1:15" x14ac:dyDescent="0.2">
      <c r="A9" s="98" t="s">
        <v>893</v>
      </c>
      <c r="B9" s="97"/>
      <c r="E9" s="97"/>
      <c r="F9" s="83">
        <v>4</v>
      </c>
      <c r="G9" s="14">
        <v>17.100000000000001</v>
      </c>
      <c r="H9" s="14">
        <v>14.3</v>
      </c>
      <c r="I9" s="14">
        <v>29.4</v>
      </c>
      <c r="J9" s="14">
        <v>34.299999999999997</v>
      </c>
    </row>
    <row r="10" spans="1:15" x14ac:dyDescent="0.2">
      <c r="A10" t="s">
        <v>894</v>
      </c>
      <c r="B10" t="s">
        <v>983</v>
      </c>
      <c r="E10" s="97"/>
      <c r="F10" s="83">
        <v>5</v>
      </c>
      <c r="G10" s="14">
        <v>22.9</v>
      </c>
      <c r="H10" s="14">
        <v>20</v>
      </c>
      <c r="I10" s="14">
        <v>41.2</v>
      </c>
      <c r="J10" s="14">
        <v>31.4</v>
      </c>
    </row>
    <row r="11" spans="1:15" x14ac:dyDescent="0.2">
      <c r="A11" t="s">
        <v>895</v>
      </c>
      <c r="B11" t="s">
        <v>1023</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A16" t="s">
        <v>1816</v>
      </c>
      <c r="B16" t="b">
        <v>1</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910</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405</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tbl-BRFSS-adult-leisure-PA</v>
      </c>
    </row>
    <row r="4" spans="1:15" x14ac:dyDescent="0.2">
      <c r="A4" s="58" t="s">
        <v>6</v>
      </c>
      <c r="B4" t="str">
        <f>IF($B$1="","",_xlfn.XLOOKUP($B$1,Master!$F$2:$F$308,Master!$H$2:$H$308,""))</f>
        <v>fig-BRFSS-leisure-PA</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7"/>
      <c r="E5" s="99" t="s">
        <v>886</v>
      </c>
      <c r="G5" t="s">
        <v>220</v>
      </c>
      <c r="H5" t="s">
        <v>18</v>
      </c>
      <c r="I5" t="s">
        <v>537</v>
      </c>
      <c r="J5" t="s">
        <v>449</v>
      </c>
      <c r="K5" s="55" t="s">
        <v>409</v>
      </c>
      <c r="L5" s="55" t="s">
        <v>421</v>
      </c>
      <c r="M5" s="55" t="s">
        <v>470</v>
      </c>
      <c r="N5" s="55" t="s">
        <v>914</v>
      </c>
      <c r="O5" t="s">
        <v>915</v>
      </c>
    </row>
    <row r="6" spans="1:15" ht="15" customHeight="1" x14ac:dyDescent="0.2">
      <c r="A6" t="s">
        <v>891</v>
      </c>
      <c r="B6" t="b">
        <v>0</v>
      </c>
      <c r="E6" s="97"/>
      <c r="F6">
        <v>2016</v>
      </c>
      <c r="G6" s="14">
        <v>74.7</v>
      </c>
      <c r="H6" s="14">
        <v>70.7</v>
      </c>
      <c r="I6" s="14">
        <v>75</v>
      </c>
      <c r="J6" s="14">
        <v>73.5</v>
      </c>
      <c r="K6">
        <v>72.400000000000006</v>
      </c>
      <c r="L6">
        <v>81.900000000000006</v>
      </c>
      <c r="M6">
        <v>77.099999999999994</v>
      </c>
      <c r="N6" s="14">
        <v>75</v>
      </c>
      <c r="O6">
        <v>74</v>
      </c>
    </row>
    <row r="7" spans="1:15" ht="15.75" customHeight="1" x14ac:dyDescent="0.2">
      <c r="E7" s="97"/>
      <c r="F7">
        <v>2018</v>
      </c>
      <c r="G7" s="14">
        <v>80.2</v>
      </c>
      <c r="H7" s="14">
        <v>70.5</v>
      </c>
      <c r="I7" s="14">
        <v>83.4</v>
      </c>
      <c r="J7" s="14">
        <v>76.900000000000006</v>
      </c>
      <c r="K7">
        <v>67.900000000000006</v>
      </c>
      <c r="L7">
        <v>79.900000000000006</v>
      </c>
      <c r="M7">
        <v>81.599999999999994</v>
      </c>
      <c r="N7" s="14">
        <v>78.3</v>
      </c>
      <c r="O7">
        <v>76.400000000000006</v>
      </c>
    </row>
    <row r="8" spans="1:15" x14ac:dyDescent="0.2">
      <c r="E8" s="97"/>
      <c r="F8">
        <v>2021</v>
      </c>
      <c r="G8" s="14">
        <v>76.8</v>
      </c>
      <c r="H8" s="14">
        <v>75.5</v>
      </c>
      <c r="I8" s="14">
        <v>78.7</v>
      </c>
      <c r="J8" s="14">
        <v>70.599999999999994</v>
      </c>
      <c r="K8">
        <v>75.7</v>
      </c>
      <c r="L8">
        <v>82.6</v>
      </c>
      <c r="M8">
        <v>78.400000000000006</v>
      </c>
      <c r="N8" s="14">
        <v>76.3</v>
      </c>
      <c r="O8">
        <v>74.599999999999994</v>
      </c>
    </row>
    <row r="9" spans="1:15" x14ac:dyDescent="0.2">
      <c r="A9" s="98" t="s">
        <v>893</v>
      </c>
      <c r="B9" s="97"/>
      <c r="E9" s="97"/>
      <c r="G9" s="14"/>
      <c r="H9" s="14"/>
      <c r="I9" s="14"/>
      <c r="J9" s="14"/>
    </row>
    <row r="10" spans="1:15" x14ac:dyDescent="0.2">
      <c r="A10" t="s">
        <v>894</v>
      </c>
      <c r="B10" t="s">
        <v>972</v>
      </c>
      <c r="E10" s="97"/>
      <c r="G10" s="14"/>
      <c r="H10" s="14"/>
      <c r="I10" s="14"/>
      <c r="J10" s="14"/>
    </row>
    <row r="11" spans="1:15" x14ac:dyDescent="0.2">
      <c r="A11" t="s">
        <v>895</v>
      </c>
      <c r="B11" t="s">
        <v>973</v>
      </c>
      <c r="E11" s="97"/>
    </row>
    <row r="12" spans="1:15" x14ac:dyDescent="0.2">
      <c r="A12" t="s">
        <v>896</v>
      </c>
      <c r="B12" t="s">
        <v>694</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B20" t="s">
        <v>676</v>
      </c>
      <c r="E20" s="97"/>
    </row>
    <row r="21" spans="1:5" x14ac:dyDescent="0.2">
      <c r="A21" t="s">
        <v>905</v>
      </c>
      <c r="E21" s="97"/>
    </row>
    <row r="22" spans="1:5" x14ac:dyDescent="0.2">
      <c r="A22" t="s">
        <v>906</v>
      </c>
      <c r="E22" s="97"/>
    </row>
    <row r="23" spans="1:5" x14ac:dyDescent="0.2">
      <c r="A23" t="s">
        <v>907</v>
      </c>
      <c r="B23" t="s">
        <v>1121</v>
      </c>
      <c r="E23" s="97"/>
    </row>
    <row r="24" spans="1:5" x14ac:dyDescent="0.2">
      <c r="A24" t="s">
        <v>908</v>
      </c>
      <c r="B24">
        <v>2025</v>
      </c>
      <c r="E24" s="97"/>
    </row>
    <row r="25" spans="1:5" x14ac:dyDescent="0.2">
      <c r="A25" t="s">
        <v>909</v>
      </c>
      <c r="E25" s="97"/>
    </row>
    <row r="26" spans="1:5" x14ac:dyDescent="0.2">
      <c r="E26" s="97"/>
    </row>
    <row r="27" spans="1:5" x14ac:dyDescent="0.2">
      <c r="A27" s="100" t="s">
        <v>910</v>
      </c>
      <c r="B27" s="97"/>
      <c r="E27" s="97"/>
    </row>
    <row r="28" spans="1:5" x14ac:dyDescent="0.2">
      <c r="A28" t="s">
        <v>1122</v>
      </c>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411</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tbl-BRFSS-adult-fruit-veg</v>
      </c>
    </row>
    <row r="4" spans="1:15" x14ac:dyDescent="0.2">
      <c r="A4" s="58" t="s">
        <v>6</v>
      </c>
      <c r="B4" t="str">
        <f>IF($B$1="","",_xlfn.XLOOKUP($B$1,Master!$F$2:$F$308,Master!$H$2:$H$308,""))</f>
        <v>fig-BRFSS-fruit-veg</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7"/>
      <c r="E5" s="99"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7"/>
      <c r="F6">
        <v>2016</v>
      </c>
      <c r="G6" s="14">
        <v>24.2</v>
      </c>
      <c r="H6" s="14">
        <v>24.5</v>
      </c>
      <c r="I6" s="14">
        <v>27</v>
      </c>
      <c r="J6" s="14">
        <v>25.9</v>
      </c>
      <c r="K6">
        <v>28.7</v>
      </c>
      <c r="L6">
        <v>22.9</v>
      </c>
      <c r="M6">
        <v>28.6</v>
      </c>
      <c r="N6" s="14">
        <v>29</v>
      </c>
      <c r="O6">
        <v>31.5</v>
      </c>
    </row>
    <row r="7" spans="1:15" ht="15.75" customHeight="1" x14ac:dyDescent="0.2">
      <c r="E7" s="97"/>
      <c r="F7">
        <v>2018</v>
      </c>
      <c r="G7" s="14">
        <v>25.4</v>
      </c>
      <c r="H7" s="14">
        <v>23.3</v>
      </c>
      <c r="I7" s="14">
        <v>22.9</v>
      </c>
      <c r="J7" s="14">
        <v>28.5</v>
      </c>
      <c r="K7">
        <v>23.5</v>
      </c>
      <c r="L7">
        <v>25.5</v>
      </c>
      <c r="M7" s="14">
        <v>25</v>
      </c>
      <c r="N7" s="14">
        <v>26.1</v>
      </c>
      <c r="O7">
        <v>28.1</v>
      </c>
    </row>
    <row r="8" spans="1:15" x14ac:dyDescent="0.2">
      <c r="E8" s="97"/>
      <c r="F8">
        <v>2021</v>
      </c>
      <c r="G8" s="14" t="s">
        <v>1124</v>
      </c>
      <c r="H8" s="14">
        <v>31.9</v>
      </c>
      <c r="I8" s="14">
        <v>30.1</v>
      </c>
      <c r="J8" s="14">
        <v>35.1</v>
      </c>
      <c r="K8">
        <v>30.5</v>
      </c>
      <c r="L8">
        <v>30.4</v>
      </c>
      <c r="M8">
        <v>30.5</v>
      </c>
      <c r="N8" s="14">
        <v>32.6</v>
      </c>
      <c r="O8">
        <v>34.200000000000003</v>
      </c>
    </row>
    <row r="9" spans="1:15" x14ac:dyDescent="0.2">
      <c r="A9" s="98" t="s">
        <v>893</v>
      </c>
      <c r="B9" s="97"/>
      <c r="E9" s="97"/>
      <c r="G9" s="14"/>
      <c r="H9" s="14"/>
      <c r="I9" s="14"/>
      <c r="J9" s="14"/>
    </row>
    <row r="10" spans="1:15" x14ac:dyDescent="0.2">
      <c r="A10" t="s">
        <v>894</v>
      </c>
      <c r="B10" t="s">
        <v>972</v>
      </c>
      <c r="E10" s="97"/>
      <c r="G10" s="14"/>
      <c r="H10" s="14"/>
      <c r="I10" s="14"/>
      <c r="J10" s="14"/>
    </row>
    <row r="11" spans="1:15" x14ac:dyDescent="0.2">
      <c r="A11" t="s">
        <v>895</v>
      </c>
      <c r="B11" t="s">
        <v>973</v>
      </c>
      <c r="E11" s="97"/>
    </row>
    <row r="12" spans="1:15" x14ac:dyDescent="0.2">
      <c r="A12" t="s">
        <v>896</v>
      </c>
      <c r="B12" t="s">
        <v>694</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B20" t="s">
        <v>1125</v>
      </c>
      <c r="E20" s="97"/>
    </row>
    <row r="21" spans="1:5" x14ac:dyDescent="0.2">
      <c r="A21" t="s">
        <v>905</v>
      </c>
      <c r="E21" s="97"/>
    </row>
    <row r="22" spans="1:5" x14ac:dyDescent="0.2">
      <c r="A22" t="s">
        <v>906</v>
      </c>
      <c r="E22" s="97"/>
    </row>
    <row r="23" spans="1:5" x14ac:dyDescent="0.2">
      <c r="A23" t="s">
        <v>907</v>
      </c>
      <c r="B23" t="s">
        <v>1121</v>
      </c>
      <c r="E23" s="97"/>
    </row>
    <row r="24" spans="1:5" x14ac:dyDescent="0.2">
      <c r="A24" t="s">
        <v>908</v>
      </c>
      <c r="B24">
        <v>2025</v>
      </c>
      <c r="E24" s="97"/>
    </row>
    <row r="25" spans="1:5" x14ac:dyDescent="0.2">
      <c r="A25" t="s">
        <v>909</v>
      </c>
      <c r="E25" s="97"/>
    </row>
    <row r="26" spans="1:5" x14ac:dyDescent="0.2">
      <c r="E26" s="97"/>
    </row>
    <row r="27" spans="1:5" x14ac:dyDescent="0.2">
      <c r="A27" s="100" t="s">
        <v>910</v>
      </c>
      <c r="B27" s="97"/>
      <c r="E27" s="97"/>
    </row>
    <row r="28" spans="1:5" ht="300" customHeight="1" x14ac:dyDescent="0.2">
      <c r="A28" s="114" t="s">
        <v>1126</v>
      </c>
      <c r="B28" s="114"/>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414</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tbl-BRFSS-adult-sug-bev</v>
      </c>
    </row>
    <row r="4" spans="1:15" x14ac:dyDescent="0.2">
      <c r="A4" s="58" t="s">
        <v>6</v>
      </c>
      <c r="B4" t="str">
        <f>IF($B$1="","",_xlfn.XLOOKUP($B$1,Master!$F$2:$F$308,Master!$H$2:$H$308,""))</f>
        <v>fig-BRFSS-sug-bev</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7"/>
      <c r="E5" s="99"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7"/>
      <c r="F6">
        <v>2016</v>
      </c>
      <c r="G6" s="14">
        <v>21.9</v>
      </c>
      <c r="H6" s="14">
        <v>25.5</v>
      </c>
      <c r="I6" s="14">
        <v>22.9</v>
      </c>
      <c r="J6" s="14">
        <v>23.1</v>
      </c>
      <c r="K6" s="14">
        <v>27</v>
      </c>
      <c r="L6">
        <v>23.6</v>
      </c>
      <c r="M6">
        <v>18.5</v>
      </c>
      <c r="N6" s="14">
        <v>24.6</v>
      </c>
      <c r="O6">
        <v>24.2</v>
      </c>
    </row>
    <row r="7" spans="1:15" ht="15.75" customHeight="1" x14ac:dyDescent="0.2">
      <c r="E7" s="97"/>
      <c r="F7">
        <v>2018</v>
      </c>
      <c r="G7" s="14">
        <v>23.5</v>
      </c>
      <c r="H7" s="14">
        <v>22.5</v>
      </c>
      <c r="I7" s="14">
        <v>25.6</v>
      </c>
      <c r="J7" s="14">
        <v>18.100000000000001</v>
      </c>
      <c r="K7">
        <v>31.5</v>
      </c>
      <c r="L7">
        <v>23.5</v>
      </c>
      <c r="M7" s="14">
        <v>20.3</v>
      </c>
      <c r="N7" s="14">
        <v>25.5</v>
      </c>
      <c r="O7">
        <v>24.7</v>
      </c>
    </row>
    <row r="8" spans="1:15" x14ac:dyDescent="0.2">
      <c r="E8" s="97"/>
      <c r="F8">
        <v>2021</v>
      </c>
      <c r="G8" s="14">
        <v>24.9</v>
      </c>
      <c r="H8" s="14">
        <v>21.3</v>
      </c>
      <c r="I8" s="14">
        <v>17.8</v>
      </c>
      <c r="J8" s="14">
        <v>21.7</v>
      </c>
      <c r="K8">
        <v>19.899999999999999</v>
      </c>
      <c r="L8">
        <v>19.399999999999999</v>
      </c>
      <c r="M8">
        <v>11.4</v>
      </c>
      <c r="N8" s="14">
        <v>20.2</v>
      </c>
      <c r="O8">
        <v>19.600000000000001</v>
      </c>
    </row>
    <row r="9" spans="1:15" x14ac:dyDescent="0.2">
      <c r="A9" s="98" t="s">
        <v>893</v>
      </c>
      <c r="B9" s="97"/>
      <c r="E9" s="97"/>
      <c r="G9" s="14"/>
      <c r="H9" s="14"/>
      <c r="I9" s="14"/>
      <c r="J9" s="14"/>
    </row>
    <row r="10" spans="1:15" x14ac:dyDescent="0.2">
      <c r="A10" t="s">
        <v>894</v>
      </c>
      <c r="B10" t="s">
        <v>972</v>
      </c>
      <c r="E10" s="97"/>
      <c r="G10" s="14"/>
      <c r="H10" s="14"/>
      <c r="I10" s="14"/>
      <c r="J10" s="14"/>
    </row>
    <row r="11" spans="1:15" x14ac:dyDescent="0.2">
      <c r="A11" t="s">
        <v>895</v>
      </c>
      <c r="B11" t="s">
        <v>973</v>
      </c>
      <c r="E11" s="97"/>
    </row>
    <row r="12" spans="1:15" x14ac:dyDescent="0.2">
      <c r="A12" t="s">
        <v>896</v>
      </c>
      <c r="B12" t="s">
        <v>694</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B20" t="s">
        <v>1125</v>
      </c>
      <c r="E20" s="97"/>
    </row>
    <row r="21" spans="1:5" x14ac:dyDescent="0.2">
      <c r="A21" t="s">
        <v>905</v>
      </c>
      <c r="E21" s="97"/>
    </row>
    <row r="22" spans="1:5" x14ac:dyDescent="0.2">
      <c r="A22" t="s">
        <v>906</v>
      </c>
      <c r="E22" s="97"/>
    </row>
    <row r="23" spans="1:5" x14ac:dyDescent="0.2">
      <c r="A23" t="s">
        <v>907</v>
      </c>
      <c r="B23" t="s">
        <v>1121</v>
      </c>
      <c r="E23" s="97"/>
    </row>
    <row r="24" spans="1:5" x14ac:dyDescent="0.2">
      <c r="A24" t="s">
        <v>908</v>
      </c>
      <c r="B24">
        <v>2025</v>
      </c>
      <c r="E24" s="97"/>
    </row>
    <row r="25" spans="1:5" x14ac:dyDescent="0.2">
      <c r="A25" t="s">
        <v>909</v>
      </c>
      <c r="E25" s="97"/>
    </row>
    <row r="26" spans="1:5" x14ac:dyDescent="0.2">
      <c r="E26" s="97"/>
    </row>
    <row r="27" spans="1:5" x14ac:dyDescent="0.2">
      <c r="A27" s="100" t="s">
        <v>910</v>
      </c>
      <c r="B27" s="97"/>
      <c r="E27" s="97"/>
    </row>
    <row r="28" spans="1:5" ht="300" customHeight="1" x14ac:dyDescent="0.2">
      <c r="A28" s="114" t="s">
        <v>1127</v>
      </c>
      <c r="B28" s="114"/>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election activeCell="L12" sqref="L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882</v>
      </c>
      <c r="B1" s="112" t="s">
        <v>417</v>
      </c>
      <c r="C1" s="113"/>
      <c r="D1" s="113"/>
      <c r="E1" s="113"/>
      <c r="F1" s="113"/>
      <c r="G1" s="113"/>
      <c r="H1" s="113"/>
      <c r="I1" s="113"/>
      <c r="J1" s="113"/>
      <c r="K1" s="113"/>
      <c r="L1" s="113"/>
      <c r="M1" s="113"/>
      <c r="N1" s="113"/>
      <c r="O1" s="113"/>
    </row>
    <row r="2" spans="1:15" x14ac:dyDescent="0.2">
      <c r="A2" s="58" t="s">
        <v>883</v>
      </c>
      <c r="B2" t="s">
        <v>12</v>
      </c>
    </row>
    <row r="3" spans="1:15" x14ac:dyDescent="0.2">
      <c r="A3" s="58" t="s">
        <v>884</v>
      </c>
      <c r="B3" t="str">
        <f>IF($B$1="","",_xlfn.XLOOKUP($B$1,Master!$F$2:$F$308,Master!$G$2:$G$308,""))</f>
        <v>tbl-five-lead-death-aar</v>
      </c>
    </row>
    <row r="4" spans="1:15" x14ac:dyDescent="0.2">
      <c r="A4" s="58" t="s">
        <v>6</v>
      </c>
      <c r="B4" t="str">
        <f>IF($B$1="","",_xlfn.XLOOKUP($B$1,Master!$F$2:$F$308,Master!$H$2:$H$308,""))</f>
        <v>fig-five-lead-death</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7"/>
      <c r="E5" s="99" t="s">
        <v>886</v>
      </c>
      <c r="F5" t="s">
        <v>887</v>
      </c>
      <c r="G5" t="s">
        <v>1128</v>
      </c>
      <c r="H5" t="s">
        <v>1129</v>
      </c>
      <c r="I5" t="s">
        <v>1130</v>
      </c>
      <c r="J5" t="s">
        <v>1131</v>
      </c>
      <c r="K5" s="55" t="s">
        <v>1132</v>
      </c>
      <c r="L5" s="55" t="s">
        <v>1133</v>
      </c>
      <c r="M5" s="55"/>
      <c r="N5" s="55"/>
    </row>
    <row r="6" spans="1:15" ht="15" customHeight="1" x14ac:dyDescent="0.2">
      <c r="A6" t="s">
        <v>891</v>
      </c>
      <c r="B6" t="b">
        <v>1</v>
      </c>
      <c r="E6" s="97"/>
      <c r="F6" s="100" t="s">
        <v>220</v>
      </c>
      <c r="G6" s="100"/>
      <c r="H6" s="14" t="s">
        <v>1134</v>
      </c>
      <c r="I6" s="14" t="s">
        <v>1049</v>
      </c>
      <c r="J6" s="14" t="s">
        <v>1135</v>
      </c>
      <c r="K6" s="14" t="s">
        <v>1136</v>
      </c>
      <c r="L6" t="s">
        <v>1137</v>
      </c>
      <c r="N6" s="14"/>
    </row>
    <row r="7" spans="1:15" ht="15.75" customHeight="1" x14ac:dyDescent="0.2">
      <c r="E7" s="97"/>
      <c r="F7" s="14" t="s">
        <v>1138</v>
      </c>
      <c r="G7" s="14">
        <v>2912</v>
      </c>
      <c r="H7" s="14">
        <v>771</v>
      </c>
      <c r="I7" s="14">
        <v>554</v>
      </c>
      <c r="J7" s="14">
        <v>204</v>
      </c>
      <c r="K7" s="14">
        <v>183</v>
      </c>
      <c r="L7" s="14">
        <v>109</v>
      </c>
      <c r="M7" s="14"/>
      <c r="N7" s="14"/>
    </row>
    <row r="8" spans="1:15" x14ac:dyDescent="0.2">
      <c r="E8" s="97"/>
      <c r="F8" s="14" t="s">
        <v>1139</v>
      </c>
      <c r="G8" s="14">
        <v>718.7</v>
      </c>
      <c r="H8" s="14">
        <v>183.8</v>
      </c>
      <c r="I8" s="14">
        <v>131.6</v>
      </c>
      <c r="J8" s="14">
        <v>65</v>
      </c>
      <c r="K8" s="14">
        <v>42.8</v>
      </c>
      <c r="L8" s="14">
        <v>26.3</v>
      </c>
      <c r="N8" s="14"/>
    </row>
    <row r="9" spans="1:15" x14ac:dyDescent="0.2">
      <c r="A9" s="98" t="s">
        <v>893</v>
      </c>
      <c r="B9" s="97"/>
      <c r="E9" s="97"/>
      <c r="F9" s="115" t="s">
        <v>18</v>
      </c>
      <c r="G9" s="115"/>
      <c r="H9" s="14" t="s">
        <v>1134</v>
      </c>
      <c r="I9" s="14" t="s">
        <v>1049</v>
      </c>
      <c r="J9" s="14" t="s">
        <v>1135</v>
      </c>
      <c r="K9" s="14" t="s">
        <v>1136</v>
      </c>
      <c r="L9" s="14" t="s">
        <v>1137</v>
      </c>
    </row>
    <row r="10" spans="1:15" x14ac:dyDescent="0.2">
      <c r="A10" t="s">
        <v>894</v>
      </c>
      <c r="E10" s="97"/>
      <c r="F10" s="14" t="s">
        <v>1138</v>
      </c>
      <c r="G10" s="14">
        <v>3220</v>
      </c>
      <c r="H10" s="14">
        <v>650</v>
      </c>
      <c r="I10" s="14">
        <v>609</v>
      </c>
      <c r="J10" s="14">
        <v>251</v>
      </c>
      <c r="K10" s="14">
        <v>230</v>
      </c>
      <c r="L10" s="14">
        <v>124</v>
      </c>
    </row>
    <row r="11" spans="1:15" x14ac:dyDescent="0.2">
      <c r="A11" t="s">
        <v>895</v>
      </c>
      <c r="E11" s="97"/>
      <c r="F11" s="14" t="s">
        <v>1139</v>
      </c>
      <c r="G11" s="14">
        <v>744.8</v>
      </c>
      <c r="H11" s="14">
        <v>150</v>
      </c>
      <c r="I11" s="14">
        <v>132.5</v>
      </c>
      <c r="J11" s="14">
        <v>61.7</v>
      </c>
      <c r="K11" s="14">
        <v>53.2</v>
      </c>
      <c r="L11" s="14">
        <v>29.3</v>
      </c>
    </row>
    <row r="12" spans="1:15" x14ac:dyDescent="0.2">
      <c r="A12" t="s">
        <v>896</v>
      </c>
      <c r="E12" s="97"/>
      <c r="F12" s="115" t="s">
        <v>537</v>
      </c>
      <c r="G12" s="115"/>
      <c r="H12" s="14" t="s">
        <v>1134</v>
      </c>
      <c r="I12" s="14" t="s">
        <v>1049</v>
      </c>
      <c r="J12" s="14" t="s">
        <v>1135</v>
      </c>
      <c r="K12" s="14" t="s">
        <v>1136</v>
      </c>
      <c r="L12" s="14" t="s">
        <v>1140</v>
      </c>
    </row>
    <row r="13" spans="1:15" x14ac:dyDescent="0.2">
      <c r="A13" t="s">
        <v>897</v>
      </c>
      <c r="E13" s="97"/>
      <c r="F13" s="14" t="s">
        <v>1138</v>
      </c>
      <c r="G13" s="14">
        <v>846</v>
      </c>
      <c r="H13" s="14">
        <v>194</v>
      </c>
      <c r="I13" s="14">
        <v>169</v>
      </c>
      <c r="J13" s="14">
        <v>49</v>
      </c>
      <c r="K13" s="14">
        <v>37</v>
      </c>
      <c r="L13" s="14">
        <v>31</v>
      </c>
    </row>
    <row r="14" spans="1:15" x14ac:dyDescent="0.2">
      <c r="A14" t="s">
        <v>899</v>
      </c>
      <c r="E14" s="97"/>
      <c r="F14" s="14" t="s">
        <v>1139</v>
      </c>
      <c r="G14" s="14">
        <v>637.1</v>
      </c>
      <c r="H14" s="14">
        <v>144.69999999999999</v>
      </c>
      <c r="I14" s="14">
        <v>118.6</v>
      </c>
      <c r="J14" s="14">
        <v>46.2</v>
      </c>
      <c r="K14" s="14">
        <v>28.9</v>
      </c>
      <c r="L14" s="14">
        <v>22.7</v>
      </c>
    </row>
    <row r="15" spans="1:15" x14ac:dyDescent="0.2">
      <c r="A15" t="s">
        <v>901</v>
      </c>
      <c r="E15" s="97"/>
      <c r="F15" s="115" t="s">
        <v>449</v>
      </c>
      <c r="G15" s="115"/>
      <c r="H15" s="14" t="s">
        <v>1134</v>
      </c>
      <c r="I15" s="14" t="s">
        <v>1049</v>
      </c>
      <c r="J15" s="14" t="s">
        <v>1136</v>
      </c>
      <c r="K15" s="14" t="s">
        <v>1135</v>
      </c>
      <c r="L15" s="14" t="s">
        <v>1140</v>
      </c>
    </row>
    <row r="16" spans="1:15" x14ac:dyDescent="0.2">
      <c r="E16" s="97"/>
      <c r="F16" s="14" t="s">
        <v>1138</v>
      </c>
      <c r="G16" s="14">
        <v>2347</v>
      </c>
      <c r="H16" s="14">
        <v>542</v>
      </c>
      <c r="I16" s="14">
        <v>456</v>
      </c>
      <c r="J16" s="14">
        <v>194</v>
      </c>
      <c r="K16" s="14">
        <v>123</v>
      </c>
      <c r="L16" s="14">
        <v>83</v>
      </c>
    </row>
    <row r="17" spans="1:12" x14ac:dyDescent="0.2">
      <c r="E17" s="97"/>
      <c r="F17" s="14" t="s">
        <v>1139</v>
      </c>
      <c r="G17" s="14">
        <v>562.4</v>
      </c>
      <c r="H17" s="14">
        <v>125.1</v>
      </c>
      <c r="I17" s="14">
        <v>110.9</v>
      </c>
      <c r="J17" s="14">
        <v>45.5</v>
      </c>
      <c r="K17" s="14">
        <v>35.1</v>
      </c>
      <c r="L17" s="14">
        <v>19.3</v>
      </c>
    </row>
    <row r="18" spans="1:12" x14ac:dyDescent="0.2">
      <c r="A18" s="98" t="s">
        <v>902</v>
      </c>
      <c r="B18" s="97"/>
      <c r="E18" s="97"/>
      <c r="F18" s="115" t="s">
        <v>409</v>
      </c>
      <c r="G18" s="115"/>
      <c r="H18" s="14" t="s">
        <v>1134</v>
      </c>
      <c r="I18" s="14" t="s">
        <v>1049</v>
      </c>
      <c r="J18" s="14" t="s">
        <v>1135</v>
      </c>
      <c r="K18" s="14" t="s">
        <v>1136</v>
      </c>
      <c r="L18" s="14" t="s">
        <v>1137</v>
      </c>
    </row>
    <row r="19" spans="1:12" x14ac:dyDescent="0.2">
      <c r="A19" t="s">
        <v>903</v>
      </c>
      <c r="E19" s="97"/>
      <c r="F19" s="14" t="s">
        <v>1138</v>
      </c>
      <c r="G19" s="14">
        <v>888</v>
      </c>
      <c r="H19" s="14">
        <v>195</v>
      </c>
      <c r="I19" s="14">
        <v>165</v>
      </c>
      <c r="J19" s="14">
        <v>75</v>
      </c>
      <c r="K19" s="14">
        <v>62</v>
      </c>
      <c r="L19" s="14">
        <v>44</v>
      </c>
    </row>
    <row r="20" spans="1:12" x14ac:dyDescent="0.2">
      <c r="A20" t="s">
        <v>904</v>
      </c>
      <c r="E20" s="97"/>
      <c r="F20" s="14" t="s">
        <v>1139</v>
      </c>
      <c r="G20" s="14">
        <v>908.5</v>
      </c>
      <c r="H20" s="14">
        <v>199.1</v>
      </c>
      <c r="I20" s="14">
        <v>153.19999999999999</v>
      </c>
      <c r="J20" s="14">
        <v>94.6</v>
      </c>
      <c r="K20" s="14">
        <v>60</v>
      </c>
      <c r="L20" s="14">
        <v>41.5</v>
      </c>
    </row>
    <row r="21" spans="1:12" x14ac:dyDescent="0.2">
      <c r="A21" t="s">
        <v>905</v>
      </c>
      <c r="E21" s="97"/>
      <c r="F21" s="115" t="s">
        <v>421</v>
      </c>
      <c r="G21" s="115"/>
      <c r="H21" s="14" t="s">
        <v>1134</v>
      </c>
      <c r="I21" s="14" t="s">
        <v>1049</v>
      </c>
      <c r="J21" s="14" t="s">
        <v>1135</v>
      </c>
      <c r="K21" s="14" t="s">
        <v>1136</v>
      </c>
      <c r="L21" s="14" t="s">
        <v>1137</v>
      </c>
    </row>
    <row r="22" spans="1:12" x14ac:dyDescent="0.2">
      <c r="A22" t="s">
        <v>906</v>
      </c>
      <c r="E22" s="97"/>
      <c r="F22" s="14" t="s">
        <v>1138</v>
      </c>
      <c r="G22" s="14">
        <v>1977</v>
      </c>
      <c r="H22" s="14">
        <v>512</v>
      </c>
      <c r="I22" s="14">
        <v>396</v>
      </c>
      <c r="J22" s="14">
        <v>128</v>
      </c>
      <c r="K22" s="14">
        <v>93</v>
      </c>
      <c r="L22" s="14">
        <v>92</v>
      </c>
    </row>
    <row r="23" spans="1:12" x14ac:dyDescent="0.2">
      <c r="A23" t="s">
        <v>907</v>
      </c>
      <c r="E23" s="97"/>
      <c r="F23" s="14" t="s">
        <v>1139</v>
      </c>
      <c r="G23" s="14">
        <v>745</v>
      </c>
      <c r="H23" s="14">
        <v>187.6</v>
      </c>
      <c r="I23" s="14">
        <v>140.5</v>
      </c>
      <c r="J23" s="14">
        <v>61.6</v>
      </c>
      <c r="K23" s="14">
        <v>34</v>
      </c>
      <c r="L23" s="14">
        <v>32</v>
      </c>
    </row>
    <row r="24" spans="1:12" x14ac:dyDescent="0.2">
      <c r="A24" t="s">
        <v>908</v>
      </c>
      <c r="E24" s="97"/>
      <c r="F24" s="115" t="s">
        <v>470</v>
      </c>
      <c r="G24" s="115"/>
      <c r="H24" s="14" t="s">
        <v>1134</v>
      </c>
      <c r="I24" s="14" t="s">
        <v>1049</v>
      </c>
      <c r="J24" s="14" t="s">
        <v>1136</v>
      </c>
      <c r="K24" s="14" t="s">
        <v>1140</v>
      </c>
      <c r="L24" s="14" t="s">
        <v>1135</v>
      </c>
    </row>
    <row r="25" spans="1:12" x14ac:dyDescent="0.2">
      <c r="A25" t="s">
        <v>909</v>
      </c>
      <c r="E25" s="97"/>
      <c r="F25" s="14" t="s">
        <v>1138</v>
      </c>
      <c r="G25" s="14">
        <v>7666</v>
      </c>
      <c r="H25" s="14">
        <v>1915</v>
      </c>
      <c r="I25" s="14">
        <v>1402</v>
      </c>
      <c r="J25" s="14">
        <v>511</v>
      </c>
      <c r="K25" s="14">
        <v>340</v>
      </c>
      <c r="L25" s="14">
        <v>339</v>
      </c>
    </row>
    <row r="26" spans="1:12" x14ac:dyDescent="0.2">
      <c r="E26" s="97"/>
      <c r="F26" s="14" t="s">
        <v>1139</v>
      </c>
      <c r="G26" s="14">
        <v>548</v>
      </c>
      <c r="H26" s="14">
        <v>130.30000000000001</v>
      </c>
      <c r="I26" s="14">
        <v>100.2</v>
      </c>
      <c r="J26" s="14">
        <v>35.5</v>
      </c>
      <c r="K26" s="14">
        <v>23.6</v>
      </c>
      <c r="L26" s="14">
        <v>30.4</v>
      </c>
    </row>
    <row r="27" spans="1:12" x14ac:dyDescent="0.2">
      <c r="A27" s="100" t="s">
        <v>910</v>
      </c>
      <c r="B27" s="97"/>
      <c r="E27" s="97"/>
      <c r="F27" s="115" t="s">
        <v>914</v>
      </c>
      <c r="G27" s="115"/>
      <c r="H27" s="14" t="s">
        <v>1134</v>
      </c>
      <c r="I27" s="14" t="s">
        <v>1049</v>
      </c>
      <c r="J27" s="14" t="s">
        <v>1136</v>
      </c>
      <c r="K27" s="14" t="s">
        <v>1135</v>
      </c>
      <c r="L27" s="14" t="s">
        <v>1137</v>
      </c>
    </row>
    <row r="28" spans="1:12" x14ac:dyDescent="0.2">
      <c r="A28" s="114"/>
      <c r="B28" s="114"/>
      <c r="E28" s="97"/>
      <c r="F28" s="14" t="s">
        <v>1138</v>
      </c>
      <c r="G28" s="14">
        <v>113504</v>
      </c>
      <c r="H28" s="14">
        <v>26138</v>
      </c>
      <c r="I28" s="14">
        <v>21715</v>
      </c>
      <c r="J28" s="14">
        <v>6607</v>
      </c>
      <c r="K28" s="14">
        <v>6596</v>
      </c>
      <c r="L28" s="14">
        <v>4595</v>
      </c>
    </row>
    <row r="29" spans="1:12" x14ac:dyDescent="0.2">
      <c r="E29" s="97"/>
      <c r="F29" s="14" t="s">
        <v>1139</v>
      </c>
      <c r="G29" s="14">
        <v>744.2</v>
      </c>
      <c r="H29" s="14">
        <v>165.9</v>
      </c>
      <c r="I29" s="14">
        <v>137</v>
      </c>
      <c r="J29" s="14">
        <v>42.3</v>
      </c>
      <c r="K29" s="14">
        <v>54.1</v>
      </c>
      <c r="L29" s="14">
        <v>28.7</v>
      </c>
    </row>
    <row r="30" spans="1:12" x14ac:dyDescent="0.2">
      <c r="E30" s="97"/>
      <c r="F30" s="115" t="s">
        <v>915</v>
      </c>
      <c r="G30" s="115"/>
      <c r="H30" s="14" t="s">
        <v>1134</v>
      </c>
      <c r="I30" s="14" t="s">
        <v>1049</v>
      </c>
      <c r="J30" s="14" t="s">
        <v>1136</v>
      </c>
      <c r="K30" s="14" t="s">
        <v>1135</v>
      </c>
      <c r="L30" s="14" t="s">
        <v>1140</v>
      </c>
    </row>
    <row r="31" spans="1:12" x14ac:dyDescent="0.2">
      <c r="E31" s="97"/>
      <c r="F31" s="14" t="s">
        <v>1138</v>
      </c>
      <c r="G31" s="14">
        <v>173958</v>
      </c>
      <c r="H31" s="14">
        <v>43029</v>
      </c>
      <c r="I31" s="14">
        <v>32517</v>
      </c>
      <c r="J31" s="14">
        <v>11167</v>
      </c>
      <c r="K31" s="14">
        <v>10811</v>
      </c>
      <c r="L31" s="14">
        <v>6556</v>
      </c>
    </row>
    <row r="32" spans="1:12" x14ac:dyDescent="0.2">
      <c r="E32" s="97"/>
      <c r="F32" s="14" t="s">
        <v>1139</v>
      </c>
      <c r="G32" s="14">
        <v>679.5</v>
      </c>
      <c r="H32" s="14">
        <v>163.1</v>
      </c>
      <c r="I32" s="14">
        <v>123.4</v>
      </c>
      <c r="J32" s="14">
        <v>42.6</v>
      </c>
      <c r="K32" s="14">
        <v>50</v>
      </c>
      <c r="L32" s="14">
        <v>25.1</v>
      </c>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423</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tbl-premature-death-percent</v>
      </c>
    </row>
    <row r="4" spans="1:16" x14ac:dyDescent="0.2">
      <c r="A4" s="58" t="s">
        <v>6</v>
      </c>
      <c r="B4" t="str">
        <f>IF($B$1="","",_xlfn.XLOOKUP($B$1,Master!$F$2:$F$308,Master!$H$2:$H$308,""))</f>
        <v>fig-premature-death-percent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7"/>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7"/>
      <c r="F7">
        <v>2020</v>
      </c>
      <c r="G7">
        <v>23.5</v>
      </c>
      <c r="H7" s="14">
        <v>24.5</v>
      </c>
      <c r="I7" s="14">
        <v>19.7</v>
      </c>
      <c r="J7" s="14">
        <v>21.4</v>
      </c>
      <c r="K7">
        <v>27.3</v>
      </c>
      <c r="L7">
        <v>23</v>
      </c>
      <c r="M7" s="14">
        <v>19.2</v>
      </c>
      <c r="N7" s="14">
        <v>21.5</v>
      </c>
      <c r="O7">
        <v>21.5</v>
      </c>
      <c r="P7">
        <v>23.3</v>
      </c>
    </row>
    <row r="8" spans="1:16" x14ac:dyDescent="0.2">
      <c r="E8" s="97"/>
      <c r="F8">
        <v>2021</v>
      </c>
      <c r="G8">
        <v>22.3</v>
      </c>
      <c r="H8" s="14">
        <v>27.3</v>
      </c>
      <c r="I8" s="14">
        <v>17.399999999999999</v>
      </c>
      <c r="J8" s="14">
        <v>21.1</v>
      </c>
      <c r="K8">
        <v>29.7</v>
      </c>
      <c r="L8">
        <v>22.8</v>
      </c>
      <c r="M8">
        <v>19.7</v>
      </c>
      <c r="N8" s="14">
        <v>22.1</v>
      </c>
      <c r="O8">
        <v>22.7</v>
      </c>
      <c r="P8">
        <v>24.4</v>
      </c>
    </row>
    <row r="9" spans="1:16" x14ac:dyDescent="0.2">
      <c r="A9" s="98" t="s">
        <v>893</v>
      </c>
      <c r="B9" s="97"/>
      <c r="E9" s="97"/>
      <c r="F9">
        <v>2022</v>
      </c>
      <c r="G9">
        <v>22.7</v>
      </c>
      <c r="H9" s="14">
        <v>25.1</v>
      </c>
      <c r="I9" s="14">
        <v>20.6</v>
      </c>
      <c r="J9" s="14">
        <v>18.5</v>
      </c>
      <c r="K9">
        <v>28.8</v>
      </c>
      <c r="L9">
        <v>21.9</v>
      </c>
      <c r="M9">
        <v>18.399999999999999</v>
      </c>
      <c r="N9">
        <v>21</v>
      </c>
      <c r="O9">
        <v>22</v>
      </c>
      <c r="P9">
        <v>23.6</v>
      </c>
    </row>
    <row r="10" spans="1:16" x14ac:dyDescent="0.2">
      <c r="A10" t="s">
        <v>894</v>
      </c>
      <c r="B10" t="s">
        <v>972</v>
      </c>
      <c r="E10" s="97"/>
      <c r="H10" s="14"/>
      <c r="I10" s="14"/>
      <c r="J10" s="14"/>
    </row>
    <row r="11" spans="1:16" x14ac:dyDescent="0.2">
      <c r="A11" t="s">
        <v>895</v>
      </c>
      <c r="B11" t="s">
        <v>973</v>
      </c>
      <c r="E11" s="97"/>
    </row>
    <row r="12" spans="1:16" x14ac:dyDescent="0.2">
      <c r="A12" t="s">
        <v>896</v>
      </c>
      <c r="E12" s="97"/>
    </row>
    <row r="13" spans="1:16" x14ac:dyDescent="0.2">
      <c r="A13" t="s">
        <v>897</v>
      </c>
      <c r="E13" s="97"/>
    </row>
    <row r="14" spans="1:16" x14ac:dyDescent="0.2">
      <c r="A14" t="s">
        <v>899</v>
      </c>
      <c r="E14" s="97"/>
    </row>
    <row r="15" spans="1:16" x14ac:dyDescent="0.2">
      <c r="A15" t="s">
        <v>901</v>
      </c>
      <c r="B15" t="b">
        <v>0</v>
      </c>
      <c r="E15" s="97"/>
    </row>
    <row r="16" spans="1:16" x14ac:dyDescent="0.2">
      <c r="E16" s="97"/>
    </row>
    <row r="17" spans="1:12" x14ac:dyDescent="0.2">
      <c r="E17" s="97"/>
    </row>
    <row r="18" spans="1:12" x14ac:dyDescent="0.2">
      <c r="A18" s="98" t="s">
        <v>902</v>
      </c>
      <c r="B18" s="97"/>
      <c r="E18" s="97"/>
    </row>
    <row r="19" spans="1:12" x14ac:dyDescent="0.2">
      <c r="A19" t="s">
        <v>903</v>
      </c>
      <c r="E19" s="97"/>
    </row>
    <row r="20" spans="1:12" x14ac:dyDescent="0.2">
      <c r="A20" t="s">
        <v>904</v>
      </c>
      <c r="E20" s="97"/>
    </row>
    <row r="21" spans="1:12" x14ac:dyDescent="0.2">
      <c r="A21" t="s">
        <v>905</v>
      </c>
      <c r="E21" s="97"/>
    </row>
    <row r="22" spans="1:12" x14ac:dyDescent="0.2">
      <c r="A22" t="s">
        <v>906</v>
      </c>
      <c r="E22" s="97"/>
    </row>
    <row r="23" spans="1:12" x14ac:dyDescent="0.2">
      <c r="A23" t="s">
        <v>907</v>
      </c>
      <c r="E23" s="97"/>
    </row>
    <row r="24" spans="1:12" x14ac:dyDescent="0.2">
      <c r="A24" t="s">
        <v>908</v>
      </c>
      <c r="E24" s="97"/>
    </row>
    <row r="25" spans="1:12" x14ac:dyDescent="0.2">
      <c r="A25" t="s">
        <v>909</v>
      </c>
      <c r="E25" s="97"/>
      <c r="H25" s="52"/>
      <c r="I25" s="52"/>
    </row>
    <row r="26" spans="1:12" x14ac:dyDescent="0.2">
      <c r="E26" s="97"/>
    </row>
    <row r="27" spans="1:12" x14ac:dyDescent="0.2">
      <c r="A27" s="100" t="s">
        <v>910</v>
      </c>
      <c r="B27" s="97"/>
      <c r="E27" s="97"/>
    </row>
    <row r="28" spans="1:12" x14ac:dyDescent="0.2">
      <c r="A28" s="114"/>
      <c r="B28" s="114"/>
      <c r="E28" s="97"/>
      <c r="H28" s="52"/>
      <c r="I28" s="52"/>
      <c r="J28" s="52"/>
      <c r="K28" s="52"/>
      <c r="L28" s="52"/>
    </row>
    <row r="29" spans="1:12" x14ac:dyDescent="0.2">
      <c r="A29" s="116" t="s">
        <v>1412</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425</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7"/>
      <c r="F6">
        <v>2019</v>
      </c>
      <c r="G6">
        <v>13.7</v>
      </c>
      <c r="H6" s="14">
        <v>19.3</v>
      </c>
      <c r="I6" s="14" t="s">
        <v>1553</v>
      </c>
      <c r="J6" s="14">
        <v>10.1</v>
      </c>
      <c r="K6" s="14">
        <v>4.2</v>
      </c>
      <c r="L6">
        <v>19.8</v>
      </c>
      <c r="M6">
        <v>19.3</v>
      </c>
      <c r="N6" s="14">
        <v>15.9</v>
      </c>
      <c r="O6">
        <v>20.2</v>
      </c>
      <c r="P6">
        <v>17.7</v>
      </c>
    </row>
    <row r="7" spans="1:16" ht="15.75" customHeight="1" x14ac:dyDescent="0.2">
      <c r="E7" s="97"/>
      <c r="F7">
        <v>2020</v>
      </c>
      <c r="G7">
        <v>19.8</v>
      </c>
      <c r="H7" s="14">
        <v>23.3</v>
      </c>
      <c r="I7" s="14" t="s">
        <v>1554</v>
      </c>
      <c r="J7" s="14">
        <v>9.3000000000000007</v>
      </c>
      <c r="K7">
        <v>10.1</v>
      </c>
      <c r="L7">
        <v>25.7</v>
      </c>
      <c r="M7" s="14">
        <v>18.899999999999999</v>
      </c>
      <c r="N7" s="14">
        <v>16.8</v>
      </c>
      <c r="O7">
        <v>19.7</v>
      </c>
      <c r="P7">
        <v>16.5</v>
      </c>
    </row>
    <row r="8" spans="1:16" x14ac:dyDescent="0.2">
      <c r="E8" s="97"/>
      <c r="F8">
        <v>2021</v>
      </c>
      <c r="G8">
        <v>21.9</v>
      </c>
      <c r="H8" s="14">
        <v>15.8</v>
      </c>
      <c r="I8" s="14" t="s">
        <v>1555</v>
      </c>
      <c r="J8" s="14">
        <v>16.600000000000001</v>
      </c>
      <c r="K8">
        <v>15.4</v>
      </c>
      <c r="L8">
        <v>23.4</v>
      </c>
      <c r="M8">
        <v>21</v>
      </c>
      <c r="N8" s="14">
        <v>18.5</v>
      </c>
      <c r="O8">
        <v>22.2</v>
      </c>
      <c r="P8">
        <v>19.5</v>
      </c>
    </row>
    <row r="9" spans="1:16" x14ac:dyDescent="0.2">
      <c r="A9" s="98" t="s">
        <v>893</v>
      </c>
      <c r="B9" s="97"/>
      <c r="E9" s="97"/>
      <c r="F9">
        <v>2022</v>
      </c>
      <c r="G9">
        <v>18.5</v>
      </c>
      <c r="H9" s="14">
        <v>20.6</v>
      </c>
      <c r="I9" s="14" t="s">
        <v>1556</v>
      </c>
      <c r="J9" s="14">
        <v>16.2</v>
      </c>
      <c r="K9">
        <v>8</v>
      </c>
      <c r="L9">
        <v>25.3</v>
      </c>
      <c r="M9">
        <v>20.5</v>
      </c>
      <c r="N9">
        <v>18.2</v>
      </c>
      <c r="O9">
        <v>21.7</v>
      </c>
      <c r="P9">
        <v>19.399999999999999</v>
      </c>
    </row>
    <row r="10" spans="1:16" x14ac:dyDescent="0.2">
      <c r="A10" t="s">
        <v>894</v>
      </c>
      <c r="B10" t="s">
        <v>972</v>
      </c>
      <c r="E10" s="97"/>
      <c r="H10" s="14"/>
      <c r="I10" s="14"/>
      <c r="J10" s="14"/>
    </row>
    <row r="11" spans="1:16" x14ac:dyDescent="0.2">
      <c r="A11" t="s">
        <v>895</v>
      </c>
      <c r="B11" t="s">
        <v>973</v>
      </c>
      <c r="E11" s="97"/>
    </row>
    <row r="12" spans="1:16" x14ac:dyDescent="0.2">
      <c r="A12" t="s">
        <v>896</v>
      </c>
      <c r="E12" s="97"/>
    </row>
    <row r="13" spans="1:16" x14ac:dyDescent="0.2">
      <c r="A13" t="s">
        <v>897</v>
      </c>
      <c r="E13" s="97"/>
    </row>
    <row r="14" spans="1:16" x14ac:dyDescent="0.2">
      <c r="A14" t="s">
        <v>899</v>
      </c>
      <c r="E14" s="97"/>
    </row>
    <row r="15" spans="1:16" x14ac:dyDescent="0.2">
      <c r="A15" t="s">
        <v>901</v>
      </c>
      <c r="B15" t="b">
        <v>1</v>
      </c>
      <c r="E15" s="97"/>
    </row>
    <row r="16" spans="1:16" x14ac:dyDescent="0.2">
      <c r="E16" s="97"/>
    </row>
    <row r="17" spans="1:12" x14ac:dyDescent="0.2">
      <c r="E17" s="97"/>
    </row>
    <row r="18" spans="1:12" x14ac:dyDescent="0.2">
      <c r="A18" s="98" t="s">
        <v>902</v>
      </c>
      <c r="B18" s="97"/>
      <c r="E18" s="97"/>
    </row>
    <row r="19" spans="1:12" x14ac:dyDescent="0.2">
      <c r="A19" t="s">
        <v>903</v>
      </c>
      <c r="E19" s="97"/>
    </row>
    <row r="20" spans="1:12" x14ac:dyDescent="0.2">
      <c r="A20" t="s">
        <v>904</v>
      </c>
      <c r="E20" s="97"/>
    </row>
    <row r="21" spans="1:12" x14ac:dyDescent="0.2">
      <c r="A21" t="s">
        <v>905</v>
      </c>
      <c r="E21" s="97"/>
    </row>
    <row r="22" spans="1:12" x14ac:dyDescent="0.2">
      <c r="A22" t="s">
        <v>906</v>
      </c>
      <c r="E22" s="97"/>
    </row>
    <row r="23" spans="1:12" x14ac:dyDescent="0.2">
      <c r="A23" t="s">
        <v>907</v>
      </c>
      <c r="E23" s="97"/>
    </row>
    <row r="24" spans="1:12" x14ac:dyDescent="0.2">
      <c r="A24" t="s">
        <v>908</v>
      </c>
      <c r="E24" s="97"/>
    </row>
    <row r="25" spans="1:12" x14ac:dyDescent="0.2">
      <c r="A25" t="s">
        <v>909</v>
      </c>
      <c r="B25" t="s">
        <v>1552</v>
      </c>
      <c r="E25" s="97"/>
      <c r="H25" s="52"/>
      <c r="I25" s="52"/>
    </row>
    <row r="26" spans="1:12" x14ac:dyDescent="0.2">
      <c r="E26" s="97"/>
    </row>
    <row r="27" spans="1:12" x14ac:dyDescent="0.2">
      <c r="A27" s="100" t="s">
        <v>910</v>
      </c>
      <c r="B27" s="97"/>
      <c r="E27" s="97"/>
    </row>
    <row r="28" spans="1:12" x14ac:dyDescent="0.2">
      <c r="A28" s="114"/>
      <c r="B28" s="114"/>
      <c r="E28" s="97"/>
      <c r="H28" s="52"/>
      <c r="I28" s="52"/>
      <c r="J28" s="52"/>
      <c r="K28" s="52"/>
      <c r="L28" s="52"/>
    </row>
    <row r="29" spans="1:12" x14ac:dyDescent="0.2">
      <c r="A29" s="116" t="s">
        <v>1551</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427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tbl-premature-death-percent-diff-HvsWNH</v>
      </c>
    </row>
    <row r="4" spans="1:16" x14ac:dyDescent="0.2">
      <c r="A4" s="58" t="s">
        <v>6</v>
      </c>
      <c r="B4" t="str">
        <f>IF($B$1="","",_xlfn.XLOOKUP($B$1,Master!$F$2:$F$308,Master!$H$2:$H$308,""))</f>
        <v>fig-premature-death-percent-diff-HvsWNH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7"/>
      <c r="F6" s="14">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7"/>
      <c r="F7" s="14">
        <v>2020</v>
      </c>
      <c r="G7" s="14">
        <v>22</v>
      </c>
      <c r="H7" s="14">
        <v>15.5</v>
      </c>
      <c r="I7" s="14">
        <v>19.100000000000001</v>
      </c>
      <c r="J7" s="14">
        <v>28.4</v>
      </c>
      <c r="K7" s="14">
        <v>14.9</v>
      </c>
      <c r="L7" s="14">
        <v>14.7</v>
      </c>
      <c r="M7" s="14">
        <v>25.5</v>
      </c>
      <c r="N7" s="14">
        <v>21.9</v>
      </c>
      <c r="O7" s="14">
        <v>23.9</v>
      </c>
      <c r="P7" s="14">
        <v>17.2</v>
      </c>
    </row>
    <row r="8" spans="1:16" x14ac:dyDescent="0.2">
      <c r="E8" s="97"/>
      <c r="F8" s="14">
        <v>2021</v>
      </c>
      <c r="G8" s="14">
        <v>18.899999999999999</v>
      </c>
      <c r="H8" s="14">
        <v>16.2</v>
      </c>
      <c r="I8" s="14">
        <v>11.2</v>
      </c>
      <c r="J8" s="14">
        <v>24.4</v>
      </c>
      <c r="K8" s="14">
        <v>19.600000000000001</v>
      </c>
      <c r="L8" s="14">
        <v>18.3</v>
      </c>
      <c r="M8" s="14">
        <v>25.7</v>
      </c>
      <c r="N8" s="14">
        <v>21.4</v>
      </c>
      <c r="O8" s="14">
        <v>23.7</v>
      </c>
      <c r="P8" s="14">
        <v>18</v>
      </c>
    </row>
    <row r="9" spans="1:16" x14ac:dyDescent="0.2">
      <c r="A9" s="98" t="s">
        <v>893</v>
      </c>
      <c r="B9" s="97"/>
      <c r="E9" s="97"/>
      <c r="F9" s="14">
        <v>2022</v>
      </c>
      <c r="G9" s="14">
        <v>23.6</v>
      </c>
      <c r="H9" s="14">
        <v>17.2</v>
      </c>
      <c r="I9" s="14">
        <v>28.9</v>
      </c>
      <c r="J9" s="14">
        <v>26.3</v>
      </c>
      <c r="K9" s="14">
        <v>29.6</v>
      </c>
      <c r="L9" s="14">
        <v>23.7</v>
      </c>
      <c r="M9" s="14">
        <v>25.8</v>
      </c>
      <c r="N9" s="14">
        <v>23.1</v>
      </c>
      <c r="O9" s="14">
        <v>24.6</v>
      </c>
      <c r="P9" s="14">
        <v>17.899999999999999</v>
      </c>
    </row>
    <row r="10" spans="1:16" x14ac:dyDescent="0.2">
      <c r="A10" t="s">
        <v>894</v>
      </c>
      <c r="B10" t="s">
        <v>972</v>
      </c>
      <c r="E10" s="97"/>
      <c r="H10" s="14"/>
      <c r="I10" s="14"/>
      <c r="J10" s="14"/>
    </row>
    <row r="11" spans="1:16" x14ac:dyDescent="0.2">
      <c r="A11" t="s">
        <v>895</v>
      </c>
      <c r="B11" t="s">
        <v>973</v>
      </c>
      <c r="E11" s="97"/>
    </row>
    <row r="12" spans="1:16" x14ac:dyDescent="0.2">
      <c r="A12" t="s">
        <v>896</v>
      </c>
      <c r="E12" s="97"/>
    </row>
    <row r="13" spans="1:16" x14ac:dyDescent="0.2">
      <c r="A13" t="s">
        <v>897</v>
      </c>
      <c r="E13" s="97"/>
    </row>
    <row r="14" spans="1:16" x14ac:dyDescent="0.2">
      <c r="A14" t="s">
        <v>899</v>
      </c>
      <c r="E14" s="97"/>
    </row>
    <row r="15" spans="1:16" x14ac:dyDescent="0.2">
      <c r="A15" t="s">
        <v>901</v>
      </c>
      <c r="B15" t="b">
        <v>1</v>
      </c>
      <c r="E15" s="97"/>
    </row>
    <row r="16" spans="1:16" x14ac:dyDescent="0.2">
      <c r="E16" s="97"/>
    </row>
    <row r="17" spans="1:12" x14ac:dyDescent="0.2">
      <c r="E17" s="97"/>
    </row>
    <row r="18" spans="1:12" x14ac:dyDescent="0.2">
      <c r="A18" s="98" t="s">
        <v>902</v>
      </c>
      <c r="B18" s="97"/>
      <c r="E18" s="97"/>
    </row>
    <row r="19" spans="1:12" x14ac:dyDescent="0.2">
      <c r="A19" t="s">
        <v>903</v>
      </c>
      <c r="E19" s="97"/>
    </row>
    <row r="20" spans="1:12" x14ac:dyDescent="0.2">
      <c r="A20" t="s">
        <v>904</v>
      </c>
      <c r="E20" s="97"/>
    </row>
    <row r="21" spans="1:12" x14ac:dyDescent="0.2">
      <c r="A21" t="s">
        <v>905</v>
      </c>
      <c r="E21" s="97"/>
    </row>
    <row r="22" spans="1:12" x14ac:dyDescent="0.2">
      <c r="A22" t="s">
        <v>906</v>
      </c>
      <c r="E22" s="97"/>
    </row>
    <row r="23" spans="1:12" x14ac:dyDescent="0.2">
      <c r="A23" t="s">
        <v>907</v>
      </c>
      <c r="E23" s="97"/>
    </row>
    <row r="24" spans="1:12" x14ac:dyDescent="0.2">
      <c r="A24" t="s">
        <v>908</v>
      </c>
      <c r="E24" s="97"/>
    </row>
    <row r="25" spans="1:12" x14ac:dyDescent="0.2">
      <c r="A25" t="s">
        <v>909</v>
      </c>
      <c r="B25" t="s">
        <v>1552</v>
      </c>
      <c r="E25" s="97"/>
      <c r="H25" s="52"/>
      <c r="I25" s="52"/>
    </row>
    <row r="26" spans="1:12" x14ac:dyDescent="0.2">
      <c r="E26" s="97"/>
    </row>
    <row r="27" spans="1:12" x14ac:dyDescent="0.2">
      <c r="A27" s="100" t="s">
        <v>910</v>
      </c>
      <c r="B27" s="97"/>
      <c r="E27" s="97"/>
    </row>
    <row r="28" spans="1:12" x14ac:dyDescent="0.2">
      <c r="A28" s="114"/>
      <c r="B28" s="114"/>
      <c r="E28" s="97"/>
      <c r="H28" s="52"/>
      <c r="I28" s="52"/>
      <c r="J28" s="52"/>
      <c r="K28" s="52"/>
      <c r="L28" s="52"/>
    </row>
    <row r="29" spans="1:12" x14ac:dyDescent="0.2">
      <c r="A29" s="116" t="s">
        <v>1557</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430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tbl-clrd-hospital-aar</v>
      </c>
    </row>
    <row r="4" spans="1:16" x14ac:dyDescent="0.2">
      <c r="A4" s="58" t="s">
        <v>6</v>
      </c>
      <c r="B4" t="str">
        <f>IF($B$1="","",_xlfn.XLOOKUP($B$1,Master!$F$2:$F$308,Master!$H$2:$H$308,""))</f>
        <v>fig-clrd-hospital-aar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7"/>
      <c r="F6" s="14" t="s">
        <v>1405</v>
      </c>
      <c r="G6" s="14">
        <v>12</v>
      </c>
      <c r="H6" s="14">
        <v>13.8</v>
      </c>
      <c r="I6" s="14">
        <v>8.1</v>
      </c>
      <c r="J6" s="14">
        <v>8.9</v>
      </c>
      <c r="K6" s="14">
        <v>11.8</v>
      </c>
      <c r="L6" s="14">
        <v>11.6</v>
      </c>
      <c r="M6" s="14">
        <v>11.1</v>
      </c>
      <c r="N6" s="14">
        <v>11.2</v>
      </c>
      <c r="O6" s="14">
        <v>12</v>
      </c>
      <c r="P6" s="14">
        <v>14.3</v>
      </c>
    </row>
    <row r="7" spans="1:16" ht="15.75" customHeight="1" x14ac:dyDescent="0.2">
      <c r="E7" s="97"/>
      <c r="F7" s="14"/>
      <c r="G7" s="14"/>
      <c r="H7" s="14"/>
      <c r="I7" s="14"/>
      <c r="J7" s="14"/>
      <c r="K7" s="14"/>
      <c r="L7" s="14"/>
      <c r="M7" s="14"/>
      <c r="N7" s="14"/>
      <c r="O7" s="14"/>
      <c r="P7" s="14"/>
    </row>
    <row r="8" spans="1:16" x14ac:dyDescent="0.2">
      <c r="E8" s="97"/>
      <c r="F8" s="14"/>
      <c r="G8" s="14"/>
      <c r="H8" s="14"/>
      <c r="I8" s="14"/>
      <c r="J8" s="14"/>
      <c r="K8" s="14"/>
      <c r="L8" s="14"/>
      <c r="M8" s="14"/>
      <c r="N8" s="14"/>
      <c r="O8" s="14"/>
      <c r="P8" s="14"/>
    </row>
    <row r="9" spans="1:16" x14ac:dyDescent="0.2">
      <c r="A9" s="98" t="s">
        <v>893</v>
      </c>
      <c r="B9" s="97"/>
      <c r="E9" s="97"/>
      <c r="F9" s="14"/>
      <c r="G9" s="14"/>
      <c r="H9" s="14"/>
      <c r="I9" s="14"/>
      <c r="J9" s="14"/>
      <c r="K9" s="14"/>
      <c r="L9" s="14"/>
      <c r="M9" s="14"/>
      <c r="N9" s="14"/>
      <c r="O9" s="14"/>
      <c r="P9" s="14"/>
    </row>
    <row r="10" spans="1:16" x14ac:dyDescent="0.2">
      <c r="A10" t="s">
        <v>894</v>
      </c>
      <c r="B10" t="s">
        <v>1002</v>
      </c>
      <c r="E10" s="97"/>
      <c r="H10" s="14"/>
      <c r="I10" s="14"/>
      <c r="J10" s="14"/>
    </row>
    <row r="11" spans="1:16" x14ac:dyDescent="0.2">
      <c r="A11" t="s">
        <v>895</v>
      </c>
      <c r="B11" t="s">
        <v>887</v>
      </c>
      <c r="E11" s="97"/>
    </row>
    <row r="12" spans="1:16" x14ac:dyDescent="0.2">
      <c r="A12" t="s">
        <v>896</v>
      </c>
      <c r="E12" s="97"/>
    </row>
    <row r="13" spans="1:16" x14ac:dyDescent="0.2">
      <c r="A13" t="s">
        <v>897</v>
      </c>
      <c r="E13" s="97"/>
    </row>
    <row r="14" spans="1:16" x14ac:dyDescent="0.2">
      <c r="A14" t="s">
        <v>899</v>
      </c>
      <c r="E14" s="97"/>
    </row>
    <row r="15" spans="1:16" x14ac:dyDescent="0.2">
      <c r="A15" t="s">
        <v>901</v>
      </c>
      <c r="B15" t="b">
        <v>1</v>
      </c>
      <c r="E15" s="97"/>
    </row>
    <row r="16" spans="1:16" x14ac:dyDescent="0.2">
      <c r="E16" s="97"/>
    </row>
    <row r="17" spans="1:12" x14ac:dyDescent="0.2">
      <c r="E17" s="97"/>
    </row>
    <row r="18" spans="1:12" x14ac:dyDescent="0.2">
      <c r="A18" s="98" t="s">
        <v>902</v>
      </c>
      <c r="B18" s="97"/>
      <c r="E18" s="97"/>
    </row>
    <row r="19" spans="1:12" x14ac:dyDescent="0.2">
      <c r="A19" t="s">
        <v>903</v>
      </c>
      <c r="E19" s="97"/>
    </row>
    <row r="20" spans="1:12" x14ac:dyDescent="0.2">
      <c r="A20" t="s">
        <v>904</v>
      </c>
      <c r="E20" s="97"/>
    </row>
    <row r="21" spans="1:12" x14ac:dyDescent="0.2">
      <c r="A21" t="s">
        <v>905</v>
      </c>
      <c r="E21" s="97"/>
    </row>
    <row r="22" spans="1:12" x14ac:dyDescent="0.2">
      <c r="A22" t="s">
        <v>906</v>
      </c>
      <c r="E22" s="97"/>
    </row>
    <row r="23" spans="1:12" x14ac:dyDescent="0.2">
      <c r="A23" t="s">
        <v>907</v>
      </c>
      <c r="E23" s="97"/>
    </row>
    <row r="24" spans="1:12" x14ac:dyDescent="0.2">
      <c r="A24" t="s">
        <v>908</v>
      </c>
      <c r="E24" s="97"/>
    </row>
    <row r="25" spans="1:12" x14ac:dyDescent="0.2">
      <c r="A25" t="s">
        <v>909</v>
      </c>
      <c r="B25" t="s">
        <v>1562</v>
      </c>
      <c r="E25" s="97"/>
      <c r="H25" s="52"/>
      <c r="I25" s="52"/>
    </row>
    <row r="26" spans="1:12" x14ac:dyDescent="0.2">
      <c r="E26" s="97"/>
    </row>
    <row r="27" spans="1:12" x14ac:dyDescent="0.2">
      <c r="A27" s="100" t="s">
        <v>910</v>
      </c>
      <c r="B27" s="97"/>
      <c r="E27" s="97"/>
    </row>
    <row r="28" spans="1:12" x14ac:dyDescent="0.2">
      <c r="A28" s="114"/>
      <c r="B28" s="114"/>
      <c r="E28" s="97"/>
      <c r="H28" s="52"/>
      <c r="I28" s="52"/>
      <c r="J28" s="52"/>
      <c r="K28" s="52"/>
      <c r="L28" s="52"/>
    </row>
    <row r="29" spans="1:12" x14ac:dyDescent="0.2">
      <c r="A29" s="116" t="s">
        <v>1561</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434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tbl-clrd-hospital-rande-aar</v>
      </c>
    </row>
    <row r="4" spans="1:16" x14ac:dyDescent="0.2">
      <c r="A4" s="58" t="s">
        <v>6</v>
      </c>
      <c r="B4" t="str">
        <f>IF($B$1="","",_xlfn.XLOOKUP($B$1,Master!$F$2:$F$308,Master!$H$2:$H$308,""))</f>
        <v>fig-clrd-hospital-rande-aar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7"/>
      <c r="F6" s="14" t="s">
        <v>929</v>
      </c>
      <c r="G6" s="59">
        <v>10.4</v>
      </c>
      <c r="H6" s="59">
        <v>11.7</v>
      </c>
      <c r="I6" s="59">
        <v>7.4</v>
      </c>
      <c r="J6" s="59">
        <v>7.4</v>
      </c>
      <c r="K6" s="59">
        <v>10.8</v>
      </c>
      <c r="L6" s="59">
        <v>11</v>
      </c>
      <c r="M6" s="59">
        <v>6.1</v>
      </c>
      <c r="N6" s="59">
        <v>9.8000000000000007</v>
      </c>
      <c r="O6" s="59">
        <v>9.1</v>
      </c>
      <c r="P6" s="14"/>
    </row>
    <row r="7" spans="1:16" ht="15.75" customHeight="1" x14ac:dyDescent="0.2">
      <c r="E7" s="97"/>
      <c r="F7" s="14" t="s">
        <v>1566</v>
      </c>
      <c r="G7" s="59">
        <v>9</v>
      </c>
      <c r="H7" s="59">
        <v>22.5</v>
      </c>
      <c r="I7" s="59">
        <v>10.8</v>
      </c>
      <c r="J7" s="59">
        <v>13</v>
      </c>
      <c r="K7" s="59">
        <v>25.7</v>
      </c>
      <c r="L7" s="59">
        <v>17.3</v>
      </c>
      <c r="M7" s="59">
        <v>19</v>
      </c>
      <c r="N7" s="59">
        <v>24</v>
      </c>
      <c r="O7" s="59">
        <v>24.5</v>
      </c>
      <c r="P7" s="14"/>
    </row>
    <row r="8" spans="1:16" x14ac:dyDescent="0.2">
      <c r="E8" s="97"/>
      <c r="F8" s="14" t="s">
        <v>1567</v>
      </c>
      <c r="G8" s="59" t="s">
        <v>754</v>
      </c>
      <c r="H8" s="59">
        <v>2.9</v>
      </c>
      <c r="I8" s="59" t="s">
        <v>754</v>
      </c>
      <c r="J8" s="59">
        <v>3.4</v>
      </c>
      <c r="K8" s="59" t="s">
        <v>754</v>
      </c>
      <c r="L8" s="59" t="s">
        <v>754</v>
      </c>
      <c r="M8" s="59">
        <v>2.6</v>
      </c>
      <c r="N8" s="59">
        <v>4.0999999999999996</v>
      </c>
      <c r="O8" s="59">
        <v>4.4000000000000004</v>
      </c>
      <c r="P8" s="14"/>
    </row>
    <row r="9" spans="1:16" x14ac:dyDescent="0.2">
      <c r="A9" s="98" t="s">
        <v>893</v>
      </c>
      <c r="B9" s="97"/>
      <c r="E9" s="97"/>
      <c r="F9" s="14" t="s">
        <v>927</v>
      </c>
      <c r="G9" s="59">
        <v>6.2</v>
      </c>
      <c r="H9" s="59">
        <v>10.8</v>
      </c>
      <c r="I9" s="59">
        <v>7.2</v>
      </c>
      <c r="J9" s="59">
        <v>8.4</v>
      </c>
      <c r="K9" s="59">
        <v>6.8</v>
      </c>
      <c r="L9" s="59">
        <v>10.6</v>
      </c>
      <c r="M9" s="59">
        <v>8.3000000000000007</v>
      </c>
      <c r="N9" s="59">
        <v>9.9</v>
      </c>
      <c r="O9" s="59">
        <v>16.600000000000001</v>
      </c>
      <c r="P9" s="14"/>
    </row>
    <row r="10" spans="1:16" x14ac:dyDescent="0.2">
      <c r="A10" t="s">
        <v>894</v>
      </c>
      <c r="B10" t="s">
        <v>983</v>
      </c>
      <c r="E10" s="97"/>
      <c r="H10" s="14"/>
      <c r="I10" s="14"/>
      <c r="J10" s="14"/>
    </row>
    <row r="11" spans="1:16" x14ac:dyDescent="0.2">
      <c r="A11" t="s">
        <v>895</v>
      </c>
      <c r="B11" t="s">
        <v>887</v>
      </c>
      <c r="E11" s="97"/>
    </row>
    <row r="12" spans="1:16" x14ac:dyDescent="0.2">
      <c r="A12" t="s">
        <v>896</v>
      </c>
      <c r="E12" s="97"/>
    </row>
    <row r="13" spans="1:16" x14ac:dyDescent="0.2">
      <c r="A13" t="s">
        <v>897</v>
      </c>
      <c r="E13" s="97"/>
    </row>
    <row r="14" spans="1:16" x14ac:dyDescent="0.2">
      <c r="A14" t="s">
        <v>899</v>
      </c>
      <c r="E14" s="97"/>
    </row>
    <row r="15" spans="1:16" x14ac:dyDescent="0.2">
      <c r="A15" t="s">
        <v>901</v>
      </c>
      <c r="B15" t="b">
        <v>1</v>
      </c>
      <c r="E15" s="97"/>
    </row>
    <row r="16" spans="1:16" x14ac:dyDescent="0.2">
      <c r="E16" s="97"/>
    </row>
    <row r="17" spans="1:12" x14ac:dyDescent="0.2">
      <c r="E17" s="97"/>
    </row>
    <row r="18" spans="1:12" x14ac:dyDescent="0.2">
      <c r="A18" s="98" t="s">
        <v>902</v>
      </c>
      <c r="B18" s="97"/>
      <c r="E18" s="97"/>
    </row>
    <row r="19" spans="1:12" x14ac:dyDescent="0.2">
      <c r="A19" t="s">
        <v>903</v>
      </c>
      <c r="E19" s="97"/>
    </row>
    <row r="20" spans="1:12" x14ac:dyDescent="0.2">
      <c r="A20" t="s">
        <v>904</v>
      </c>
      <c r="E20" s="97"/>
    </row>
    <row r="21" spans="1:12" x14ac:dyDescent="0.2">
      <c r="A21" t="s">
        <v>905</v>
      </c>
      <c r="E21" s="97"/>
    </row>
    <row r="22" spans="1:12" x14ac:dyDescent="0.2">
      <c r="A22" t="s">
        <v>906</v>
      </c>
      <c r="E22" s="97"/>
    </row>
    <row r="23" spans="1:12" x14ac:dyDescent="0.2">
      <c r="A23" t="s">
        <v>907</v>
      </c>
      <c r="E23" s="97"/>
    </row>
    <row r="24" spans="1:12" x14ac:dyDescent="0.2">
      <c r="A24" t="s">
        <v>908</v>
      </c>
      <c r="E24" s="97"/>
    </row>
    <row r="25" spans="1:12" x14ac:dyDescent="0.2">
      <c r="A25" t="s">
        <v>909</v>
      </c>
      <c r="B25" t="s">
        <v>1572</v>
      </c>
      <c r="E25" s="97"/>
      <c r="H25" s="52"/>
      <c r="I25" s="52"/>
    </row>
    <row r="26" spans="1:12" x14ac:dyDescent="0.2">
      <c r="E26" s="97"/>
    </row>
    <row r="27" spans="1:12" x14ac:dyDescent="0.2">
      <c r="A27" s="100" t="s">
        <v>910</v>
      </c>
      <c r="B27" s="97"/>
      <c r="E27" s="97"/>
    </row>
    <row r="28" spans="1:12" x14ac:dyDescent="0.2">
      <c r="A28" s="114"/>
      <c r="B28" s="114"/>
      <c r="E28" s="97"/>
      <c r="H28" s="52"/>
      <c r="I28" s="52"/>
      <c r="J28" s="52"/>
      <c r="K28" s="52"/>
      <c r="L28" s="52"/>
    </row>
    <row r="29" spans="1:12" x14ac:dyDescent="0.2">
      <c r="A29" s="114" t="s">
        <v>1571</v>
      </c>
      <c r="B29" s="114"/>
      <c r="C29" s="114"/>
      <c r="D29" s="114"/>
      <c r="E29" s="97"/>
    </row>
    <row r="30" spans="1:12" x14ac:dyDescent="0.2">
      <c r="A30" s="114"/>
      <c r="B30" s="114"/>
      <c r="C30" s="114"/>
      <c r="D30" s="114"/>
      <c r="E30" s="97"/>
    </row>
    <row r="31" spans="1:12" x14ac:dyDescent="0.2">
      <c r="A31" s="114"/>
      <c r="B31" s="114"/>
      <c r="C31" s="114"/>
      <c r="D31" s="114"/>
      <c r="E31" s="97"/>
      <c r="H31" s="52"/>
      <c r="I31" s="52"/>
      <c r="J31" s="52"/>
      <c r="K31" s="52"/>
      <c r="L31" s="52"/>
    </row>
    <row r="32" spans="1:12" x14ac:dyDescent="0.2">
      <c r="A32" s="114"/>
      <c r="B32" s="114"/>
      <c r="C32" s="114"/>
      <c r="D32" s="114"/>
      <c r="E32" s="97"/>
    </row>
    <row r="33" spans="1:5" x14ac:dyDescent="0.2">
      <c r="A33" s="114"/>
      <c r="B33" s="114"/>
      <c r="C33" s="114"/>
      <c r="D33" s="114"/>
      <c r="E33" s="97"/>
    </row>
    <row r="34" spans="1:5" x14ac:dyDescent="0.2">
      <c r="A34" s="114"/>
      <c r="B34" s="114"/>
      <c r="C34" s="114"/>
      <c r="D34" s="114"/>
      <c r="E34" s="97"/>
    </row>
    <row r="35" spans="1:5" x14ac:dyDescent="0.2">
      <c r="A35" s="114"/>
      <c r="B35" s="114"/>
      <c r="C35" s="114"/>
      <c r="D35" s="114"/>
      <c r="E35" s="97"/>
    </row>
    <row r="36" spans="1:5" x14ac:dyDescent="0.2">
      <c r="A36" s="114"/>
      <c r="B36" s="114"/>
      <c r="C36" s="114"/>
      <c r="D36" s="114"/>
      <c r="E36" s="97"/>
    </row>
    <row r="37" spans="1:5" x14ac:dyDescent="0.2">
      <c r="A37" s="114"/>
      <c r="B37" s="114"/>
      <c r="C37" s="114"/>
      <c r="D37" s="114"/>
      <c r="E37" s="97"/>
    </row>
    <row r="38" spans="1:5" x14ac:dyDescent="0.2">
      <c r="A38" s="114"/>
      <c r="B38" s="114"/>
      <c r="C38" s="114"/>
      <c r="D38" s="114"/>
      <c r="E38" s="97"/>
    </row>
    <row r="39" spans="1:5" x14ac:dyDescent="0.2">
      <c r="A39" s="114"/>
      <c r="B39" s="114"/>
      <c r="C39" s="114"/>
      <c r="D39" s="114"/>
      <c r="E39" s="97"/>
    </row>
    <row r="40" spans="1:5" x14ac:dyDescent="0.2">
      <c r="A40" s="114"/>
      <c r="B40" s="114"/>
      <c r="C40" s="114"/>
      <c r="D40" s="114"/>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438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tbl-brfss-adult-asthma</v>
      </c>
    </row>
    <row r="4" spans="1:16" x14ac:dyDescent="0.2">
      <c r="A4" s="58" t="s">
        <v>6</v>
      </c>
      <c r="B4" t="str">
        <f>IF($B$1="","",_xlfn.XLOOKUP($B$1,Master!$F$2:$F$308,Master!$H$2:$H$308,""))</f>
        <v>fig-brfss-adult-asthma</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s="55" t="s">
        <v>1123</v>
      </c>
      <c r="G5" s="55" t="s">
        <v>220</v>
      </c>
      <c r="H5" s="55" t="s">
        <v>18</v>
      </c>
      <c r="I5" s="55" t="s">
        <v>537</v>
      </c>
      <c r="J5" s="55" t="s">
        <v>449</v>
      </c>
      <c r="K5" s="55" t="s">
        <v>409</v>
      </c>
      <c r="L5" s="55" t="s">
        <v>421</v>
      </c>
      <c r="M5" s="55" t="s">
        <v>470</v>
      </c>
      <c r="N5" s="55" t="s">
        <v>898</v>
      </c>
      <c r="O5" s="55" t="s">
        <v>914</v>
      </c>
      <c r="P5" t="s">
        <v>915</v>
      </c>
    </row>
    <row r="6" spans="1:16" ht="15" customHeight="1" x14ac:dyDescent="0.2">
      <c r="A6" t="s">
        <v>891</v>
      </c>
      <c r="B6" t="b">
        <v>0</v>
      </c>
      <c r="E6" s="97"/>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7"/>
      <c r="F7" s="51">
        <v>2018</v>
      </c>
      <c r="G7" s="59">
        <v>9.9</v>
      </c>
      <c r="H7" s="59">
        <v>8.9</v>
      </c>
      <c r="I7" s="59">
        <v>8.9</v>
      </c>
      <c r="J7" s="59">
        <v>7.3</v>
      </c>
      <c r="K7" s="59">
        <v>12.7</v>
      </c>
      <c r="L7" s="59">
        <v>12.3</v>
      </c>
      <c r="M7" s="59">
        <v>11.5</v>
      </c>
      <c r="N7" s="59">
        <v>9.6999999999999993</v>
      </c>
      <c r="O7" s="59">
        <v>10.8</v>
      </c>
      <c r="P7" s="14">
        <v>10.1</v>
      </c>
    </row>
    <row r="8" spans="1:16" x14ac:dyDescent="0.2">
      <c r="E8" s="97"/>
      <c r="F8" s="51">
        <v>2021</v>
      </c>
      <c r="G8" s="59">
        <v>11.3</v>
      </c>
      <c r="H8" s="59">
        <v>9.6</v>
      </c>
      <c r="I8" s="59">
        <v>10.1</v>
      </c>
      <c r="J8" s="59">
        <v>7.4</v>
      </c>
      <c r="K8" s="59">
        <v>12.3</v>
      </c>
      <c r="L8" s="59">
        <v>11.8</v>
      </c>
      <c r="M8" s="59">
        <v>7.9</v>
      </c>
      <c r="N8" s="59">
        <v>8.9</v>
      </c>
      <c r="O8" s="59">
        <v>10.8</v>
      </c>
      <c r="P8" s="14">
        <v>10.1</v>
      </c>
    </row>
    <row r="9" spans="1:16" x14ac:dyDescent="0.2">
      <c r="A9" s="98" t="s">
        <v>893</v>
      </c>
      <c r="B9" s="97"/>
      <c r="E9" s="97"/>
      <c r="F9" s="59"/>
      <c r="G9" s="59"/>
      <c r="H9" s="59"/>
      <c r="I9" s="59"/>
      <c r="J9" s="59"/>
      <c r="K9" s="59"/>
      <c r="L9" s="59"/>
      <c r="M9" s="59"/>
      <c r="N9" s="59"/>
      <c r="O9" s="59"/>
      <c r="P9" s="14"/>
    </row>
    <row r="10" spans="1:16" x14ac:dyDescent="0.2">
      <c r="A10" t="s">
        <v>894</v>
      </c>
      <c r="B10" t="s">
        <v>972</v>
      </c>
      <c r="E10" s="97"/>
      <c r="H10" s="14"/>
      <c r="I10" s="14"/>
      <c r="J10" s="14"/>
    </row>
    <row r="11" spans="1:16" x14ac:dyDescent="0.2">
      <c r="A11" t="s">
        <v>895</v>
      </c>
      <c r="B11" t="s">
        <v>887</v>
      </c>
      <c r="E11" s="97"/>
    </row>
    <row r="12" spans="1:16" x14ac:dyDescent="0.2">
      <c r="A12" t="s">
        <v>896</v>
      </c>
      <c r="E12" s="97"/>
    </row>
    <row r="13" spans="1:16" x14ac:dyDescent="0.2">
      <c r="A13" t="s">
        <v>897</v>
      </c>
      <c r="E13" s="97"/>
    </row>
    <row r="14" spans="1:16" x14ac:dyDescent="0.2">
      <c r="A14" t="s">
        <v>899</v>
      </c>
      <c r="E14" s="97"/>
    </row>
    <row r="15" spans="1:16" x14ac:dyDescent="0.2">
      <c r="A15" t="s">
        <v>901</v>
      </c>
      <c r="B15" t="b">
        <v>1</v>
      </c>
      <c r="E15" s="97"/>
    </row>
    <row r="16" spans="1:16" x14ac:dyDescent="0.2">
      <c r="E16" s="97"/>
    </row>
    <row r="17" spans="1:12" x14ac:dyDescent="0.2">
      <c r="E17" s="97"/>
    </row>
    <row r="18" spans="1:12" x14ac:dyDescent="0.2">
      <c r="A18" s="98" t="s">
        <v>902</v>
      </c>
      <c r="B18" s="97"/>
      <c r="E18" s="97"/>
    </row>
    <row r="19" spans="1:12" x14ac:dyDescent="0.2">
      <c r="A19" t="s">
        <v>903</v>
      </c>
      <c r="E19" s="97"/>
    </row>
    <row r="20" spans="1:12" x14ac:dyDescent="0.2">
      <c r="A20" t="s">
        <v>904</v>
      </c>
      <c r="E20" s="97"/>
    </row>
    <row r="21" spans="1:12" x14ac:dyDescent="0.2">
      <c r="A21" t="s">
        <v>905</v>
      </c>
      <c r="E21" s="97"/>
    </row>
    <row r="22" spans="1:12" x14ac:dyDescent="0.2">
      <c r="A22" t="s">
        <v>906</v>
      </c>
      <c r="E22" s="97"/>
    </row>
    <row r="23" spans="1:12" x14ac:dyDescent="0.2">
      <c r="A23" t="s">
        <v>907</v>
      </c>
      <c r="E23" s="97"/>
    </row>
    <row r="24" spans="1:12" x14ac:dyDescent="0.2">
      <c r="A24" t="s">
        <v>908</v>
      </c>
      <c r="E24" s="97"/>
    </row>
    <row r="25" spans="1:12" x14ac:dyDescent="0.2">
      <c r="A25" t="s">
        <v>909</v>
      </c>
      <c r="B25" t="s">
        <v>1580</v>
      </c>
      <c r="E25" s="97"/>
      <c r="H25" s="52"/>
      <c r="I25" s="52"/>
    </row>
    <row r="26" spans="1:12" x14ac:dyDescent="0.2">
      <c r="E26" s="97"/>
    </row>
    <row r="27" spans="1:12" x14ac:dyDescent="0.2">
      <c r="A27" s="100" t="s">
        <v>910</v>
      </c>
      <c r="B27" s="97"/>
      <c r="E27" s="97"/>
    </row>
    <row r="28" spans="1:12" x14ac:dyDescent="0.2">
      <c r="A28" s="114"/>
      <c r="B28" s="114"/>
      <c r="E28" s="97"/>
      <c r="H28" s="52"/>
      <c r="I28" s="52"/>
      <c r="J28" s="52"/>
      <c r="K28" s="52"/>
      <c r="L28" s="52"/>
    </row>
    <row r="29" spans="1:12" x14ac:dyDescent="0.2">
      <c r="A29" s="116" t="s">
        <v>1581</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440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tbl-asthma-hopsital-aar</v>
      </c>
    </row>
    <row r="4" spans="1:16" x14ac:dyDescent="0.2">
      <c r="A4" s="58" t="s">
        <v>6</v>
      </c>
      <c r="B4" t="str">
        <f>IF($B$1="","",_xlfn.XLOOKUP($B$1,Master!$F$2:$F$308,Master!$H$2:$H$308,""))</f>
        <v>fig-asthma-hopsital-aar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t="s">
        <v>973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7"/>
      <c r="F6" s="14" t="s">
        <v>1405</v>
      </c>
      <c r="G6" s="14">
        <v>4.7</v>
      </c>
      <c r="H6" s="14">
        <v>5.0999999999999996</v>
      </c>
      <c r="I6" s="14">
        <v>3.5</v>
      </c>
      <c r="J6" s="14">
        <v>3.2</v>
      </c>
      <c r="K6" s="14">
        <v>4.3</v>
      </c>
      <c r="L6" s="14">
        <v>3.8</v>
      </c>
      <c r="M6" s="14">
        <v>5.9</v>
      </c>
      <c r="N6" s="14">
        <v>4.9000000000000004</v>
      </c>
      <c r="O6" s="14">
        <v>4.2</v>
      </c>
      <c r="P6" s="14">
        <v>6.6</v>
      </c>
    </row>
    <row r="7" spans="1:16" ht="15.75" customHeight="1" x14ac:dyDescent="0.2">
      <c r="E7" s="97"/>
      <c r="F7" s="14"/>
      <c r="G7" s="14"/>
      <c r="H7" s="14"/>
      <c r="I7" s="14"/>
      <c r="J7" s="14"/>
      <c r="K7" s="14"/>
      <c r="L7" s="14"/>
      <c r="M7" s="14"/>
      <c r="N7" s="14"/>
      <c r="O7" s="14"/>
      <c r="P7" s="14"/>
    </row>
    <row r="8" spans="1:16" x14ac:dyDescent="0.2">
      <c r="E8" s="97"/>
      <c r="F8" s="14"/>
      <c r="G8" s="14"/>
      <c r="H8" s="14"/>
      <c r="I8" s="14"/>
      <c r="J8" s="14"/>
      <c r="K8" s="14"/>
      <c r="L8" s="14"/>
      <c r="M8" s="14"/>
      <c r="N8" s="14"/>
      <c r="O8" s="14"/>
      <c r="P8" s="14"/>
    </row>
    <row r="9" spans="1:16" x14ac:dyDescent="0.2">
      <c r="A9" s="98" t="s">
        <v>893</v>
      </c>
      <c r="B9" s="97"/>
      <c r="E9" s="97"/>
      <c r="F9" s="14"/>
      <c r="G9" s="14"/>
      <c r="H9" s="14"/>
      <c r="I9" s="14"/>
      <c r="J9" s="14"/>
      <c r="K9" s="14"/>
      <c r="L9" s="14"/>
      <c r="M9" s="14"/>
      <c r="N9" s="14"/>
      <c r="O9" s="14"/>
      <c r="P9" s="14"/>
    </row>
    <row r="10" spans="1:16" x14ac:dyDescent="0.2">
      <c r="A10" t="s">
        <v>894</v>
      </c>
      <c r="B10" t="s">
        <v>1002</v>
      </c>
      <c r="E10" s="97"/>
      <c r="H10" s="14"/>
      <c r="I10" s="14"/>
      <c r="J10" s="14"/>
    </row>
    <row r="11" spans="1:16" x14ac:dyDescent="0.2">
      <c r="A11" t="s">
        <v>895</v>
      </c>
      <c r="B11" t="s">
        <v>887</v>
      </c>
      <c r="E11" s="97"/>
    </row>
    <row r="12" spans="1:16" x14ac:dyDescent="0.2">
      <c r="A12" t="s">
        <v>896</v>
      </c>
      <c r="E12" s="97"/>
    </row>
    <row r="13" spans="1:16" x14ac:dyDescent="0.2">
      <c r="A13" t="s">
        <v>897</v>
      </c>
      <c r="E13" s="97"/>
    </row>
    <row r="14" spans="1:16" x14ac:dyDescent="0.2">
      <c r="A14" t="s">
        <v>899</v>
      </c>
      <c r="E14" s="97"/>
    </row>
    <row r="15" spans="1:16" x14ac:dyDescent="0.2">
      <c r="A15" t="s">
        <v>901</v>
      </c>
      <c r="B15" t="b">
        <v>1</v>
      </c>
      <c r="E15" s="97"/>
    </row>
    <row r="16" spans="1:16" x14ac:dyDescent="0.2">
      <c r="E16" s="97"/>
    </row>
    <row r="17" spans="1:12" x14ac:dyDescent="0.2">
      <c r="E17" s="97"/>
    </row>
    <row r="18" spans="1:12" x14ac:dyDescent="0.2">
      <c r="A18" s="98" t="s">
        <v>902</v>
      </c>
      <c r="B18" s="97"/>
      <c r="E18" s="97"/>
    </row>
    <row r="19" spans="1:12" x14ac:dyDescent="0.2">
      <c r="A19" t="s">
        <v>903</v>
      </c>
      <c r="E19" s="97"/>
    </row>
    <row r="20" spans="1:12" x14ac:dyDescent="0.2">
      <c r="A20" t="s">
        <v>904</v>
      </c>
      <c r="E20" s="97"/>
    </row>
    <row r="21" spans="1:12" x14ac:dyDescent="0.2">
      <c r="A21" t="s">
        <v>905</v>
      </c>
      <c r="E21" s="97"/>
    </row>
    <row r="22" spans="1:12" x14ac:dyDescent="0.2">
      <c r="A22" t="s">
        <v>906</v>
      </c>
      <c r="E22" s="97"/>
    </row>
    <row r="23" spans="1:12" x14ac:dyDescent="0.2">
      <c r="A23" t="s">
        <v>907</v>
      </c>
      <c r="E23" s="97"/>
    </row>
    <row r="24" spans="1:12" x14ac:dyDescent="0.2">
      <c r="A24" t="s">
        <v>908</v>
      </c>
      <c r="E24" s="97"/>
    </row>
    <row r="25" spans="1:12" x14ac:dyDescent="0.2">
      <c r="A25" t="s">
        <v>909</v>
      </c>
      <c r="B25" t="s">
        <v>1597</v>
      </c>
      <c r="E25" s="97"/>
      <c r="H25" s="52"/>
      <c r="I25" s="52"/>
    </row>
    <row r="26" spans="1:12" x14ac:dyDescent="0.2">
      <c r="E26" s="97"/>
    </row>
    <row r="27" spans="1:12" x14ac:dyDescent="0.2">
      <c r="A27" s="100" t="s">
        <v>910</v>
      </c>
      <c r="B27" s="97"/>
      <c r="E27" s="97"/>
    </row>
    <row r="28" spans="1:12" x14ac:dyDescent="0.2">
      <c r="A28" s="114"/>
      <c r="B28" s="114"/>
      <c r="E28" s="97"/>
      <c r="H28" s="52"/>
      <c r="I28" s="52"/>
      <c r="J28" s="52"/>
      <c r="K28" s="52"/>
      <c r="L28" s="52"/>
    </row>
    <row r="29" spans="1:12" x14ac:dyDescent="0.2">
      <c r="A29" s="116" t="s">
        <v>1595</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442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tbl-asthma-hopsital-rande-aar</v>
      </c>
    </row>
    <row r="4" spans="1:16" x14ac:dyDescent="0.2">
      <c r="A4" s="58" t="s">
        <v>6</v>
      </c>
      <c r="B4" t="str">
        <f>IF($B$1="","",_xlfn.XLOOKUP($B$1,Master!$F$2:$F$308,Master!$H$2:$H$308,""))</f>
        <v>fig-asthma-hopsital-rande-aar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s="55"/>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7"/>
      <c r="F6" s="51" t="s">
        <v>929</v>
      </c>
      <c r="G6" s="59">
        <v>3</v>
      </c>
      <c r="H6" s="59">
        <v>3.4</v>
      </c>
      <c r="I6" s="59">
        <v>2.9</v>
      </c>
      <c r="J6" s="59">
        <v>2.2999999999999998</v>
      </c>
      <c r="K6" s="59">
        <v>3</v>
      </c>
      <c r="L6" s="59">
        <v>3.4</v>
      </c>
      <c r="M6" s="59">
        <v>2.6</v>
      </c>
      <c r="N6" s="59">
        <v>2.4</v>
      </c>
      <c r="O6" s="59">
        <v>2.2999999999999998</v>
      </c>
      <c r="P6" s="14"/>
    </row>
    <row r="7" spans="1:16" ht="15.75" customHeight="1" x14ac:dyDescent="0.2">
      <c r="E7" s="97"/>
      <c r="F7" s="51" t="s">
        <v>1566</v>
      </c>
      <c r="G7" s="59">
        <v>5.4</v>
      </c>
      <c r="H7" s="59">
        <v>10.8</v>
      </c>
      <c r="I7" s="59">
        <v>10.8</v>
      </c>
      <c r="J7" s="59">
        <v>6.9</v>
      </c>
      <c r="K7" s="59">
        <v>17.100000000000001</v>
      </c>
      <c r="L7" s="59">
        <v>7.3</v>
      </c>
      <c r="M7" s="59">
        <v>11.4</v>
      </c>
      <c r="N7" s="59">
        <v>11.9</v>
      </c>
      <c r="O7" s="59">
        <v>13.8</v>
      </c>
      <c r="P7" s="14"/>
    </row>
    <row r="8" spans="1:16" x14ac:dyDescent="0.2">
      <c r="E8" s="97"/>
      <c r="F8" s="51" t="s">
        <v>1567</v>
      </c>
      <c r="G8" s="59" t="s">
        <v>754</v>
      </c>
      <c r="H8" s="59" t="s">
        <v>1252</v>
      </c>
      <c r="I8" s="59" t="s">
        <v>754</v>
      </c>
      <c r="J8" s="59">
        <v>1.3</v>
      </c>
      <c r="K8" s="59" t="s">
        <v>1604</v>
      </c>
      <c r="L8" s="59" t="s">
        <v>754</v>
      </c>
      <c r="M8" s="59">
        <v>1.8</v>
      </c>
      <c r="N8" s="59">
        <v>2.4</v>
      </c>
      <c r="O8" s="59">
        <v>2.4</v>
      </c>
      <c r="P8" s="14"/>
    </row>
    <row r="9" spans="1:16" x14ac:dyDescent="0.2">
      <c r="A9" s="98" t="s">
        <v>893</v>
      </c>
      <c r="B9" s="97"/>
      <c r="E9" s="97"/>
      <c r="F9" s="59" t="s">
        <v>927</v>
      </c>
      <c r="G9" s="59">
        <v>3.9</v>
      </c>
      <c r="H9" s="59">
        <v>5.0999999999999996</v>
      </c>
      <c r="I9" s="59">
        <v>3.5</v>
      </c>
      <c r="J9" s="59">
        <v>3.3</v>
      </c>
      <c r="K9" s="59">
        <v>3</v>
      </c>
      <c r="L9" s="59">
        <v>3.2</v>
      </c>
      <c r="M9" s="59">
        <v>4.4000000000000004</v>
      </c>
      <c r="N9" s="59">
        <v>5.4</v>
      </c>
      <c r="O9" s="59">
        <v>9.9</v>
      </c>
      <c r="P9" s="14"/>
    </row>
    <row r="10" spans="1:16" x14ac:dyDescent="0.2">
      <c r="A10" t="s">
        <v>894</v>
      </c>
      <c r="B10" t="s">
        <v>983</v>
      </c>
      <c r="E10" s="97"/>
      <c r="H10" s="14"/>
      <c r="I10" s="14"/>
      <c r="J10" s="14"/>
    </row>
    <row r="11" spans="1:16" x14ac:dyDescent="0.2">
      <c r="A11" t="s">
        <v>895</v>
      </c>
      <c r="B11" t="s">
        <v>887</v>
      </c>
      <c r="E11" s="97"/>
    </row>
    <row r="12" spans="1:16" x14ac:dyDescent="0.2">
      <c r="A12" t="s">
        <v>896</v>
      </c>
      <c r="E12" s="97"/>
    </row>
    <row r="13" spans="1:16" x14ac:dyDescent="0.2">
      <c r="A13" t="s">
        <v>897</v>
      </c>
      <c r="E13" s="97"/>
    </row>
    <row r="14" spans="1:16" x14ac:dyDescent="0.2">
      <c r="A14" t="s">
        <v>899</v>
      </c>
      <c r="B14" t="s">
        <v>708</v>
      </c>
      <c r="E14" s="97"/>
    </row>
    <row r="15" spans="1:16" x14ac:dyDescent="0.2">
      <c r="A15" t="s">
        <v>901</v>
      </c>
      <c r="B15" t="b">
        <v>1</v>
      </c>
      <c r="E15" s="97"/>
    </row>
    <row r="16" spans="1:16" x14ac:dyDescent="0.2">
      <c r="E16" s="97"/>
    </row>
    <row r="17" spans="1:12" x14ac:dyDescent="0.2">
      <c r="E17" s="97"/>
    </row>
    <row r="18" spans="1:12" x14ac:dyDescent="0.2">
      <c r="A18" s="98" t="s">
        <v>902</v>
      </c>
      <c r="B18" s="97"/>
      <c r="E18" s="97"/>
    </row>
    <row r="19" spans="1:12" x14ac:dyDescent="0.2">
      <c r="A19" t="s">
        <v>903</v>
      </c>
      <c r="E19" s="97"/>
    </row>
    <row r="20" spans="1:12" x14ac:dyDescent="0.2">
      <c r="A20" t="s">
        <v>904</v>
      </c>
      <c r="E20" s="97"/>
    </row>
    <row r="21" spans="1:12" x14ac:dyDescent="0.2">
      <c r="A21" t="s">
        <v>905</v>
      </c>
      <c r="E21" s="97"/>
    </row>
    <row r="22" spans="1:12" x14ac:dyDescent="0.2">
      <c r="A22" t="s">
        <v>906</v>
      </c>
      <c r="E22" s="97"/>
    </row>
    <row r="23" spans="1:12" x14ac:dyDescent="0.2">
      <c r="A23" t="s">
        <v>907</v>
      </c>
      <c r="E23" s="97"/>
    </row>
    <row r="24" spans="1:12" x14ac:dyDescent="0.2">
      <c r="A24" t="s">
        <v>908</v>
      </c>
      <c r="E24" s="97"/>
    </row>
    <row r="25" spans="1:12" x14ac:dyDescent="0.2">
      <c r="A25" t="s">
        <v>909</v>
      </c>
      <c r="B25" t="s">
        <v>1573</v>
      </c>
      <c r="E25" s="97"/>
      <c r="H25" s="52"/>
      <c r="I25" s="52"/>
    </row>
    <row r="26" spans="1:12" x14ac:dyDescent="0.2">
      <c r="E26" s="97"/>
    </row>
    <row r="27" spans="1:12" x14ac:dyDescent="0.2">
      <c r="A27" s="100" t="s">
        <v>910</v>
      </c>
      <c r="B27" s="97"/>
      <c r="E27" s="97"/>
    </row>
    <row r="28" spans="1:12" x14ac:dyDescent="0.2">
      <c r="A28" s="114"/>
      <c r="B28" s="114"/>
      <c r="E28" s="97"/>
      <c r="H28" s="52"/>
      <c r="I28" s="52"/>
      <c r="J28" s="52"/>
      <c r="K28" s="52"/>
      <c r="L28" s="52"/>
    </row>
    <row r="29" spans="1:12" x14ac:dyDescent="0.2">
      <c r="A29" s="116" t="s">
        <v>1602</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444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tbl-0to17-asthma-ed-rate</v>
      </c>
    </row>
    <row r="4" spans="1:16" x14ac:dyDescent="0.2">
      <c r="A4" s="58" t="s">
        <v>6</v>
      </c>
      <c r="B4" t="str">
        <f>IF($B$1="","",_xlfn.XLOOKUP($B$1,Master!$F$2:$F$308,Master!$H$2:$H$308,""))</f>
        <v>fig-0to17-asthma-ed-rate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t="s">
        <v>1123</v>
      </c>
      <c r="G5" t="s">
        <v>220</v>
      </c>
      <c r="H5" t="s">
        <v>18</v>
      </c>
      <c r="I5" t="s">
        <v>537</v>
      </c>
      <c r="J5" t="s">
        <v>449</v>
      </c>
      <c r="K5" s="55" t="s">
        <v>409</v>
      </c>
      <c r="L5" s="55" t="s">
        <v>421</v>
      </c>
      <c r="M5" s="55" t="s">
        <v>470</v>
      </c>
      <c r="N5" s="55" t="s">
        <v>898</v>
      </c>
      <c r="O5" t="s">
        <v>915</v>
      </c>
      <c r="P5" t="s">
        <v>1611</v>
      </c>
    </row>
    <row r="6" spans="1:16" ht="15" customHeight="1" x14ac:dyDescent="0.2">
      <c r="A6" t="s">
        <v>891</v>
      </c>
      <c r="B6" t="b">
        <v>0</v>
      </c>
      <c r="E6" s="97"/>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7"/>
      <c r="F7" s="63">
        <v>2018</v>
      </c>
      <c r="G7" s="14">
        <v>70.8</v>
      </c>
      <c r="H7" s="14">
        <v>64.400000000000006</v>
      </c>
      <c r="I7" s="14">
        <v>54.1</v>
      </c>
      <c r="J7" s="14">
        <v>42.8</v>
      </c>
      <c r="K7" s="14">
        <v>87.8</v>
      </c>
      <c r="L7" s="14">
        <v>72.7</v>
      </c>
      <c r="M7" s="14">
        <v>87.1</v>
      </c>
      <c r="N7" s="14">
        <v>71.2</v>
      </c>
      <c r="O7" s="14">
        <v>124.1</v>
      </c>
      <c r="P7" s="14">
        <v>131.1</v>
      </c>
    </row>
    <row r="8" spans="1:16" x14ac:dyDescent="0.2">
      <c r="E8" s="97"/>
      <c r="F8" s="63">
        <v>2019</v>
      </c>
      <c r="G8" s="14">
        <v>62.8</v>
      </c>
      <c r="H8" s="14">
        <v>64</v>
      </c>
      <c r="I8" s="14">
        <v>34.1</v>
      </c>
      <c r="J8" s="14">
        <v>33.9</v>
      </c>
      <c r="K8" s="14">
        <v>89.1</v>
      </c>
      <c r="L8" s="14">
        <v>60.7</v>
      </c>
      <c r="M8" s="14">
        <v>82.1</v>
      </c>
      <c r="N8" s="14">
        <v>65.099999999999994</v>
      </c>
      <c r="O8" s="14">
        <v>107.5</v>
      </c>
      <c r="P8" s="14">
        <v>131.1</v>
      </c>
    </row>
    <row r="9" spans="1:16" x14ac:dyDescent="0.2">
      <c r="A9" s="98" t="s">
        <v>893</v>
      </c>
      <c r="B9" s="97"/>
      <c r="E9" s="97"/>
      <c r="F9" s="63">
        <v>2020</v>
      </c>
      <c r="G9" s="14">
        <v>27.7</v>
      </c>
      <c r="H9" s="14">
        <v>25</v>
      </c>
      <c r="I9" s="14">
        <v>11.2</v>
      </c>
      <c r="J9" s="14">
        <v>15.3</v>
      </c>
      <c r="K9" s="14">
        <v>30.1</v>
      </c>
      <c r="L9" s="14">
        <v>27.6</v>
      </c>
      <c r="M9" s="14">
        <v>26.8</v>
      </c>
      <c r="N9" s="14">
        <v>24.1</v>
      </c>
      <c r="O9" s="14">
        <v>39</v>
      </c>
      <c r="P9" s="14">
        <v>131.1</v>
      </c>
    </row>
    <row r="10" spans="1:16" x14ac:dyDescent="0.2">
      <c r="A10" t="s">
        <v>894</v>
      </c>
      <c r="B10" t="s">
        <v>972</v>
      </c>
      <c r="E10" s="97"/>
      <c r="F10" s="63">
        <v>2021</v>
      </c>
      <c r="G10" s="14">
        <v>41</v>
      </c>
      <c r="H10" s="14">
        <v>40.799999999999997</v>
      </c>
      <c r="I10" s="14">
        <v>21.4</v>
      </c>
      <c r="J10" s="14">
        <v>24.5</v>
      </c>
      <c r="K10" s="14">
        <v>40.5</v>
      </c>
      <c r="L10" s="14">
        <v>54.3</v>
      </c>
      <c r="M10" s="14">
        <v>50</v>
      </c>
      <c r="N10" s="14">
        <v>41.6</v>
      </c>
      <c r="O10" s="14">
        <v>59.9</v>
      </c>
      <c r="P10" s="14">
        <v>131.1</v>
      </c>
    </row>
    <row r="11" spans="1:16" x14ac:dyDescent="0.2">
      <c r="A11" t="s">
        <v>895</v>
      </c>
      <c r="B11" t="s">
        <v>973</v>
      </c>
      <c r="E11" s="97"/>
      <c r="F11" s="63">
        <v>2022</v>
      </c>
      <c r="G11" s="14">
        <v>60.8</v>
      </c>
      <c r="H11" s="14">
        <v>63.5</v>
      </c>
      <c r="I11" s="14">
        <v>39.299999999999997</v>
      </c>
      <c r="J11" s="14">
        <v>32</v>
      </c>
      <c r="K11" s="14">
        <v>104.1</v>
      </c>
      <c r="L11" s="14">
        <v>55.6</v>
      </c>
      <c r="M11" s="14">
        <v>74.2</v>
      </c>
      <c r="N11" s="14">
        <v>61.5</v>
      </c>
      <c r="O11" s="14">
        <v>93.8</v>
      </c>
      <c r="P11" s="14">
        <v>131.1</v>
      </c>
    </row>
    <row r="12" spans="1:16" x14ac:dyDescent="0.2">
      <c r="A12" t="s">
        <v>896</v>
      </c>
      <c r="E12" s="97"/>
      <c r="F12" s="63">
        <v>2023</v>
      </c>
      <c r="G12" s="14">
        <v>61.9</v>
      </c>
      <c r="H12" s="14">
        <v>61.5</v>
      </c>
      <c r="I12" s="14">
        <v>39</v>
      </c>
      <c r="J12" s="14">
        <v>36.700000000000003</v>
      </c>
      <c r="K12" s="14">
        <v>102.2</v>
      </c>
      <c r="L12" s="14">
        <v>64.8</v>
      </c>
      <c r="M12" s="14">
        <v>73.8</v>
      </c>
      <c r="N12" s="14" t="s">
        <v>1613</v>
      </c>
      <c r="O12" s="14">
        <v>94.8</v>
      </c>
      <c r="P12" s="14">
        <v>131.1</v>
      </c>
    </row>
    <row r="13" spans="1:16" x14ac:dyDescent="0.2">
      <c r="A13" t="s">
        <v>897</v>
      </c>
      <c r="E13" s="97"/>
    </row>
    <row r="14" spans="1:16" x14ac:dyDescent="0.2">
      <c r="A14" t="s">
        <v>899</v>
      </c>
      <c r="B14" t="s">
        <v>708</v>
      </c>
      <c r="E14" s="97"/>
    </row>
    <row r="15" spans="1:16" x14ac:dyDescent="0.2">
      <c r="A15" t="s">
        <v>901</v>
      </c>
      <c r="B15" t="b">
        <v>1</v>
      </c>
      <c r="E15" s="97"/>
    </row>
    <row r="16" spans="1:16" x14ac:dyDescent="0.2">
      <c r="E16" s="97"/>
    </row>
    <row r="17" spans="1:12" x14ac:dyDescent="0.2">
      <c r="E17" s="97"/>
    </row>
    <row r="18" spans="1:12" x14ac:dyDescent="0.2">
      <c r="A18" s="98" t="s">
        <v>902</v>
      </c>
      <c r="B18" s="97"/>
      <c r="E18" s="97"/>
    </row>
    <row r="19" spans="1:12" x14ac:dyDescent="0.2">
      <c r="A19" t="s">
        <v>903</v>
      </c>
      <c r="E19" s="97"/>
    </row>
    <row r="20" spans="1:12" x14ac:dyDescent="0.2">
      <c r="A20" t="s">
        <v>904</v>
      </c>
      <c r="E20" s="97"/>
    </row>
    <row r="21" spans="1:12" x14ac:dyDescent="0.2">
      <c r="A21" t="s">
        <v>905</v>
      </c>
      <c r="E21" s="97"/>
    </row>
    <row r="22" spans="1:12" x14ac:dyDescent="0.2">
      <c r="A22" t="s">
        <v>906</v>
      </c>
      <c r="E22" s="97"/>
    </row>
    <row r="23" spans="1:12" x14ac:dyDescent="0.2">
      <c r="A23" t="s">
        <v>907</v>
      </c>
      <c r="E23" s="97"/>
    </row>
    <row r="24" spans="1:12" x14ac:dyDescent="0.2">
      <c r="A24" t="s">
        <v>908</v>
      </c>
      <c r="E24" s="97"/>
    </row>
    <row r="25" spans="1:12" x14ac:dyDescent="0.2">
      <c r="A25" t="s">
        <v>909</v>
      </c>
      <c r="B25" t="s">
        <v>1610</v>
      </c>
      <c r="E25" s="97"/>
      <c r="H25" s="52"/>
      <c r="I25" s="52"/>
    </row>
    <row r="26" spans="1:12" x14ac:dyDescent="0.2">
      <c r="E26" s="97"/>
    </row>
    <row r="27" spans="1:12" x14ac:dyDescent="0.2">
      <c r="A27" s="100" t="s">
        <v>910</v>
      </c>
      <c r="B27" s="97"/>
      <c r="E27" s="97"/>
    </row>
    <row r="28" spans="1:12" x14ac:dyDescent="0.2">
      <c r="A28" s="114"/>
      <c r="B28" s="114"/>
      <c r="E28" s="97"/>
      <c r="H28" s="52"/>
      <c r="I28" s="52"/>
      <c r="J28" s="52"/>
      <c r="K28" s="52"/>
      <c r="L28" s="52"/>
    </row>
    <row r="29" spans="1:12" x14ac:dyDescent="0.2">
      <c r="A29" s="116" t="s">
        <v>1608</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447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F5" t="s">
        <v>1123</v>
      </c>
      <c r="G5" t="s">
        <v>220</v>
      </c>
      <c r="H5" t="s">
        <v>18</v>
      </c>
      <c r="I5" t="s">
        <v>537</v>
      </c>
      <c r="J5" t="s">
        <v>449</v>
      </c>
      <c r="K5" s="55" t="s">
        <v>409</v>
      </c>
      <c r="L5" s="55" t="s">
        <v>421</v>
      </c>
      <c r="M5" s="55" t="s">
        <v>470</v>
      </c>
      <c r="N5" s="55" t="s">
        <v>914</v>
      </c>
      <c r="O5" t="s">
        <v>915</v>
      </c>
    </row>
    <row r="6" spans="1:16" ht="15" customHeight="1" x14ac:dyDescent="0.2">
      <c r="A6" t="s">
        <v>891</v>
      </c>
      <c r="B6" t="b">
        <v>0</v>
      </c>
      <c r="E6" s="97"/>
      <c r="F6" s="63">
        <v>2016</v>
      </c>
      <c r="G6" s="14">
        <v>6.1</v>
      </c>
      <c r="H6" s="14">
        <v>6.4</v>
      </c>
      <c r="I6" s="14">
        <v>4.4000000000000004</v>
      </c>
      <c r="J6" s="14">
        <v>6.2</v>
      </c>
      <c r="K6" s="14">
        <v>7.3</v>
      </c>
      <c r="L6" s="14">
        <v>7.3</v>
      </c>
      <c r="M6" s="14">
        <v>6.1</v>
      </c>
      <c r="N6" s="14">
        <v>7.2</v>
      </c>
      <c r="O6" s="14">
        <v>7</v>
      </c>
      <c r="P6" s="14"/>
    </row>
    <row r="7" spans="1:16" ht="15.75" customHeight="1" x14ac:dyDescent="0.2">
      <c r="E7" s="97"/>
      <c r="F7" s="63">
        <v>2018</v>
      </c>
      <c r="G7" s="14">
        <v>7</v>
      </c>
      <c r="H7" s="14">
        <v>7.8</v>
      </c>
      <c r="I7" s="14">
        <v>4.5</v>
      </c>
      <c r="J7" s="14">
        <v>8</v>
      </c>
      <c r="K7" s="14">
        <v>8.6</v>
      </c>
      <c r="L7" s="14">
        <v>4.5</v>
      </c>
      <c r="M7" s="14">
        <v>5.4</v>
      </c>
      <c r="N7" s="14">
        <v>7.4</v>
      </c>
      <c r="O7" s="14">
        <v>7</v>
      </c>
      <c r="P7" s="14"/>
    </row>
    <row r="8" spans="1:16" x14ac:dyDescent="0.2">
      <c r="E8" s="97"/>
      <c r="F8" s="63">
        <v>2021</v>
      </c>
      <c r="G8" s="14">
        <v>7.2</v>
      </c>
      <c r="H8" s="14">
        <v>6.6</v>
      </c>
      <c r="I8" s="14">
        <v>6.8</v>
      </c>
      <c r="J8" s="14">
        <v>5.7</v>
      </c>
      <c r="K8" s="14">
        <v>7.4</v>
      </c>
      <c r="L8" s="14">
        <v>6.7</v>
      </c>
      <c r="M8" s="14">
        <v>5.4</v>
      </c>
      <c r="N8" s="14">
        <v>6.7</v>
      </c>
      <c r="O8" s="14">
        <v>6.4</v>
      </c>
      <c r="P8" s="14"/>
    </row>
    <row r="9" spans="1:16" x14ac:dyDescent="0.2">
      <c r="A9" s="98" t="s">
        <v>893</v>
      </c>
      <c r="B9" s="97"/>
      <c r="E9" s="97"/>
      <c r="F9" s="63"/>
      <c r="G9" s="14"/>
      <c r="H9" s="14"/>
      <c r="I9" s="14"/>
      <c r="J9" s="14"/>
      <c r="K9" s="14"/>
      <c r="L9" s="14"/>
      <c r="M9" s="14"/>
      <c r="N9" s="14"/>
      <c r="O9" s="14"/>
      <c r="P9" s="14"/>
    </row>
    <row r="10" spans="1:16" x14ac:dyDescent="0.2">
      <c r="A10" t="s">
        <v>894</v>
      </c>
      <c r="B10" t="s">
        <v>1020</v>
      </c>
      <c r="E10" s="97"/>
      <c r="F10" s="63"/>
      <c r="G10" s="14"/>
      <c r="H10" s="14"/>
      <c r="I10" s="14"/>
      <c r="J10" s="14"/>
      <c r="K10" s="14"/>
      <c r="L10" s="14"/>
      <c r="M10" s="14"/>
      <c r="N10" s="14"/>
      <c r="O10" s="14"/>
      <c r="P10" s="14"/>
    </row>
    <row r="11" spans="1:16" x14ac:dyDescent="0.2">
      <c r="A11" t="s">
        <v>895</v>
      </c>
      <c r="B11" t="s">
        <v>887</v>
      </c>
      <c r="E11" s="97"/>
      <c r="F11" s="63"/>
      <c r="G11" s="14"/>
      <c r="H11" s="14"/>
      <c r="I11" s="14"/>
      <c r="J11" s="14"/>
      <c r="K11" s="14"/>
      <c r="L11" s="14"/>
      <c r="M11" s="14"/>
      <c r="N11" s="14"/>
      <c r="O11" s="14"/>
      <c r="P11" s="14"/>
    </row>
    <row r="12" spans="1:16" x14ac:dyDescent="0.2">
      <c r="A12" t="s">
        <v>896</v>
      </c>
      <c r="E12" s="97"/>
      <c r="F12" s="63"/>
      <c r="G12" s="14"/>
      <c r="H12" s="14"/>
      <c r="I12" s="14"/>
      <c r="J12" s="14"/>
      <c r="K12" s="14"/>
      <c r="L12" s="14"/>
      <c r="M12" s="14"/>
      <c r="N12" s="14"/>
      <c r="O12" s="14"/>
      <c r="P12" s="14"/>
    </row>
    <row r="13" spans="1:16" x14ac:dyDescent="0.2">
      <c r="A13" t="s">
        <v>897</v>
      </c>
      <c r="E13" s="97"/>
    </row>
    <row r="14" spans="1:16" x14ac:dyDescent="0.2">
      <c r="A14" t="s">
        <v>899</v>
      </c>
      <c r="B14" t="s">
        <v>694</v>
      </c>
      <c r="E14" s="97"/>
    </row>
    <row r="15" spans="1:16" x14ac:dyDescent="0.2">
      <c r="A15" t="s">
        <v>901</v>
      </c>
      <c r="B15" t="b">
        <v>1</v>
      </c>
      <c r="E15" s="97"/>
    </row>
    <row r="16" spans="1:16" x14ac:dyDescent="0.2">
      <c r="E16" s="97"/>
    </row>
    <row r="17" spans="1:12" x14ac:dyDescent="0.2">
      <c r="E17" s="97"/>
    </row>
    <row r="18" spans="1:12" x14ac:dyDescent="0.2">
      <c r="A18" s="98" t="s">
        <v>902</v>
      </c>
      <c r="B18" s="97"/>
      <c r="E18" s="97"/>
    </row>
    <row r="19" spans="1:12" x14ac:dyDescent="0.2">
      <c r="A19" t="s">
        <v>903</v>
      </c>
      <c r="E19" s="97"/>
    </row>
    <row r="20" spans="1:12" x14ac:dyDescent="0.2">
      <c r="A20" t="s">
        <v>904</v>
      </c>
      <c r="E20" s="97"/>
    </row>
    <row r="21" spans="1:12" x14ac:dyDescent="0.2">
      <c r="A21" t="s">
        <v>905</v>
      </c>
      <c r="E21" s="97"/>
    </row>
    <row r="22" spans="1:12" x14ac:dyDescent="0.2">
      <c r="A22" t="s">
        <v>906</v>
      </c>
      <c r="E22" s="97"/>
    </row>
    <row r="23" spans="1:12" x14ac:dyDescent="0.2">
      <c r="A23" t="s">
        <v>907</v>
      </c>
      <c r="E23" s="97"/>
    </row>
    <row r="24" spans="1:12" x14ac:dyDescent="0.2">
      <c r="A24" t="s">
        <v>908</v>
      </c>
      <c r="E24" s="97"/>
    </row>
    <row r="25" spans="1:12" x14ac:dyDescent="0.2">
      <c r="A25" t="s">
        <v>909</v>
      </c>
      <c r="B25" t="s">
        <v>1619</v>
      </c>
      <c r="E25" s="97"/>
      <c r="H25" s="52"/>
      <c r="I25" s="52"/>
    </row>
    <row r="26" spans="1:12" x14ac:dyDescent="0.2">
      <c r="E26" s="97"/>
    </row>
    <row r="27" spans="1:12" x14ac:dyDescent="0.2">
      <c r="A27" s="100" t="s">
        <v>910</v>
      </c>
      <c r="B27" s="97"/>
      <c r="E27" s="97"/>
    </row>
    <row r="28" spans="1:12" x14ac:dyDescent="0.2">
      <c r="A28" s="114"/>
      <c r="B28" s="114"/>
      <c r="E28" s="97"/>
      <c r="H28" s="52"/>
      <c r="I28" s="52"/>
      <c r="J28" s="52"/>
      <c r="K28" s="52"/>
      <c r="L28" s="52"/>
    </row>
    <row r="29" spans="1:12" x14ac:dyDescent="0.2">
      <c r="A29" s="116" t="s">
        <v>1618</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447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F5" t="s">
        <v>973</v>
      </c>
      <c r="G5" t="s">
        <v>220</v>
      </c>
      <c r="H5" t="s">
        <v>18</v>
      </c>
      <c r="I5" t="s">
        <v>537</v>
      </c>
      <c r="J5" t="s">
        <v>449</v>
      </c>
      <c r="K5" s="55" t="s">
        <v>409</v>
      </c>
      <c r="L5" s="55" t="s">
        <v>421</v>
      </c>
      <c r="M5" s="55" t="s">
        <v>470</v>
      </c>
      <c r="N5" s="55" t="s">
        <v>898</v>
      </c>
      <c r="O5" t="s">
        <v>915</v>
      </c>
    </row>
    <row r="6" spans="1:16" ht="15" customHeight="1" x14ac:dyDescent="0.2">
      <c r="A6" t="s">
        <v>891</v>
      </c>
      <c r="B6" t="b">
        <v>0</v>
      </c>
      <c r="E6" s="97"/>
      <c r="F6" s="63" t="s">
        <v>1632</v>
      </c>
      <c r="G6" s="14">
        <v>102.3</v>
      </c>
      <c r="H6" s="14">
        <v>116.1</v>
      </c>
      <c r="I6" s="14">
        <v>76.900000000000006</v>
      </c>
      <c r="J6" s="14">
        <v>81.099999999999994</v>
      </c>
      <c r="K6" s="14">
        <v>129.9</v>
      </c>
      <c r="L6" s="14">
        <v>109.6</v>
      </c>
      <c r="M6" s="14">
        <v>90.9</v>
      </c>
      <c r="N6" s="14">
        <v>99.3</v>
      </c>
      <c r="O6" s="14">
        <v>111.2</v>
      </c>
      <c r="P6" s="14"/>
    </row>
    <row r="7" spans="1:16" ht="15.75" customHeight="1" x14ac:dyDescent="0.2">
      <c r="E7" s="97"/>
      <c r="F7" s="63"/>
      <c r="G7" s="14"/>
      <c r="H7" s="14"/>
      <c r="I7" s="14"/>
      <c r="J7" s="14"/>
      <c r="K7" s="14"/>
      <c r="L7" s="14"/>
      <c r="M7" s="14"/>
      <c r="N7" s="14"/>
      <c r="O7" s="14"/>
      <c r="P7" s="14"/>
    </row>
    <row r="8" spans="1:16" x14ac:dyDescent="0.2">
      <c r="E8" s="97"/>
      <c r="F8" s="63"/>
      <c r="G8" s="14"/>
      <c r="H8" s="14"/>
      <c r="I8" s="14"/>
      <c r="J8" s="14"/>
      <c r="K8" s="14"/>
      <c r="L8" s="14"/>
      <c r="M8" s="14"/>
      <c r="N8" s="14"/>
      <c r="O8" s="14"/>
      <c r="P8" s="14"/>
    </row>
    <row r="9" spans="1:16" x14ac:dyDescent="0.2">
      <c r="A9" s="98" t="s">
        <v>893</v>
      </c>
      <c r="B9" s="97"/>
      <c r="E9" s="97"/>
      <c r="F9" s="63"/>
      <c r="G9" s="14"/>
      <c r="H9" s="14"/>
      <c r="I9" s="14"/>
      <c r="J9" s="14"/>
      <c r="K9" s="14"/>
      <c r="L9" s="14"/>
      <c r="M9" s="14"/>
      <c r="N9" s="14"/>
      <c r="O9" s="14"/>
      <c r="P9" s="14"/>
    </row>
    <row r="10" spans="1:16" x14ac:dyDescent="0.2">
      <c r="A10" t="s">
        <v>894</v>
      </c>
      <c r="B10" t="s">
        <v>1002</v>
      </c>
      <c r="E10" s="97"/>
      <c r="F10" s="63"/>
      <c r="G10" s="14"/>
      <c r="H10" s="14"/>
      <c r="I10" s="14"/>
      <c r="J10" s="14"/>
      <c r="K10" s="14"/>
      <c r="L10" s="14"/>
      <c r="M10" s="14"/>
      <c r="N10" s="14"/>
      <c r="O10" s="14"/>
      <c r="P10" s="14"/>
    </row>
    <row r="11" spans="1:16" x14ac:dyDescent="0.2">
      <c r="A11" t="s">
        <v>895</v>
      </c>
      <c r="B11" t="s">
        <v>887</v>
      </c>
      <c r="E11" s="97"/>
      <c r="F11" s="63"/>
      <c r="G11" s="14"/>
      <c r="H11" s="14"/>
      <c r="I11" s="14"/>
      <c r="J11" s="14"/>
      <c r="K11" s="14"/>
      <c r="L11" s="14"/>
      <c r="M11" s="14"/>
      <c r="N11" s="14"/>
      <c r="O11" s="14"/>
      <c r="P11" s="14"/>
    </row>
    <row r="12" spans="1:16" x14ac:dyDescent="0.2">
      <c r="A12" t="s">
        <v>896</v>
      </c>
      <c r="E12" s="97"/>
      <c r="F12" s="63"/>
      <c r="G12" s="14"/>
      <c r="H12" s="14"/>
      <c r="I12" s="14"/>
      <c r="J12" s="14"/>
      <c r="K12" s="14"/>
      <c r="L12" s="14"/>
      <c r="M12" s="14"/>
      <c r="N12" s="14"/>
      <c r="O12" s="14"/>
      <c r="P12" s="14"/>
    </row>
    <row r="13" spans="1:16" x14ac:dyDescent="0.2">
      <c r="A13" t="s">
        <v>897</v>
      </c>
      <c r="E13" s="97"/>
    </row>
    <row r="14" spans="1:16" x14ac:dyDescent="0.2">
      <c r="A14" t="s">
        <v>899</v>
      </c>
      <c r="B14" t="s">
        <v>708</v>
      </c>
      <c r="E14" s="97"/>
    </row>
    <row r="15" spans="1:16" x14ac:dyDescent="0.2">
      <c r="A15" t="s">
        <v>901</v>
      </c>
      <c r="B15" t="b">
        <v>1</v>
      </c>
      <c r="E15" s="97"/>
    </row>
    <row r="16" spans="1:16" x14ac:dyDescent="0.2">
      <c r="E16" s="97"/>
    </row>
    <row r="17" spans="1:12" x14ac:dyDescent="0.2">
      <c r="E17" s="97"/>
    </row>
    <row r="18" spans="1:12" x14ac:dyDescent="0.2">
      <c r="A18" s="98" t="s">
        <v>902</v>
      </c>
      <c r="B18" s="97"/>
      <c r="E18" s="97"/>
    </row>
    <row r="19" spans="1:12" x14ac:dyDescent="0.2">
      <c r="A19" t="s">
        <v>903</v>
      </c>
      <c r="E19" s="97"/>
    </row>
    <row r="20" spans="1:12" x14ac:dyDescent="0.2">
      <c r="A20" t="s">
        <v>904</v>
      </c>
      <c r="E20" s="97"/>
    </row>
    <row r="21" spans="1:12" x14ac:dyDescent="0.2">
      <c r="A21" t="s">
        <v>905</v>
      </c>
      <c r="E21" s="97"/>
    </row>
    <row r="22" spans="1:12" x14ac:dyDescent="0.2">
      <c r="A22" t="s">
        <v>906</v>
      </c>
      <c r="E22" s="97"/>
    </row>
    <row r="23" spans="1:12" x14ac:dyDescent="0.2">
      <c r="A23" t="s">
        <v>907</v>
      </c>
      <c r="E23" s="97"/>
    </row>
    <row r="24" spans="1:12" x14ac:dyDescent="0.2">
      <c r="A24" t="s">
        <v>908</v>
      </c>
      <c r="E24" s="97"/>
    </row>
    <row r="25" spans="1:12" x14ac:dyDescent="0.2">
      <c r="A25" t="s">
        <v>909</v>
      </c>
      <c r="B25" t="s">
        <v>1634</v>
      </c>
      <c r="E25" s="97"/>
      <c r="H25" s="52"/>
      <c r="I25" s="52"/>
    </row>
    <row r="26" spans="1:12" x14ac:dyDescent="0.2">
      <c r="E26" s="97"/>
    </row>
    <row r="27" spans="1:12" x14ac:dyDescent="0.2">
      <c r="A27" s="100" t="s">
        <v>910</v>
      </c>
      <c r="B27" s="97"/>
      <c r="E27" s="97"/>
    </row>
    <row r="28" spans="1:12" x14ac:dyDescent="0.2">
      <c r="A28" s="114"/>
      <c r="B28" s="114"/>
      <c r="E28" s="97"/>
      <c r="H28" s="52"/>
      <c r="I28" s="52"/>
      <c r="J28" s="52"/>
      <c r="K28" s="52"/>
      <c r="L28" s="52"/>
    </row>
    <row r="29" spans="1:12" x14ac:dyDescent="0.2">
      <c r="A29" s="116" t="s">
        <v>1633</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451</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tbl-cardiovasdz-mortal-aar</v>
      </c>
    </row>
    <row r="4" spans="1:16" x14ac:dyDescent="0.2">
      <c r="A4" s="58" t="s">
        <v>6</v>
      </c>
      <c r="B4" t="str">
        <f>IF($B$1="","",_xlfn.XLOOKUP($B$1,Master!$F$2:$F$308,Master!$H$2:$H$308,""))</f>
        <v>fig-cardiovasdz-mortal-aar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G5" s="100" t="s">
        <v>1636</v>
      </c>
      <c r="H5" s="100"/>
      <c r="I5" s="100"/>
      <c r="J5" s="100"/>
      <c r="K5" s="100"/>
      <c r="L5" s="100"/>
      <c r="M5" s="100"/>
      <c r="N5" s="100" t="s">
        <v>1637</v>
      </c>
      <c r="O5" s="100"/>
    </row>
    <row r="6" spans="1:16" ht="15" customHeight="1" x14ac:dyDescent="0.2">
      <c r="A6" t="s">
        <v>891</v>
      </c>
      <c r="B6" t="b">
        <v>1</v>
      </c>
      <c r="E6" s="97"/>
      <c r="F6" s="63"/>
      <c r="G6" s="14" t="s">
        <v>220</v>
      </c>
      <c r="H6" s="14" t="s">
        <v>18</v>
      </c>
      <c r="I6" s="14" t="s">
        <v>537</v>
      </c>
      <c r="J6" s="14" t="s">
        <v>449</v>
      </c>
      <c r="K6" s="14" t="s">
        <v>409</v>
      </c>
      <c r="L6" s="14" t="s">
        <v>421</v>
      </c>
      <c r="M6" s="14" t="s">
        <v>470</v>
      </c>
      <c r="N6" s="14" t="s">
        <v>914</v>
      </c>
      <c r="O6" s="14" t="s">
        <v>915</v>
      </c>
      <c r="P6" s="14"/>
    </row>
    <row r="7" spans="1:16" ht="15.75" customHeight="1" x14ac:dyDescent="0.2">
      <c r="E7" s="97"/>
      <c r="F7" s="63">
        <v>2018</v>
      </c>
      <c r="G7" s="14">
        <v>202.5</v>
      </c>
      <c r="H7" s="14">
        <v>197.7</v>
      </c>
      <c r="I7" s="14">
        <v>188.1</v>
      </c>
      <c r="J7" s="14">
        <v>174.5</v>
      </c>
      <c r="K7" s="14">
        <v>206</v>
      </c>
      <c r="L7" s="14">
        <v>207</v>
      </c>
      <c r="M7" s="14">
        <v>175.9</v>
      </c>
      <c r="N7" s="14">
        <v>210.3</v>
      </c>
      <c r="O7" s="14">
        <v>211.1</v>
      </c>
      <c r="P7" s="14"/>
    </row>
    <row r="8" spans="1:16" x14ac:dyDescent="0.2">
      <c r="E8" s="97"/>
      <c r="F8" s="63">
        <v>2019</v>
      </c>
      <c r="G8" s="14">
        <v>205.8</v>
      </c>
      <c r="H8" s="14">
        <v>201.8</v>
      </c>
      <c r="I8" s="14">
        <v>194.8</v>
      </c>
      <c r="J8" s="14">
        <v>180.6</v>
      </c>
      <c r="K8" s="14">
        <v>215.8</v>
      </c>
      <c r="L8" s="14">
        <v>208.5</v>
      </c>
      <c r="M8" s="14">
        <v>181.2</v>
      </c>
      <c r="N8" s="14">
        <v>205.5</v>
      </c>
      <c r="O8" s="14">
        <v>208.6</v>
      </c>
      <c r="P8" s="14"/>
    </row>
    <row r="9" spans="1:16" x14ac:dyDescent="0.2">
      <c r="A9" s="98" t="s">
        <v>893</v>
      </c>
      <c r="B9" s="97"/>
      <c r="E9" s="97"/>
      <c r="F9" s="63">
        <v>2020</v>
      </c>
      <c r="G9" s="14">
        <v>213.6</v>
      </c>
      <c r="H9" s="14">
        <v>199.5</v>
      </c>
      <c r="I9" s="14">
        <v>184.2</v>
      </c>
      <c r="J9" s="14">
        <v>180.7</v>
      </c>
      <c r="K9" s="14">
        <v>226.6</v>
      </c>
      <c r="L9" s="14">
        <v>218.6</v>
      </c>
      <c r="M9" s="14">
        <v>178</v>
      </c>
      <c r="N9" s="14">
        <v>214.2</v>
      </c>
      <c r="O9" s="14">
        <v>230.8</v>
      </c>
      <c r="P9" s="14"/>
    </row>
    <row r="10" spans="1:16" x14ac:dyDescent="0.2">
      <c r="A10" t="s">
        <v>894</v>
      </c>
      <c r="B10" t="s">
        <v>972</v>
      </c>
      <c r="E10" s="97"/>
      <c r="F10" s="63">
        <v>2021</v>
      </c>
      <c r="G10" s="14">
        <v>220.2</v>
      </c>
      <c r="H10" s="14">
        <v>198.4</v>
      </c>
      <c r="I10" s="14">
        <v>177.9</v>
      </c>
      <c r="J10" s="14">
        <v>176</v>
      </c>
      <c r="K10" s="14">
        <v>235.5</v>
      </c>
      <c r="L10" s="14">
        <v>224.5</v>
      </c>
      <c r="M10" s="14">
        <v>177.2</v>
      </c>
      <c r="N10" s="14">
        <v>211.1</v>
      </c>
      <c r="O10" s="14">
        <v>206.2</v>
      </c>
      <c r="P10" s="14"/>
    </row>
    <row r="11" spans="1:16" x14ac:dyDescent="0.2">
      <c r="A11" t="s">
        <v>895</v>
      </c>
      <c r="B11" t="s">
        <v>973</v>
      </c>
      <c r="E11" s="97"/>
      <c r="F11" s="63"/>
      <c r="G11" s="14"/>
      <c r="H11" s="14"/>
      <c r="I11" s="14"/>
      <c r="J11" s="14"/>
      <c r="K11" s="14"/>
      <c r="L11" s="14"/>
      <c r="M11" s="14"/>
      <c r="N11" s="14"/>
      <c r="O11" s="14"/>
      <c r="P11" s="14"/>
    </row>
    <row r="12" spans="1:16" x14ac:dyDescent="0.2">
      <c r="A12" t="s">
        <v>896</v>
      </c>
      <c r="E12" s="97"/>
      <c r="F12" s="63"/>
      <c r="G12" s="14"/>
      <c r="H12" s="14"/>
      <c r="I12" s="14"/>
      <c r="J12" s="14"/>
      <c r="K12" s="14"/>
      <c r="L12" s="14"/>
      <c r="M12" s="14"/>
      <c r="N12" s="14"/>
      <c r="O12" s="14"/>
      <c r="P12" s="14"/>
    </row>
    <row r="13" spans="1:16" x14ac:dyDescent="0.2">
      <c r="A13" t="s">
        <v>897</v>
      </c>
      <c r="E13" s="97"/>
    </row>
    <row r="14" spans="1:16" x14ac:dyDescent="0.2">
      <c r="A14" t="s">
        <v>899</v>
      </c>
      <c r="B14" t="s">
        <v>708</v>
      </c>
      <c r="E14" s="97"/>
    </row>
    <row r="15" spans="1:16" x14ac:dyDescent="0.2">
      <c r="A15" t="s">
        <v>901</v>
      </c>
      <c r="B15" t="b">
        <v>1</v>
      </c>
      <c r="E15" s="97"/>
    </row>
    <row r="16" spans="1:16" x14ac:dyDescent="0.2">
      <c r="E16" s="97"/>
    </row>
    <row r="17" spans="1:12" x14ac:dyDescent="0.2">
      <c r="E17" s="97"/>
    </row>
    <row r="18" spans="1:12" x14ac:dyDescent="0.2">
      <c r="A18" s="98" t="s">
        <v>902</v>
      </c>
      <c r="B18" s="97"/>
      <c r="E18" s="97"/>
    </row>
    <row r="19" spans="1:12" x14ac:dyDescent="0.2">
      <c r="A19" t="s">
        <v>903</v>
      </c>
      <c r="E19" s="97"/>
    </row>
    <row r="20" spans="1:12" x14ac:dyDescent="0.2">
      <c r="A20" t="s">
        <v>904</v>
      </c>
      <c r="E20" s="97"/>
    </row>
    <row r="21" spans="1:12" x14ac:dyDescent="0.2">
      <c r="A21" t="s">
        <v>905</v>
      </c>
      <c r="E21" s="97"/>
    </row>
    <row r="22" spans="1:12" x14ac:dyDescent="0.2">
      <c r="A22" t="s">
        <v>906</v>
      </c>
      <c r="E22" s="97"/>
    </row>
    <row r="23" spans="1:12" x14ac:dyDescent="0.2">
      <c r="A23" t="s">
        <v>907</v>
      </c>
      <c r="E23" s="97"/>
    </row>
    <row r="24" spans="1:12" x14ac:dyDescent="0.2">
      <c r="A24" t="s">
        <v>908</v>
      </c>
      <c r="E24" s="97"/>
    </row>
    <row r="25" spans="1:12" x14ac:dyDescent="0.2">
      <c r="A25" t="s">
        <v>909</v>
      </c>
      <c r="B25" t="s">
        <v>1635</v>
      </c>
      <c r="E25" s="97"/>
      <c r="H25" s="52"/>
      <c r="I25" s="52"/>
    </row>
    <row r="26" spans="1:12" x14ac:dyDescent="0.2">
      <c r="E26" s="97"/>
    </row>
    <row r="27" spans="1:12" x14ac:dyDescent="0.2">
      <c r="A27" s="100" t="s">
        <v>910</v>
      </c>
      <c r="B27" s="97"/>
      <c r="E27" s="97"/>
    </row>
    <row r="28" spans="1:12" x14ac:dyDescent="0.2">
      <c r="A28" s="114"/>
      <c r="B28" s="114"/>
      <c r="E28" s="97"/>
      <c r="H28" s="52"/>
      <c r="I28" s="52"/>
      <c r="J28" s="52"/>
      <c r="K28" s="52"/>
      <c r="L28" s="52"/>
    </row>
    <row r="29" spans="1:12" x14ac:dyDescent="0.2">
      <c r="A29" s="116" t="s">
        <v>1638</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641</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671</v>
      </c>
      <c r="H4" s="16" t="s">
        <v>671</v>
      </c>
      <c r="I4" s="16" t="s">
        <v>671</v>
      </c>
      <c r="J4" s="16" t="s">
        <v>671</v>
      </c>
      <c r="K4" s="16"/>
      <c r="L4" s="16"/>
      <c r="M4" s="16"/>
      <c r="N4" s="16"/>
      <c r="O4" s="16"/>
      <c r="P4" s="16"/>
    </row>
    <row r="5" spans="1:16" x14ac:dyDescent="0.2">
      <c r="A5" s="98" t="s">
        <v>885</v>
      </c>
      <c r="B5" s="97"/>
      <c r="E5" s="99" t="s">
        <v>886</v>
      </c>
      <c r="F5" s="55"/>
      <c r="G5" s="55" t="s">
        <v>1645</v>
      </c>
      <c r="H5" s="55" t="s">
        <v>1646</v>
      </c>
      <c r="I5" s="55" t="s">
        <v>1647</v>
      </c>
      <c r="J5" s="55" t="s">
        <v>1648</v>
      </c>
      <c r="K5" s="55"/>
      <c r="L5" s="55"/>
      <c r="M5" s="55"/>
      <c r="N5" s="55"/>
      <c r="O5" s="55"/>
    </row>
    <row r="6" spans="1:16" ht="15" customHeight="1" x14ac:dyDescent="0.2">
      <c r="A6" t="s">
        <v>891</v>
      </c>
      <c r="B6" t="b">
        <v>0</v>
      </c>
      <c r="E6" s="97"/>
      <c r="F6" s="51" t="s">
        <v>915</v>
      </c>
      <c r="G6" s="59">
        <v>24.9</v>
      </c>
      <c r="H6" s="59">
        <v>7.7</v>
      </c>
      <c r="I6" s="59">
        <v>1</v>
      </c>
      <c r="J6" s="59">
        <v>13.4</v>
      </c>
      <c r="K6" s="59"/>
      <c r="L6" s="59"/>
      <c r="M6" s="59"/>
      <c r="N6" s="59"/>
      <c r="O6" s="59"/>
      <c r="P6" s="14"/>
    </row>
    <row r="7" spans="1:16" ht="15.75" customHeight="1" x14ac:dyDescent="0.2">
      <c r="E7" s="97"/>
      <c r="F7" s="51" t="s">
        <v>914</v>
      </c>
      <c r="G7" s="59">
        <v>17.2</v>
      </c>
      <c r="H7" s="59">
        <v>5.3</v>
      </c>
      <c r="I7" s="59">
        <v>0.8</v>
      </c>
      <c r="J7" s="59">
        <v>11.5</v>
      </c>
      <c r="K7" s="59"/>
      <c r="L7" s="59"/>
      <c r="M7" s="59"/>
      <c r="N7" s="59"/>
      <c r="O7" s="59"/>
      <c r="P7" s="14"/>
    </row>
    <row r="8" spans="1:16" x14ac:dyDescent="0.2">
      <c r="E8" s="97"/>
      <c r="F8" s="51" t="s">
        <v>898</v>
      </c>
      <c r="G8" s="59">
        <v>18.8</v>
      </c>
      <c r="H8" s="59">
        <v>6.8</v>
      </c>
      <c r="I8" s="59">
        <v>1</v>
      </c>
      <c r="J8" s="59">
        <v>15.2</v>
      </c>
      <c r="K8" s="59"/>
      <c r="L8" s="59"/>
      <c r="M8" s="59"/>
      <c r="N8" s="59"/>
      <c r="O8" s="59"/>
      <c r="P8" s="14"/>
    </row>
    <row r="9" spans="1:16" x14ac:dyDescent="0.2">
      <c r="A9" s="98" t="s">
        <v>893</v>
      </c>
      <c r="B9" s="97"/>
      <c r="E9" s="97"/>
      <c r="F9" s="59"/>
      <c r="G9" s="59"/>
      <c r="H9" s="59"/>
      <c r="I9" s="59"/>
      <c r="J9" s="59"/>
      <c r="K9" s="59"/>
      <c r="L9" s="59"/>
      <c r="M9" s="59"/>
      <c r="N9" s="59"/>
      <c r="O9" s="59"/>
      <c r="P9" s="14"/>
    </row>
    <row r="10" spans="1:16" x14ac:dyDescent="0.2">
      <c r="A10" t="s">
        <v>894</v>
      </c>
      <c r="B10" t="s">
        <v>983</v>
      </c>
      <c r="E10" s="97"/>
      <c r="H10" s="14"/>
      <c r="I10" s="14"/>
      <c r="J10" s="14"/>
    </row>
    <row r="11" spans="1:16" x14ac:dyDescent="0.2">
      <c r="A11" t="s">
        <v>895</v>
      </c>
      <c r="B11" t="s">
        <v>887</v>
      </c>
      <c r="E11" s="97"/>
    </row>
    <row r="12" spans="1:16" x14ac:dyDescent="0.2">
      <c r="A12" t="s">
        <v>896</v>
      </c>
      <c r="B12" t="s">
        <v>1639</v>
      </c>
      <c r="E12" s="97"/>
    </row>
    <row r="13" spans="1:16" x14ac:dyDescent="0.2">
      <c r="A13" t="s">
        <v>897</v>
      </c>
      <c r="E13" s="97"/>
    </row>
    <row r="14" spans="1:16" x14ac:dyDescent="0.2">
      <c r="A14" t="s">
        <v>899</v>
      </c>
      <c r="B14" t="s">
        <v>708</v>
      </c>
      <c r="E14" s="97"/>
    </row>
    <row r="15" spans="1:16" x14ac:dyDescent="0.2">
      <c r="A15" t="s">
        <v>901</v>
      </c>
      <c r="B15" t="b">
        <v>1</v>
      </c>
      <c r="E15" s="97"/>
    </row>
    <row r="16" spans="1:16" x14ac:dyDescent="0.2">
      <c r="E16" s="97"/>
    </row>
    <row r="17" spans="1:12" x14ac:dyDescent="0.2">
      <c r="E17" s="97"/>
    </row>
    <row r="18" spans="1:12" x14ac:dyDescent="0.2">
      <c r="A18" s="98" t="s">
        <v>902</v>
      </c>
      <c r="B18" s="97"/>
      <c r="E18" s="97"/>
    </row>
    <row r="19" spans="1:12" x14ac:dyDescent="0.2">
      <c r="A19" t="s">
        <v>903</v>
      </c>
      <c r="B19" t="s">
        <v>1643</v>
      </c>
      <c r="E19" s="97"/>
    </row>
    <row r="20" spans="1:12" x14ac:dyDescent="0.2">
      <c r="A20" t="s">
        <v>904</v>
      </c>
      <c r="B20" t="s">
        <v>1641</v>
      </c>
      <c r="E20" s="97"/>
    </row>
    <row r="21" spans="1:12" x14ac:dyDescent="0.2">
      <c r="A21" t="s">
        <v>905</v>
      </c>
      <c r="B21" t="s">
        <v>1642</v>
      </c>
      <c r="E21" s="97"/>
    </row>
    <row r="22" spans="1:12" x14ac:dyDescent="0.2">
      <c r="A22" t="s">
        <v>906</v>
      </c>
      <c r="E22" s="97"/>
    </row>
    <row r="23" spans="1:12" x14ac:dyDescent="0.2">
      <c r="A23" t="s">
        <v>907</v>
      </c>
      <c r="B23" t="s">
        <v>976</v>
      </c>
      <c r="E23" s="97"/>
    </row>
    <row r="24" spans="1:12" x14ac:dyDescent="0.2">
      <c r="A24" t="s">
        <v>908</v>
      </c>
      <c r="B24">
        <v>2025</v>
      </c>
      <c r="E24" s="97"/>
    </row>
    <row r="25" spans="1:12" x14ac:dyDescent="0.2">
      <c r="A25" t="s">
        <v>909</v>
      </c>
      <c r="B25" t="s">
        <v>1644</v>
      </c>
      <c r="E25" s="97"/>
      <c r="H25" s="52"/>
      <c r="I25" s="52"/>
    </row>
    <row r="26" spans="1:12" x14ac:dyDescent="0.2">
      <c r="E26" s="97"/>
    </row>
    <row r="27" spans="1:12" x14ac:dyDescent="0.2">
      <c r="A27" s="100" t="s">
        <v>910</v>
      </c>
      <c r="B27" s="97"/>
      <c r="E27" s="97"/>
    </row>
    <row r="28" spans="1:12" x14ac:dyDescent="0.2">
      <c r="A28" s="114"/>
      <c r="B28" s="114"/>
      <c r="E28" s="97"/>
      <c r="H28" s="52"/>
      <c r="I28" s="52"/>
      <c r="J28" s="52"/>
      <c r="K28" s="52"/>
      <c r="L28" s="52"/>
    </row>
    <row r="29" spans="1:12" x14ac:dyDescent="0.2">
      <c r="A29" s="116" t="s">
        <v>1640</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644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671</v>
      </c>
      <c r="G4" s="16" t="s">
        <v>671</v>
      </c>
      <c r="H4" s="16" t="s">
        <v>671</v>
      </c>
      <c r="I4" s="16" t="s">
        <v>671</v>
      </c>
      <c r="J4" s="16" t="s">
        <v>671</v>
      </c>
      <c r="K4" s="16" t="s">
        <v>671</v>
      </c>
      <c r="L4" s="16" t="s">
        <v>671</v>
      </c>
      <c r="M4" s="16" t="s">
        <v>671</v>
      </c>
      <c r="N4" s="16" t="s">
        <v>671</v>
      </c>
      <c r="O4" s="16" t="s">
        <v>671</v>
      </c>
      <c r="P4" s="16"/>
    </row>
    <row r="5" spans="1:16" x14ac:dyDescent="0.2">
      <c r="A5" s="98" t="s">
        <v>885</v>
      </c>
      <c r="B5" s="97"/>
      <c r="E5" s="99" t="s">
        <v>886</v>
      </c>
      <c r="G5" s="100" t="s">
        <v>1636</v>
      </c>
      <c r="H5" s="100"/>
      <c r="I5" s="100"/>
      <c r="J5" s="100"/>
      <c r="K5" s="100"/>
      <c r="L5" s="100"/>
      <c r="M5" s="100"/>
      <c r="N5" s="100" t="s">
        <v>1637</v>
      </c>
      <c r="O5" s="100"/>
    </row>
    <row r="6" spans="1:16" ht="15" customHeight="1" x14ac:dyDescent="0.2">
      <c r="A6" t="s">
        <v>891</v>
      </c>
      <c r="B6" t="b">
        <v>1</v>
      </c>
      <c r="E6" s="97"/>
      <c r="F6" s="63"/>
      <c r="G6" s="59" t="s">
        <v>220</v>
      </c>
      <c r="H6" s="59" t="s">
        <v>18</v>
      </c>
      <c r="I6" s="59" t="s">
        <v>537</v>
      </c>
      <c r="J6" s="59" t="s">
        <v>449</v>
      </c>
      <c r="K6" s="59" t="s">
        <v>409</v>
      </c>
      <c r="L6" s="59" t="s">
        <v>421</v>
      </c>
      <c r="M6" s="59" t="s">
        <v>470</v>
      </c>
      <c r="N6" s="59" t="s">
        <v>914</v>
      </c>
      <c r="O6" s="59" t="s">
        <v>915</v>
      </c>
      <c r="P6" s="14"/>
    </row>
    <row r="7" spans="1:16" ht="15.75" customHeight="1" x14ac:dyDescent="0.2">
      <c r="E7" s="97"/>
      <c r="F7" s="63">
        <v>2018</v>
      </c>
      <c r="G7" s="59">
        <v>49</v>
      </c>
      <c r="H7" s="59">
        <v>49</v>
      </c>
      <c r="I7" s="59">
        <v>38</v>
      </c>
      <c r="J7" s="59">
        <v>32</v>
      </c>
      <c r="K7" s="59">
        <v>75</v>
      </c>
      <c r="L7" s="59">
        <v>50</v>
      </c>
      <c r="M7" s="59">
        <v>27</v>
      </c>
      <c r="N7" s="59">
        <v>41</v>
      </c>
      <c r="O7" s="59">
        <v>34</v>
      </c>
      <c r="P7" s="14"/>
    </row>
    <row r="8" spans="1:16" x14ac:dyDescent="0.2">
      <c r="E8" s="97"/>
      <c r="F8" s="63">
        <v>2019</v>
      </c>
      <c r="G8" s="59">
        <v>52</v>
      </c>
      <c r="H8" s="59">
        <v>49</v>
      </c>
      <c r="I8" s="59">
        <v>34</v>
      </c>
      <c r="J8" s="59">
        <v>36</v>
      </c>
      <c r="K8" s="59">
        <v>82</v>
      </c>
      <c r="L8" s="59">
        <v>57</v>
      </c>
      <c r="M8" s="59">
        <v>28</v>
      </c>
      <c r="N8" s="59">
        <v>40</v>
      </c>
      <c r="O8" s="59">
        <v>34</v>
      </c>
      <c r="P8" s="14"/>
    </row>
    <row r="9" spans="1:16" x14ac:dyDescent="0.2">
      <c r="A9" s="98" t="s">
        <v>893</v>
      </c>
      <c r="B9" s="97"/>
      <c r="E9" s="97"/>
      <c r="F9" s="63">
        <v>2020</v>
      </c>
      <c r="G9" s="59">
        <v>52</v>
      </c>
      <c r="H9" s="59">
        <v>50</v>
      </c>
      <c r="I9" s="59">
        <v>36</v>
      </c>
      <c r="J9" s="59">
        <v>39</v>
      </c>
      <c r="K9" s="59">
        <v>85</v>
      </c>
      <c r="L9" s="59">
        <v>59</v>
      </c>
      <c r="M9" s="59">
        <v>30</v>
      </c>
      <c r="N9" s="59">
        <v>47</v>
      </c>
      <c r="O9" s="59">
        <v>41</v>
      </c>
      <c r="P9" s="14"/>
    </row>
    <row r="10" spans="1:16" x14ac:dyDescent="0.2">
      <c r="A10" t="s">
        <v>894</v>
      </c>
      <c r="B10" t="s">
        <v>972</v>
      </c>
      <c r="E10" s="97"/>
      <c r="F10" s="63">
        <v>2021</v>
      </c>
      <c r="G10" s="59">
        <v>59</v>
      </c>
      <c r="H10" s="59">
        <v>56</v>
      </c>
      <c r="I10" s="59">
        <v>41</v>
      </c>
      <c r="J10" s="59">
        <v>38</v>
      </c>
      <c r="K10" s="59">
        <v>92</v>
      </c>
      <c r="L10" s="59">
        <v>64</v>
      </c>
      <c r="M10" s="59">
        <v>32</v>
      </c>
      <c r="N10" s="59">
        <v>52</v>
      </c>
      <c r="O10" s="59">
        <v>47</v>
      </c>
      <c r="P10" s="14"/>
    </row>
    <row r="11" spans="1:16" x14ac:dyDescent="0.2">
      <c r="A11" t="s">
        <v>895</v>
      </c>
      <c r="B11" t="s">
        <v>973</v>
      </c>
      <c r="E11" s="97"/>
      <c r="F11" s="63"/>
      <c r="G11" s="14"/>
      <c r="H11" s="14"/>
      <c r="I11" s="14"/>
      <c r="J11" s="14"/>
      <c r="K11" s="14"/>
      <c r="L11" s="14"/>
      <c r="M11" s="14"/>
      <c r="N11" s="14"/>
      <c r="O11" s="14"/>
      <c r="P11" s="14"/>
    </row>
    <row r="12" spans="1:16" x14ac:dyDescent="0.2">
      <c r="A12" t="s">
        <v>896</v>
      </c>
      <c r="B12" t="s">
        <v>715</v>
      </c>
      <c r="E12" s="97"/>
      <c r="F12" s="63"/>
      <c r="G12" s="14"/>
      <c r="H12" s="14"/>
      <c r="I12" s="14"/>
      <c r="J12" s="14"/>
      <c r="K12" s="14"/>
      <c r="L12" s="14"/>
      <c r="M12" s="14"/>
      <c r="N12" s="14"/>
      <c r="O12" s="14"/>
      <c r="P12" s="14"/>
    </row>
    <row r="13" spans="1:16" x14ac:dyDescent="0.2">
      <c r="A13" t="s">
        <v>897</v>
      </c>
      <c r="E13" s="97"/>
    </row>
    <row r="14" spans="1:16" x14ac:dyDescent="0.2">
      <c r="A14" t="s">
        <v>899</v>
      </c>
      <c r="B14" t="s">
        <v>715</v>
      </c>
      <c r="E14" s="97"/>
    </row>
    <row r="15" spans="1:16" x14ac:dyDescent="0.2">
      <c r="A15" t="s">
        <v>901</v>
      </c>
      <c r="B15" t="b">
        <v>0</v>
      </c>
      <c r="E15" s="97"/>
    </row>
    <row r="16" spans="1:16" x14ac:dyDescent="0.2">
      <c r="E16" s="97"/>
    </row>
    <row r="17" spans="1:12" x14ac:dyDescent="0.2">
      <c r="E17" s="97"/>
    </row>
    <row r="18" spans="1:12" x14ac:dyDescent="0.2">
      <c r="A18" s="98" t="s">
        <v>902</v>
      </c>
      <c r="B18" s="97"/>
      <c r="E18" s="97"/>
    </row>
    <row r="19" spans="1:12" x14ac:dyDescent="0.2">
      <c r="A19" t="s">
        <v>903</v>
      </c>
      <c r="B19" t="s">
        <v>1643</v>
      </c>
      <c r="E19" s="97"/>
    </row>
    <row r="20" spans="1:12" x14ac:dyDescent="0.2">
      <c r="A20" t="s">
        <v>904</v>
      </c>
      <c r="B20" t="s">
        <v>1641</v>
      </c>
      <c r="E20" s="97"/>
    </row>
    <row r="21" spans="1:12" x14ac:dyDescent="0.2">
      <c r="A21" t="s">
        <v>905</v>
      </c>
      <c r="B21">
        <v>2021</v>
      </c>
      <c r="E21" s="97"/>
    </row>
    <row r="22" spans="1:12" x14ac:dyDescent="0.2">
      <c r="A22" t="s">
        <v>906</v>
      </c>
      <c r="E22" s="97"/>
    </row>
    <row r="23" spans="1:12" x14ac:dyDescent="0.2">
      <c r="A23" t="s">
        <v>907</v>
      </c>
      <c r="B23" t="s">
        <v>1121</v>
      </c>
      <c r="E23" s="97"/>
    </row>
    <row r="24" spans="1:12" x14ac:dyDescent="0.2">
      <c r="A24" t="s">
        <v>908</v>
      </c>
      <c r="B24">
        <v>2025</v>
      </c>
      <c r="E24" s="97"/>
    </row>
    <row r="25" spans="1:12" x14ac:dyDescent="0.2">
      <c r="A25" t="s">
        <v>909</v>
      </c>
      <c r="B25" t="s">
        <v>1651</v>
      </c>
      <c r="E25" s="97"/>
      <c r="H25" s="52"/>
      <c r="I25" s="52"/>
    </row>
    <row r="26" spans="1:12" x14ac:dyDescent="0.2">
      <c r="E26" s="97"/>
    </row>
    <row r="27" spans="1:12" x14ac:dyDescent="0.2">
      <c r="A27" s="100" t="s">
        <v>910</v>
      </c>
      <c r="B27" s="97"/>
      <c r="E27" s="97"/>
    </row>
    <row r="28" spans="1:12" x14ac:dyDescent="0.2">
      <c r="A28" s="114"/>
      <c r="B28" s="114"/>
      <c r="E28" s="97"/>
      <c r="H28" s="52"/>
      <c r="I28" s="52"/>
      <c r="J28" s="52"/>
      <c r="K28" s="52"/>
      <c r="L28" s="52"/>
    </row>
    <row r="29" spans="1:12" x14ac:dyDescent="0.2">
      <c r="A29" s="116" t="s">
        <v>1652</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645</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671</v>
      </c>
      <c r="H4" s="16" t="s">
        <v>671</v>
      </c>
      <c r="I4" s="16" t="s">
        <v>671</v>
      </c>
      <c r="J4" s="16" t="s">
        <v>671</v>
      </c>
      <c r="K4" s="16" t="s">
        <v>671</v>
      </c>
      <c r="L4" s="16" t="s">
        <v>671</v>
      </c>
      <c r="M4" s="16" t="s">
        <v>671</v>
      </c>
      <c r="N4" s="16"/>
      <c r="O4" s="16"/>
      <c r="P4" s="16"/>
    </row>
    <row r="5" spans="1:16" x14ac:dyDescent="0.2">
      <c r="A5" s="98" t="s">
        <v>885</v>
      </c>
      <c r="B5" s="97"/>
      <c r="E5" s="99"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7"/>
      <c r="F6" s="69">
        <v>2020</v>
      </c>
      <c r="G6" s="51">
        <v>541</v>
      </c>
      <c r="H6" s="51">
        <v>604</v>
      </c>
      <c r="I6" s="51">
        <v>237</v>
      </c>
      <c r="J6" s="51">
        <v>431</v>
      </c>
      <c r="K6" s="51">
        <v>583</v>
      </c>
      <c r="L6" s="51">
        <v>609</v>
      </c>
      <c r="M6" s="51">
        <v>497</v>
      </c>
      <c r="N6" s="59"/>
      <c r="O6" s="59"/>
      <c r="P6" s="14"/>
    </row>
    <row r="7" spans="1:16" ht="15.75" customHeight="1" x14ac:dyDescent="0.2">
      <c r="E7" s="97"/>
      <c r="F7" s="69">
        <v>2021</v>
      </c>
      <c r="G7" s="51">
        <v>421</v>
      </c>
      <c r="H7" s="51">
        <v>593</v>
      </c>
      <c r="I7" s="51">
        <v>220</v>
      </c>
      <c r="J7" s="51">
        <v>456</v>
      </c>
      <c r="K7" s="51">
        <v>589</v>
      </c>
      <c r="L7" s="51">
        <v>494</v>
      </c>
      <c r="M7" s="51">
        <v>441</v>
      </c>
      <c r="N7" s="59"/>
      <c r="O7" s="59"/>
      <c r="P7" s="14"/>
    </row>
    <row r="8" spans="1:16" x14ac:dyDescent="0.2">
      <c r="E8" s="97"/>
      <c r="F8" s="69">
        <v>2022</v>
      </c>
      <c r="G8" s="51">
        <v>436</v>
      </c>
      <c r="H8" s="51">
        <v>613</v>
      </c>
      <c r="I8" s="51">
        <v>222</v>
      </c>
      <c r="J8" s="51">
        <v>470</v>
      </c>
      <c r="K8" s="51">
        <v>542</v>
      </c>
      <c r="L8" s="51">
        <v>446</v>
      </c>
      <c r="M8" s="51">
        <v>408</v>
      </c>
      <c r="N8" s="59"/>
      <c r="O8" s="59"/>
      <c r="P8" s="14"/>
    </row>
    <row r="9" spans="1:16" x14ac:dyDescent="0.2">
      <c r="A9" s="98" t="s">
        <v>893</v>
      </c>
      <c r="B9" s="97"/>
      <c r="E9" s="97"/>
      <c r="F9" s="69">
        <v>2023</v>
      </c>
      <c r="G9" s="51">
        <v>443</v>
      </c>
      <c r="H9" s="51">
        <v>573</v>
      </c>
      <c r="I9" s="51">
        <v>230</v>
      </c>
      <c r="J9" s="51">
        <v>399</v>
      </c>
      <c r="K9" s="51">
        <v>642</v>
      </c>
      <c r="L9" s="51">
        <v>444</v>
      </c>
      <c r="M9" s="51">
        <v>404</v>
      </c>
      <c r="N9" s="59"/>
      <c r="O9" s="59"/>
      <c r="P9" s="14"/>
    </row>
    <row r="10" spans="1:16" x14ac:dyDescent="0.2">
      <c r="A10" t="s">
        <v>894</v>
      </c>
      <c r="B10" t="s">
        <v>983</v>
      </c>
      <c r="E10" s="97"/>
      <c r="F10" s="69">
        <v>2024</v>
      </c>
      <c r="G10" s="51">
        <v>464</v>
      </c>
      <c r="H10" s="51">
        <v>570</v>
      </c>
      <c r="I10" s="51">
        <v>226</v>
      </c>
      <c r="J10" s="51">
        <v>366</v>
      </c>
      <c r="K10" s="51">
        <v>636</v>
      </c>
      <c r="L10" s="51">
        <v>530</v>
      </c>
      <c r="M10" s="51">
        <v>388</v>
      </c>
    </row>
    <row r="11" spans="1:16" x14ac:dyDescent="0.2">
      <c r="A11" t="s">
        <v>895</v>
      </c>
      <c r="B11" t="s">
        <v>887</v>
      </c>
      <c r="E11" s="97"/>
    </row>
    <row r="12" spans="1:16" x14ac:dyDescent="0.2">
      <c r="A12" t="s">
        <v>896</v>
      </c>
      <c r="B12" t="s">
        <v>1639</v>
      </c>
      <c r="E12" s="97"/>
    </row>
    <row r="13" spans="1:16" x14ac:dyDescent="0.2">
      <c r="A13" t="s">
        <v>897</v>
      </c>
      <c r="E13" s="97"/>
    </row>
    <row r="14" spans="1:16" x14ac:dyDescent="0.2">
      <c r="A14" t="s">
        <v>899</v>
      </c>
      <c r="B14" t="s">
        <v>715</v>
      </c>
      <c r="E14" s="97"/>
    </row>
    <row r="15" spans="1:16" x14ac:dyDescent="0.2">
      <c r="A15" t="s">
        <v>901</v>
      </c>
      <c r="B15" t="b">
        <v>1</v>
      </c>
      <c r="E15" s="97"/>
    </row>
    <row r="16" spans="1:16" x14ac:dyDescent="0.2">
      <c r="E16" s="97"/>
    </row>
    <row r="17" spans="1:12" x14ac:dyDescent="0.2">
      <c r="E17" s="97"/>
    </row>
    <row r="18" spans="1:12" x14ac:dyDescent="0.2">
      <c r="A18" s="98" t="s">
        <v>902</v>
      </c>
      <c r="B18" s="97"/>
      <c r="E18" s="97"/>
    </row>
    <row r="19" spans="1:12" x14ac:dyDescent="0.2">
      <c r="A19" t="s">
        <v>903</v>
      </c>
      <c r="B19" t="s">
        <v>1707</v>
      </c>
      <c r="E19" s="97"/>
    </row>
    <row r="20" spans="1:12" x14ac:dyDescent="0.2">
      <c r="A20" t="s">
        <v>904</v>
      </c>
      <c r="E20" s="97"/>
    </row>
    <row r="21" spans="1:12" x14ac:dyDescent="0.2">
      <c r="A21" t="s">
        <v>905</v>
      </c>
      <c r="B21" t="s">
        <v>1708</v>
      </c>
      <c r="E21" s="97"/>
    </row>
    <row r="22" spans="1:12" x14ac:dyDescent="0.2">
      <c r="A22" t="s">
        <v>906</v>
      </c>
      <c r="E22" s="97"/>
    </row>
    <row r="23" spans="1:12" x14ac:dyDescent="0.2">
      <c r="A23" t="s">
        <v>907</v>
      </c>
      <c r="B23" t="s">
        <v>1121</v>
      </c>
      <c r="E23" s="97"/>
    </row>
    <row r="24" spans="1:12" x14ac:dyDescent="0.2">
      <c r="A24" t="s">
        <v>908</v>
      </c>
      <c r="B24">
        <v>2025</v>
      </c>
      <c r="E24" s="97"/>
    </row>
    <row r="25" spans="1:12" x14ac:dyDescent="0.2">
      <c r="A25" t="s">
        <v>909</v>
      </c>
      <c r="B25" t="s">
        <v>1709</v>
      </c>
      <c r="E25" s="97"/>
      <c r="H25" s="52"/>
      <c r="I25" s="52"/>
    </row>
    <row r="26" spans="1:12" x14ac:dyDescent="0.2">
      <c r="E26" s="97"/>
    </row>
    <row r="27" spans="1:12" x14ac:dyDescent="0.2">
      <c r="A27" s="100" t="s">
        <v>910</v>
      </c>
      <c r="B27" s="97"/>
      <c r="E27" s="97"/>
    </row>
    <row r="28" spans="1:12" x14ac:dyDescent="0.2">
      <c r="A28" s="114"/>
      <c r="B28" s="114"/>
      <c r="E28" s="97"/>
      <c r="H28" s="52"/>
      <c r="I28" s="52"/>
      <c r="J28" s="52"/>
      <c r="K28" s="52"/>
      <c r="L28" s="52"/>
    </row>
    <row r="29" spans="1:12" x14ac:dyDescent="0.2">
      <c r="A29" s="116" t="s">
        <v>1706</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648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679</v>
      </c>
      <c r="H4" s="16" t="s">
        <v>679</v>
      </c>
      <c r="I4" s="16" t="s">
        <v>679</v>
      </c>
      <c r="J4" s="16" t="s">
        <v>679</v>
      </c>
      <c r="K4" s="16" t="s">
        <v>679</v>
      </c>
      <c r="L4" s="16" t="s">
        <v>679</v>
      </c>
      <c r="M4" s="16" t="s">
        <v>679</v>
      </c>
      <c r="N4" s="16"/>
      <c r="O4" s="16"/>
      <c r="P4" s="16"/>
    </row>
    <row r="5" spans="1:16" x14ac:dyDescent="0.2">
      <c r="A5" s="98" t="s">
        <v>885</v>
      </c>
      <c r="B5" s="97"/>
      <c r="E5" s="99"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7"/>
      <c r="F6" s="69">
        <v>2020</v>
      </c>
      <c r="G6" s="59">
        <v>29.7</v>
      </c>
      <c r="H6" s="59">
        <v>30.9</v>
      </c>
      <c r="I6" s="59">
        <v>20.100000000000001</v>
      </c>
      <c r="J6" s="59">
        <v>32.700000000000003</v>
      </c>
      <c r="K6" s="59">
        <v>34.6</v>
      </c>
      <c r="L6" s="59">
        <v>31.1</v>
      </c>
      <c r="M6" s="59">
        <v>34.6</v>
      </c>
      <c r="N6" s="59"/>
      <c r="O6" s="59"/>
      <c r="P6" s="14"/>
    </row>
    <row r="7" spans="1:16" ht="15.75" customHeight="1" x14ac:dyDescent="0.2">
      <c r="E7" s="97"/>
      <c r="F7" s="69">
        <v>2021</v>
      </c>
      <c r="G7" s="59">
        <v>30.9</v>
      </c>
      <c r="H7" s="59">
        <v>33.4</v>
      </c>
      <c r="I7" s="59">
        <v>26.4</v>
      </c>
      <c r="J7" s="59">
        <v>36.1</v>
      </c>
      <c r="K7" s="59">
        <v>30.4</v>
      </c>
      <c r="L7" s="59">
        <v>30.2</v>
      </c>
      <c r="M7" s="59">
        <v>34.200000000000003</v>
      </c>
      <c r="N7" s="59"/>
      <c r="O7" s="59"/>
      <c r="P7" s="14"/>
    </row>
    <row r="8" spans="1:16" x14ac:dyDescent="0.2">
      <c r="E8" s="97"/>
      <c r="F8" s="69">
        <v>2022</v>
      </c>
      <c r="G8" s="59">
        <v>31.9</v>
      </c>
      <c r="H8" s="59">
        <v>35.799999999999997</v>
      </c>
      <c r="I8" s="59">
        <v>26.7</v>
      </c>
      <c r="J8" s="59">
        <v>36.799999999999997</v>
      </c>
      <c r="K8" s="59">
        <v>34</v>
      </c>
      <c r="L8" s="59">
        <v>30.3</v>
      </c>
      <c r="M8" s="59">
        <v>33.799999999999997</v>
      </c>
      <c r="N8" s="59"/>
      <c r="O8" s="59"/>
      <c r="P8" s="14"/>
    </row>
    <row r="9" spans="1:16" x14ac:dyDescent="0.2">
      <c r="A9" s="98" t="s">
        <v>893</v>
      </c>
      <c r="B9" s="97"/>
      <c r="E9" s="97"/>
      <c r="F9" s="69">
        <v>2023</v>
      </c>
      <c r="G9" s="59">
        <v>32.6</v>
      </c>
      <c r="H9" s="59">
        <v>40.5</v>
      </c>
      <c r="I9" s="59">
        <v>26.7</v>
      </c>
      <c r="J9" s="59">
        <v>41.3</v>
      </c>
      <c r="K9" s="59">
        <v>32.700000000000003</v>
      </c>
      <c r="L9" s="59">
        <v>28.8</v>
      </c>
      <c r="M9" s="59">
        <v>33.799999999999997</v>
      </c>
      <c r="N9" s="59"/>
      <c r="O9" s="59"/>
      <c r="P9" s="14"/>
    </row>
    <row r="10" spans="1:16" x14ac:dyDescent="0.2">
      <c r="A10" t="s">
        <v>894</v>
      </c>
      <c r="B10" t="s">
        <v>983</v>
      </c>
      <c r="E10" s="97"/>
      <c r="F10" s="69">
        <v>2024</v>
      </c>
      <c r="G10" s="59">
        <v>30.6</v>
      </c>
      <c r="H10" s="59">
        <v>38.5</v>
      </c>
      <c r="I10" s="59">
        <v>28.5</v>
      </c>
      <c r="J10" s="59">
        <v>38.4</v>
      </c>
      <c r="K10" s="59">
        <v>30.8</v>
      </c>
      <c r="L10" s="59">
        <v>29</v>
      </c>
      <c r="M10" s="59">
        <v>31.6</v>
      </c>
    </row>
    <row r="11" spans="1:16" x14ac:dyDescent="0.2">
      <c r="A11" t="s">
        <v>895</v>
      </c>
      <c r="B11" t="s">
        <v>887</v>
      </c>
      <c r="E11" s="97"/>
    </row>
    <row r="12" spans="1:16" x14ac:dyDescent="0.2">
      <c r="A12" t="s">
        <v>896</v>
      </c>
      <c r="B12" t="s">
        <v>1711</v>
      </c>
      <c r="E12" s="97"/>
    </row>
    <row r="13" spans="1:16" x14ac:dyDescent="0.2">
      <c r="A13" t="s">
        <v>897</v>
      </c>
      <c r="E13" s="97"/>
    </row>
    <row r="14" spans="1:16" x14ac:dyDescent="0.2">
      <c r="A14" t="s">
        <v>899</v>
      </c>
      <c r="B14" t="s">
        <v>1711</v>
      </c>
      <c r="E14" s="97"/>
    </row>
    <row r="15" spans="1:16" x14ac:dyDescent="0.2">
      <c r="A15" t="s">
        <v>901</v>
      </c>
      <c r="B15" t="b">
        <v>1</v>
      </c>
      <c r="E15" s="97"/>
    </row>
    <row r="16" spans="1:16" x14ac:dyDescent="0.2">
      <c r="E16" s="97"/>
    </row>
    <row r="17" spans="1:12" x14ac:dyDescent="0.2">
      <c r="E17" s="97"/>
    </row>
    <row r="18" spans="1:12" x14ac:dyDescent="0.2">
      <c r="A18" s="98" t="s">
        <v>902</v>
      </c>
      <c r="B18" s="97"/>
      <c r="E18" s="97"/>
    </row>
    <row r="19" spans="1:12" x14ac:dyDescent="0.2">
      <c r="A19" t="s">
        <v>903</v>
      </c>
      <c r="B19" t="s">
        <v>1707</v>
      </c>
      <c r="E19" s="97"/>
    </row>
    <row r="20" spans="1:12" x14ac:dyDescent="0.2">
      <c r="A20" t="s">
        <v>904</v>
      </c>
      <c r="E20" s="97"/>
    </row>
    <row r="21" spans="1:12" x14ac:dyDescent="0.2">
      <c r="A21" t="s">
        <v>905</v>
      </c>
      <c r="B21" t="s">
        <v>1708</v>
      </c>
      <c r="E21" s="97"/>
    </row>
    <row r="22" spans="1:12" x14ac:dyDescent="0.2">
      <c r="A22" t="s">
        <v>906</v>
      </c>
      <c r="E22" s="97"/>
    </row>
    <row r="23" spans="1:12" x14ac:dyDescent="0.2">
      <c r="A23" t="s">
        <v>907</v>
      </c>
      <c r="B23" t="s">
        <v>1121</v>
      </c>
      <c r="E23" s="97"/>
    </row>
    <row r="24" spans="1:12" x14ac:dyDescent="0.2">
      <c r="A24" t="s">
        <v>908</v>
      </c>
      <c r="B24">
        <v>2025</v>
      </c>
      <c r="E24" s="97"/>
    </row>
    <row r="25" spans="1:12" x14ac:dyDescent="0.2">
      <c r="A25" t="s">
        <v>909</v>
      </c>
      <c r="B25" t="s">
        <v>1709</v>
      </c>
      <c r="E25" s="97"/>
      <c r="H25" s="52"/>
      <c r="I25" s="52"/>
    </row>
    <row r="26" spans="1:12" x14ac:dyDescent="0.2">
      <c r="E26" s="97"/>
    </row>
    <row r="27" spans="1:12" x14ac:dyDescent="0.2">
      <c r="A27" s="100" t="s">
        <v>910</v>
      </c>
      <c r="B27" s="97"/>
      <c r="E27" s="97"/>
    </row>
    <row r="28" spans="1:12" x14ac:dyDescent="0.2">
      <c r="A28" s="114"/>
      <c r="B28" s="114"/>
      <c r="E28" s="97"/>
      <c r="H28" s="52"/>
      <c r="I28" s="52"/>
      <c r="J28" s="52"/>
      <c r="K28" s="52"/>
      <c r="L28" s="52"/>
    </row>
    <row r="29" spans="1:12" x14ac:dyDescent="0.2">
      <c r="A29" s="116"/>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647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671</v>
      </c>
      <c r="G4" s="16" t="s">
        <v>671</v>
      </c>
      <c r="H4" s="16" t="s">
        <v>671</v>
      </c>
      <c r="I4" s="16" t="s">
        <v>671</v>
      </c>
      <c r="J4" s="16" t="s">
        <v>671</v>
      </c>
      <c r="K4" s="16" t="s">
        <v>671</v>
      </c>
      <c r="L4" s="16" t="s">
        <v>671</v>
      </c>
      <c r="M4" s="16" t="s">
        <v>671</v>
      </c>
      <c r="N4" s="16"/>
      <c r="O4" s="16"/>
      <c r="P4" s="16"/>
    </row>
    <row r="5" spans="1:16" x14ac:dyDescent="0.2">
      <c r="A5" s="98" t="s">
        <v>885</v>
      </c>
      <c r="B5" s="97"/>
      <c r="E5" s="99"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7"/>
      <c r="F6" s="69">
        <v>2020</v>
      </c>
      <c r="G6" s="59">
        <v>1.4</v>
      </c>
      <c r="H6" s="59">
        <v>5.8</v>
      </c>
      <c r="I6" s="59">
        <v>2</v>
      </c>
      <c r="J6" s="59">
        <v>2.2000000000000002</v>
      </c>
      <c r="K6" s="51">
        <v>0</v>
      </c>
      <c r="L6" s="59">
        <v>1.7</v>
      </c>
      <c r="M6" s="59">
        <v>5.5</v>
      </c>
      <c r="N6" s="59"/>
      <c r="O6" s="59"/>
      <c r="P6" s="14"/>
    </row>
    <row r="7" spans="1:16" ht="15.75" customHeight="1" x14ac:dyDescent="0.2">
      <c r="E7" s="97"/>
      <c r="F7" s="69">
        <v>2021</v>
      </c>
      <c r="G7" s="59">
        <v>3</v>
      </c>
      <c r="H7" s="59">
        <v>5.3</v>
      </c>
      <c r="I7" s="59">
        <v>2</v>
      </c>
      <c r="J7" s="59">
        <v>1.8</v>
      </c>
      <c r="K7" s="59">
        <v>10.199999999999999</v>
      </c>
      <c r="L7" s="59">
        <v>3.3</v>
      </c>
      <c r="M7" s="59">
        <v>7.1</v>
      </c>
      <c r="N7" s="59"/>
      <c r="O7" s="59"/>
      <c r="P7" s="14"/>
    </row>
    <row r="8" spans="1:16" x14ac:dyDescent="0.2">
      <c r="E8" s="97"/>
      <c r="F8" s="69">
        <v>2022</v>
      </c>
      <c r="G8" s="59">
        <v>5.0999999999999996</v>
      </c>
      <c r="H8" s="59">
        <v>7.7</v>
      </c>
      <c r="I8" s="59">
        <v>3.1</v>
      </c>
      <c r="J8" s="59">
        <v>3.6</v>
      </c>
      <c r="K8" s="59">
        <v>7.6</v>
      </c>
      <c r="L8" s="59">
        <v>2.7</v>
      </c>
      <c r="M8" s="59">
        <v>6.4</v>
      </c>
      <c r="N8" s="59"/>
      <c r="O8" s="59"/>
      <c r="P8" s="14"/>
    </row>
    <row r="9" spans="1:16" x14ac:dyDescent="0.2">
      <c r="A9" s="98" t="s">
        <v>893</v>
      </c>
      <c r="B9" s="97"/>
      <c r="E9" s="97"/>
      <c r="F9" s="69">
        <v>2023</v>
      </c>
      <c r="G9" s="59">
        <v>5</v>
      </c>
      <c r="H9" s="59">
        <v>5.7</v>
      </c>
      <c r="I9" s="59">
        <v>3.14</v>
      </c>
      <c r="J9" s="59">
        <v>2.4</v>
      </c>
      <c r="K9" s="59">
        <v>8.8000000000000007</v>
      </c>
      <c r="L9" s="59">
        <v>1.1000000000000001</v>
      </c>
      <c r="M9" s="59">
        <v>6.7</v>
      </c>
      <c r="N9" s="59"/>
      <c r="O9" s="59"/>
      <c r="P9" s="14"/>
    </row>
    <row r="10" spans="1:16" x14ac:dyDescent="0.2">
      <c r="A10" t="s">
        <v>894</v>
      </c>
      <c r="B10" t="s">
        <v>983</v>
      </c>
      <c r="E10" s="97"/>
      <c r="F10" s="69">
        <v>2024</v>
      </c>
      <c r="G10" s="59">
        <v>5.7</v>
      </c>
      <c r="H10" s="59">
        <v>6.7</v>
      </c>
      <c r="I10" s="59">
        <v>2</v>
      </c>
      <c r="J10" s="59">
        <v>1.8</v>
      </c>
      <c r="K10" s="59">
        <v>8.8000000000000007</v>
      </c>
      <c r="L10" s="59">
        <v>3.3</v>
      </c>
      <c r="M10" s="59">
        <v>5.9</v>
      </c>
    </row>
    <row r="11" spans="1:16" x14ac:dyDescent="0.2">
      <c r="A11" t="s">
        <v>895</v>
      </c>
      <c r="B11" t="s">
        <v>887</v>
      </c>
      <c r="E11" s="97"/>
    </row>
    <row r="12" spans="1:16" x14ac:dyDescent="0.2">
      <c r="A12" t="s">
        <v>896</v>
      </c>
      <c r="B12" t="s">
        <v>1639</v>
      </c>
      <c r="E12" s="97"/>
    </row>
    <row r="13" spans="1:16" x14ac:dyDescent="0.2">
      <c r="A13" t="s">
        <v>897</v>
      </c>
      <c r="E13" s="97"/>
    </row>
    <row r="14" spans="1:16" x14ac:dyDescent="0.2">
      <c r="A14" t="s">
        <v>899</v>
      </c>
      <c r="B14" t="s">
        <v>715</v>
      </c>
      <c r="E14" s="97"/>
    </row>
    <row r="15" spans="1:16" x14ac:dyDescent="0.2">
      <c r="A15" t="s">
        <v>901</v>
      </c>
      <c r="B15" t="b">
        <v>1</v>
      </c>
      <c r="E15" s="97"/>
    </row>
    <row r="16" spans="1:16" x14ac:dyDescent="0.2">
      <c r="E16" s="97"/>
    </row>
    <row r="17" spans="1:12" x14ac:dyDescent="0.2">
      <c r="E17" s="97"/>
    </row>
    <row r="18" spans="1:12" x14ac:dyDescent="0.2">
      <c r="A18" s="98" t="s">
        <v>902</v>
      </c>
      <c r="B18" s="97"/>
      <c r="E18" s="97"/>
    </row>
    <row r="19" spans="1:12" x14ac:dyDescent="0.2">
      <c r="A19" t="s">
        <v>903</v>
      </c>
      <c r="B19" t="s">
        <v>1707</v>
      </c>
      <c r="E19" s="97"/>
    </row>
    <row r="20" spans="1:12" x14ac:dyDescent="0.2">
      <c r="A20" t="s">
        <v>904</v>
      </c>
      <c r="E20" s="97"/>
    </row>
    <row r="21" spans="1:12" x14ac:dyDescent="0.2">
      <c r="A21" t="s">
        <v>905</v>
      </c>
      <c r="B21" t="s">
        <v>1708</v>
      </c>
      <c r="E21" s="97"/>
    </row>
    <row r="22" spans="1:12" x14ac:dyDescent="0.2">
      <c r="A22" t="s">
        <v>906</v>
      </c>
      <c r="E22" s="97"/>
    </row>
    <row r="23" spans="1:12" x14ac:dyDescent="0.2">
      <c r="A23" t="s">
        <v>907</v>
      </c>
      <c r="B23" t="s">
        <v>1121</v>
      </c>
      <c r="E23" s="97"/>
    </row>
    <row r="24" spans="1:12" x14ac:dyDescent="0.2">
      <c r="A24" t="s">
        <v>908</v>
      </c>
      <c r="B24">
        <v>2025</v>
      </c>
      <c r="E24" s="97"/>
    </row>
    <row r="25" spans="1:12" x14ac:dyDescent="0.2">
      <c r="A25" t="s">
        <v>909</v>
      </c>
      <c r="B25" t="s">
        <v>1709</v>
      </c>
      <c r="E25" s="97"/>
      <c r="H25" s="52"/>
      <c r="I25" s="52"/>
    </row>
    <row r="26" spans="1:12" x14ac:dyDescent="0.2">
      <c r="E26" s="97"/>
    </row>
    <row r="27" spans="1:12" x14ac:dyDescent="0.2">
      <c r="A27" s="100" t="s">
        <v>910</v>
      </c>
      <c r="B27" s="97"/>
      <c r="E27" s="97"/>
    </row>
    <row r="28" spans="1:12" x14ac:dyDescent="0.2">
      <c r="A28" s="114"/>
      <c r="B28" s="114"/>
      <c r="E28" s="97"/>
      <c r="H28" s="52"/>
      <c r="I28" s="52"/>
      <c r="J28" s="52"/>
      <c r="K28" s="52"/>
      <c r="L28" s="52"/>
    </row>
    <row r="29" spans="1:12" x14ac:dyDescent="0.2">
      <c r="A29" s="116" t="s">
        <v>1714</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651</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tbl-mva-mortal-rate</v>
      </c>
    </row>
    <row r="4" spans="1:16" x14ac:dyDescent="0.2">
      <c r="A4" s="58" t="s">
        <v>6</v>
      </c>
      <c r="B4" t="str">
        <f>IF($B$1="","",_xlfn.XLOOKUP($B$1,Master!$F$2:$F$308,Master!$H$2:$H$308,""))</f>
        <v>fig-mva-mortal-rate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G5" s="100" t="s">
        <v>1636</v>
      </c>
      <c r="H5" s="100"/>
      <c r="I5" s="100"/>
      <c r="J5" s="100"/>
      <c r="K5" s="100"/>
      <c r="L5" s="100"/>
      <c r="M5" s="100"/>
      <c r="N5" s="100" t="s">
        <v>1637</v>
      </c>
      <c r="O5" s="100"/>
    </row>
    <row r="6" spans="1:16" ht="15" customHeight="1" x14ac:dyDescent="0.2">
      <c r="A6" t="s">
        <v>891</v>
      </c>
      <c r="B6" t="b">
        <v>1</v>
      </c>
      <c r="E6" s="97"/>
      <c r="F6" s="63"/>
      <c r="G6" s="59" t="s">
        <v>220</v>
      </c>
      <c r="H6" s="59" t="s">
        <v>18</v>
      </c>
      <c r="I6" s="59" t="s">
        <v>537</v>
      </c>
      <c r="J6" s="59" t="s">
        <v>449</v>
      </c>
      <c r="K6" s="59" t="s">
        <v>409</v>
      </c>
      <c r="L6" s="59" t="s">
        <v>421</v>
      </c>
      <c r="M6" s="59" t="s">
        <v>470</v>
      </c>
      <c r="N6" s="59" t="s">
        <v>914</v>
      </c>
      <c r="O6" s="59" t="s">
        <v>915</v>
      </c>
      <c r="P6" s="14"/>
    </row>
    <row r="7" spans="1:16" ht="15.75" customHeight="1" x14ac:dyDescent="0.2">
      <c r="E7" s="97"/>
      <c r="F7" s="63">
        <v>2018</v>
      </c>
      <c r="G7" s="59">
        <v>8.1999999999999993</v>
      </c>
      <c r="H7" s="59">
        <v>9</v>
      </c>
      <c r="I7" s="59">
        <v>3.7</v>
      </c>
      <c r="J7" s="59">
        <v>4.7</v>
      </c>
      <c r="K7" s="59">
        <v>13.3</v>
      </c>
      <c r="L7" s="59">
        <v>8.4</v>
      </c>
      <c r="M7" s="59">
        <v>3.4</v>
      </c>
      <c r="N7" s="59">
        <v>7</v>
      </c>
      <c r="O7" s="59">
        <v>5.3</v>
      </c>
      <c r="P7" s="14"/>
    </row>
    <row r="8" spans="1:16" x14ac:dyDescent="0.2">
      <c r="E8" s="97"/>
      <c r="F8" s="63">
        <v>2019</v>
      </c>
      <c r="G8" s="59">
        <v>9.1999999999999993</v>
      </c>
      <c r="H8" s="59">
        <v>7.9</v>
      </c>
      <c r="I8" s="59">
        <v>4.7</v>
      </c>
      <c r="J8" s="59">
        <v>4.5</v>
      </c>
      <c r="K8" s="59">
        <v>12.4</v>
      </c>
      <c r="L8" s="59">
        <v>9.5</v>
      </c>
      <c r="M8" s="59">
        <v>3.7</v>
      </c>
      <c r="N8" s="59">
        <v>7.1</v>
      </c>
      <c r="O8" s="59">
        <v>5.5</v>
      </c>
      <c r="P8" s="14"/>
    </row>
    <row r="9" spans="1:16" x14ac:dyDescent="0.2">
      <c r="A9" s="98" t="s">
        <v>893</v>
      </c>
      <c r="B9" s="97"/>
      <c r="E9" s="97"/>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894</v>
      </c>
      <c r="B10" t="s">
        <v>972</v>
      </c>
      <c r="E10" s="97"/>
      <c r="F10" s="63">
        <v>2021</v>
      </c>
      <c r="G10" s="59">
        <v>9.9</v>
      </c>
      <c r="H10" s="59">
        <v>8.3000000000000007</v>
      </c>
      <c r="I10" s="59">
        <v>7.8</v>
      </c>
      <c r="J10" s="59">
        <v>5.7</v>
      </c>
      <c r="K10" s="59">
        <v>14.9</v>
      </c>
      <c r="L10" s="59">
        <v>10.7</v>
      </c>
      <c r="M10" s="59">
        <v>4.5</v>
      </c>
      <c r="N10" s="59">
        <v>8.5</v>
      </c>
      <c r="O10" s="59">
        <v>6.7</v>
      </c>
      <c r="P10" s="14"/>
    </row>
    <row r="11" spans="1:16" x14ac:dyDescent="0.2">
      <c r="A11" t="s">
        <v>895</v>
      </c>
      <c r="B11" t="s">
        <v>973</v>
      </c>
      <c r="E11" s="97"/>
      <c r="F11" s="63"/>
      <c r="G11" s="14"/>
      <c r="H11" s="14"/>
      <c r="I11" s="14"/>
      <c r="J11" s="14"/>
      <c r="K11" s="14"/>
      <c r="L11" s="14"/>
      <c r="M11" s="14"/>
      <c r="N11" s="14"/>
      <c r="O11" s="14"/>
      <c r="P11" s="14"/>
    </row>
    <row r="12" spans="1:16" x14ac:dyDescent="0.2">
      <c r="A12" t="s">
        <v>896</v>
      </c>
      <c r="B12" t="s">
        <v>715</v>
      </c>
      <c r="E12" s="97"/>
      <c r="F12" s="63"/>
      <c r="G12" s="14"/>
      <c r="H12" s="14"/>
      <c r="I12" s="14"/>
      <c r="J12" s="14"/>
      <c r="K12" s="14"/>
      <c r="L12" s="14"/>
      <c r="M12" s="14"/>
      <c r="N12" s="14"/>
      <c r="O12" s="14"/>
      <c r="P12" s="14"/>
    </row>
    <row r="13" spans="1:16" x14ac:dyDescent="0.2">
      <c r="A13" t="s">
        <v>897</v>
      </c>
      <c r="E13" s="97"/>
    </row>
    <row r="14" spans="1:16" x14ac:dyDescent="0.2">
      <c r="A14" t="s">
        <v>899</v>
      </c>
      <c r="B14" t="s">
        <v>715</v>
      </c>
      <c r="E14" s="97"/>
    </row>
    <row r="15" spans="1:16" x14ac:dyDescent="0.2">
      <c r="A15" t="s">
        <v>901</v>
      </c>
      <c r="B15" t="b">
        <v>1</v>
      </c>
      <c r="E15" s="97"/>
    </row>
    <row r="16" spans="1:16" x14ac:dyDescent="0.2">
      <c r="E16" s="97"/>
    </row>
    <row r="17" spans="1:12" x14ac:dyDescent="0.2">
      <c r="E17" s="97"/>
    </row>
    <row r="18" spans="1:12" x14ac:dyDescent="0.2">
      <c r="A18" s="98" t="s">
        <v>902</v>
      </c>
      <c r="B18" s="97"/>
      <c r="E18" s="97"/>
    </row>
    <row r="19" spans="1:12" x14ac:dyDescent="0.2">
      <c r="A19" t="s">
        <v>903</v>
      </c>
      <c r="B19" t="s">
        <v>1643</v>
      </c>
      <c r="E19" s="97"/>
    </row>
    <row r="20" spans="1:12" x14ac:dyDescent="0.2">
      <c r="A20" t="s">
        <v>904</v>
      </c>
      <c r="B20" t="s">
        <v>1641</v>
      </c>
      <c r="E20" s="97"/>
    </row>
    <row r="21" spans="1:12" x14ac:dyDescent="0.2">
      <c r="A21" t="s">
        <v>905</v>
      </c>
      <c r="B21" t="s">
        <v>1720</v>
      </c>
      <c r="E21" s="97"/>
    </row>
    <row r="22" spans="1:12" x14ac:dyDescent="0.2">
      <c r="A22" t="s">
        <v>906</v>
      </c>
      <c r="E22" s="97"/>
    </row>
    <row r="23" spans="1:12" x14ac:dyDescent="0.2">
      <c r="A23" t="s">
        <v>907</v>
      </c>
      <c r="B23" t="s">
        <v>1121</v>
      </c>
      <c r="E23" s="97"/>
    </row>
    <row r="24" spans="1:12" x14ac:dyDescent="0.2">
      <c r="A24" t="s">
        <v>908</v>
      </c>
      <c r="B24">
        <v>2025</v>
      </c>
      <c r="E24" s="97"/>
    </row>
    <row r="25" spans="1:12" x14ac:dyDescent="0.2">
      <c r="A25" t="s">
        <v>909</v>
      </c>
      <c r="B25" t="s">
        <v>1651</v>
      </c>
      <c r="E25" s="97"/>
      <c r="I25" s="52"/>
    </row>
    <row r="26" spans="1:12" x14ac:dyDescent="0.2">
      <c r="E26" s="97"/>
    </row>
    <row r="27" spans="1:12" x14ac:dyDescent="0.2">
      <c r="A27" s="100" t="s">
        <v>910</v>
      </c>
      <c r="B27" s="97"/>
      <c r="E27" s="97"/>
    </row>
    <row r="28" spans="1:12" x14ac:dyDescent="0.2">
      <c r="A28" s="114"/>
      <c r="B28" s="114"/>
      <c r="E28" s="97"/>
      <c r="H28" s="52"/>
      <c r="I28" s="52"/>
      <c r="J28" s="52"/>
      <c r="K28" s="52"/>
      <c r="L28" s="52"/>
    </row>
    <row r="29" spans="1:12" x14ac:dyDescent="0.2">
      <c r="A29" s="116" t="s">
        <v>1733</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650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tbl-mva-alcohol-injury-death-crude</v>
      </c>
    </row>
    <row r="4" spans="1:16" x14ac:dyDescent="0.2">
      <c r="A4" s="58" t="s">
        <v>6</v>
      </c>
      <c r="B4" t="str">
        <f>IF($B$1="","",_xlfn.XLOOKUP($B$1,Master!$F$2:$F$308,Master!$H$2:$H$308,""))</f>
        <v>fig-mva-alcohol-injury-death-crude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G5" s="100" t="s">
        <v>1636</v>
      </c>
      <c r="H5" s="100"/>
      <c r="I5" s="100"/>
      <c r="J5" s="100"/>
      <c r="K5" s="100"/>
      <c r="L5" s="100"/>
      <c r="M5" s="100"/>
      <c r="N5" s="100" t="s">
        <v>1637</v>
      </c>
      <c r="O5" s="100"/>
    </row>
    <row r="6" spans="1:16" ht="15" customHeight="1" x14ac:dyDescent="0.2">
      <c r="A6" t="s">
        <v>891</v>
      </c>
      <c r="B6" t="b">
        <v>1</v>
      </c>
      <c r="E6" s="97"/>
      <c r="F6" s="63"/>
      <c r="G6" s="59" t="s">
        <v>220</v>
      </c>
      <c r="H6" s="59" t="s">
        <v>18</v>
      </c>
      <c r="I6" s="59" t="s">
        <v>537</v>
      </c>
      <c r="J6" s="59" t="s">
        <v>449</v>
      </c>
      <c r="K6" s="59" t="s">
        <v>409</v>
      </c>
      <c r="L6" s="59" t="s">
        <v>421</v>
      </c>
      <c r="M6" s="59" t="s">
        <v>470</v>
      </c>
      <c r="N6" s="59" t="s">
        <v>914</v>
      </c>
      <c r="O6" s="59" t="s">
        <v>915</v>
      </c>
      <c r="P6" s="14"/>
    </row>
    <row r="7" spans="1:16" ht="15.75" customHeight="1" x14ac:dyDescent="0.2">
      <c r="E7" s="97"/>
      <c r="F7" s="63">
        <v>2018</v>
      </c>
      <c r="G7" s="59">
        <v>35.200000000000003</v>
      </c>
      <c r="H7" s="59">
        <v>34.9</v>
      </c>
      <c r="I7" s="59">
        <v>44.2</v>
      </c>
      <c r="J7" s="59">
        <v>29.2</v>
      </c>
      <c r="K7" s="59">
        <v>50.1</v>
      </c>
      <c r="L7" s="59">
        <v>44.8</v>
      </c>
      <c r="M7" s="59">
        <v>28.9</v>
      </c>
      <c r="N7" s="59">
        <v>35.1</v>
      </c>
      <c r="O7" s="59">
        <v>28.8</v>
      </c>
      <c r="P7" s="14"/>
    </row>
    <row r="8" spans="1:16" x14ac:dyDescent="0.2">
      <c r="E8" s="97"/>
      <c r="F8" s="63">
        <v>2019</v>
      </c>
      <c r="G8" s="59">
        <v>33.9</v>
      </c>
      <c r="H8" s="59">
        <v>34.200000000000003</v>
      </c>
      <c r="I8" s="59">
        <v>37.1</v>
      </c>
      <c r="J8" s="59">
        <v>29</v>
      </c>
      <c r="K8" s="59">
        <v>39.799999999999997</v>
      </c>
      <c r="L8" s="59">
        <v>43.1</v>
      </c>
      <c r="M8" s="59">
        <v>26.6</v>
      </c>
      <c r="N8" s="59">
        <v>33.5</v>
      </c>
      <c r="O8" s="59">
        <v>27.6</v>
      </c>
      <c r="P8" s="14"/>
    </row>
    <row r="9" spans="1:16" x14ac:dyDescent="0.2">
      <c r="A9" s="98" t="s">
        <v>893</v>
      </c>
      <c r="B9" s="97"/>
      <c r="E9" s="97"/>
      <c r="F9" s="63">
        <v>2020</v>
      </c>
      <c r="G9" s="59">
        <v>32.5</v>
      </c>
      <c r="H9" s="59">
        <v>34.4</v>
      </c>
      <c r="I9" s="59">
        <v>33.1</v>
      </c>
      <c r="J9" s="59">
        <v>27.9</v>
      </c>
      <c r="K9" s="59">
        <v>31.2</v>
      </c>
      <c r="L9" s="59">
        <v>42</v>
      </c>
      <c r="M9" s="59">
        <v>24.1</v>
      </c>
      <c r="N9" s="59">
        <v>28.6</v>
      </c>
      <c r="O9" s="59">
        <v>23</v>
      </c>
      <c r="P9" s="14"/>
    </row>
    <row r="10" spans="1:16" x14ac:dyDescent="0.2">
      <c r="A10" t="s">
        <v>894</v>
      </c>
      <c r="B10" t="s">
        <v>972</v>
      </c>
      <c r="E10" s="97"/>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895</v>
      </c>
      <c r="B11" t="s">
        <v>973</v>
      </c>
      <c r="E11" s="97"/>
      <c r="F11" s="63"/>
      <c r="G11" s="14"/>
      <c r="H11" s="14"/>
      <c r="I11" s="14"/>
      <c r="J11" s="14"/>
      <c r="K11" s="14"/>
      <c r="L11" s="14"/>
      <c r="M11" s="14"/>
      <c r="N11" s="14"/>
      <c r="O11" s="14"/>
      <c r="P11" s="14"/>
    </row>
    <row r="12" spans="1:16" x14ac:dyDescent="0.2">
      <c r="A12" t="s">
        <v>896</v>
      </c>
      <c r="B12" t="s">
        <v>715</v>
      </c>
      <c r="E12" s="97"/>
      <c r="F12" s="63"/>
      <c r="G12" s="14"/>
      <c r="H12" s="14"/>
      <c r="I12" s="14"/>
      <c r="J12" s="14"/>
      <c r="K12" s="14"/>
      <c r="L12" s="14"/>
      <c r="M12" s="14"/>
      <c r="N12" s="14"/>
      <c r="O12" s="14"/>
      <c r="P12" s="14"/>
    </row>
    <row r="13" spans="1:16" x14ac:dyDescent="0.2">
      <c r="A13" t="s">
        <v>897</v>
      </c>
      <c r="E13" s="97"/>
    </row>
    <row r="14" spans="1:16" x14ac:dyDescent="0.2">
      <c r="A14" t="s">
        <v>899</v>
      </c>
      <c r="B14" t="s">
        <v>715</v>
      </c>
      <c r="E14" s="97"/>
    </row>
    <row r="15" spans="1:16" x14ac:dyDescent="0.2">
      <c r="A15" t="s">
        <v>901</v>
      </c>
      <c r="B15" t="b">
        <v>0</v>
      </c>
      <c r="E15" s="97"/>
    </row>
    <row r="16" spans="1:16" x14ac:dyDescent="0.2">
      <c r="E16" s="97"/>
    </row>
    <row r="17" spans="1:12" x14ac:dyDescent="0.2">
      <c r="E17" s="97"/>
    </row>
    <row r="18" spans="1:12" x14ac:dyDescent="0.2">
      <c r="A18" s="98" t="s">
        <v>902</v>
      </c>
      <c r="B18" s="97"/>
      <c r="E18" s="97"/>
    </row>
    <row r="19" spans="1:12" x14ac:dyDescent="0.2">
      <c r="A19" t="s">
        <v>903</v>
      </c>
      <c r="B19" t="s">
        <v>1643</v>
      </c>
      <c r="E19" s="97"/>
    </row>
    <row r="20" spans="1:12" x14ac:dyDescent="0.2">
      <c r="A20" t="s">
        <v>904</v>
      </c>
      <c r="B20" t="s">
        <v>1641</v>
      </c>
      <c r="E20" s="97"/>
    </row>
    <row r="21" spans="1:12" x14ac:dyDescent="0.2">
      <c r="A21" t="s">
        <v>905</v>
      </c>
      <c r="B21" t="s">
        <v>1720</v>
      </c>
      <c r="E21" s="97"/>
    </row>
    <row r="22" spans="1:12" x14ac:dyDescent="0.2">
      <c r="A22" t="s">
        <v>906</v>
      </c>
      <c r="E22" s="97"/>
    </row>
    <row r="23" spans="1:12" x14ac:dyDescent="0.2">
      <c r="A23" t="s">
        <v>907</v>
      </c>
      <c r="B23" t="s">
        <v>1121</v>
      </c>
      <c r="E23" s="97"/>
    </row>
    <row r="24" spans="1:12" x14ac:dyDescent="0.2">
      <c r="A24" t="s">
        <v>908</v>
      </c>
      <c r="B24">
        <v>2025</v>
      </c>
      <c r="E24" s="97"/>
    </row>
    <row r="25" spans="1:12" x14ac:dyDescent="0.2">
      <c r="A25" t="s">
        <v>909</v>
      </c>
      <c r="B25" t="s">
        <v>1651</v>
      </c>
      <c r="E25" s="97"/>
      <c r="I25" s="52"/>
    </row>
    <row r="26" spans="1:12" x14ac:dyDescent="0.2">
      <c r="E26" s="97"/>
    </row>
    <row r="27" spans="1:12" x14ac:dyDescent="0.2">
      <c r="A27" s="100" t="s">
        <v>910</v>
      </c>
      <c r="B27" s="97"/>
      <c r="E27" s="97"/>
    </row>
    <row r="28" spans="1:12" x14ac:dyDescent="0.2">
      <c r="A28" s="114"/>
      <c r="B28" s="114"/>
      <c r="E28" s="97"/>
      <c r="H28" s="52"/>
      <c r="I28" s="52"/>
      <c r="J28" s="52"/>
      <c r="K28" s="52"/>
      <c r="L28" s="52"/>
    </row>
    <row r="29" spans="1:12" x14ac:dyDescent="0.2">
      <c r="A29" s="116" t="s">
        <v>1729</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882</v>
      </c>
      <c r="B1" s="112" t="s">
        <v>652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tbl-mva-mortal-rande-aar</v>
      </c>
    </row>
    <row r="4" spans="1:16" x14ac:dyDescent="0.2">
      <c r="A4" s="58" t="s">
        <v>6</v>
      </c>
      <c r="B4" t="str">
        <f>IF($B$1="","",_xlfn.XLOOKUP($B$1,Master!$F$2:$F$308,Master!$H$2:$H$308,""))</f>
        <v>fig-mva-mortal-rande-aar</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G5" s="100" t="s">
        <v>1792</v>
      </c>
      <c r="H5" s="100"/>
      <c r="I5" s="100"/>
      <c r="J5" s="100"/>
      <c r="K5" s="100"/>
      <c r="L5" s="100"/>
      <c r="M5" s="100"/>
      <c r="N5" s="100" t="s">
        <v>1793</v>
      </c>
      <c r="O5" s="100"/>
    </row>
    <row r="6" spans="1:16" ht="15" customHeight="1" x14ac:dyDescent="0.2">
      <c r="A6" t="s">
        <v>891</v>
      </c>
      <c r="B6" t="b">
        <v>0</v>
      </c>
      <c r="E6" s="97"/>
      <c r="F6" s="55"/>
      <c r="G6" s="59" t="s">
        <v>220</v>
      </c>
      <c r="H6" s="59" t="s">
        <v>18</v>
      </c>
      <c r="I6" s="59" t="s">
        <v>537</v>
      </c>
      <c r="J6" s="59" t="s">
        <v>449</v>
      </c>
      <c r="K6" s="59" t="s">
        <v>409</v>
      </c>
      <c r="L6" s="59" t="s">
        <v>421</v>
      </c>
      <c r="M6" s="59" t="s">
        <v>470</v>
      </c>
      <c r="N6" s="55" t="s">
        <v>914</v>
      </c>
      <c r="O6" s="55" t="s">
        <v>915</v>
      </c>
      <c r="P6" s="14"/>
    </row>
    <row r="7" spans="1:16" ht="15.75" customHeight="1" x14ac:dyDescent="0.2">
      <c r="E7" s="97"/>
      <c r="F7" s="69" t="s">
        <v>929</v>
      </c>
      <c r="G7" s="59">
        <v>10.1</v>
      </c>
      <c r="H7" s="59">
        <v>5.8</v>
      </c>
      <c r="I7" s="59">
        <v>2</v>
      </c>
      <c r="J7" s="59">
        <v>2.2000000000000002</v>
      </c>
      <c r="K7" s="51">
        <v>0</v>
      </c>
      <c r="L7" s="59">
        <v>1.7</v>
      </c>
      <c r="M7" s="59">
        <v>5.5</v>
      </c>
      <c r="N7" s="59">
        <v>7.6</v>
      </c>
      <c r="O7" s="59">
        <v>6.3</v>
      </c>
      <c r="P7" s="14"/>
    </row>
    <row r="8" spans="1:16" x14ac:dyDescent="0.2">
      <c r="E8" s="97"/>
      <c r="F8" s="69" t="s">
        <v>1566</v>
      </c>
      <c r="G8" s="59" t="s">
        <v>1746</v>
      </c>
      <c r="H8" s="59">
        <v>5.3</v>
      </c>
      <c r="I8" s="59">
        <v>2</v>
      </c>
      <c r="J8" s="59">
        <v>1.8</v>
      </c>
      <c r="K8" s="59">
        <v>10.199999999999999</v>
      </c>
      <c r="L8" s="59">
        <v>3.3</v>
      </c>
      <c r="M8" s="59">
        <v>7.1</v>
      </c>
      <c r="N8" s="59">
        <v>9.6999999999999993</v>
      </c>
      <c r="O8" s="59">
        <v>6.6</v>
      </c>
      <c r="P8" s="14"/>
    </row>
    <row r="9" spans="1:16" x14ac:dyDescent="0.2">
      <c r="A9" s="98" t="s">
        <v>893</v>
      </c>
      <c r="B9" s="97"/>
      <c r="E9" s="97"/>
      <c r="F9" s="69" t="s">
        <v>1567</v>
      </c>
      <c r="G9" s="59" t="s">
        <v>1785</v>
      </c>
      <c r="H9" s="59">
        <v>7.7</v>
      </c>
      <c r="I9" s="59">
        <v>3.1</v>
      </c>
      <c r="J9" s="59">
        <v>3.6</v>
      </c>
      <c r="K9" s="59">
        <v>7.6</v>
      </c>
      <c r="L9" s="59">
        <v>2.7</v>
      </c>
      <c r="M9" s="59">
        <v>6.4</v>
      </c>
      <c r="N9" s="59">
        <v>3.4</v>
      </c>
      <c r="O9" s="59">
        <v>2.7</v>
      </c>
      <c r="P9" s="14"/>
    </row>
    <row r="10" spans="1:16" x14ac:dyDescent="0.2">
      <c r="A10" t="s">
        <v>894</v>
      </c>
      <c r="B10" t="s">
        <v>983</v>
      </c>
      <c r="E10" s="97"/>
      <c r="F10" s="53" t="s">
        <v>927</v>
      </c>
      <c r="G10" s="59">
        <v>8</v>
      </c>
      <c r="H10" s="59">
        <v>5.7</v>
      </c>
      <c r="I10" s="59">
        <v>3.14</v>
      </c>
      <c r="J10" s="59">
        <v>2.4</v>
      </c>
      <c r="K10" s="59">
        <v>8.8000000000000007</v>
      </c>
      <c r="L10" s="59">
        <v>1.1000000000000001</v>
      </c>
      <c r="M10" s="59">
        <v>6.7</v>
      </c>
      <c r="N10" s="59">
        <v>8.6999999999999993</v>
      </c>
      <c r="O10" s="59">
        <v>5.9</v>
      </c>
    </row>
    <row r="11" spans="1:16" x14ac:dyDescent="0.2">
      <c r="A11" t="s">
        <v>895</v>
      </c>
      <c r="B11" t="s">
        <v>1565</v>
      </c>
      <c r="E11" s="97"/>
      <c r="F11" s="69" t="s">
        <v>1256</v>
      </c>
      <c r="G11" s="59">
        <v>9.4</v>
      </c>
      <c r="H11" s="59">
        <v>6.7</v>
      </c>
      <c r="I11" s="59">
        <v>2</v>
      </c>
      <c r="J11" s="59">
        <v>1.8</v>
      </c>
      <c r="K11" s="59">
        <v>8.8000000000000007</v>
      </c>
      <c r="L11" s="59">
        <v>3.3</v>
      </c>
      <c r="M11" s="59">
        <v>5.9</v>
      </c>
      <c r="N11" s="59">
        <v>8</v>
      </c>
      <c r="O11" s="59">
        <v>6.2</v>
      </c>
    </row>
    <row r="12" spans="1:16" x14ac:dyDescent="0.2">
      <c r="A12" t="s">
        <v>896</v>
      </c>
      <c r="B12" t="s">
        <v>715</v>
      </c>
      <c r="E12" s="97"/>
    </row>
    <row r="13" spans="1:16" x14ac:dyDescent="0.2">
      <c r="A13" t="s">
        <v>897</v>
      </c>
      <c r="E13" s="97"/>
    </row>
    <row r="14" spans="1:16" x14ac:dyDescent="0.2">
      <c r="A14" t="s">
        <v>899</v>
      </c>
      <c r="B14" t="s">
        <v>715</v>
      </c>
      <c r="E14" s="97"/>
    </row>
    <row r="15" spans="1:16" x14ac:dyDescent="0.2">
      <c r="A15" t="s">
        <v>901</v>
      </c>
      <c r="B15" t="b">
        <v>1</v>
      </c>
      <c r="E15" s="97"/>
    </row>
    <row r="16" spans="1:16" x14ac:dyDescent="0.2">
      <c r="E16" s="97"/>
    </row>
    <row r="17" spans="1:12" x14ac:dyDescent="0.2">
      <c r="E17" s="97"/>
    </row>
    <row r="18" spans="1:12" x14ac:dyDescent="0.2">
      <c r="A18" s="98" t="s">
        <v>902</v>
      </c>
      <c r="B18" s="97"/>
      <c r="E18" s="97"/>
    </row>
    <row r="19" spans="1:12" x14ac:dyDescent="0.2">
      <c r="A19" t="s">
        <v>903</v>
      </c>
      <c r="B19" t="s">
        <v>1740</v>
      </c>
      <c r="E19" s="97"/>
    </row>
    <row r="20" spans="1:12" x14ac:dyDescent="0.2">
      <c r="A20" t="s">
        <v>904</v>
      </c>
      <c r="B20" t="s">
        <v>1744</v>
      </c>
      <c r="E20" s="97"/>
    </row>
    <row r="21" spans="1:12" x14ac:dyDescent="0.2">
      <c r="A21" t="s">
        <v>905</v>
      </c>
      <c r="B21" t="s">
        <v>1642</v>
      </c>
      <c r="E21" s="97"/>
    </row>
    <row r="22" spans="1:12" x14ac:dyDescent="0.2">
      <c r="A22" t="s">
        <v>906</v>
      </c>
      <c r="E22" s="97"/>
    </row>
    <row r="23" spans="1:12" x14ac:dyDescent="0.2">
      <c r="A23" t="s">
        <v>907</v>
      </c>
      <c r="B23" t="s">
        <v>1121</v>
      </c>
      <c r="E23" s="97"/>
    </row>
    <row r="24" spans="1:12" x14ac:dyDescent="0.2">
      <c r="A24" t="s">
        <v>908</v>
      </c>
      <c r="B24">
        <v>2025</v>
      </c>
      <c r="E24" s="97"/>
    </row>
    <row r="25" spans="1:12" x14ac:dyDescent="0.2">
      <c r="A25" t="s">
        <v>909</v>
      </c>
      <c r="B25" t="s">
        <v>1743</v>
      </c>
      <c r="E25" s="97"/>
    </row>
    <row r="26" spans="1:12" x14ac:dyDescent="0.2">
      <c r="E26" s="97"/>
      <c r="H26" s="52"/>
      <c r="I26" s="52"/>
    </row>
    <row r="27" spans="1:12" x14ac:dyDescent="0.2">
      <c r="A27" s="100" t="s">
        <v>910</v>
      </c>
      <c r="B27" s="97"/>
      <c r="E27" s="97"/>
    </row>
    <row r="28" spans="1:12" x14ac:dyDescent="0.2">
      <c r="A28" s="114"/>
      <c r="B28" s="114"/>
      <c r="E28" s="97"/>
    </row>
    <row r="29" spans="1:12" x14ac:dyDescent="0.2">
      <c r="A29" s="116" t="s">
        <v>1742</v>
      </c>
      <c r="B29" s="116"/>
      <c r="C29" s="116"/>
      <c r="D29" s="116"/>
      <c r="E29" s="97"/>
      <c r="H29" s="52"/>
      <c r="I29" s="52"/>
      <c r="J29" s="52"/>
      <c r="K29" s="52"/>
      <c r="L29" s="52"/>
    </row>
    <row r="30" spans="1:12" x14ac:dyDescent="0.2">
      <c r="A30" s="116"/>
      <c r="B30" s="116"/>
      <c r="C30" s="116"/>
      <c r="D30" s="116"/>
      <c r="E30" s="97"/>
    </row>
    <row r="31" spans="1:12" x14ac:dyDescent="0.2">
      <c r="A31" s="116"/>
      <c r="B31" s="116"/>
      <c r="C31" s="116"/>
      <c r="D31" s="116"/>
      <c r="E31" s="97"/>
    </row>
    <row r="32" spans="1:12" x14ac:dyDescent="0.2">
      <c r="A32" s="116"/>
      <c r="B32" s="116"/>
      <c r="C32" s="116"/>
      <c r="D32" s="116"/>
      <c r="E32" s="97"/>
      <c r="H32" s="52"/>
      <c r="I32" s="52"/>
      <c r="J32" s="52"/>
      <c r="K32" s="52"/>
      <c r="L32" s="52"/>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653</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tbl-falls-hospital-aar</v>
      </c>
    </row>
    <row r="4" spans="1:16" x14ac:dyDescent="0.2">
      <c r="A4" s="58" t="s">
        <v>6</v>
      </c>
      <c r="B4" t="str">
        <f>IF($B$1="","",_xlfn.XLOOKUP($B$1,Master!$F$2:$F$308,Master!$H$2:$H$308,""))</f>
        <v>fig-falls-hospital-aar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G5" s="100" t="s">
        <v>1636</v>
      </c>
      <c r="H5" s="100"/>
      <c r="I5" s="100"/>
      <c r="J5" s="100"/>
      <c r="K5" s="100"/>
      <c r="L5" s="100"/>
      <c r="M5" s="100"/>
      <c r="N5" s="100" t="s">
        <v>1637</v>
      </c>
      <c r="O5" s="100"/>
    </row>
    <row r="6" spans="1:16" ht="15" customHeight="1" x14ac:dyDescent="0.2">
      <c r="A6" t="s">
        <v>891</v>
      </c>
      <c r="B6" t="b">
        <v>1</v>
      </c>
      <c r="E6" s="97"/>
      <c r="F6" s="63"/>
      <c r="G6" s="59" t="s">
        <v>220</v>
      </c>
      <c r="H6" s="59" t="s">
        <v>18</v>
      </c>
      <c r="I6" s="59" t="s">
        <v>537</v>
      </c>
      <c r="J6" s="59" t="s">
        <v>449</v>
      </c>
      <c r="K6" s="59" t="s">
        <v>409</v>
      </c>
      <c r="L6" s="59" t="s">
        <v>421</v>
      </c>
      <c r="M6" s="59" t="s">
        <v>470</v>
      </c>
      <c r="N6" s="59" t="s">
        <v>914</v>
      </c>
      <c r="O6" s="59" t="s">
        <v>915</v>
      </c>
      <c r="P6" s="14"/>
    </row>
    <row r="7" spans="1:16" ht="15.75" customHeight="1" x14ac:dyDescent="0.2">
      <c r="E7" s="97"/>
      <c r="F7" s="63">
        <v>2018</v>
      </c>
      <c r="G7" s="59">
        <v>34.6</v>
      </c>
      <c r="H7" s="59">
        <v>39.799999999999997</v>
      </c>
      <c r="I7" s="59">
        <v>29.2</v>
      </c>
      <c r="J7" s="59">
        <v>30.9</v>
      </c>
      <c r="K7" s="59">
        <v>33.799999999999997</v>
      </c>
      <c r="L7" s="59">
        <v>39.6</v>
      </c>
      <c r="M7" s="59">
        <v>31.8</v>
      </c>
      <c r="N7" s="59">
        <v>37.6</v>
      </c>
      <c r="O7" s="59">
        <v>35.1</v>
      </c>
      <c r="P7" s="14"/>
    </row>
    <row r="8" spans="1:16" x14ac:dyDescent="0.2">
      <c r="E8" s="97"/>
      <c r="F8" s="63">
        <v>2019</v>
      </c>
      <c r="G8" s="59">
        <v>35.1</v>
      </c>
      <c r="H8" s="59">
        <v>39.799999999999997</v>
      </c>
      <c r="I8" s="59">
        <v>29.3</v>
      </c>
      <c r="J8" s="59">
        <v>30.4</v>
      </c>
      <c r="K8" s="59">
        <v>35.299999999999997</v>
      </c>
      <c r="L8" s="59">
        <v>40</v>
      </c>
      <c r="M8" s="59">
        <v>33</v>
      </c>
      <c r="N8" s="59">
        <v>38</v>
      </c>
      <c r="O8" s="59">
        <v>36.4</v>
      </c>
      <c r="P8" s="14"/>
    </row>
    <row r="9" spans="1:16" x14ac:dyDescent="0.2">
      <c r="A9" s="98" t="s">
        <v>893</v>
      </c>
      <c r="B9" s="97"/>
      <c r="E9" s="97"/>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894</v>
      </c>
      <c r="B10" t="s">
        <v>972</v>
      </c>
      <c r="E10" s="97"/>
      <c r="F10" s="63">
        <v>2021</v>
      </c>
      <c r="G10" s="59">
        <v>36.5</v>
      </c>
      <c r="H10" s="59">
        <v>39.9</v>
      </c>
      <c r="I10" s="59">
        <v>27.8</v>
      </c>
      <c r="J10" s="59">
        <v>29.6</v>
      </c>
      <c r="K10" s="59">
        <v>39.9</v>
      </c>
      <c r="L10" s="59">
        <v>39.299999999999997</v>
      </c>
      <c r="M10" s="59">
        <v>33.6</v>
      </c>
      <c r="N10" s="59">
        <v>38</v>
      </c>
      <c r="O10" s="59">
        <v>36.4</v>
      </c>
      <c r="P10" s="14"/>
    </row>
    <row r="11" spans="1:16" x14ac:dyDescent="0.2">
      <c r="A11" t="s">
        <v>895</v>
      </c>
      <c r="B11" t="s">
        <v>973</v>
      </c>
      <c r="E11" s="97"/>
      <c r="F11" s="63"/>
      <c r="G11" s="14"/>
      <c r="H11" s="14"/>
      <c r="I11" s="14"/>
      <c r="J11" s="14"/>
      <c r="K11" s="14"/>
      <c r="L11" s="14"/>
      <c r="M11" s="14"/>
      <c r="N11" s="14"/>
      <c r="O11" s="14"/>
      <c r="P11" s="14"/>
    </row>
    <row r="12" spans="1:16" x14ac:dyDescent="0.2">
      <c r="A12" t="s">
        <v>896</v>
      </c>
      <c r="B12" t="s">
        <v>708</v>
      </c>
      <c r="E12" s="97"/>
      <c r="F12" s="63"/>
      <c r="G12" s="14"/>
      <c r="H12" s="14"/>
      <c r="I12" s="14"/>
      <c r="J12" s="14"/>
      <c r="K12" s="14"/>
      <c r="L12" s="14"/>
      <c r="M12" s="14"/>
      <c r="N12" s="14"/>
      <c r="O12" s="14"/>
      <c r="P12" s="14"/>
    </row>
    <row r="13" spans="1:16" x14ac:dyDescent="0.2">
      <c r="A13" t="s">
        <v>897</v>
      </c>
      <c r="E13" s="97"/>
    </row>
    <row r="14" spans="1:16" x14ac:dyDescent="0.2">
      <c r="A14" t="s">
        <v>899</v>
      </c>
      <c r="B14" t="s">
        <v>708</v>
      </c>
      <c r="E14" s="97"/>
    </row>
    <row r="15" spans="1:16" x14ac:dyDescent="0.2">
      <c r="A15" t="s">
        <v>901</v>
      </c>
      <c r="B15" t="b">
        <v>0</v>
      </c>
      <c r="E15" s="97"/>
    </row>
    <row r="16" spans="1:16" x14ac:dyDescent="0.2">
      <c r="E16" s="97"/>
    </row>
    <row r="17" spans="1:12" x14ac:dyDescent="0.2">
      <c r="E17" s="97"/>
    </row>
    <row r="18" spans="1:12" x14ac:dyDescent="0.2">
      <c r="A18" s="98" t="s">
        <v>902</v>
      </c>
      <c r="B18" s="97"/>
      <c r="E18" s="97"/>
    </row>
    <row r="19" spans="1:12" x14ac:dyDescent="0.2">
      <c r="A19" t="s">
        <v>903</v>
      </c>
      <c r="B19" t="s">
        <v>1643</v>
      </c>
      <c r="E19" s="97"/>
    </row>
    <row r="20" spans="1:12" x14ac:dyDescent="0.2">
      <c r="A20" t="s">
        <v>904</v>
      </c>
      <c r="B20" t="s">
        <v>1744</v>
      </c>
      <c r="E20" s="97"/>
    </row>
    <row r="21" spans="1:12" x14ac:dyDescent="0.2">
      <c r="A21" t="s">
        <v>905</v>
      </c>
      <c r="B21" t="s">
        <v>1720</v>
      </c>
      <c r="E21" s="97"/>
    </row>
    <row r="22" spans="1:12" x14ac:dyDescent="0.2">
      <c r="A22" t="s">
        <v>906</v>
      </c>
      <c r="E22" s="97"/>
    </row>
    <row r="23" spans="1:12" x14ac:dyDescent="0.2">
      <c r="A23" t="s">
        <v>907</v>
      </c>
      <c r="B23" t="s">
        <v>1121</v>
      </c>
      <c r="E23" s="97"/>
    </row>
    <row r="24" spans="1:12" x14ac:dyDescent="0.2">
      <c r="A24" t="s">
        <v>908</v>
      </c>
      <c r="B24">
        <v>2025</v>
      </c>
      <c r="E24" s="97"/>
    </row>
    <row r="25" spans="1:12" ht="208" x14ac:dyDescent="0.2">
      <c r="A25" t="s">
        <v>909</v>
      </c>
      <c r="B25" s="50" t="s">
        <v>1786</v>
      </c>
      <c r="E25" s="97"/>
      <c r="I25" s="52"/>
    </row>
    <row r="26" spans="1:12" x14ac:dyDescent="0.2">
      <c r="E26" s="97"/>
    </row>
    <row r="27" spans="1:12" x14ac:dyDescent="0.2">
      <c r="A27" s="100" t="s">
        <v>910</v>
      </c>
      <c r="B27" s="97"/>
      <c r="E27" s="97"/>
    </row>
    <row r="28" spans="1:12" x14ac:dyDescent="0.2">
      <c r="A28" s="114"/>
      <c r="B28" s="114"/>
      <c r="E28" s="97"/>
      <c r="H28" s="52"/>
      <c r="I28" s="52"/>
      <c r="J28" s="52"/>
      <c r="K28" s="52"/>
      <c r="L28" s="52"/>
    </row>
    <row r="29" spans="1:12" x14ac:dyDescent="0.2">
      <c r="A29" s="116" t="s">
        <v>1787</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654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tbl-85+-falls-hospital</v>
      </c>
    </row>
    <row r="4" spans="1:16" x14ac:dyDescent="0.2">
      <c r="A4" s="58" t="s">
        <v>6</v>
      </c>
      <c r="B4" t="str">
        <f>IF($B$1="","",_xlfn.XLOOKUP($B$1,Master!$F$2:$F$308,Master!$H$2:$H$308,""))</f>
        <v>fig-85+-falls-hospital</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G5" s="100" t="s">
        <v>1636</v>
      </c>
      <c r="H5" s="100"/>
      <c r="I5" s="100"/>
      <c r="J5" s="100"/>
      <c r="K5" s="100"/>
      <c r="L5" s="100"/>
      <c r="M5" s="100"/>
      <c r="N5" s="100" t="s">
        <v>1637</v>
      </c>
      <c r="O5" s="100"/>
    </row>
    <row r="6" spans="1:16" ht="15" customHeight="1" x14ac:dyDescent="0.2">
      <c r="A6" t="s">
        <v>891</v>
      </c>
      <c r="B6" t="b">
        <v>1</v>
      </c>
      <c r="E6" s="97"/>
      <c r="F6" s="63"/>
      <c r="G6" s="59" t="s">
        <v>220</v>
      </c>
      <c r="H6" s="59" t="s">
        <v>18</v>
      </c>
      <c r="I6" s="59" t="s">
        <v>537</v>
      </c>
      <c r="J6" s="59" t="s">
        <v>449</v>
      </c>
      <c r="K6" s="59" t="s">
        <v>409</v>
      </c>
      <c r="L6" s="59" t="s">
        <v>421</v>
      </c>
      <c r="M6" s="59" t="s">
        <v>470</v>
      </c>
      <c r="N6" s="59" t="s">
        <v>914</v>
      </c>
      <c r="O6" s="59" t="s">
        <v>915</v>
      </c>
      <c r="P6" s="14"/>
    </row>
    <row r="7" spans="1:16" ht="15.75" customHeight="1" x14ac:dyDescent="0.2">
      <c r="E7" s="97"/>
      <c r="F7" s="63">
        <v>2018</v>
      </c>
      <c r="G7" s="59">
        <v>575</v>
      </c>
      <c r="H7" s="59">
        <v>690</v>
      </c>
      <c r="I7" s="59">
        <v>618</v>
      </c>
      <c r="J7" s="59">
        <v>523</v>
      </c>
      <c r="K7" s="59">
        <v>545</v>
      </c>
      <c r="L7" s="59">
        <v>682</v>
      </c>
      <c r="M7" s="59">
        <v>577</v>
      </c>
      <c r="N7" s="59">
        <v>650</v>
      </c>
      <c r="O7" s="59">
        <v>572</v>
      </c>
      <c r="P7" s="14"/>
    </row>
    <row r="8" spans="1:16" x14ac:dyDescent="0.2">
      <c r="E8" s="97"/>
      <c r="F8" s="63">
        <v>2019</v>
      </c>
      <c r="G8" s="59">
        <v>582</v>
      </c>
      <c r="H8" s="59">
        <v>707</v>
      </c>
      <c r="I8" s="59">
        <v>606</v>
      </c>
      <c r="J8" s="59">
        <v>494</v>
      </c>
      <c r="K8" s="59">
        <v>550</v>
      </c>
      <c r="L8" s="59">
        <v>691</v>
      </c>
      <c r="M8" s="59">
        <v>595</v>
      </c>
      <c r="N8" s="59">
        <v>644</v>
      </c>
      <c r="O8" s="59">
        <v>581</v>
      </c>
      <c r="P8" s="14"/>
    </row>
    <row r="9" spans="1:16" x14ac:dyDescent="0.2">
      <c r="A9" s="98" t="s">
        <v>893</v>
      </c>
      <c r="B9" s="97"/>
      <c r="E9" s="97"/>
      <c r="F9" s="63">
        <v>2020</v>
      </c>
      <c r="G9" s="59">
        <v>610</v>
      </c>
      <c r="H9" s="59">
        <v>690</v>
      </c>
      <c r="I9" s="59">
        <v>583</v>
      </c>
      <c r="J9" s="59">
        <v>495</v>
      </c>
      <c r="K9" s="59">
        <v>558</v>
      </c>
      <c r="L9" s="59">
        <v>688</v>
      </c>
      <c r="M9" s="59">
        <v>610</v>
      </c>
      <c r="N9" s="59">
        <v>577</v>
      </c>
      <c r="O9" s="59">
        <v>515</v>
      </c>
      <c r="P9" s="14"/>
    </row>
    <row r="10" spans="1:16" x14ac:dyDescent="0.2">
      <c r="A10" t="s">
        <v>894</v>
      </c>
      <c r="B10" t="s">
        <v>972</v>
      </c>
      <c r="E10" s="97"/>
      <c r="F10" s="63">
        <v>2021</v>
      </c>
      <c r="G10" s="59">
        <v>645</v>
      </c>
      <c r="H10" s="59">
        <v>695</v>
      </c>
      <c r="I10" s="59">
        <v>540</v>
      </c>
      <c r="J10" s="59">
        <v>520</v>
      </c>
      <c r="K10" s="59">
        <v>647</v>
      </c>
      <c r="L10" s="59">
        <v>680</v>
      </c>
      <c r="M10" s="59">
        <v>597</v>
      </c>
      <c r="N10" s="59">
        <v>679</v>
      </c>
      <c r="O10" s="59">
        <v>597</v>
      </c>
      <c r="P10" s="14"/>
    </row>
    <row r="11" spans="1:16" x14ac:dyDescent="0.2">
      <c r="A11" t="s">
        <v>895</v>
      </c>
      <c r="B11" t="s">
        <v>973</v>
      </c>
      <c r="E11" s="97"/>
      <c r="F11" s="63"/>
      <c r="G11" s="14"/>
      <c r="H11" s="14"/>
      <c r="I11" s="14"/>
      <c r="J11" s="14"/>
      <c r="K11" s="14"/>
      <c r="L11" s="14"/>
      <c r="M11" s="14"/>
      <c r="N11" s="14"/>
      <c r="O11" s="14"/>
      <c r="P11" s="14"/>
    </row>
    <row r="12" spans="1:16" x14ac:dyDescent="0.2">
      <c r="A12" t="s">
        <v>896</v>
      </c>
      <c r="B12" t="s">
        <v>708</v>
      </c>
      <c r="E12" s="97"/>
      <c r="F12" s="63"/>
      <c r="G12" s="14"/>
      <c r="H12" s="14"/>
      <c r="I12" s="14"/>
      <c r="J12" s="14"/>
      <c r="K12" s="14"/>
      <c r="L12" s="14"/>
      <c r="M12" s="14"/>
      <c r="N12" s="14"/>
      <c r="O12" s="14"/>
      <c r="P12" s="14"/>
    </row>
    <row r="13" spans="1:16" x14ac:dyDescent="0.2">
      <c r="A13" t="s">
        <v>897</v>
      </c>
      <c r="E13" s="97"/>
    </row>
    <row r="14" spans="1:16" x14ac:dyDescent="0.2">
      <c r="A14" t="s">
        <v>899</v>
      </c>
      <c r="B14" t="s">
        <v>708</v>
      </c>
      <c r="E14" s="97"/>
    </row>
    <row r="15" spans="1:16" x14ac:dyDescent="0.2">
      <c r="A15" t="s">
        <v>901</v>
      </c>
      <c r="B15" t="b">
        <v>0</v>
      </c>
      <c r="E15" s="97"/>
    </row>
    <row r="16" spans="1:16" x14ac:dyDescent="0.2">
      <c r="E16" s="97"/>
    </row>
    <row r="17" spans="1:12" x14ac:dyDescent="0.2">
      <c r="E17" s="97"/>
    </row>
    <row r="18" spans="1:12" x14ac:dyDescent="0.2">
      <c r="A18" s="98" t="s">
        <v>902</v>
      </c>
      <c r="B18" s="97"/>
      <c r="E18" s="97"/>
    </row>
    <row r="19" spans="1:12" x14ac:dyDescent="0.2">
      <c r="A19" t="s">
        <v>903</v>
      </c>
      <c r="B19" t="s">
        <v>1643</v>
      </c>
      <c r="E19" s="97"/>
    </row>
    <row r="20" spans="1:12" x14ac:dyDescent="0.2">
      <c r="A20" t="s">
        <v>904</v>
      </c>
      <c r="B20" t="s">
        <v>1744</v>
      </c>
      <c r="E20" s="97"/>
    </row>
    <row r="21" spans="1:12" x14ac:dyDescent="0.2">
      <c r="A21" t="s">
        <v>905</v>
      </c>
      <c r="B21" t="s">
        <v>1720</v>
      </c>
      <c r="E21" s="97"/>
    </row>
    <row r="22" spans="1:12" x14ac:dyDescent="0.2">
      <c r="A22" t="s">
        <v>906</v>
      </c>
      <c r="E22" s="97"/>
    </row>
    <row r="23" spans="1:12" x14ac:dyDescent="0.2">
      <c r="A23" t="s">
        <v>907</v>
      </c>
      <c r="B23" t="s">
        <v>1121</v>
      </c>
      <c r="E23" s="97"/>
    </row>
    <row r="24" spans="1:12" x14ac:dyDescent="0.2">
      <c r="A24" t="s">
        <v>908</v>
      </c>
      <c r="B24">
        <v>2025</v>
      </c>
      <c r="E24" s="97"/>
    </row>
    <row r="25" spans="1:12" x14ac:dyDescent="0.2">
      <c r="A25" t="s">
        <v>909</v>
      </c>
      <c r="B25" t="s">
        <v>1788</v>
      </c>
      <c r="E25" s="97"/>
      <c r="I25" s="52"/>
    </row>
    <row r="26" spans="1:12" x14ac:dyDescent="0.2">
      <c r="E26" s="97"/>
    </row>
    <row r="27" spans="1:12" x14ac:dyDescent="0.2">
      <c r="A27" s="100" t="s">
        <v>910</v>
      </c>
      <c r="B27" s="97"/>
      <c r="E27" s="97"/>
    </row>
    <row r="28" spans="1:12" x14ac:dyDescent="0.2">
      <c r="A28" s="114"/>
      <c r="B28" s="114"/>
      <c r="E28" s="97"/>
      <c r="H28" s="52"/>
      <c r="I28" s="52"/>
      <c r="J28" s="52"/>
      <c r="K28" s="52"/>
      <c r="L28" s="52"/>
    </row>
    <row r="29" spans="1:12" x14ac:dyDescent="0.2">
      <c r="A29" s="116" t="s">
        <v>1789</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656</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tbl-65+-falls-hospital-rande-rate</v>
      </c>
    </row>
    <row r="4" spans="1:16" x14ac:dyDescent="0.2">
      <c r="A4" s="58" t="s">
        <v>6</v>
      </c>
      <c r="B4" t="str">
        <f>IF($B$1="","",_xlfn.XLOOKUP($B$1,Master!$F$2:$F$308,Master!$H$2:$H$308,""))</f>
        <v>fig-65+-falls-hospital-rande-rate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G5" s="100" t="s">
        <v>1792</v>
      </c>
      <c r="H5" s="100"/>
      <c r="I5" s="100"/>
      <c r="J5" s="100"/>
      <c r="K5" s="100"/>
      <c r="L5" s="100"/>
      <c r="M5" s="100"/>
      <c r="N5" s="100" t="s">
        <v>1793</v>
      </c>
      <c r="O5" s="100"/>
    </row>
    <row r="6" spans="1:16" ht="15" customHeight="1" x14ac:dyDescent="0.2">
      <c r="A6" t="s">
        <v>891</v>
      </c>
      <c r="B6" t="b">
        <v>1</v>
      </c>
      <c r="E6" s="97"/>
      <c r="F6" s="55"/>
      <c r="G6" s="59" t="s">
        <v>220</v>
      </c>
      <c r="H6" s="59" t="s">
        <v>18</v>
      </c>
      <c r="I6" s="59" t="s">
        <v>537</v>
      </c>
      <c r="J6" s="59" t="s">
        <v>449</v>
      </c>
      <c r="K6" s="59" t="s">
        <v>409</v>
      </c>
      <c r="L6" s="59" t="s">
        <v>421</v>
      </c>
      <c r="M6" s="59" t="s">
        <v>470</v>
      </c>
      <c r="N6" s="55" t="s">
        <v>914</v>
      </c>
      <c r="O6" s="55" t="s">
        <v>915</v>
      </c>
      <c r="P6" s="14"/>
    </row>
    <row r="7" spans="1:16" ht="15.75" customHeight="1" x14ac:dyDescent="0.2">
      <c r="E7" s="97"/>
      <c r="F7" s="69" t="s">
        <v>929</v>
      </c>
      <c r="G7" s="59">
        <v>205.3</v>
      </c>
      <c r="H7" s="59">
        <v>22.8</v>
      </c>
      <c r="I7" s="59">
        <v>156</v>
      </c>
      <c r="J7" s="59">
        <v>191.7</v>
      </c>
      <c r="K7" s="59">
        <v>192.9</v>
      </c>
      <c r="L7" s="59">
        <v>210.6</v>
      </c>
      <c r="M7" s="59">
        <v>181.9</v>
      </c>
      <c r="N7" s="59">
        <v>202.9</v>
      </c>
      <c r="O7" s="59">
        <v>197.5</v>
      </c>
      <c r="P7" s="14"/>
    </row>
    <row r="8" spans="1:16" x14ac:dyDescent="0.2">
      <c r="E8" s="97"/>
      <c r="F8" s="69" t="s">
        <v>1566</v>
      </c>
      <c r="G8" s="59">
        <v>48.3</v>
      </c>
      <c r="H8" s="59">
        <v>112.7</v>
      </c>
      <c r="I8" s="59" t="s">
        <v>754</v>
      </c>
      <c r="J8" s="59">
        <v>71.099999999999994</v>
      </c>
      <c r="K8" s="59">
        <v>134.69999999999999</v>
      </c>
      <c r="L8" s="59">
        <v>129.9</v>
      </c>
      <c r="M8" s="59">
        <v>100.8</v>
      </c>
      <c r="N8" s="59">
        <v>114.7</v>
      </c>
      <c r="O8" s="59">
        <v>103.7</v>
      </c>
      <c r="P8" s="14"/>
    </row>
    <row r="9" spans="1:16" x14ac:dyDescent="0.2">
      <c r="A9" s="98" t="s">
        <v>893</v>
      </c>
      <c r="B9" s="97"/>
      <c r="E9" s="97"/>
      <c r="F9" s="69" t="s">
        <v>1567</v>
      </c>
      <c r="G9" s="59">
        <v>48.6</v>
      </c>
      <c r="H9" s="59">
        <v>78.099999999999994</v>
      </c>
      <c r="I9" s="59" t="s">
        <v>1794</v>
      </c>
      <c r="J9" s="59">
        <v>46.3</v>
      </c>
      <c r="K9" s="59" t="s">
        <v>754</v>
      </c>
      <c r="L9" s="59" t="s">
        <v>1795</v>
      </c>
      <c r="M9" s="59">
        <v>55</v>
      </c>
      <c r="N9" s="59">
        <v>76.400000000000006</v>
      </c>
      <c r="O9" s="59">
        <v>83.4</v>
      </c>
      <c r="P9" s="14"/>
    </row>
    <row r="10" spans="1:16" x14ac:dyDescent="0.2">
      <c r="A10" t="s">
        <v>894</v>
      </c>
      <c r="B10" t="s">
        <v>983</v>
      </c>
      <c r="E10" s="97"/>
      <c r="F10" s="53" t="s">
        <v>927</v>
      </c>
      <c r="G10" s="59">
        <v>82.6</v>
      </c>
      <c r="H10" s="59">
        <v>106.8</v>
      </c>
      <c r="I10" s="59">
        <v>54.2</v>
      </c>
      <c r="J10" s="59">
        <v>93.3</v>
      </c>
      <c r="K10" s="59">
        <v>97.6</v>
      </c>
      <c r="L10" s="59">
        <v>88.1</v>
      </c>
      <c r="M10" s="59">
        <v>73.5</v>
      </c>
      <c r="N10" s="59">
        <v>106.5</v>
      </c>
      <c r="O10" s="59">
        <v>120.5</v>
      </c>
    </row>
    <row r="11" spans="1:16" x14ac:dyDescent="0.2">
      <c r="A11" t="s">
        <v>895</v>
      </c>
      <c r="B11" t="s">
        <v>1565</v>
      </c>
      <c r="E11" s="97"/>
      <c r="F11" s="69" t="s">
        <v>1256</v>
      </c>
      <c r="G11" s="59">
        <v>205.8</v>
      </c>
      <c r="H11" s="59">
        <v>212.8</v>
      </c>
      <c r="I11" s="59">
        <v>155.9</v>
      </c>
      <c r="J11" s="59">
        <v>171.6</v>
      </c>
      <c r="K11" s="59">
        <v>188.1</v>
      </c>
      <c r="L11" s="59">
        <v>210.9</v>
      </c>
      <c r="M11" s="59">
        <v>196</v>
      </c>
      <c r="N11" s="59">
        <v>203.2</v>
      </c>
      <c r="O11" s="59">
        <v>188.7</v>
      </c>
    </row>
    <row r="12" spans="1:16" x14ac:dyDescent="0.2">
      <c r="A12" t="s">
        <v>896</v>
      </c>
      <c r="B12" t="s">
        <v>708</v>
      </c>
      <c r="E12" s="97"/>
    </row>
    <row r="13" spans="1:16" x14ac:dyDescent="0.2">
      <c r="A13" t="s">
        <v>897</v>
      </c>
      <c r="E13" s="97"/>
    </row>
    <row r="14" spans="1:16" x14ac:dyDescent="0.2">
      <c r="A14" t="s">
        <v>899</v>
      </c>
      <c r="B14" t="s">
        <v>708</v>
      </c>
      <c r="E14" s="97"/>
    </row>
    <row r="15" spans="1:16" x14ac:dyDescent="0.2">
      <c r="A15" t="s">
        <v>901</v>
      </c>
      <c r="B15" t="b">
        <v>1</v>
      </c>
      <c r="E15" s="97"/>
    </row>
    <row r="16" spans="1:16" x14ac:dyDescent="0.2">
      <c r="E16" s="97"/>
    </row>
    <row r="17" spans="1:12" x14ac:dyDescent="0.2">
      <c r="E17" s="97"/>
    </row>
    <row r="18" spans="1:12" x14ac:dyDescent="0.2">
      <c r="A18" s="98" t="s">
        <v>902</v>
      </c>
      <c r="B18" s="97"/>
      <c r="E18" s="97"/>
    </row>
    <row r="19" spans="1:12" x14ac:dyDescent="0.2">
      <c r="A19" t="s">
        <v>903</v>
      </c>
      <c r="B19" t="s">
        <v>1740</v>
      </c>
      <c r="E19" s="97"/>
    </row>
    <row r="20" spans="1:12" x14ac:dyDescent="0.2">
      <c r="A20" t="s">
        <v>904</v>
      </c>
      <c r="B20" t="s">
        <v>1744</v>
      </c>
      <c r="E20" s="97"/>
    </row>
    <row r="21" spans="1:12" x14ac:dyDescent="0.2">
      <c r="A21" t="s">
        <v>905</v>
      </c>
      <c r="B21" t="s">
        <v>1642</v>
      </c>
      <c r="E21" s="97"/>
    </row>
    <row r="22" spans="1:12" x14ac:dyDescent="0.2">
      <c r="A22" t="s">
        <v>906</v>
      </c>
      <c r="E22" s="97"/>
    </row>
    <row r="23" spans="1:12" x14ac:dyDescent="0.2">
      <c r="A23" t="s">
        <v>907</v>
      </c>
      <c r="B23" t="s">
        <v>1121</v>
      </c>
      <c r="E23" s="97"/>
    </row>
    <row r="24" spans="1:12" x14ac:dyDescent="0.2">
      <c r="A24" t="s">
        <v>908</v>
      </c>
      <c r="B24">
        <v>2025</v>
      </c>
      <c r="E24" s="97"/>
    </row>
    <row r="25" spans="1:12" x14ac:dyDescent="0.2">
      <c r="A25" t="s">
        <v>909</v>
      </c>
      <c r="B25" t="s">
        <v>1791</v>
      </c>
      <c r="E25" s="97"/>
    </row>
    <row r="26" spans="1:12" x14ac:dyDescent="0.2">
      <c r="E26" s="97"/>
      <c r="H26" s="52"/>
      <c r="I26" s="52"/>
    </row>
    <row r="27" spans="1:12" x14ac:dyDescent="0.2">
      <c r="A27" s="100" t="s">
        <v>910</v>
      </c>
      <c r="B27" s="97"/>
      <c r="E27" s="97"/>
    </row>
    <row r="28" spans="1:12" x14ac:dyDescent="0.2">
      <c r="A28" s="114"/>
      <c r="B28" s="114"/>
      <c r="E28" s="97"/>
    </row>
    <row r="29" spans="1:12" x14ac:dyDescent="0.2">
      <c r="A29" s="116" t="s">
        <v>1790</v>
      </c>
      <c r="B29" s="116"/>
      <c r="C29" s="116"/>
      <c r="D29" s="116"/>
      <c r="E29" s="97"/>
      <c r="H29" s="52"/>
      <c r="I29" s="52"/>
      <c r="J29" s="52"/>
      <c r="K29" s="52"/>
      <c r="L29" s="52"/>
    </row>
    <row r="30" spans="1:12" x14ac:dyDescent="0.2">
      <c r="A30" s="116"/>
      <c r="B30" s="116"/>
      <c r="C30" s="116"/>
      <c r="D30" s="116"/>
      <c r="E30" s="97"/>
    </row>
    <row r="31" spans="1:12" x14ac:dyDescent="0.2">
      <c r="A31" s="116"/>
      <c r="B31" s="116"/>
      <c r="C31" s="116"/>
      <c r="D31" s="116"/>
      <c r="E31" s="97"/>
    </row>
    <row r="32" spans="1:12" x14ac:dyDescent="0.2">
      <c r="A32" s="116"/>
      <c r="B32" s="116"/>
      <c r="C32" s="116"/>
      <c r="D32" s="116"/>
      <c r="E32" s="97"/>
      <c r="H32" s="52"/>
      <c r="I32" s="52"/>
      <c r="J32" s="52"/>
      <c r="K32" s="52"/>
      <c r="L32" s="52"/>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660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tbl-mortal-homicide-aar</v>
      </c>
    </row>
    <row r="4" spans="1:16" x14ac:dyDescent="0.2">
      <c r="A4" s="58" t="s">
        <v>6</v>
      </c>
      <c r="B4" t="str">
        <f>IF($B$1="","",_xlfn.XLOOKUP($B$1,Master!$F$2:$F$308,Master!$H$2:$H$308,""))</f>
        <v>fig-mortal-homicide-aar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G5" s="100" t="s">
        <v>1792</v>
      </c>
      <c r="H5" s="100"/>
      <c r="I5" s="100"/>
      <c r="J5" s="100"/>
      <c r="K5" s="100"/>
      <c r="L5" s="100"/>
      <c r="M5" s="100"/>
      <c r="N5" s="100" t="s">
        <v>1793</v>
      </c>
      <c r="O5" s="100"/>
    </row>
    <row r="6" spans="1:16" ht="15" customHeight="1" x14ac:dyDescent="0.2">
      <c r="A6" t="s">
        <v>891</v>
      </c>
      <c r="B6" t="b">
        <v>1</v>
      </c>
      <c r="E6" s="97"/>
      <c r="F6" s="55"/>
      <c r="G6" s="59" t="s">
        <v>220</v>
      </c>
      <c r="H6" s="59" t="s">
        <v>18</v>
      </c>
      <c r="I6" s="59" t="s">
        <v>537</v>
      </c>
      <c r="J6" s="59" t="s">
        <v>449</v>
      </c>
      <c r="K6" s="59" t="s">
        <v>409</v>
      </c>
      <c r="L6" s="59" t="s">
        <v>421</v>
      </c>
      <c r="M6" s="59" t="s">
        <v>470</v>
      </c>
      <c r="N6" s="55" t="s">
        <v>914</v>
      </c>
      <c r="O6" s="55" t="s">
        <v>915</v>
      </c>
      <c r="P6" s="14"/>
    </row>
    <row r="7" spans="1:16" ht="15.75" customHeight="1" x14ac:dyDescent="0.2">
      <c r="E7" s="97"/>
      <c r="F7" s="69">
        <v>2018</v>
      </c>
      <c r="G7" s="59">
        <v>1.9</v>
      </c>
      <c r="H7" s="59">
        <v>2.5</v>
      </c>
      <c r="I7" s="59" t="s">
        <v>1798</v>
      </c>
      <c r="J7" s="59">
        <v>1.7</v>
      </c>
      <c r="K7" s="59" t="s">
        <v>1801</v>
      </c>
      <c r="L7" s="59" t="s">
        <v>1803</v>
      </c>
      <c r="M7" s="59">
        <v>2.4</v>
      </c>
      <c r="N7" s="59">
        <v>2.9</v>
      </c>
      <c r="O7" s="59">
        <v>3.2</v>
      </c>
      <c r="P7" s="14"/>
    </row>
    <row r="8" spans="1:16" x14ac:dyDescent="0.2">
      <c r="E8" s="97"/>
      <c r="F8" s="69">
        <v>2019</v>
      </c>
      <c r="G8" s="59">
        <v>2.4</v>
      </c>
      <c r="H8" s="59">
        <v>2.7</v>
      </c>
      <c r="I8" s="59" t="s">
        <v>1799</v>
      </c>
      <c r="J8" s="59">
        <v>2.4</v>
      </c>
      <c r="K8" s="59" t="s">
        <v>1802</v>
      </c>
      <c r="L8" s="59">
        <v>2.1</v>
      </c>
      <c r="M8" s="59">
        <v>2.6</v>
      </c>
      <c r="N8" s="59">
        <v>2.7</v>
      </c>
      <c r="O8" s="59">
        <v>3.1</v>
      </c>
      <c r="P8" s="14"/>
    </row>
    <row r="9" spans="1:16" x14ac:dyDescent="0.2">
      <c r="A9" s="98" t="s">
        <v>893</v>
      </c>
      <c r="B9" s="97"/>
      <c r="E9" s="97"/>
      <c r="F9" s="69">
        <v>2020</v>
      </c>
      <c r="G9" s="59">
        <v>2.4</v>
      </c>
      <c r="H9" s="59">
        <v>2.8</v>
      </c>
      <c r="I9" s="59" t="s">
        <v>1799</v>
      </c>
      <c r="J9" s="59">
        <v>2.2999999999999998</v>
      </c>
      <c r="K9" s="59">
        <v>4.5999999999999996</v>
      </c>
      <c r="L9" s="59">
        <v>2.2000000000000002</v>
      </c>
      <c r="M9" s="59">
        <v>2.8</v>
      </c>
      <c r="N9" s="59">
        <v>3.8</v>
      </c>
      <c r="O9" s="59">
        <v>4.5</v>
      </c>
      <c r="P9" s="14"/>
    </row>
    <row r="10" spans="1:16" x14ac:dyDescent="0.2">
      <c r="A10" t="s">
        <v>894</v>
      </c>
      <c r="B10" t="s">
        <v>972</v>
      </c>
      <c r="E10" s="97"/>
      <c r="F10" s="53">
        <v>2021</v>
      </c>
      <c r="G10" s="59">
        <v>2.5</v>
      </c>
      <c r="H10" s="59">
        <v>2.6</v>
      </c>
      <c r="I10" s="59" t="s">
        <v>1800</v>
      </c>
      <c r="J10" s="59">
        <v>2.2000000000000002</v>
      </c>
      <c r="K10" s="59">
        <v>5.5</v>
      </c>
      <c r="L10" s="59">
        <v>2.6</v>
      </c>
      <c r="M10" s="59">
        <v>2.9</v>
      </c>
      <c r="N10" s="59">
        <v>4.0999999999999996</v>
      </c>
      <c r="O10" s="59">
        <v>4.8</v>
      </c>
    </row>
    <row r="11" spans="1:16" x14ac:dyDescent="0.2">
      <c r="A11" t="s">
        <v>895</v>
      </c>
      <c r="B11" t="s">
        <v>973</v>
      </c>
      <c r="E11" s="97"/>
      <c r="F11" s="69"/>
      <c r="G11" s="59"/>
      <c r="H11" s="59"/>
      <c r="I11" s="59"/>
      <c r="J11" s="59"/>
      <c r="K11" s="59"/>
      <c r="L11" s="59"/>
      <c r="M11" s="59"/>
      <c r="N11" s="59"/>
      <c r="O11" s="59"/>
    </row>
    <row r="12" spans="1:16" x14ac:dyDescent="0.2">
      <c r="A12" t="s">
        <v>896</v>
      </c>
      <c r="B12" t="s">
        <v>715</v>
      </c>
      <c r="E12" s="97"/>
    </row>
    <row r="13" spans="1:16" x14ac:dyDescent="0.2">
      <c r="A13" t="s">
        <v>897</v>
      </c>
      <c r="E13" s="97"/>
    </row>
    <row r="14" spans="1:16" x14ac:dyDescent="0.2">
      <c r="A14" t="s">
        <v>899</v>
      </c>
      <c r="B14" t="s">
        <v>715</v>
      </c>
      <c r="E14" s="97"/>
    </row>
    <row r="15" spans="1:16" x14ac:dyDescent="0.2">
      <c r="A15" t="s">
        <v>901</v>
      </c>
      <c r="B15" t="b">
        <v>1</v>
      </c>
      <c r="E15" s="97"/>
    </row>
    <row r="16" spans="1:16" x14ac:dyDescent="0.2">
      <c r="E16" s="97"/>
    </row>
    <row r="17" spans="1:12" x14ac:dyDescent="0.2">
      <c r="E17" s="97"/>
    </row>
    <row r="18" spans="1:12" x14ac:dyDescent="0.2">
      <c r="A18" s="98" t="s">
        <v>902</v>
      </c>
      <c r="B18" s="97"/>
      <c r="E18" s="97"/>
    </row>
    <row r="19" spans="1:12" x14ac:dyDescent="0.2">
      <c r="A19" t="s">
        <v>903</v>
      </c>
      <c r="B19" t="s">
        <v>1740</v>
      </c>
      <c r="E19" s="97"/>
    </row>
    <row r="20" spans="1:12" x14ac:dyDescent="0.2">
      <c r="A20" t="s">
        <v>904</v>
      </c>
      <c r="B20" t="s">
        <v>1744</v>
      </c>
      <c r="E20" s="97"/>
    </row>
    <row r="21" spans="1:12" x14ac:dyDescent="0.2">
      <c r="A21" t="s">
        <v>905</v>
      </c>
      <c r="B21" t="s">
        <v>1720</v>
      </c>
      <c r="E21" s="97"/>
    </row>
    <row r="22" spans="1:12" x14ac:dyDescent="0.2">
      <c r="A22" t="s">
        <v>906</v>
      </c>
      <c r="E22" s="97"/>
    </row>
    <row r="23" spans="1:12" x14ac:dyDescent="0.2">
      <c r="A23" t="s">
        <v>907</v>
      </c>
      <c r="B23" t="s">
        <v>1121</v>
      </c>
      <c r="E23" s="97"/>
    </row>
    <row r="24" spans="1:12" x14ac:dyDescent="0.2">
      <c r="A24" t="s">
        <v>908</v>
      </c>
      <c r="B24">
        <v>2025</v>
      </c>
      <c r="E24" s="97"/>
    </row>
    <row r="25" spans="1:12" x14ac:dyDescent="0.2">
      <c r="A25" t="s">
        <v>909</v>
      </c>
      <c r="B25" t="s">
        <v>1797</v>
      </c>
      <c r="E25" s="97"/>
    </row>
    <row r="26" spans="1:12" x14ac:dyDescent="0.2">
      <c r="E26" s="97"/>
      <c r="H26" s="52"/>
      <c r="I26" s="52"/>
    </row>
    <row r="27" spans="1:12" x14ac:dyDescent="0.2">
      <c r="A27" s="100" t="s">
        <v>910</v>
      </c>
      <c r="B27" s="97"/>
      <c r="E27" s="97"/>
    </row>
    <row r="28" spans="1:12" x14ac:dyDescent="0.2">
      <c r="A28" s="114"/>
      <c r="B28" s="114"/>
      <c r="E28" s="97"/>
    </row>
    <row r="29" spans="1:12" x14ac:dyDescent="0.2">
      <c r="A29" s="116" t="s">
        <v>1796</v>
      </c>
      <c r="B29" s="116"/>
      <c r="C29" s="116"/>
      <c r="D29" s="116"/>
      <c r="E29" s="97"/>
      <c r="H29" s="52"/>
      <c r="I29" s="52"/>
      <c r="J29" s="52"/>
      <c r="K29" s="52"/>
      <c r="L29" s="52"/>
    </row>
    <row r="30" spans="1:12" x14ac:dyDescent="0.2">
      <c r="A30" s="116"/>
      <c r="B30" s="116"/>
      <c r="C30" s="116"/>
      <c r="D30" s="116"/>
      <c r="E30" s="97"/>
    </row>
    <row r="31" spans="1:12" x14ac:dyDescent="0.2">
      <c r="A31" s="116"/>
      <c r="B31" s="116"/>
      <c r="C31" s="116"/>
      <c r="D31" s="116"/>
      <c r="E31" s="97"/>
    </row>
    <row r="32" spans="1:12" x14ac:dyDescent="0.2">
      <c r="A32" s="116"/>
      <c r="B32" s="116"/>
      <c r="C32" s="116"/>
      <c r="D32" s="116"/>
      <c r="E32" s="97"/>
      <c r="H32" s="52"/>
      <c r="I32" s="52"/>
      <c r="J32" s="52"/>
      <c r="K32" s="52"/>
      <c r="L32" s="52"/>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661</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tbl-assault-hospital-aar</v>
      </c>
    </row>
    <row r="4" spans="1:16" x14ac:dyDescent="0.2">
      <c r="A4" s="58" t="s">
        <v>6</v>
      </c>
      <c r="B4" t="str">
        <f>IF($B$1="","",_xlfn.XLOOKUP($B$1,Master!$F$2:$F$308,Master!$H$2:$H$308,""))</f>
        <v>fig-assault-hospital-aar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G5" s="100" t="s">
        <v>1792</v>
      </c>
      <c r="H5" s="100"/>
      <c r="I5" s="100"/>
      <c r="J5" s="100"/>
      <c r="K5" s="100"/>
      <c r="L5" s="100"/>
      <c r="M5" s="100"/>
      <c r="N5" s="100" t="s">
        <v>1793</v>
      </c>
      <c r="O5" s="100"/>
    </row>
    <row r="6" spans="1:16" ht="15" customHeight="1" x14ac:dyDescent="0.2">
      <c r="A6" t="s">
        <v>891</v>
      </c>
      <c r="B6" t="b">
        <v>1</v>
      </c>
      <c r="E6" s="97"/>
      <c r="F6" s="55"/>
      <c r="G6" s="59" t="s">
        <v>220</v>
      </c>
      <c r="H6" s="59" t="s">
        <v>18</v>
      </c>
      <c r="I6" s="59" t="s">
        <v>537</v>
      </c>
      <c r="J6" s="59" t="s">
        <v>449</v>
      </c>
      <c r="K6" s="59" t="s">
        <v>409</v>
      </c>
      <c r="L6" s="59" t="s">
        <v>421</v>
      </c>
      <c r="M6" s="59" t="s">
        <v>470</v>
      </c>
      <c r="N6" s="55" t="s">
        <v>914</v>
      </c>
      <c r="O6" s="55" t="s">
        <v>915</v>
      </c>
      <c r="P6" s="14"/>
    </row>
    <row r="7" spans="1:16" ht="15.75" customHeight="1" x14ac:dyDescent="0.2">
      <c r="E7" s="97"/>
      <c r="F7" s="69">
        <v>2018</v>
      </c>
      <c r="G7" s="59">
        <v>2.2000000000000002</v>
      </c>
      <c r="H7" s="59">
        <v>1.9</v>
      </c>
      <c r="I7" s="59">
        <v>0.6</v>
      </c>
      <c r="J7" s="59">
        <v>1.2</v>
      </c>
      <c r="K7" s="59">
        <v>2.6</v>
      </c>
      <c r="L7" s="59">
        <v>1.6</v>
      </c>
      <c r="M7" s="59">
        <v>2.2000000000000002</v>
      </c>
      <c r="N7" s="59">
        <v>2.2999999999999998</v>
      </c>
      <c r="O7" s="59">
        <v>3.3</v>
      </c>
      <c r="P7" s="14"/>
    </row>
    <row r="8" spans="1:16" x14ac:dyDescent="0.2">
      <c r="E8" s="97"/>
      <c r="F8" s="69">
        <v>2019</v>
      </c>
      <c r="G8" s="59">
        <v>2.4</v>
      </c>
      <c r="H8" s="59">
        <v>2.1</v>
      </c>
      <c r="I8" s="59">
        <v>0.6</v>
      </c>
      <c r="J8" s="59">
        <v>1.3</v>
      </c>
      <c r="K8" s="59">
        <v>2.2999999999999998</v>
      </c>
      <c r="L8" s="59">
        <v>1.7</v>
      </c>
      <c r="M8" s="59">
        <v>2.1</v>
      </c>
      <c r="N8" s="59">
        <v>2.4</v>
      </c>
      <c r="O8" s="59">
        <v>3.3</v>
      </c>
      <c r="P8" s="14"/>
    </row>
    <row r="9" spans="1:16" x14ac:dyDescent="0.2">
      <c r="A9" s="98" t="s">
        <v>893</v>
      </c>
      <c r="B9" s="97"/>
      <c r="E9" s="97"/>
      <c r="F9" s="69">
        <v>2020</v>
      </c>
      <c r="G9" s="59">
        <v>2.6</v>
      </c>
      <c r="H9" s="59">
        <v>2.1</v>
      </c>
      <c r="I9" s="59">
        <v>0.7</v>
      </c>
      <c r="J9" s="59">
        <v>1.2</v>
      </c>
      <c r="K9" s="59">
        <v>1.8</v>
      </c>
      <c r="L9" s="59">
        <v>1.7</v>
      </c>
      <c r="M9" s="59">
        <v>2.2000000000000002</v>
      </c>
      <c r="N9" s="59">
        <v>2.7</v>
      </c>
      <c r="O9" s="59">
        <v>3.7</v>
      </c>
      <c r="P9" s="14"/>
    </row>
    <row r="10" spans="1:16" x14ac:dyDescent="0.2">
      <c r="A10" t="s">
        <v>894</v>
      </c>
      <c r="B10" t="s">
        <v>972</v>
      </c>
      <c r="E10" s="97"/>
      <c r="F10" s="69">
        <v>2021</v>
      </c>
      <c r="G10" s="59">
        <v>2.6</v>
      </c>
      <c r="H10" s="59">
        <v>2.1</v>
      </c>
      <c r="I10" s="59">
        <v>0.9</v>
      </c>
      <c r="J10" s="59">
        <v>1</v>
      </c>
      <c r="K10" s="59">
        <v>2</v>
      </c>
      <c r="L10" s="59">
        <v>1.8</v>
      </c>
      <c r="M10" s="59">
        <v>2</v>
      </c>
      <c r="N10" s="59">
        <v>2.5</v>
      </c>
      <c r="O10" s="59">
        <v>3.6</v>
      </c>
    </row>
    <row r="11" spans="1:16" x14ac:dyDescent="0.2">
      <c r="A11" t="s">
        <v>895</v>
      </c>
      <c r="B11" t="s">
        <v>973</v>
      </c>
      <c r="E11" s="97"/>
      <c r="F11" s="69"/>
      <c r="G11" s="59"/>
      <c r="H11" s="59"/>
      <c r="I11" s="59"/>
      <c r="J11" s="59"/>
      <c r="K11" s="59"/>
      <c r="L11" s="59"/>
      <c r="M11" s="59"/>
      <c r="N11" s="59"/>
      <c r="O11" s="59"/>
    </row>
    <row r="12" spans="1:16" x14ac:dyDescent="0.2">
      <c r="A12" t="s">
        <v>896</v>
      </c>
      <c r="B12" t="s">
        <v>708</v>
      </c>
      <c r="E12" s="97"/>
    </row>
    <row r="13" spans="1:16" x14ac:dyDescent="0.2">
      <c r="A13" t="s">
        <v>897</v>
      </c>
      <c r="E13" s="97"/>
    </row>
    <row r="14" spans="1:16" x14ac:dyDescent="0.2">
      <c r="A14" t="s">
        <v>899</v>
      </c>
      <c r="B14" t="s">
        <v>708</v>
      </c>
      <c r="E14" s="97"/>
    </row>
    <row r="15" spans="1:16" x14ac:dyDescent="0.2">
      <c r="A15" t="s">
        <v>901</v>
      </c>
      <c r="B15" t="b">
        <v>1</v>
      </c>
      <c r="E15" s="97"/>
    </row>
    <row r="16" spans="1:16" x14ac:dyDescent="0.2">
      <c r="E16" s="97"/>
    </row>
    <row r="17" spans="1:12" x14ac:dyDescent="0.2">
      <c r="E17" s="97"/>
    </row>
    <row r="18" spans="1:12" x14ac:dyDescent="0.2">
      <c r="A18" s="98" t="s">
        <v>902</v>
      </c>
      <c r="B18" s="97"/>
      <c r="E18" s="97"/>
    </row>
    <row r="19" spans="1:12" x14ac:dyDescent="0.2">
      <c r="A19" t="s">
        <v>903</v>
      </c>
      <c r="B19" t="s">
        <v>1806</v>
      </c>
      <c r="E19" s="97"/>
    </row>
    <row r="20" spans="1:12" x14ac:dyDescent="0.2">
      <c r="A20" t="s">
        <v>904</v>
      </c>
      <c r="B20" t="s">
        <v>1641</v>
      </c>
      <c r="E20" s="97"/>
    </row>
    <row r="21" spans="1:12" x14ac:dyDescent="0.2">
      <c r="A21" t="s">
        <v>905</v>
      </c>
      <c r="B21" t="s">
        <v>1720</v>
      </c>
      <c r="E21" s="97"/>
    </row>
    <row r="22" spans="1:12" x14ac:dyDescent="0.2">
      <c r="A22" t="s">
        <v>906</v>
      </c>
      <c r="E22" s="97"/>
      <c r="G22" s="67"/>
    </row>
    <row r="23" spans="1:12" x14ac:dyDescent="0.2">
      <c r="A23" t="s">
        <v>907</v>
      </c>
      <c r="B23" t="s">
        <v>1121</v>
      </c>
      <c r="E23" s="97"/>
    </row>
    <row r="24" spans="1:12" x14ac:dyDescent="0.2">
      <c r="A24" t="s">
        <v>908</v>
      </c>
      <c r="B24">
        <v>2025</v>
      </c>
      <c r="E24" s="97"/>
    </row>
    <row r="25" spans="1:12" x14ac:dyDescent="0.2">
      <c r="A25" t="s">
        <v>909</v>
      </c>
      <c r="B25" t="s">
        <v>1805</v>
      </c>
      <c r="E25" s="97"/>
    </row>
    <row r="26" spans="1:12" x14ac:dyDescent="0.2">
      <c r="E26" s="97"/>
      <c r="H26" s="52"/>
      <c r="I26" s="52"/>
    </row>
    <row r="27" spans="1:12" x14ac:dyDescent="0.2">
      <c r="A27" s="100" t="s">
        <v>910</v>
      </c>
      <c r="B27" s="97"/>
      <c r="E27" s="97"/>
    </row>
    <row r="28" spans="1:12" x14ac:dyDescent="0.2">
      <c r="A28" s="114"/>
      <c r="B28" s="114"/>
      <c r="E28" s="97"/>
    </row>
    <row r="29" spans="1:12" x14ac:dyDescent="0.2">
      <c r="A29" s="116" t="s">
        <v>1804</v>
      </c>
      <c r="B29" s="116"/>
      <c r="C29" s="116"/>
      <c r="D29" s="116"/>
      <c r="E29" s="97"/>
      <c r="H29" s="52"/>
      <c r="I29" s="52"/>
      <c r="J29" s="52"/>
      <c r="K29" s="52"/>
      <c r="L29" s="52"/>
    </row>
    <row r="30" spans="1:12" x14ac:dyDescent="0.2">
      <c r="A30" s="116"/>
      <c r="B30" s="116"/>
      <c r="C30" s="116"/>
      <c r="D30" s="116"/>
      <c r="E30" s="97"/>
    </row>
    <row r="31" spans="1:12" x14ac:dyDescent="0.2">
      <c r="A31" s="116"/>
      <c r="B31" s="116"/>
      <c r="C31" s="116"/>
      <c r="D31" s="116"/>
      <c r="E31" s="97"/>
    </row>
    <row r="32" spans="1:12" x14ac:dyDescent="0.2">
      <c r="A32" s="116"/>
      <c r="B32" s="116"/>
      <c r="C32" s="116"/>
      <c r="D32" s="116"/>
      <c r="E32" s="97"/>
      <c r="H32" s="52"/>
      <c r="I32" s="52"/>
      <c r="J32" s="52"/>
      <c r="K32" s="52"/>
      <c r="L32" s="52"/>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662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tbl-dv-victim-rate</v>
      </c>
    </row>
    <row r="4" spans="1:16" x14ac:dyDescent="0.2">
      <c r="A4" s="58" t="s">
        <v>6</v>
      </c>
      <c r="B4" t="str">
        <f>IF($B$1="","",_xlfn.XLOOKUP($B$1,Master!$F$2:$F$308,Master!$H$2:$H$308,""))</f>
        <v>fig-dv-victim-rate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F5" s="55"/>
      <c r="G5" s="59" t="s">
        <v>220</v>
      </c>
      <c r="H5" s="59" t="s">
        <v>18</v>
      </c>
      <c r="I5" s="59" t="s">
        <v>537</v>
      </c>
      <c r="J5" s="59" t="s">
        <v>449</v>
      </c>
      <c r="K5" s="59" t="s">
        <v>409</v>
      </c>
      <c r="L5" s="59" t="s">
        <v>421</v>
      </c>
      <c r="M5" s="59" t="s">
        <v>470</v>
      </c>
      <c r="N5" s="55" t="s">
        <v>914</v>
      </c>
      <c r="O5" s="55" t="s">
        <v>915</v>
      </c>
    </row>
    <row r="6" spans="1:16" ht="15" customHeight="1" x14ac:dyDescent="0.2">
      <c r="A6" t="s">
        <v>891</v>
      </c>
      <c r="B6" t="b">
        <v>0</v>
      </c>
      <c r="E6" s="97"/>
      <c r="F6" s="69">
        <v>2018</v>
      </c>
      <c r="G6" s="59">
        <v>292</v>
      </c>
      <c r="H6" s="59">
        <v>448</v>
      </c>
      <c r="I6" s="59">
        <v>108</v>
      </c>
      <c r="J6" s="59">
        <v>249</v>
      </c>
      <c r="K6" s="59">
        <v>162</v>
      </c>
      <c r="L6" s="59">
        <v>295</v>
      </c>
      <c r="M6" s="59">
        <v>178</v>
      </c>
      <c r="N6" s="59">
        <v>423</v>
      </c>
      <c r="O6" s="59">
        <v>402</v>
      </c>
      <c r="P6" s="14"/>
    </row>
    <row r="7" spans="1:16" ht="15.75" customHeight="1" x14ac:dyDescent="0.2">
      <c r="E7" s="97"/>
      <c r="F7" s="69">
        <v>2019</v>
      </c>
      <c r="G7" s="59">
        <v>285</v>
      </c>
      <c r="H7" s="59">
        <v>512</v>
      </c>
      <c r="I7" s="59">
        <v>53</v>
      </c>
      <c r="J7" s="59">
        <v>204</v>
      </c>
      <c r="K7" s="59">
        <v>180</v>
      </c>
      <c r="L7" s="59">
        <v>297</v>
      </c>
      <c r="M7" s="59">
        <v>181</v>
      </c>
      <c r="N7" s="59">
        <v>428</v>
      </c>
      <c r="O7" s="59">
        <v>422</v>
      </c>
      <c r="P7" s="14"/>
    </row>
    <row r="8" spans="1:16" x14ac:dyDescent="0.2">
      <c r="E8" s="97"/>
      <c r="F8" s="69">
        <v>2020</v>
      </c>
      <c r="G8" s="59">
        <v>305</v>
      </c>
      <c r="H8" s="59">
        <v>483</v>
      </c>
      <c r="I8" s="59">
        <v>48</v>
      </c>
      <c r="J8" s="59">
        <v>229</v>
      </c>
      <c r="K8" s="59">
        <v>182</v>
      </c>
      <c r="L8" s="59">
        <v>294</v>
      </c>
      <c r="M8" s="59">
        <v>173</v>
      </c>
      <c r="N8" s="59">
        <v>437</v>
      </c>
      <c r="O8" s="59">
        <v>451</v>
      </c>
      <c r="P8" s="14"/>
    </row>
    <row r="9" spans="1:16" x14ac:dyDescent="0.2">
      <c r="A9" s="98" t="s">
        <v>893</v>
      </c>
      <c r="B9" s="97"/>
      <c r="E9" s="97"/>
      <c r="F9" s="69">
        <v>2021</v>
      </c>
      <c r="G9" s="59">
        <v>363</v>
      </c>
      <c r="H9" s="59">
        <v>470</v>
      </c>
      <c r="I9" s="59">
        <v>93</v>
      </c>
      <c r="J9" s="59">
        <v>288</v>
      </c>
      <c r="K9" s="59">
        <v>256</v>
      </c>
      <c r="L9" s="59">
        <v>362</v>
      </c>
      <c r="M9" s="59">
        <v>230</v>
      </c>
      <c r="N9" s="59">
        <v>464</v>
      </c>
      <c r="O9" s="59">
        <v>484</v>
      </c>
      <c r="P9" s="14"/>
    </row>
    <row r="10" spans="1:16" x14ac:dyDescent="0.2">
      <c r="A10" t="s">
        <v>894</v>
      </c>
      <c r="B10" t="s">
        <v>972</v>
      </c>
      <c r="E10" s="97"/>
      <c r="F10" s="69"/>
      <c r="G10" s="59"/>
      <c r="H10" s="59"/>
      <c r="I10" s="59"/>
      <c r="J10" s="59"/>
      <c r="K10" s="59"/>
      <c r="L10" s="59"/>
      <c r="M10" s="59"/>
      <c r="N10" s="59"/>
      <c r="O10" s="59"/>
    </row>
    <row r="11" spans="1:16" x14ac:dyDescent="0.2">
      <c r="A11" t="s">
        <v>895</v>
      </c>
      <c r="B11" t="s">
        <v>973</v>
      </c>
      <c r="E11" s="97"/>
    </row>
    <row r="12" spans="1:16" x14ac:dyDescent="0.2">
      <c r="A12" t="s">
        <v>896</v>
      </c>
      <c r="B12" t="s">
        <v>715</v>
      </c>
      <c r="E12" s="97"/>
    </row>
    <row r="13" spans="1:16" x14ac:dyDescent="0.2">
      <c r="A13" t="s">
        <v>897</v>
      </c>
      <c r="E13" s="97"/>
    </row>
    <row r="14" spans="1:16" x14ac:dyDescent="0.2">
      <c r="A14" t="s">
        <v>899</v>
      </c>
      <c r="B14" t="s">
        <v>715</v>
      </c>
      <c r="E14" s="97"/>
    </row>
    <row r="15" spans="1:16" x14ac:dyDescent="0.2">
      <c r="A15" t="s">
        <v>901</v>
      </c>
      <c r="B15" t="b">
        <v>1</v>
      </c>
      <c r="E15" s="97"/>
    </row>
    <row r="16" spans="1:16" x14ac:dyDescent="0.2">
      <c r="E16" s="97"/>
    </row>
    <row r="17" spans="1:12" x14ac:dyDescent="0.2">
      <c r="E17" s="97"/>
    </row>
    <row r="18" spans="1:12" x14ac:dyDescent="0.2">
      <c r="A18" s="98" t="s">
        <v>902</v>
      </c>
      <c r="B18" s="97"/>
      <c r="E18" s="97"/>
    </row>
    <row r="19" spans="1:12" x14ac:dyDescent="0.2">
      <c r="A19" t="s">
        <v>903</v>
      </c>
      <c r="B19" t="s">
        <v>190</v>
      </c>
      <c r="E19" s="97"/>
    </row>
    <row r="20" spans="1:12" x14ac:dyDescent="0.2">
      <c r="A20" t="s">
        <v>904</v>
      </c>
      <c r="B20" t="s">
        <v>1809</v>
      </c>
      <c r="E20" s="97"/>
    </row>
    <row r="21" spans="1:12" x14ac:dyDescent="0.2">
      <c r="A21" t="s">
        <v>905</v>
      </c>
      <c r="B21" t="s">
        <v>1810</v>
      </c>
      <c r="E21" s="97"/>
    </row>
    <row r="22" spans="1:12" x14ac:dyDescent="0.2">
      <c r="A22" t="s">
        <v>906</v>
      </c>
      <c r="E22" s="97"/>
    </row>
    <row r="23" spans="1:12" x14ac:dyDescent="0.2">
      <c r="A23" t="s">
        <v>907</v>
      </c>
      <c r="B23" t="s">
        <v>1153</v>
      </c>
      <c r="E23" s="97"/>
    </row>
    <row r="24" spans="1:12" x14ac:dyDescent="0.2">
      <c r="A24" t="s">
        <v>908</v>
      </c>
      <c r="B24">
        <v>2025</v>
      </c>
      <c r="E24" s="97"/>
    </row>
    <row r="25" spans="1:12" x14ac:dyDescent="0.2">
      <c r="A25" t="s">
        <v>909</v>
      </c>
      <c r="B25" t="s">
        <v>1808</v>
      </c>
      <c r="E25" s="97"/>
      <c r="H25" s="52"/>
      <c r="I25" s="52"/>
    </row>
    <row r="26" spans="1:12" x14ac:dyDescent="0.2">
      <c r="E26" s="97"/>
    </row>
    <row r="27" spans="1:12" x14ac:dyDescent="0.2">
      <c r="A27" s="100" t="s">
        <v>910</v>
      </c>
      <c r="B27" s="97"/>
      <c r="E27" s="97"/>
    </row>
    <row r="28" spans="1:12" x14ac:dyDescent="0.2">
      <c r="A28" s="114"/>
      <c r="B28" s="114"/>
      <c r="E28" s="97"/>
      <c r="H28" s="52"/>
      <c r="I28" s="52"/>
      <c r="J28" s="52"/>
      <c r="K28" s="52"/>
      <c r="L28" s="52"/>
    </row>
    <row r="29" spans="1:12" x14ac:dyDescent="0.2">
      <c r="A29" s="116" t="s">
        <v>1807</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14</v>
      </c>
      <c r="C1" s="113"/>
      <c r="D1" s="113"/>
      <c r="E1" s="113"/>
      <c r="F1" s="113"/>
      <c r="G1" s="113"/>
      <c r="H1" s="113"/>
      <c r="I1" s="113"/>
      <c r="J1" s="113"/>
      <c r="K1" s="113"/>
      <c r="L1" s="113"/>
      <c r="M1" s="113"/>
      <c r="N1" s="113"/>
      <c r="O1" s="113"/>
    </row>
    <row r="2" spans="1:15" x14ac:dyDescent="0.2">
      <c r="A2" s="58" t="s">
        <v>883</v>
      </c>
    </row>
    <row r="3" spans="1:15" x14ac:dyDescent="0.2">
      <c r="A3" s="58" t="s">
        <v>884</v>
      </c>
      <c r="B3" t="str">
        <f>IF($B$1="","",_xlfn.XLOOKUP($B$1,Master!$F$2:$F$308,Master!$G$2:$G$308,""))</f>
        <v>tbl-population-demographics</v>
      </c>
    </row>
    <row r="4" spans="1:15" x14ac:dyDescent="0.2">
      <c r="A4" s="58" t="s">
        <v>6</v>
      </c>
      <c r="B4">
        <f>IF($B$1="","",_xlfn.XLOOKUP($B$1,Master!$F$2:$F$308,Master!$H$2:$H$308,""))</f>
        <v>0</v>
      </c>
      <c r="E4" s="13"/>
      <c r="F4" s="13"/>
      <c r="G4" s="16" t="s">
        <v>664</v>
      </c>
      <c r="H4" s="16" t="s">
        <v>679</v>
      </c>
      <c r="I4" s="16" t="s">
        <v>679</v>
      </c>
      <c r="J4" s="16"/>
      <c r="K4" s="16"/>
      <c r="L4" s="16"/>
      <c r="M4" s="16"/>
      <c r="N4" s="16"/>
      <c r="O4" s="16"/>
    </row>
    <row r="5" spans="1:15" x14ac:dyDescent="0.2">
      <c r="A5" s="98" t="s">
        <v>885</v>
      </c>
      <c r="B5" s="97"/>
      <c r="E5" s="99" t="s">
        <v>886</v>
      </c>
    </row>
    <row r="6" spans="1:15" ht="15" customHeight="1" x14ac:dyDescent="0.2">
      <c r="A6" t="s">
        <v>891</v>
      </c>
      <c r="E6" s="97"/>
    </row>
    <row r="7" spans="1:15" ht="15.75" customHeight="1" x14ac:dyDescent="0.2">
      <c r="E7" s="97"/>
    </row>
    <row r="8" spans="1:15" x14ac:dyDescent="0.2">
      <c r="E8" s="97"/>
    </row>
    <row r="9" spans="1:15" x14ac:dyDescent="0.2">
      <c r="A9" s="98" t="s">
        <v>893</v>
      </c>
      <c r="B9" s="97"/>
      <c r="E9" s="97"/>
    </row>
    <row r="10" spans="1:15" x14ac:dyDescent="0.2">
      <c r="A10" t="s">
        <v>894</v>
      </c>
      <c r="E10" s="97"/>
    </row>
    <row r="11" spans="1:15" x14ac:dyDescent="0.2">
      <c r="A11" t="s">
        <v>895</v>
      </c>
      <c r="E11" s="97"/>
    </row>
    <row r="12" spans="1:15" x14ac:dyDescent="0.2">
      <c r="A12" t="s">
        <v>896</v>
      </c>
      <c r="E12" s="97"/>
    </row>
    <row r="13" spans="1:15" x14ac:dyDescent="0.2">
      <c r="A13" t="s">
        <v>897</v>
      </c>
      <c r="E13" s="97"/>
    </row>
    <row r="14" spans="1:15" x14ac:dyDescent="0.2">
      <c r="A14" t="s">
        <v>899</v>
      </c>
      <c r="E14" s="97"/>
    </row>
    <row r="15" spans="1:15" x14ac:dyDescent="0.2">
      <c r="A15" t="s">
        <v>901</v>
      </c>
      <c r="E15" s="97"/>
    </row>
    <row r="16" spans="1:15"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96" t="s">
        <v>58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tbl-labor-force</v>
      </c>
    </row>
    <row r="4" spans="1:15" x14ac:dyDescent="0.2">
      <c r="A4" s="58" t="s">
        <v>6</v>
      </c>
      <c r="B4" t="str">
        <f>IF($B$1="","",_xlfn.XLOOKUP($B$1,Master!$F$2:$F$308,Master!$H$2:$H$308,""))</f>
        <v>fig-labor-force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7"/>
      <c r="E5" s="99" t="s">
        <v>886</v>
      </c>
      <c r="F5" s="1"/>
      <c r="G5" s="1" t="s">
        <v>220</v>
      </c>
      <c r="H5" s="1" t="s">
        <v>18</v>
      </c>
      <c r="I5" s="1" t="s">
        <v>537</v>
      </c>
      <c r="J5" s="1" t="s">
        <v>449</v>
      </c>
      <c r="K5" s="1" t="s">
        <v>409</v>
      </c>
      <c r="L5" s="1" t="s">
        <v>421</v>
      </c>
      <c r="M5" s="1" t="s">
        <v>470</v>
      </c>
      <c r="N5" s="1" t="s">
        <v>915</v>
      </c>
      <c r="O5" s="1" t="s">
        <v>1141</v>
      </c>
    </row>
    <row r="6" spans="1:15" ht="15" customHeight="1" x14ac:dyDescent="0.2">
      <c r="A6" t="s">
        <v>891</v>
      </c>
      <c r="E6" s="97"/>
      <c r="F6" t="s">
        <v>1142</v>
      </c>
      <c r="G6">
        <v>63</v>
      </c>
      <c r="H6">
        <v>63.9</v>
      </c>
      <c r="I6">
        <v>65.2</v>
      </c>
      <c r="J6">
        <v>63.9</v>
      </c>
      <c r="K6">
        <v>56.1</v>
      </c>
      <c r="L6">
        <v>60.1</v>
      </c>
      <c r="M6">
        <v>65.5</v>
      </c>
      <c r="N6">
        <v>63.1</v>
      </c>
      <c r="O6">
        <v>63.6</v>
      </c>
    </row>
    <row r="7" spans="1:15" ht="15.75" customHeight="1" x14ac:dyDescent="0.2">
      <c r="E7" s="97"/>
      <c r="F7" t="s">
        <v>1143</v>
      </c>
      <c r="G7">
        <v>62.8</v>
      </c>
      <c r="H7">
        <v>63.4</v>
      </c>
      <c r="I7">
        <v>64.7</v>
      </c>
      <c r="J7">
        <v>63.2</v>
      </c>
      <c r="K7">
        <v>58.1</v>
      </c>
      <c r="L7">
        <v>58.9</v>
      </c>
      <c r="M7">
        <v>65.2</v>
      </c>
      <c r="N7">
        <v>62.9</v>
      </c>
      <c r="O7">
        <v>63.5</v>
      </c>
    </row>
    <row r="8" spans="1:15" x14ac:dyDescent="0.2">
      <c r="E8" s="97"/>
      <c r="F8" t="s">
        <v>1144</v>
      </c>
      <c r="G8">
        <v>63.3</v>
      </c>
      <c r="H8">
        <v>63.5</v>
      </c>
      <c r="I8">
        <v>64.7</v>
      </c>
      <c r="J8">
        <v>63.2</v>
      </c>
      <c r="K8">
        <v>59.1</v>
      </c>
      <c r="L8">
        <v>58.7</v>
      </c>
      <c r="M8">
        <v>65.400000000000006</v>
      </c>
      <c r="N8">
        <v>63</v>
      </c>
      <c r="O8">
        <v>63.5</v>
      </c>
    </row>
    <row r="9" spans="1:15" x14ac:dyDescent="0.2">
      <c r="A9" s="98" t="s">
        <v>893</v>
      </c>
      <c r="B9" s="97"/>
      <c r="E9" s="97"/>
    </row>
    <row r="10" spans="1:15" x14ac:dyDescent="0.2">
      <c r="A10" t="s">
        <v>894</v>
      </c>
      <c r="B10" t="s">
        <v>972</v>
      </c>
      <c r="E10" s="97"/>
    </row>
    <row r="11" spans="1:15" x14ac:dyDescent="0.2">
      <c r="A11" t="s">
        <v>895</v>
      </c>
      <c r="B11" t="s">
        <v>1123</v>
      </c>
      <c r="E11" s="97"/>
    </row>
    <row r="12" spans="1:15" x14ac:dyDescent="0.2">
      <c r="A12" t="s">
        <v>896</v>
      </c>
      <c r="E12" s="97"/>
    </row>
    <row r="13" spans="1:15" x14ac:dyDescent="0.2">
      <c r="A13" t="s">
        <v>897</v>
      </c>
      <c r="E13" s="97"/>
    </row>
    <row r="14" spans="1:15" x14ac:dyDescent="0.2">
      <c r="A14" t="s">
        <v>899</v>
      </c>
      <c r="B14" t="s">
        <v>1145</v>
      </c>
      <c r="E14" s="97"/>
    </row>
    <row r="15" spans="1:15" x14ac:dyDescent="0.2">
      <c r="A15" t="s">
        <v>901</v>
      </c>
      <c r="E15" s="97"/>
    </row>
    <row r="16" spans="1:15" x14ac:dyDescent="0.2">
      <c r="A16" t="s">
        <v>1146</v>
      </c>
      <c r="B16" t="s">
        <v>1147</v>
      </c>
      <c r="E16" s="97"/>
    </row>
    <row r="17" spans="1:5" x14ac:dyDescent="0.2">
      <c r="E17" s="97"/>
    </row>
    <row r="18" spans="1:5" x14ac:dyDescent="0.2">
      <c r="A18" s="98" t="s">
        <v>902</v>
      </c>
      <c r="B18" s="97"/>
      <c r="E18" s="97"/>
    </row>
    <row r="19" spans="1:5" x14ac:dyDescent="0.2">
      <c r="A19" t="s">
        <v>903</v>
      </c>
      <c r="B19" t="s">
        <v>1148</v>
      </c>
      <c r="E19" s="97"/>
    </row>
    <row r="20" spans="1:5" x14ac:dyDescent="0.2">
      <c r="A20" t="s">
        <v>904</v>
      </c>
      <c r="B20" t="s">
        <v>1149</v>
      </c>
      <c r="E20" s="97"/>
    </row>
    <row r="21" spans="1:5" x14ac:dyDescent="0.2">
      <c r="A21" t="s">
        <v>905</v>
      </c>
      <c r="B21">
        <v>2023</v>
      </c>
      <c r="E21" s="97"/>
    </row>
    <row r="22" spans="1:5" x14ac:dyDescent="0.2">
      <c r="A22" t="s">
        <v>906</v>
      </c>
      <c r="B22" t="s">
        <v>1150</v>
      </c>
      <c r="E22" s="97"/>
    </row>
    <row r="23" spans="1:5" x14ac:dyDescent="0.2">
      <c r="A23" t="s">
        <v>907</v>
      </c>
      <c r="B23" t="s">
        <v>976</v>
      </c>
      <c r="E23" s="97"/>
    </row>
    <row r="24" spans="1:5" x14ac:dyDescent="0.2">
      <c r="A24" t="s">
        <v>908</v>
      </c>
      <c r="B24">
        <v>2025</v>
      </c>
      <c r="E24" s="97"/>
    </row>
    <row r="25" spans="1:5" x14ac:dyDescent="0.2">
      <c r="A25" t="s">
        <v>909</v>
      </c>
      <c r="E25" s="97"/>
    </row>
    <row r="26" spans="1:5" x14ac:dyDescent="0.2">
      <c r="E26" s="97"/>
    </row>
    <row r="27" spans="1:5" x14ac:dyDescent="0.2">
      <c r="A27" t="s">
        <v>910</v>
      </c>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96" t="s">
        <v>63</v>
      </c>
      <c r="C1" s="97"/>
      <c r="D1" s="97"/>
      <c r="E1" s="97"/>
      <c r="F1" s="97"/>
      <c r="G1" s="97"/>
      <c r="H1" s="97"/>
      <c r="I1" s="97"/>
      <c r="J1" s="97"/>
      <c r="K1" s="97"/>
      <c r="L1" s="97"/>
      <c r="M1" s="97"/>
      <c r="N1" s="97"/>
      <c r="O1" s="97"/>
    </row>
    <row r="2" spans="1:15" x14ac:dyDescent="0.2">
      <c r="A2" s="58" t="s">
        <v>883</v>
      </c>
      <c r="B2" t="s">
        <v>1120</v>
      </c>
    </row>
    <row r="3" spans="1:15" ht="16.25" customHeight="1" x14ac:dyDescent="0.2">
      <c r="A3" s="58" t="s">
        <v>884</v>
      </c>
      <c r="B3" t="str">
        <f>IF($B$1="","",_xlfn.XLOOKUP($B$1,Master!$F$2:$F$308,Master!$G$2:$G$308,""))</f>
        <v>tbl-unemployed</v>
      </c>
    </row>
    <row r="4" spans="1:15" x14ac:dyDescent="0.2">
      <c r="A4" s="58" t="s">
        <v>6</v>
      </c>
      <c r="B4" t="str">
        <f>IF($B$1="","",_xlfn.XLOOKUP($B$1,Master!$F$2:$F$308,Master!$H$2:$H$308,""))</f>
        <v>fig-unemployed</v>
      </c>
      <c r="E4" s="13"/>
      <c r="F4" s="16"/>
      <c r="G4" s="16" t="s">
        <v>679</v>
      </c>
      <c r="H4" s="16" t="s">
        <v>679</v>
      </c>
      <c r="I4" s="16" t="s">
        <v>679</v>
      </c>
      <c r="J4" s="16" t="s">
        <v>679</v>
      </c>
      <c r="K4" s="16" t="s">
        <v>679</v>
      </c>
      <c r="L4" s="16" t="s">
        <v>679</v>
      </c>
      <c r="M4" s="16" t="s">
        <v>679</v>
      </c>
      <c r="N4" s="16" t="s">
        <v>679</v>
      </c>
      <c r="O4" s="16" t="s">
        <v>679</v>
      </c>
    </row>
    <row r="5" spans="1:15" x14ac:dyDescent="0.2">
      <c r="A5" s="98" t="s">
        <v>885</v>
      </c>
      <c r="B5" s="97"/>
      <c r="E5" s="99" t="s">
        <v>886</v>
      </c>
      <c r="F5" s="1" t="s">
        <v>887</v>
      </c>
      <c r="G5" s="1" t="s">
        <v>220</v>
      </c>
      <c r="H5" s="1" t="s">
        <v>18</v>
      </c>
      <c r="I5" s="1" t="s">
        <v>537</v>
      </c>
      <c r="J5" s="1" t="s">
        <v>449</v>
      </c>
      <c r="K5" s="1" t="s">
        <v>409</v>
      </c>
      <c r="L5" s="1" t="s">
        <v>421</v>
      </c>
      <c r="M5" s="1" t="s">
        <v>470</v>
      </c>
      <c r="N5" s="1" t="s">
        <v>915</v>
      </c>
      <c r="O5" s="1" t="s">
        <v>1141</v>
      </c>
    </row>
    <row r="6" spans="1:15" ht="15" customHeight="1" x14ac:dyDescent="0.2">
      <c r="A6" t="s">
        <v>891</v>
      </c>
      <c r="E6" s="97"/>
      <c r="F6">
        <v>2021</v>
      </c>
      <c r="G6">
        <v>5.2</v>
      </c>
      <c r="H6">
        <v>5.4</v>
      </c>
      <c r="I6">
        <v>4.8</v>
      </c>
      <c r="J6" s="14">
        <v>6</v>
      </c>
      <c r="K6">
        <v>8</v>
      </c>
      <c r="L6">
        <v>5.0999999999999996</v>
      </c>
      <c r="M6">
        <v>6.1</v>
      </c>
      <c r="N6">
        <v>6.2</v>
      </c>
      <c r="O6">
        <v>5.5</v>
      </c>
    </row>
    <row r="7" spans="1:15" ht="15.75" customHeight="1" x14ac:dyDescent="0.2">
      <c r="E7" s="97"/>
      <c r="F7">
        <v>2022</v>
      </c>
      <c r="G7" s="14">
        <v>5</v>
      </c>
      <c r="H7">
        <v>5.3</v>
      </c>
      <c r="I7">
        <v>4.4000000000000004</v>
      </c>
      <c r="J7">
        <v>6.2</v>
      </c>
      <c r="K7">
        <v>7.2</v>
      </c>
      <c r="L7">
        <v>5.0999999999999996</v>
      </c>
      <c r="M7">
        <v>6</v>
      </c>
      <c r="N7">
        <v>6.2</v>
      </c>
      <c r="O7">
        <v>5.3</v>
      </c>
    </row>
    <row r="8" spans="1:15" x14ac:dyDescent="0.2">
      <c r="E8" s="97"/>
      <c r="F8">
        <v>2023</v>
      </c>
      <c r="G8">
        <v>4.8</v>
      </c>
      <c r="H8">
        <v>5.4</v>
      </c>
      <c r="I8">
        <v>4.0999999999999996</v>
      </c>
      <c r="J8">
        <v>5.9</v>
      </c>
      <c r="K8">
        <v>6.1</v>
      </c>
      <c r="L8">
        <v>5.0999999999999996</v>
      </c>
      <c r="M8">
        <v>6</v>
      </c>
      <c r="N8">
        <v>6.2</v>
      </c>
      <c r="O8">
        <v>5.2</v>
      </c>
    </row>
    <row r="9" spans="1:15" x14ac:dyDescent="0.2">
      <c r="A9" s="98" t="s">
        <v>893</v>
      </c>
      <c r="B9" s="97"/>
      <c r="E9" s="97"/>
    </row>
    <row r="10" spans="1:15" x14ac:dyDescent="0.2">
      <c r="A10" t="s">
        <v>894</v>
      </c>
      <c r="B10" t="s">
        <v>983</v>
      </c>
      <c r="E10" s="97"/>
    </row>
    <row r="11" spans="1:15" x14ac:dyDescent="0.2">
      <c r="A11" t="s">
        <v>895</v>
      </c>
      <c r="B11" t="s">
        <v>887</v>
      </c>
      <c r="E11" s="97"/>
    </row>
    <row r="12" spans="1:15" x14ac:dyDescent="0.2">
      <c r="A12" t="s">
        <v>896</v>
      </c>
      <c r="E12" s="97"/>
    </row>
    <row r="13" spans="1:15" x14ac:dyDescent="0.2">
      <c r="A13" t="s">
        <v>897</v>
      </c>
      <c r="E13" s="97"/>
    </row>
    <row r="14" spans="1:15" x14ac:dyDescent="0.2">
      <c r="A14" t="s">
        <v>899</v>
      </c>
      <c r="B14" t="s">
        <v>694</v>
      </c>
      <c r="E14" s="97"/>
    </row>
    <row r="15" spans="1:15" x14ac:dyDescent="0.2">
      <c r="A15" t="s">
        <v>901</v>
      </c>
      <c r="B15" t="b">
        <v>1</v>
      </c>
      <c r="E15" s="97"/>
    </row>
    <row r="16" spans="1:15" x14ac:dyDescent="0.2">
      <c r="A16" t="s">
        <v>1816</v>
      </c>
      <c r="B16" t="b">
        <v>1</v>
      </c>
      <c r="E16" s="97"/>
    </row>
    <row r="17" spans="1:5" x14ac:dyDescent="0.2">
      <c r="E17" s="97"/>
    </row>
    <row r="18" spans="1:5" x14ac:dyDescent="0.2">
      <c r="A18" s="98" t="s">
        <v>902</v>
      </c>
      <c r="B18" s="97"/>
      <c r="E18" s="97"/>
    </row>
    <row r="19" spans="1:5" x14ac:dyDescent="0.2">
      <c r="A19" t="s">
        <v>903</v>
      </c>
      <c r="B19" t="s">
        <v>1148</v>
      </c>
      <c r="E19" s="97"/>
    </row>
    <row r="20" spans="1:5" x14ac:dyDescent="0.2">
      <c r="A20" t="s">
        <v>904</v>
      </c>
      <c r="B20" t="s">
        <v>1149</v>
      </c>
      <c r="E20" s="97"/>
    </row>
    <row r="21" spans="1:5" x14ac:dyDescent="0.2">
      <c r="A21" t="s">
        <v>905</v>
      </c>
      <c r="B21">
        <v>2023</v>
      </c>
      <c r="E21" s="97"/>
    </row>
    <row r="22" spans="1:5" x14ac:dyDescent="0.2">
      <c r="A22" t="s">
        <v>906</v>
      </c>
      <c r="B22" t="s">
        <v>1150</v>
      </c>
      <c r="E22" s="97"/>
    </row>
    <row r="23" spans="1:5" x14ac:dyDescent="0.2">
      <c r="A23" t="s">
        <v>907</v>
      </c>
      <c r="B23" t="s">
        <v>976</v>
      </c>
      <c r="E23" s="97"/>
    </row>
    <row r="24" spans="1:5" x14ac:dyDescent="0.2">
      <c r="A24" t="s">
        <v>908</v>
      </c>
      <c r="B24">
        <v>2025</v>
      </c>
      <c r="E24" s="97"/>
    </row>
    <row r="25" spans="1:5" x14ac:dyDescent="0.2">
      <c r="A25" t="s">
        <v>909</v>
      </c>
      <c r="E25" s="97"/>
    </row>
    <row r="26" spans="1:5" x14ac:dyDescent="0.2">
      <c r="E26" s="97"/>
    </row>
    <row r="27" spans="1:5" x14ac:dyDescent="0.2">
      <c r="A27" t="s">
        <v>910</v>
      </c>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67</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tbl-food-insecurity</v>
      </c>
    </row>
    <row r="4" spans="1:15" x14ac:dyDescent="0.2">
      <c r="A4" s="58" t="s">
        <v>6</v>
      </c>
      <c r="B4" t="str">
        <f>IF($B$1="","",_xlfn.XLOOKUP($B$1,Master!$F$2:$F$308,Master!$H$2:$H$308,""))</f>
        <v>fig-food-insecurity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7"/>
      <c r="E5" s="99" t="s">
        <v>886</v>
      </c>
      <c r="G5" t="s">
        <v>220</v>
      </c>
      <c r="H5" t="s">
        <v>18</v>
      </c>
      <c r="I5" t="s">
        <v>537</v>
      </c>
      <c r="J5" t="s">
        <v>449</v>
      </c>
      <c r="K5" t="s">
        <v>409</v>
      </c>
      <c r="L5" t="s">
        <v>421</v>
      </c>
      <c r="M5" t="s">
        <v>470</v>
      </c>
      <c r="N5" t="s">
        <v>915</v>
      </c>
    </row>
    <row r="6" spans="1:15" ht="15" customHeight="1" x14ac:dyDescent="0.2">
      <c r="A6" t="s">
        <v>891</v>
      </c>
      <c r="B6" t="b">
        <v>0</v>
      </c>
      <c r="E6" s="97"/>
      <c r="F6">
        <v>2020</v>
      </c>
      <c r="G6">
        <v>8.6999999999999993</v>
      </c>
      <c r="H6">
        <v>9.4</v>
      </c>
      <c r="I6">
        <v>6.3</v>
      </c>
      <c r="J6">
        <v>9.6999999999999993</v>
      </c>
      <c r="K6">
        <v>11.5</v>
      </c>
      <c r="L6">
        <v>11.3</v>
      </c>
      <c r="M6">
        <v>7.9</v>
      </c>
      <c r="N6">
        <v>9.6</v>
      </c>
    </row>
    <row r="7" spans="1:15" ht="15.75" customHeight="1" x14ac:dyDescent="0.2">
      <c r="E7" s="97"/>
      <c r="F7">
        <v>2021</v>
      </c>
      <c r="G7">
        <v>7.2</v>
      </c>
      <c r="H7">
        <v>7.8</v>
      </c>
      <c r="I7">
        <v>5.3</v>
      </c>
      <c r="J7">
        <v>8.1999999999999993</v>
      </c>
      <c r="K7">
        <v>9.9</v>
      </c>
      <c r="L7">
        <v>9.5</v>
      </c>
      <c r="M7">
        <v>6.6</v>
      </c>
      <c r="N7">
        <v>11.4</v>
      </c>
    </row>
    <row r="8" spans="1:15" x14ac:dyDescent="0.2">
      <c r="E8" s="97"/>
      <c r="F8">
        <v>2022</v>
      </c>
      <c r="G8">
        <v>10</v>
      </c>
      <c r="H8">
        <v>11.3</v>
      </c>
      <c r="I8">
        <v>8.4</v>
      </c>
      <c r="J8">
        <v>11</v>
      </c>
      <c r="K8">
        <v>13.1</v>
      </c>
      <c r="L8">
        <v>12.8</v>
      </c>
      <c r="M8">
        <v>9.4</v>
      </c>
      <c r="N8">
        <v>13.4</v>
      </c>
    </row>
    <row r="9" spans="1:15" x14ac:dyDescent="0.2">
      <c r="A9" s="98" t="s">
        <v>893</v>
      </c>
      <c r="B9" s="97"/>
      <c r="E9" s="97"/>
      <c r="F9">
        <v>2023</v>
      </c>
      <c r="G9">
        <v>10.8</v>
      </c>
      <c r="H9">
        <v>12.1</v>
      </c>
      <c r="I9">
        <v>8.9</v>
      </c>
      <c r="J9">
        <v>12</v>
      </c>
      <c r="K9">
        <v>14</v>
      </c>
      <c r="L9">
        <v>13.2</v>
      </c>
      <c r="M9">
        <v>10.7</v>
      </c>
      <c r="N9">
        <v>14.5</v>
      </c>
    </row>
    <row r="10" spans="1:15" x14ac:dyDescent="0.2">
      <c r="A10" t="s">
        <v>894</v>
      </c>
      <c r="B10" t="s">
        <v>972</v>
      </c>
      <c r="E10" s="97"/>
    </row>
    <row r="11" spans="1:15" x14ac:dyDescent="0.2">
      <c r="A11" t="s">
        <v>895</v>
      </c>
      <c r="E11" s="97"/>
    </row>
    <row r="12" spans="1:15" x14ac:dyDescent="0.2">
      <c r="A12" t="s">
        <v>896</v>
      </c>
      <c r="E12" s="97"/>
    </row>
    <row r="13" spans="1:15" x14ac:dyDescent="0.2">
      <c r="A13" t="s">
        <v>897</v>
      </c>
      <c r="E13" s="97"/>
    </row>
    <row r="14" spans="1:15" x14ac:dyDescent="0.2">
      <c r="A14" t="s">
        <v>899</v>
      </c>
      <c r="B14" t="s">
        <v>1151</v>
      </c>
      <c r="E14" s="97"/>
    </row>
    <row r="15" spans="1:15" x14ac:dyDescent="0.2">
      <c r="A15" t="s">
        <v>901</v>
      </c>
      <c r="B15" t="b">
        <v>0</v>
      </c>
      <c r="E15" s="97"/>
    </row>
    <row r="16" spans="1:15" x14ac:dyDescent="0.2">
      <c r="E16" s="97"/>
    </row>
    <row r="17" spans="1:5" x14ac:dyDescent="0.2">
      <c r="E17" s="97"/>
    </row>
    <row r="18" spans="1:5" x14ac:dyDescent="0.2">
      <c r="A18" s="98" t="s">
        <v>902</v>
      </c>
      <c r="B18" s="97"/>
      <c r="E18" s="97"/>
    </row>
    <row r="19" spans="1:5" x14ac:dyDescent="0.2">
      <c r="A19" t="s">
        <v>903</v>
      </c>
      <c r="B19" s="8"/>
      <c r="E19" s="97"/>
    </row>
    <row r="20" spans="1:5" x14ac:dyDescent="0.2">
      <c r="A20" t="s">
        <v>904</v>
      </c>
      <c r="B20" s="8" t="s">
        <v>1152</v>
      </c>
      <c r="E20" s="97"/>
    </row>
    <row r="21" spans="1:5" x14ac:dyDescent="0.2">
      <c r="A21" t="s">
        <v>905</v>
      </c>
      <c r="B21" s="8">
        <v>2023</v>
      </c>
      <c r="E21" s="97"/>
    </row>
    <row r="22" spans="1:5" x14ac:dyDescent="0.2">
      <c r="A22" t="s">
        <v>906</v>
      </c>
      <c r="B22" s="8"/>
      <c r="E22" s="97"/>
    </row>
    <row r="23" spans="1:5" x14ac:dyDescent="0.2">
      <c r="A23" t="s">
        <v>907</v>
      </c>
      <c r="B23" s="8" t="s">
        <v>1153</v>
      </c>
      <c r="E23" s="97"/>
    </row>
    <row r="24" spans="1:5" x14ac:dyDescent="0.2">
      <c r="A24" t="s">
        <v>908</v>
      </c>
      <c r="B24" s="8">
        <v>2025</v>
      </c>
      <c r="E24" s="97"/>
    </row>
    <row r="25" spans="1:5" x14ac:dyDescent="0.2">
      <c r="A25" t="s">
        <v>909</v>
      </c>
      <c r="B25" s="8" t="s">
        <v>1154</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882</v>
      </c>
      <c r="B1" s="112" t="s">
        <v>72</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tbl-childhood-food-insecurity</v>
      </c>
    </row>
    <row r="4" spans="1:15" x14ac:dyDescent="0.2">
      <c r="A4" s="58" t="s">
        <v>6</v>
      </c>
      <c r="B4" t="str">
        <f>IF($B$1="","",_xlfn.XLOOKUP($B$1,Master!$F$2:$F$308,Master!$H$2:$H$308,""))</f>
        <v>fig-childhood-food-insecurity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7"/>
      <c r="E5" s="99" t="s">
        <v>886</v>
      </c>
      <c r="G5" s="55" t="s">
        <v>220</v>
      </c>
      <c r="H5" s="55" t="s">
        <v>18</v>
      </c>
      <c r="I5" s="55" t="s">
        <v>537</v>
      </c>
      <c r="J5" s="55" t="s">
        <v>449</v>
      </c>
      <c r="K5" s="55" t="s">
        <v>409</v>
      </c>
      <c r="L5" s="55" t="s">
        <v>421</v>
      </c>
      <c r="M5" s="55" t="s">
        <v>470</v>
      </c>
      <c r="N5" s="55" t="s">
        <v>915</v>
      </c>
    </row>
    <row r="6" spans="1:15" ht="15" customHeight="1" x14ac:dyDescent="0.2">
      <c r="A6" t="s">
        <v>891</v>
      </c>
      <c r="B6" t="b">
        <v>0</v>
      </c>
      <c r="E6" s="97"/>
      <c r="F6">
        <v>2020</v>
      </c>
      <c r="G6" s="59">
        <v>12</v>
      </c>
      <c r="H6" s="59">
        <v>14.8</v>
      </c>
      <c r="I6" s="59">
        <v>7.3</v>
      </c>
      <c r="J6" s="59">
        <v>15.8</v>
      </c>
      <c r="K6" s="59">
        <v>18.3</v>
      </c>
      <c r="L6" s="59">
        <v>15.1</v>
      </c>
      <c r="M6" s="59">
        <v>11.4</v>
      </c>
      <c r="N6" s="59">
        <v>14.6</v>
      </c>
    </row>
    <row r="7" spans="1:15" ht="15.75" customHeight="1" x14ac:dyDescent="0.2">
      <c r="E7" s="97"/>
      <c r="F7">
        <v>2021</v>
      </c>
      <c r="G7" s="59">
        <v>8.1999999999999993</v>
      </c>
      <c r="H7" s="59">
        <v>10.4</v>
      </c>
      <c r="I7" s="59">
        <v>3.6</v>
      </c>
      <c r="J7" s="59">
        <v>11.3</v>
      </c>
      <c r="K7" s="59">
        <v>15</v>
      </c>
      <c r="L7" s="59">
        <v>10.6</v>
      </c>
      <c r="M7" s="59">
        <v>7.2</v>
      </c>
      <c r="N7" s="59">
        <v>15.4</v>
      </c>
    </row>
    <row r="8" spans="1:15" x14ac:dyDescent="0.2">
      <c r="E8" s="97"/>
      <c r="F8">
        <v>2022</v>
      </c>
      <c r="G8" s="59">
        <v>12</v>
      </c>
      <c r="H8" s="59">
        <v>15.4</v>
      </c>
      <c r="I8" s="59">
        <v>6.7</v>
      </c>
      <c r="J8" s="59">
        <v>15.5</v>
      </c>
      <c r="K8" s="59">
        <v>19.899999999999999</v>
      </c>
      <c r="L8" s="59">
        <v>14.5</v>
      </c>
      <c r="M8" s="59">
        <v>10.5</v>
      </c>
      <c r="N8" s="59">
        <v>18.8</v>
      </c>
    </row>
    <row r="9" spans="1:15" x14ac:dyDescent="0.2">
      <c r="A9" s="98" t="s">
        <v>893</v>
      </c>
      <c r="B9" s="97"/>
      <c r="E9" s="97"/>
      <c r="F9">
        <v>2023</v>
      </c>
      <c r="G9" s="59">
        <v>11.9</v>
      </c>
      <c r="H9" s="59">
        <v>15.6</v>
      </c>
      <c r="I9" s="59">
        <v>6.6</v>
      </c>
      <c r="J9" s="59">
        <v>16.3</v>
      </c>
      <c r="K9" s="59">
        <v>19.899999999999999</v>
      </c>
      <c r="L9" s="59">
        <v>14.6</v>
      </c>
      <c r="M9" s="59">
        <v>10.6</v>
      </c>
      <c r="N9" s="59">
        <v>19</v>
      </c>
    </row>
    <row r="10" spans="1:15" x14ac:dyDescent="0.2">
      <c r="A10" t="s">
        <v>894</v>
      </c>
      <c r="B10" t="s">
        <v>972</v>
      </c>
      <c r="E10" s="97"/>
    </row>
    <row r="11" spans="1:15" x14ac:dyDescent="0.2">
      <c r="A11" t="s">
        <v>895</v>
      </c>
      <c r="B11" t="s">
        <v>887</v>
      </c>
      <c r="E11" s="97"/>
    </row>
    <row r="12" spans="1:15" x14ac:dyDescent="0.2">
      <c r="A12" t="s">
        <v>896</v>
      </c>
      <c r="E12" s="97"/>
    </row>
    <row r="13" spans="1:15" x14ac:dyDescent="0.2">
      <c r="A13" t="s">
        <v>897</v>
      </c>
      <c r="E13" s="97"/>
    </row>
    <row r="14" spans="1:15" x14ac:dyDescent="0.2">
      <c r="A14" t="s">
        <v>899</v>
      </c>
      <c r="B14" t="s">
        <v>1155</v>
      </c>
      <c r="E14" s="97"/>
    </row>
    <row r="15" spans="1:15" x14ac:dyDescent="0.2">
      <c r="A15" t="s">
        <v>901</v>
      </c>
      <c r="E15" s="97"/>
    </row>
    <row r="16" spans="1:15" x14ac:dyDescent="0.2">
      <c r="E16" s="97"/>
    </row>
    <row r="17" spans="1:5" x14ac:dyDescent="0.2">
      <c r="E17" s="97"/>
    </row>
    <row r="18" spans="1:5" x14ac:dyDescent="0.2">
      <c r="A18" s="98" t="s">
        <v>902</v>
      </c>
      <c r="B18" s="97"/>
      <c r="E18" s="97"/>
    </row>
    <row r="19" spans="1:5" x14ac:dyDescent="0.2">
      <c r="A19" t="s">
        <v>903</v>
      </c>
      <c r="B19" s="61"/>
      <c r="E19" s="97"/>
    </row>
    <row r="20" spans="1:5" x14ac:dyDescent="0.2">
      <c r="A20" t="s">
        <v>904</v>
      </c>
      <c r="B20" s="61" t="s">
        <v>1152</v>
      </c>
      <c r="E20" s="97"/>
    </row>
    <row r="21" spans="1:5" x14ac:dyDescent="0.2">
      <c r="A21" t="s">
        <v>905</v>
      </c>
      <c r="B21" s="61">
        <v>2023</v>
      </c>
      <c r="E21" s="97"/>
    </row>
    <row r="22" spans="1:5" x14ac:dyDescent="0.2">
      <c r="A22" t="s">
        <v>906</v>
      </c>
      <c r="B22" s="61"/>
      <c r="E22" s="97"/>
    </row>
    <row r="23" spans="1:5" x14ac:dyDescent="0.2">
      <c r="A23" t="s">
        <v>907</v>
      </c>
      <c r="B23" s="61" t="s">
        <v>1153</v>
      </c>
      <c r="E23" s="97"/>
    </row>
    <row r="24" spans="1:5" x14ac:dyDescent="0.2">
      <c r="A24" t="s">
        <v>908</v>
      </c>
      <c r="B24" s="61">
        <v>2025</v>
      </c>
      <c r="E24" s="97"/>
    </row>
    <row r="25" spans="1:5" x14ac:dyDescent="0.2">
      <c r="A25" t="s">
        <v>909</v>
      </c>
      <c r="B25" s="61" t="s">
        <v>1154</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882</v>
      </c>
      <c r="B1" s="112" t="s">
        <v>75</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tbl-cost-burdened-renters</v>
      </c>
    </row>
    <row r="4" spans="1:17" x14ac:dyDescent="0.2">
      <c r="A4" s="58" t="s">
        <v>6</v>
      </c>
      <c r="B4" t="str">
        <f>IF($B$1="","",_xlfn.XLOOKUP($B$1,Master!$F$2:$F$308,Master!$H$2:$H$308,""))</f>
        <v>fig-cost-burdened-renters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7"/>
      <c r="E5" s="99" t="s">
        <v>886</v>
      </c>
      <c r="G5" s="55" t="s">
        <v>220</v>
      </c>
      <c r="H5" s="55" t="s">
        <v>18</v>
      </c>
      <c r="I5" s="55" t="s">
        <v>537</v>
      </c>
      <c r="J5" s="55" t="s">
        <v>449</v>
      </c>
      <c r="K5" s="55" t="s">
        <v>409</v>
      </c>
      <c r="L5" s="55" t="s">
        <v>421</v>
      </c>
      <c r="M5" s="55" t="s">
        <v>470</v>
      </c>
      <c r="N5" s="55" t="s">
        <v>915</v>
      </c>
    </row>
    <row r="6" spans="1:17" ht="15" customHeight="1" x14ac:dyDescent="0.2">
      <c r="A6" t="s">
        <v>891</v>
      </c>
      <c r="B6" t="b">
        <v>0</v>
      </c>
      <c r="E6" s="97"/>
      <c r="F6">
        <v>2021</v>
      </c>
      <c r="G6" s="14">
        <v>52.3</v>
      </c>
      <c r="H6" s="14">
        <v>56.5</v>
      </c>
      <c r="I6" s="14">
        <v>52.7</v>
      </c>
      <c r="J6" s="14">
        <v>58.3</v>
      </c>
      <c r="K6" s="14">
        <v>48</v>
      </c>
      <c r="L6" s="14">
        <v>55.3</v>
      </c>
      <c r="M6" s="14">
        <v>53.2</v>
      </c>
      <c r="N6" s="14">
        <v>51.6</v>
      </c>
    </row>
    <row r="7" spans="1:17" ht="15.75" customHeight="1" x14ac:dyDescent="0.2">
      <c r="E7" s="97"/>
      <c r="F7">
        <v>2022</v>
      </c>
      <c r="G7" s="14">
        <v>52.4</v>
      </c>
      <c r="H7" s="14">
        <v>56.1</v>
      </c>
      <c r="I7" s="14">
        <v>53.2</v>
      </c>
      <c r="J7" s="14">
        <v>58.9</v>
      </c>
      <c r="K7" s="14">
        <v>48.4</v>
      </c>
      <c r="L7" s="14">
        <v>55.3</v>
      </c>
      <c r="M7" s="14">
        <v>53.5</v>
      </c>
      <c r="N7" s="14">
        <v>51.7</v>
      </c>
    </row>
    <row r="8" spans="1:17" x14ac:dyDescent="0.2">
      <c r="E8" s="97"/>
      <c r="F8">
        <v>2023</v>
      </c>
      <c r="G8" s="14">
        <v>52</v>
      </c>
      <c r="H8" s="14">
        <v>56.2</v>
      </c>
      <c r="I8" s="14">
        <v>56.5</v>
      </c>
      <c r="J8" s="14">
        <v>59.6</v>
      </c>
      <c r="K8" s="14">
        <v>48.7</v>
      </c>
      <c r="L8" s="14">
        <v>56.6</v>
      </c>
      <c r="M8" s="14">
        <v>53</v>
      </c>
      <c r="N8" s="14">
        <v>51.5</v>
      </c>
    </row>
    <row r="9" spans="1:17" x14ac:dyDescent="0.2">
      <c r="A9" s="98" t="s">
        <v>893</v>
      </c>
      <c r="B9" s="97"/>
      <c r="E9" s="97"/>
    </row>
    <row r="10" spans="1:17" x14ac:dyDescent="0.2">
      <c r="A10" t="s">
        <v>894</v>
      </c>
      <c r="B10" t="s">
        <v>983</v>
      </c>
      <c r="E10" s="97"/>
    </row>
    <row r="11" spans="1:17" x14ac:dyDescent="0.2">
      <c r="A11" t="s">
        <v>895</v>
      </c>
      <c r="B11" t="s">
        <v>887</v>
      </c>
      <c r="E11" s="97"/>
    </row>
    <row r="12" spans="1:17" x14ac:dyDescent="0.2">
      <c r="A12" t="s">
        <v>896</v>
      </c>
      <c r="E12" s="97"/>
    </row>
    <row r="13" spans="1:17" x14ac:dyDescent="0.2">
      <c r="A13" t="s">
        <v>897</v>
      </c>
      <c r="B13" t="s">
        <v>1156</v>
      </c>
      <c r="E13" s="97"/>
    </row>
    <row r="14" spans="1:17" x14ac:dyDescent="0.2">
      <c r="A14" t="s">
        <v>899</v>
      </c>
      <c r="E14" s="97"/>
    </row>
    <row r="15" spans="1:17" x14ac:dyDescent="0.2">
      <c r="A15" t="s">
        <v>901</v>
      </c>
      <c r="B15" t="b">
        <v>0</v>
      </c>
      <c r="E15" s="97"/>
    </row>
    <row r="16" spans="1:17" x14ac:dyDescent="0.2">
      <c r="A16" t="s">
        <v>1146</v>
      </c>
      <c r="B16" t="b">
        <v>1</v>
      </c>
      <c r="E16" s="97"/>
    </row>
    <row r="17" spans="1:5" x14ac:dyDescent="0.2">
      <c r="E17" s="97"/>
    </row>
    <row r="18" spans="1:5" x14ac:dyDescent="0.2">
      <c r="A18" s="98" t="s">
        <v>902</v>
      </c>
      <c r="B18" s="97"/>
      <c r="E18" s="97"/>
    </row>
    <row r="19" spans="1:5" x14ac:dyDescent="0.2">
      <c r="A19" t="s">
        <v>903</v>
      </c>
      <c r="B19" s="61" t="s">
        <v>1157</v>
      </c>
      <c r="E19" s="97"/>
    </row>
    <row r="20" spans="1:5" x14ac:dyDescent="0.2">
      <c r="A20" t="s">
        <v>904</v>
      </c>
      <c r="B20" s="61" t="s">
        <v>1158</v>
      </c>
      <c r="E20" s="97"/>
    </row>
    <row r="21" spans="1:5" x14ac:dyDescent="0.2">
      <c r="A21" t="s">
        <v>905</v>
      </c>
      <c r="B21" s="61">
        <v>2023</v>
      </c>
      <c r="E21" s="97"/>
    </row>
    <row r="22" spans="1:5" x14ac:dyDescent="0.2">
      <c r="A22" t="s">
        <v>906</v>
      </c>
      <c r="B22" s="61" t="s">
        <v>1150</v>
      </c>
      <c r="E22" s="97"/>
    </row>
    <row r="23" spans="1:5" x14ac:dyDescent="0.2">
      <c r="A23" t="s">
        <v>907</v>
      </c>
      <c r="B23" s="61" t="s">
        <v>976</v>
      </c>
      <c r="E23" s="97"/>
    </row>
    <row r="24" spans="1:5" x14ac:dyDescent="0.2">
      <c r="A24" t="s">
        <v>908</v>
      </c>
      <c r="B24" s="61">
        <v>2025</v>
      </c>
      <c r="E24" s="97"/>
    </row>
    <row r="25" spans="1:5" x14ac:dyDescent="0.2">
      <c r="A25" t="s">
        <v>909</v>
      </c>
      <c r="B25" s="61"/>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2" t="s">
        <v>80</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tbl-severely-cost-burdened</v>
      </c>
    </row>
    <row r="4" spans="1:15" x14ac:dyDescent="0.2">
      <c r="A4" s="58" t="s">
        <v>6</v>
      </c>
      <c r="B4" t="str">
        <f>IF($B$1="","",_xlfn.XLOOKUP($B$1,Master!$F$2:$F$308,Master!$H$2:$H$308,""))</f>
        <v>fig-severely-cost-burdened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7"/>
      <c r="E5" s="99" t="s">
        <v>886</v>
      </c>
      <c r="G5" t="s">
        <v>220</v>
      </c>
      <c r="H5" t="s">
        <v>18</v>
      </c>
      <c r="I5" t="s">
        <v>537</v>
      </c>
      <c r="J5" t="s">
        <v>449</v>
      </c>
      <c r="K5" t="s">
        <v>409</v>
      </c>
      <c r="L5" t="s">
        <v>421</v>
      </c>
      <c r="M5" t="s">
        <v>470</v>
      </c>
      <c r="N5" t="s">
        <v>915</v>
      </c>
    </row>
    <row r="6" spans="1:15" ht="15" customHeight="1" x14ac:dyDescent="0.2">
      <c r="A6" t="s">
        <v>891</v>
      </c>
      <c r="B6" t="b">
        <v>0</v>
      </c>
      <c r="E6" s="97"/>
      <c r="F6" t="s">
        <v>1159</v>
      </c>
      <c r="G6" s="14">
        <v>16</v>
      </c>
      <c r="H6" s="14">
        <v>19</v>
      </c>
      <c r="I6" s="14">
        <v>16</v>
      </c>
      <c r="J6" s="14">
        <v>22</v>
      </c>
      <c r="K6" s="14">
        <v>14</v>
      </c>
      <c r="L6" s="14">
        <v>18</v>
      </c>
      <c r="M6" s="14">
        <v>20</v>
      </c>
      <c r="N6" s="14">
        <v>19</v>
      </c>
    </row>
    <row r="7" spans="1:15" ht="15.75" customHeight="1" x14ac:dyDescent="0.2">
      <c r="E7" s="97"/>
      <c r="F7" t="s">
        <v>969</v>
      </c>
      <c r="G7" s="14">
        <v>16</v>
      </c>
      <c r="H7" s="14">
        <v>19</v>
      </c>
      <c r="I7" s="14">
        <v>16</v>
      </c>
      <c r="J7" s="14">
        <v>22</v>
      </c>
      <c r="K7" s="14">
        <v>15</v>
      </c>
      <c r="L7" s="14">
        <v>18</v>
      </c>
      <c r="M7" s="14">
        <v>19</v>
      </c>
      <c r="N7" s="14">
        <v>19</v>
      </c>
    </row>
    <row r="8" spans="1:15" x14ac:dyDescent="0.2">
      <c r="E8" s="97"/>
      <c r="F8" t="s">
        <v>970</v>
      </c>
      <c r="G8" s="14">
        <v>16</v>
      </c>
      <c r="H8" s="14">
        <v>20</v>
      </c>
      <c r="I8" s="14">
        <v>16</v>
      </c>
      <c r="J8" s="14">
        <v>22</v>
      </c>
      <c r="K8" s="14">
        <v>15</v>
      </c>
      <c r="L8" s="14">
        <v>18</v>
      </c>
      <c r="M8" s="14">
        <v>20</v>
      </c>
      <c r="N8" s="14">
        <v>19</v>
      </c>
    </row>
    <row r="9" spans="1:15" x14ac:dyDescent="0.2">
      <c r="A9" s="98" t="s">
        <v>893</v>
      </c>
      <c r="B9" s="97"/>
      <c r="E9" s="97"/>
      <c r="F9" t="s">
        <v>971</v>
      </c>
      <c r="G9" s="14">
        <v>16</v>
      </c>
      <c r="H9" s="14">
        <v>20</v>
      </c>
      <c r="I9" s="14">
        <v>17</v>
      </c>
      <c r="J9" s="14">
        <v>22</v>
      </c>
      <c r="K9" s="14">
        <v>15</v>
      </c>
      <c r="L9" s="14">
        <v>18</v>
      </c>
      <c r="M9" s="14">
        <v>19</v>
      </c>
      <c r="N9" s="14">
        <v>19</v>
      </c>
    </row>
    <row r="10" spans="1:15" x14ac:dyDescent="0.2">
      <c r="A10" t="s">
        <v>894</v>
      </c>
      <c r="B10" t="s">
        <v>983</v>
      </c>
      <c r="E10" s="97"/>
    </row>
    <row r="11" spans="1:15" x14ac:dyDescent="0.2">
      <c r="A11" t="s">
        <v>895</v>
      </c>
      <c r="B11" t="s">
        <v>887</v>
      </c>
      <c r="E11" s="97"/>
    </row>
    <row r="12" spans="1:15" x14ac:dyDescent="0.2">
      <c r="A12" t="s">
        <v>896</v>
      </c>
      <c r="E12" s="97"/>
    </row>
    <row r="13" spans="1:15" x14ac:dyDescent="0.2">
      <c r="A13" t="s">
        <v>897</v>
      </c>
      <c r="E13" s="97"/>
    </row>
    <row r="14" spans="1:15" x14ac:dyDescent="0.2">
      <c r="A14" t="s">
        <v>899</v>
      </c>
      <c r="B14" t="s">
        <v>1160</v>
      </c>
      <c r="E14" s="97"/>
    </row>
    <row r="15" spans="1:15" x14ac:dyDescent="0.2">
      <c r="A15" t="s">
        <v>901</v>
      </c>
      <c r="B15" t="b">
        <v>1</v>
      </c>
      <c r="E15" s="97"/>
    </row>
    <row r="16" spans="1:15" x14ac:dyDescent="0.2">
      <c r="E16" s="97"/>
    </row>
    <row r="17" spans="1:5" x14ac:dyDescent="0.2">
      <c r="E17" s="97"/>
    </row>
    <row r="18" spans="1:5" x14ac:dyDescent="0.2">
      <c r="A18" s="98" t="s">
        <v>902</v>
      </c>
      <c r="B18" s="97"/>
      <c r="E18" s="97"/>
    </row>
    <row r="19" spans="1:5" x14ac:dyDescent="0.2">
      <c r="A19" t="s">
        <v>903</v>
      </c>
      <c r="E19" s="97"/>
    </row>
    <row r="20" spans="1:5" x14ac:dyDescent="0.2">
      <c r="A20" t="s">
        <v>904</v>
      </c>
      <c r="B20" t="s">
        <v>1161</v>
      </c>
      <c r="E20" s="97"/>
    </row>
    <row r="21" spans="1:5" x14ac:dyDescent="0.2">
      <c r="A21" t="s">
        <v>905</v>
      </c>
      <c r="B21">
        <v>2023</v>
      </c>
      <c r="E21" s="97"/>
    </row>
    <row r="22" spans="1:5" x14ac:dyDescent="0.2">
      <c r="A22" t="s">
        <v>906</v>
      </c>
      <c r="E22" s="97"/>
    </row>
    <row r="23" spans="1:5" x14ac:dyDescent="0.2">
      <c r="A23" t="s">
        <v>907</v>
      </c>
      <c r="B23" t="s">
        <v>976</v>
      </c>
      <c r="E23" s="97"/>
    </row>
    <row r="24" spans="1:5" x14ac:dyDescent="0.2">
      <c r="A24" t="s">
        <v>908</v>
      </c>
      <c r="B24">
        <v>2025</v>
      </c>
      <c r="E24" s="97"/>
    </row>
    <row r="25" spans="1:5" x14ac:dyDescent="0.2">
      <c r="A25" t="s">
        <v>909</v>
      </c>
      <c r="B25" t="s">
        <v>1162</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2" t="s">
        <v>85</v>
      </c>
      <c r="C1" s="113"/>
      <c r="D1" s="113"/>
      <c r="E1" s="113"/>
      <c r="F1" s="113"/>
      <c r="G1" s="113"/>
      <c r="H1" s="113"/>
      <c r="I1" s="113"/>
      <c r="J1" s="113"/>
      <c r="K1" s="113"/>
      <c r="L1" s="113"/>
      <c r="M1" s="113"/>
      <c r="N1" s="113"/>
      <c r="O1" s="113"/>
    </row>
    <row r="2" spans="1:15" x14ac:dyDescent="0.2">
      <c r="A2" s="58" t="s">
        <v>883</v>
      </c>
      <c r="B2" t="s">
        <v>12</v>
      </c>
    </row>
    <row r="3" spans="1:15" x14ac:dyDescent="0.2">
      <c r="A3" s="58" t="s">
        <v>884</v>
      </c>
      <c r="B3" t="str">
        <f>IF($B$1="","",_xlfn.XLOOKUP($B$1,Master!$F$2:$F$308,Master!$G$2:$G$308,""))</f>
        <v>tbl-hud-housing</v>
      </c>
    </row>
    <row r="4" spans="1:15" x14ac:dyDescent="0.2">
      <c r="A4" s="58" t="s">
        <v>6</v>
      </c>
      <c r="B4" t="str">
        <f>IF($B$1="","",_xlfn.XLOOKUP($B$1,Master!$F$2:$F$308,Master!$H$2:$H$308,""))</f>
        <v xml:space="preserve"> </v>
      </c>
      <c r="E4" s="13"/>
      <c r="F4" s="40" t="s">
        <v>664</v>
      </c>
      <c r="G4" s="40" t="s">
        <v>664</v>
      </c>
      <c r="H4" s="40" t="s">
        <v>664</v>
      </c>
      <c r="I4" s="40" t="s">
        <v>664</v>
      </c>
      <c r="J4" s="40" t="s">
        <v>664</v>
      </c>
      <c r="K4" s="40" t="s">
        <v>664</v>
      </c>
      <c r="L4" s="40" t="s">
        <v>664</v>
      </c>
      <c r="M4" s="40" t="s">
        <v>664</v>
      </c>
      <c r="N4" s="40" t="s">
        <v>664</v>
      </c>
      <c r="O4" s="40"/>
    </row>
    <row r="5" spans="1:15" x14ac:dyDescent="0.2">
      <c r="A5" s="98" t="s">
        <v>885</v>
      </c>
      <c r="B5" s="97"/>
      <c r="E5" s="99" t="s">
        <v>886</v>
      </c>
      <c r="F5" s="60"/>
      <c r="G5" s="60" t="s">
        <v>220</v>
      </c>
      <c r="H5" s="60" t="s">
        <v>18</v>
      </c>
      <c r="I5" s="60" t="s">
        <v>537</v>
      </c>
      <c r="J5" s="60" t="s">
        <v>449</v>
      </c>
      <c r="K5" s="60" t="s">
        <v>409</v>
      </c>
      <c r="L5" s="60" t="s">
        <v>421</v>
      </c>
      <c r="M5" s="60" t="s">
        <v>470</v>
      </c>
      <c r="N5" s="60" t="s">
        <v>915</v>
      </c>
      <c r="O5" s="60"/>
    </row>
    <row r="6" spans="1:15" ht="15" customHeight="1" x14ac:dyDescent="0.2">
      <c r="A6" t="s">
        <v>891</v>
      </c>
      <c r="B6" t="b">
        <v>0</v>
      </c>
      <c r="E6" s="97"/>
      <c r="F6" s="60">
        <v>2021</v>
      </c>
      <c r="G6" s="60">
        <v>7442</v>
      </c>
      <c r="H6" s="60">
        <v>18258</v>
      </c>
      <c r="I6" s="60">
        <v>945</v>
      </c>
      <c r="J6" s="60">
        <v>21732</v>
      </c>
      <c r="K6" s="60">
        <v>5018</v>
      </c>
      <c r="L6" s="60">
        <v>5484</v>
      </c>
      <c r="M6" s="60">
        <v>40230</v>
      </c>
      <c r="N6" s="60">
        <v>1025652</v>
      </c>
      <c r="O6" s="60"/>
    </row>
    <row r="7" spans="1:15" ht="15.75" customHeight="1" x14ac:dyDescent="0.2">
      <c r="E7" s="97"/>
      <c r="F7" s="60">
        <v>2022</v>
      </c>
      <c r="G7" s="60">
        <v>7641</v>
      </c>
      <c r="H7" s="60">
        <v>18745</v>
      </c>
      <c r="I7" s="60">
        <v>929</v>
      </c>
      <c r="J7" s="60">
        <v>22170</v>
      </c>
      <c r="K7" s="60">
        <v>5228</v>
      </c>
      <c r="L7" s="60">
        <v>5479</v>
      </c>
      <c r="M7" s="60">
        <v>40412</v>
      </c>
      <c r="N7" s="60">
        <v>985104</v>
      </c>
      <c r="O7" s="60"/>
    </row>
    <row r="8" spans="1:15" x14ac:dyDescent="0.2">
      <c r="E8" s="97"/>
      <c r="F8" s="60">
        <v>2023</v>
      </c>
      <c r="G8" s="60">
        <v>7630</v>
      </c>
      <c r="H8" s="60">
        <v>19000</v>
      </c>
      <c r="I8" s="60">
        <v>992</v>
      </c>
      <c r="J8" s="60">
        <v>23411</v>
      </c>
      <c r="K8" s="60">
        <v>4846</v>
      </c>
      <c r="L8" s="60">
        <v>5418</v>
      </c>
      <c r="M8" s="60">
        <v>40415</v>
      </c>
      <c r="N8" s="60">
        <v>987957</v>
      </c>
      <c r="O8" s="60"/>
    </row>
    <row r="9" spans="1:15" x14ac:dyDescent="0.2">
      <c r="A9" s="98" t="s">
        <v>893</v>
      </c>
      <c r="B9" s="97"/>
      <c r="E9" s="97"/>
      <c r="F9" s="60">
        <v>2024</v>
      </c>
      <c r="G9" s="60">
        <v>7484</v>
      </c>
      <c r="H9" s="60">
        <v>19129</v>
      </c>
      <c r="I9" s="60">
        <v>1012</v>
      </c>
      <c r="J9" s="60">
        <v>23735</v>
      </c>
      <c r="K9" s="60">
        <v>4445</v>
      </c>
      <c r="L9" s="60">
        <v>4980</v>
      </c>
      <c r="M9" s="60">
        <v>40137</v>
      </c>
      <c r="N9" s="60">
        <v>1000730</v>
      </c>
      <c r="O9" s="60"/>
    </row>
    <row r="10" spans="1:15" x14ac:dyDescent="0.2">
      <c r="A10" t="s">
        <v>894</v>
      </c>
      <c r="B10" t="s">
        <v>983</v>
      </c>
      <c r="E10" s="97"/>
    </row>
    <row r="11" spans="1:15" x14ac:dyDescent="0.2">
      <c r="A11" t="s">
        <v>895</v>
      </c>
      <c r="B11" t="s">
        <v>1123</v>
      </c>
      <c r="E11" s="97"/>
    </row>
    <row r="12" spans="1:15" x14ac:dyDescent="0.2">
      <c r="A12" t="s">
        <v>896</v>
      </c>
      <c r="E12" s="97"/>
    </row>
    <row r="13" spans="1:15" x14ac:dyDescent="0.2">
      <c r="A13" t="s">
        <v>897</v>
      </c>
      <c r="B13" t="s">
        <v>1163</v>
      </c>
      <c r="E13" s="97"/>
    </row>
    <row r="14" spans="1:15" x14ac:dyDescent="0.2">
      <c r="A14" t="s">
        <v>899</v>
      </c>
      <c r="E14" s="97"/>
    </row>
    <row r="15" spans="1:15" x14ac:dyDescent="0.2">
      <c r="A15" t="s">
        <v>901</v>
      </c>
      <c r="B15" t="b">
        <v>1</v>
      </c>
      <c r="E15" s="97"/>
    </row>
    <row r="16" spans="1:15" x14ac:dyDescent="0.2">
      <c r="A16" t="s">
        <v>1146</v>
      </c>
      <c r="B16" t="b">
        <v>1</v>
      </c>
      <c r="E16" s="97"/>
    </row>
    <row r="17" spans="1:5" x14ac:dyDescent="0.2">
      <c r="E17" s="97"/>
    </row>
    <row r="18" spans="1:5" x14ac:dyDescent="0.2">
      <c r="A18" s="98" t="s">
        <v>902</v>
      </c>
      <c r="B18" s="97"/>
      <c r="E18" s="97"/>
    </row>
    <row r="19" spans="1:5" x14ac:dyDescent="0.2">
      <c r="A19" t="s">
        <v>903</v>
      </c>
      <c r="B19" s="61"/>
      <c r="E19" s="97"/>
    </row>
    <row r="20" spans="1:5" x14ac:dyDescent="0.2">
      <c r="A20" t="s">
        <v>904</v>
      </c>
      <c r="B20" s="61" t="s">
        <v>1164</v>
      </c>
      <c r="E20" s="97"/>
    </row>
    <row r="21" spans="1:5" x14ac:dyDescent="0.2">
      <c r="A21" t="s">
        <v>905</v>
      </c>
      <c r="B21" s="61">
        <v>2024</v>
      </c>
      <c r="E21" s="97"/>
    </row>
    <row r="22" spans="1:5" x14ac:dyDescent="0.2">
      <c r="A22" t="s">
        <v>906</v>
      </c>
      <c r="B22" s="61"/>
      <c r="E22" s="97"/>
    </row>
    <row r="23" spans="1:5" x14ac:dyDescent="0.2">
      <c r="A23" t="s">
        <v>907</v>
      </c>
      <c r="B23" s="61" t="s">
        <v>1165</v>
      </c>
      <c r="E23" s="97"/>
    </row>
    <row r="24" spans="1:5" x14ac:dyDescent="0.2">
      <c r="A24" t="s">
        <v>908</v>
      </c>
      <c r="B24" s="61">
        <v>2025</v>
      </c>
      <c r="E24" s="97"/>
    </row>
    <row r="25" spans="1:5" x14ac:dyDescent="0.2">
      <c r="A25" t="s">
        <v>909</v>
      </c>
      <c r="B25" s="61" t="s">
        <v>1166</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882</v>
      </c>
      <c r="B1" s="112" t="s">
        <v>90</v>
      </c>
      <c r="C1" s="113"/>
      <c r="D1" s="113"/>
      <c r="E1" s="113"/>
      <c r="F1" s="113"/>
      <c r="G1" s="113"/>
      <c r="H1" s="113"/>
      <c r="I1" s="113"/>
      <c r="J1" s="113"/>
      <c r="K1" s="113"/>
      <c r="L1" s="113"/>
      <c r="M1" s="113"/>
      <c r="N1" s="113"/>
      <c r="O1" s="113"/>
    </row>
    <row r="2" spans="1:16" x14ac:dyDescent="0.2">
      <c r="A2" s="58" t="s">
        <v>883</v>
      </c>
      <c r="B2" t="s">
        <v>12</v>
      </c>
    </row>
    <row r="3" spans="1:16" x14ac:dyDescent="0.2">
      <c r="A3" s="58" t="s">
        <v>884</v>
      </c>
      <c r="B3" t="str">
        <f>IF($B$1="","",_xlfn.XLOOKUP($B$1,Master!$F$2:$F$308,Master!$G$2:$G$308,""))</f>
        <v>tbl-poverty-threshold</v>
      </c>
    </row>
    <row r="4" spans="1:16" x14ac:dyDescent="0.2">
      <c r="A4" s="58" t="s">
        <v>6</v>
      </c>
      <c r="B4">
        <f>IF($B$1="","",_xlfn.XLOOKUP($B$1,Master!$F$2:$F$308,Master!$H$2:$H$308,""))</f>
        <v>0</v>
      </c>
      <c r="E4" s="13"/>
      <c r="F4" s="13"/>
      <c r="G4" s="16" t="s">
        <v>693</v>
      </c>
      <c r="H4" s="16" t="s">
        <v>693</v>
      </c>
      <c r="I4" s="16" t="s">
        <v>693</v>
      </c>
      <c r="J4" s="16" t="s">
        <v>693</v>
      </c>
      <c r="K4" s="16" t="s">
        <v>693</v>
      </c>
      <c r="L4" s="16" t="s">
        <v>693</v>
      </c>
      <c r="M4" s="16" t="s">
        <v>693</v>
      </c>
      <c r="N4" s="16" t="s">
        <v>693</v>
      </c>
      <c r="O4" s="16" t="s">
        <v>693</v>
      </c>
      <c r="P4" s="16" t="s">
        <v>693</v>
      </c>
    </row>
    <row r="5" spans="1:16" x14ac:dyDescent="0.2">
      <c r="A5" s="98" t="s">
        <v>885</v>
      </c>
      <c r="B5" s="97"/>
      <c r="E5" s="99" t="s">
        <v>886</v>
      </c>
      <c r="F5" s="110" t="s">
        <v>1167</v>
      </c>
      <c r="G5" s="100" t="s">
        <v>1168</v>
      </c>
      <c r="H5" s="100"/>
      <c r="I5" s="100"/>
      <c r="J5" s="100"/>
      <c r="K5" s="100"/>
      <c r="L5" s="100"/>
      <c r="M5" s="100"/>
      <c r="N5" s="100"/>
      <c r="O5" s="100"/>
      <c r="P5" s="100"/>
    </row>
    <row r="6" spans="1:16" ht="15" customHeight="1" x14ac:dyDescent="0.2">
      <c r="A6" t="s">
        <v>891</v>
      </c>
      <c r="B6" t="b">
        <v>1</v>
      </c>
      <c r="E6" s="97"/>
      <c r="F6" s="110"/>
      <c r="G6" t="s">
        <v>1169</v>
      </c>
      <c r="H6" t="s">
        <v>1170</v>
      </c>
      <c r="I6" t="s">
        <v>1171</v>
      </c>
      <c r="J6" t="s">
        <v>1172</v>
      </c>
      <c r="K6" t="s">
        <v>1173</v>
      </c>
      <c r="L6" t="s">
        <v>1174</v>
      </c>
      <c r="M6" t="s">
        <v>1175</v>
      </c>
      <c r="N6" t="s">
        <v>1176</v>
      </c>
      <c r="O6" t="s">
        <v>1177</v>
      </c>
      <c r="P6" t="s">
        <v>1178</v>
      </c>
    </row>
    <row r="7" spans="1:16" ht="15.75" customHeight="1" x14ac:dyDescent="0.2">
      <c r="E7" s="97"/>
      <c r="F7" s="117" t="s">
        <v>1179</v>
      </c>
      <c r="G7" s="117"/>
      <c r="H7" s="117"/>
      <c r="I7" s="117"/>
      <c r="J7" s="117"/>
      <c r="K7" s="117"/>
      <c r="L7" s="117"/>
      <c r="M7" s="117"/>
      <c r="N7" s="117"/>
      <c r="O7" s="117"/>
      <c r="P7" s="117"/>
    </row>
    <row r="8" spans="1:16" x14ac:dyDescent="0.2">
      <c r="E8" s="97"/>
      <c r="F8" s="55" t="s">
        <v>1180</v>
      </c>
      <c r="G8" t="s">
        <v>1181</v>
      </c>
    </row>
    <row r="9" spans="1:16" x14ac:dyDescent="0.2">
      <c r="A9" s="98" t="s">
        <v>893</v>
      </c>
      <c r="B9" s="97"/>
      <c r="E9" s="97"/>
      <c r="F9" s="55" t="s">
        <v>1182</v>
      </c>
      <c r="G9" t="s">
        <v>1183</v>
      </c>
    </row>
    <row r="10" spans="1:16" x14ac:dyDescent="0.2">
      <c r="A10" t="s">
        <v>894</v>
      </c>
      <c r="E10" s="97"/>
      <c r="F10" s="118" t="s">
        <v>1184</v>
      </c>
      <c r="G10" s="118"/>
      <c r="H10" s="118"/>
      <c r="I10" s="118"/>
      <c r="J10" s="118"/>
      <c r="K10" s="118"/>
      <c r="L10" s="118"/>
      <c r="M10" s="118"/>
      <c r="N10" s="118"/>
      <c r="O10" s="118"/>
      <c r="P10" s="118"/>
    </row>
    <row r="11" spans="1:16" x14ac:dyDescent="0.2">
      <c r="A11" t="s">
        <v>895</v>
      </c>
      <c r="E11" s="97"/>
      <c r="F11" s="55" t="s">
        <v>1185</v>
      </c>
      <c r="G11" t="s">
        <v>1186</v>
      </c>
      <c r="H11" t="s">
        <v>1187</v>
      </c>
    </row>
    <row r="12" spans="1:16" x14ac:dyDescent="0.2">
      <c r="A12" t="s">
        <v>896</v>
      </c>
      <c r="E12" s="97"/>
      <c r="F12" s="55" t="s">
        <v>1188</v>
      </c>
      <c r="G12" t="s">
        <v>1189</v>
      </c>
      <c r="H12" t="s">
        <v>1190</v>
      </c>
    </row>
    <row r="13" spans="1:16" x14ac:dyDescent="0.2">
      <c r="A13" t="s">
        <v>897</v>
      </c>
      <c r="E13" s="97"/>
      <c r="F13" t="s">
        <v>1191</v>
      </c>
      <c r="G13" t="s">
        <v>1192</v>
      </c>
      <c r="H13" t="s">
        <v>1193</v>
      </c>
      <c r="I13" t="s">
        <v>1194</v>
      </c>
    </row>
    <row r="14" spans="1:16" x14ac:dyDescent="0.2">
      <c r="A14" t="s">
        <v>899</v>
      </c>
      <c r="E14" s="97"/>
      <c r="F14" t="s">
        <v>1195</v>
      </c>
      <c r="G14" t="s">
        <v>1196</v>
      </c>
      <c r="H14" t="s">
        <v>1197</v>
      </c>
      <c r="I14" t="s">
        <v>1198</v>
      </c>
      <c r="J14" t="s">
        <v>1199</v>
      </c>
    </row>
    <row r="15" spans="1:16" x14ac:dyDescent="0.2">
      <c r="A15" t="s">
        <v>901</v>
      </c>
      <c r="E15" s="97"/>
      <c r="F15" t="s">
        <v>1200</v>
      </c>
      <c r="G15" t="s">
        <v>1201</v>
      </c>
      <c r="H15" t="s">
        <v>1202</v>
      </c>
      <c r="I15" t="s">
        <v>1203</v>
      </c>
      <c r="J15" t="s">
        <v>1204</v>
      </c>
      <c r="K15" t="s">
        <v>1205</v>
      </c>
    </row>
    <row r="16" spans="1:16" x14ac:dyDescent="0.2">
      <c r="E16" s="97"/>
      <c r="F16" t="s">
        <v>1206</v>
      </c>
      <c r="G16" t="s">
        <v>1207</v>
      </c>
      <c r="H16" t="s">
        <v>1208</v>
      </c>
      <c r="I16" t="s">
        <v>1209</v>
      </c>
      <c r="J16" t="s">
        <v>1210</v>
      </c>
      <c r="K16" t="s">
        <v>1211</v>
      </c>
      <c r="L16" t="s">
        <v>1212</v>
      </c>
    </row>
    <row r="17" spans="1:16" x14ac:dyDescent="0.2">
      <c r="E17" s="97"/>
      <c r="F17" t="s">
        <v>1213</v>
      </c>
      <c r="G17" t="s">
        <v>1214</v>
      </c>
      <c r="H17" t="s">
        <v>1215</v>
      </c>
      <c r="I17" t="s">
        <v>1216</v>
      </c>
      <c r="J17" t="s">
        <v>1217</v>
      </c>
      <c r="K17" t="s">
        <v>1218</v>
      </c>
      <c r="L17" t="s">
        <v>1219</v>
      </c>
      <c r="M17" t="s">
        <v>1220</v>
      </c>
    </row>
    <row r="18" spans="1:16" x14ac:dyDescent="0.2">
      <c r="A18" s="98" t="s">
        <v>902</v>
      </c>
      <c r="B18" s="97"/>
      <c r="E18" s="97"/>
      <c r="F18" t="s">
        <v>1221</v>
      </c>
      <c r="G18" t="s">
        <v>1222</v>
      </c>
      <c r="H18" t="s">
        <v>1223</v>
      </c>
      <c r="I18" t="s">
        <v>1224</v>
      </c>
      <c r="J18" t="s">
        <v>1225</v>
      </c>
      <c r="K18" t="s">
        <v>1226</v>
      </c>
      <c r="L18" t="s">
        <v>1227</v>
      </c>
      <c r="M18" t="s">
        <v>1228</v>
      </c>
      <c r="N18" t="s">
        <v>1229</v>
      </c>
    </row>
    <row r="19" spans="1:16" x14ac:dyDescent="0.2">
      <c r="A19" s="61" t="s">
        <v>903</v>
      </c>
      <c r="B19" s="61"/>
      <c r="E19" s="97"/>
      <c r="F19" t="s">
        <v>1230</v>
      </c>
      <c r="G19" t="s">
        <v>1231</v>
      </c>
      <c r="H19" t="s">
        <v>1232</v>
      </c>
      <c r="I19" t="s">
        <v>1233</v>
      </c>
      <c r="J19" t="s">
        <v>1234</v>
      </c>
      <c r="K19" t="s">
        <v>1235</v>
      </c>
      <c r="L19" t="s">
        <v>1236</v>
      </c>
      <c r="M19" t="s">
        <v>1237</v>
      </c>
      <c r="N19" t="s">
        <v>1238</v>
      </c>
      <c r="O19" t="s">
        <v>1239</v>
      </c>
      <c r="P19" t="s">
        <v>1239</v>
      </c>
    </row>
    <row r="20" spans="1:16" x14ac:dyDescent="0.2">
      <c r="A20" s="61" t="s">
        <v>904</v>
      </c>
      <c r="B20" s="61" t="s">
        <v>1240</v>
      </c>
      <c r="E20" s="97"/>
    </row>
    <row r="21" spans="1:16" x14ac:dyDescent="0.2">
      <c r="A21" s="61" t="s">
        <v>905</v>
      </c>
      <c r="B21" s="61">
        <v>2024</v>
      </c>
      <c r="E21" s="97"/>
    </row>
    <row r="22" spans="1:16" x14ac:dyDescent="0.2">
      <c r="A22" s="61" t="s">
        <v>906</v>
      </c>
      <c r="B22" s="61"/>
      <c r="E22" s="97"/>
    </row>
    <row r="23" spans="1:16" x14ac:dyDescent="0.2">
      <c r="A23" s="61" t="s">
        <v>907</v>
      </c>
      <c r="B23" s="61" t="s">
        <v>976</v>
      </c>
      <c r="E23" s="97"/>
    </row>
    <row r="24" spans="1:16" x14ac:dyDescent="0.2">
      <c r="A24" s="61" t="s">
        <v>908</v>
      </c>
      <c r="B24" s="61">
        <v>2025</v>
      </c>
      <c r="E24" s="97"/>
    </row>
    <row r="25" spans="1:16" x14ac:dyDescent="0.2">
      <c r="A25" s="61" t="s">
        <v>909</v>
      </c>
      <c r="B25" s="61" t="s">
        <v>1241</v>
      </c>
      <c r="E25" s="97"/>
    </row>
    <row r="26" spans="1:16" x14ac:dyDescent="0.2">
      <c r="E26" s="97"/>
    </row>
    <row r="27" spans="1:16" x14ac:dyDescent="0.2">
      <c r="A27" s="100" t="s">
        <v>910</v>
      </c>
      <c r="B27" s="97"/>
      <c r="E27" s="97"/>
    </row>
    <row r="28" spans="1:16" x14ac:dyDescent="0.2">
      <c r="E28" s="97"/>
    </row>
    <row r="29" spans="1:16" x14ac:dyDescent="0.2">
      <c r="E29" s="97"/>
    </row>
    <row r="30" spans="1:16" x14ac:dyDescent="0.2">
      <c r="E30" s="97"/>
    </row>
    <row r="31" spans="1:16" x14ac:dyDescent="0.2">
      <c r="E31" s="97"/>
    </row>
    <row r="32" spans="1:16"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882</v>
      </c>
      <c r="B1" s="112" t="s">
        <v>94</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tbl-poverty-rate</v>
      </c>
    </row>
    <row r="4" spans="1:15" x14ac:dyDescent="0.2">
      <c r="A4" s="58" t="s">
        <v>6</v>
      </c>
      <c r="B4" t="str">
        <f>IF($B$1="","",_xlfn.XLOOKUP($B$1,Master!$F$2:$F$308,Master!$H$2:$H$308,""))</f>
        <v>fig-poverty-rate</v>
      </c>
      <c r="E4" s="99" t="s">
        <v>886</v>
      </c>
      <c r="F4" s="16" t="s">
        <v>664</v>
      </c>
      <c r="G4" s="16" t="s">
        <v>679</v>
      </c>
      <c r="H4" s="16" t="s">
        <v>679</v>
      </c>
      <c r="I4" s="16" t="s">
        <v>679</v>
      </c>
      <c r="J4" s="16" t="s">
        <v>679</v>
      </c>
      <c r="K4" s="16" t="s">
        <v>679</v>
      </c>
      <c r="L4" s="16" t="s">
        <v>679</v>
      </c>
      <c r="M4" s="16" t="s">
        <v>679</v>
      </c>
      <c r="N4" s="16" t="s">
        <v>679</v>
      </c>
      <c r="O4" s="16"/>
    </row>
    <row r="5" spans="1:15" ht="15" customHeight="1" x14ac:dyDescent="0.2">
      <c r="A5" s="98" t="s">
        <v>885</v>
      </c>
      <c r="B5" s="97"/>
      <c r="E5" s="99"/>
      <c r="G5" t="s">
        <v>220</v>
      </c>
      <c r="H5" t="s">
        <v>18</v>
      </c>
      <c r="I5" t="s">
        <v>537</v>
      </c>
      <c r="J5" t="s">
        <v>449</v>
      </c>
      <c r="K5" t="s">
        <v>409</v>
      </c>
      <c r="L5" t="s">
        <v>421</v>
      </c>
      <c r="M5" t="s">
        <v>470</v>
      </c>
      <c r="N5" t="s">
        <v>915</v>
      </c>
    </row>
    <row r="6" spans="1:15" ht="15" customHeight="1" x14ac:dyDescent="0.2">
      <c r="A6" t="s">
        <v>891</v>
      </c>
      <c r="B6" t="b">
        <v>0</v>
      </c>
      <c r="E6" s="99"/>
      <c r="F6">
        <v>2021</v>
      </c>
      <c r="G6">
        <v>8.8000000000000007</v>
      </c>
      <c r="H6">
        <v>11.7</v>
      </c>
      <c r="I6">
        <v>6</v>
      </c>
      <c r="J6">
        <v>14.9</v>
      </c>
      <c r="K6">
        <v>14.1</v>
      </c>
      <c r="L6">
        <v>13.2</v>
      </c>
      <c r="M6">
        <v>8.1999999999999993</v>
      </c>
      <c r="N6">
        <v>13.5</v>
      </c>
    </row>
    <row r="7" spans="1:15" ht="15.75" customHeight="1" x14ac:dyDescent="0.2">
      <c r="E7" s="99"/>
      <c r="F7">
        <v>2022</v>
      </c>
      <c r="G7">
        <v>8.6</v>
      </c>
      <c r="H7">
        <v>13</v>
      </c>
      <c r="I7">
        <v>6.3</v>
      </c>
      <c r="J7">
        <v>15.1</v>
      </c>
      <c r="K7">
        <v>14.8</v>
      </c>
      <c r="L7">
        <v>14.7</v>
      </c>
      <c r="M7">
        <v>8.5</v>
      </c>
      <c r="N7">
        <v>13.6</v>
      </c>
    </row>
    <row r="8" spans="1:15" x14ac:dyDescent="0.2">
      <c r="E8" s="99"/>
      <c r="F8">
        <v>2023</v>
      </c>
      <c r="G8">
        <v>8.3000000000000007</v>
      </c>
      <c r="H8">
        <v>13</v>
      </c>
      <c r="I8">
        <v>6.5</v>
      </c>
      <c r="J8">
        <v>15.6</v>
      </c>
      <c r="K8">
        <v>15.2</v>
      </c>
      <c r="L8">
        <v>14.3</v>
      </c>
      <c r="M8">
        <v>8.9</v>
      </c>
      <c r="N8">
        <v>13.7</v>
      </c>
    </row>
    <row r="9" spans="1:15" x14ac:dyDescent="0.2">
      <c r="A9" s="98" t="s">
        <v>893</v>
      </c>
      <c r="B9" s="97"/>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1242</v>
      </c>
      <c r="E13" s="99"/>
    </row>
    <row r="14" spans="1:15" x14ac:dyDescent="0.2">
      <c r="A14" t="s">
        <v>899</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7"/>
      <c r="E18" s="99"/>
    </row>
    <row r="19" spans="1:5" x14ac:dyDescent="0.2">
      <c r="A19" t="s">
        <v>903</v>
      </c>
      <c r="B19" t="s">
        <v>1243</v>
      </c>
      <c r="E19" s="99"/>
    </row>
    <row r="20" spans="1:5" x14ac:dyDescent="0.2">
      <c r="A20" t="s">
        <v>904</v>
      </c>
      <c r="B20" t="s">
        <v>1244</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0" t="s">
        <v>910</v>
      </c>
      <c r="B27" s="97"/>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99</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tbl-poverty-by-race</v>
      </c>
    </row>
    <row r="4" spans="1:15" x14ac:dyDescent="0.2">
      <c r="A4" s="58" t="s">
        <v>6</v>
      </c>
      <c r="B4" t="str">
        <f>IF($B$1="","",_xlfn.XLOOKUP($B$1,Master!$F$2:$F$308,Master!$H$2:$H$308,""))</f>
        <v>fig-poverty-by-race</v>
      </c>
      <c r="E4" s="13"/>
      <c r="F4" s="13"/>
      <c r="G4" s="16" t="s">
        <v>679</v>
      </c>
      <c r="H4" s="16" t="s">
        <v>679</v>
      </c>
      <c r="I4" s="16" t="s">
        <v>679</v>
      </c>
      <c r="J4" s="16" t="s">
        <v>679</v>
      </c>
      <c r="K4" s="16" t="s">
        <v>679</v>
      </c>
      <c r="L4" s="16" t="s">
        <v>679</v>
      </c>
      <c r="M4" s="16" t="s">
        <v>679</v>
      </c>
      <c r="N4" s="16" t="s">
        <v>679</v>
      </c>
      <c r="O4" s="16"/>
    </row>
    <row r="5" spans="1:15" x14ac:dyDescent="0.2">
      <c r="A5" s="98" t="s">
        <v>885</v>
      </c>
      <c r="B5" s="97"/>
      <c r="E5" s="99" t="s">
        <v>886</v>
      </c>
      <c r="F5" t="s">
        <v>1245</v>
      </c>
      <c r="G5" t="s">
        <v>220</v>
      </c>
      <c r="H5" t="s">
        <v>18</v>
      </c>
      <c r="I5" t="s">
        <v>537</v>
      </c>
      <c r="J5" t="s">
        <v>449</v>
      </c>
      <c r="K5" t="s">
        <v>409</v>
      </c>
      <c r="L5" t="s">
        <v>421</v>
      </c>
      <c r="M5" t="s">
        <v>470</v>
      </c>
      <c r="N5" t="s">
        <v>915</v>
      </c>
    </row>
    <row r="6" spans="1:15" ht="15" customHeight="1" x14ac:dyDescent="0.2">
      <c r="A6" t="s">
        <v>891</v>
      </c>
      <c r="B6" t="b">
        <v>0</v>
      </c>
      <c r="E6" s="97"/>
      <c r="F6" t="s">
        <v>1246</v>
      </c>
      <c r="G6" s="43">
        <v>3.3</v>
      </c>
      <c r="H6" s="43">
        <v>7.9</v>
      </c>
      <c r="I6" s="43">
        <v>2.8</v>
      </c>
      <c r="J6" s="43">
        <v>11.1</v>
      </c>
      <c r="K6" s="43">
        <v>8.1999999999999993</v>
      </c>
      <c r="L6" s="43">
        <v>4.9000000000000004</v>
      </c>
      <c r="M6" s="43">
        <v>2.6</v>
      </c>
      <c r="N6">
        <v>5.7</v>
      </c>
    </row>
    <row r="7" spans="1:15" ht="15.75" customHeight="1" x14ac:dyDescent="0.2">
      <c r="E7" s="97"/>
      <c r="F7" t="s">
        <v>1247</v>
      </c>
      <c r="G7" s="43">
        <v>14.2</v>
      </c>
      <c r="H7" s="43">
        <v>12.5</v>
      </c>
      <c r="I7" s="43">
        <v>0</v>
      </c>
      <c r="J7" s="43">
        <v>8.6</v>
      </c>
      <c r="K7" s="43">
        <v>30.5</v>
      </c>
      <c r="L7" s="43">
        <v>14.1</v>
      </c>
      <c r="M7" s="43">
        <v>10.8</v>
      </c>
      <c r="N7">
        <v>16.5</v>
      </c>
    </row>
    <row r="8" spans="1:15" x14ac:dyDescent="0.2">
      <c r="E8" s="97"/>
      <c r="F8" t="s">
        <v>1248</v>
      </c>
      <c r="G8" s="43" t="s">
        <v>1249</v>
      </c>
      <c r="H8" s="43" t="s">
        <v>1250</v>
      </c>
      <c r="I8" s="43" t="s">
        <v>1251</v>
      </c>
      <c r="J8" s="43" t="s">
        <v>1252</v>
      </c>
      <c r="K8" s="43" t="s">
        <v>1253</v>
      </c>
      <c r="L8" s="43" t="s">
        <v>1254</v>
      </c>
      <c r="M8" s="43">
        <v>5.4</v>
      </c>
      <c r="N8">
        <v>11.1</v>
      </c>
    </row>
    <row r="9" spans="1:15" x14ac:dyDescent="0.2">
      <c r="A9" s="98" t="s">
        <v>893</v>
      </c>
      <c r="B9" s="97"/>
      <c r="E9" s="97"/>
      <c r="F9" t="s">
        <v>1255</v>
      </c>
      <c r="G9" s="43">
        <v>11.2</v>
      </c>
      <c r="H9" s="43">
        <v>11.3</v>
      </c>
      <c r="I9" s="43">
        <v>6.6</v>
      </c>
      <c r="J9" s="43">
        <v>12.8</v>
      </c>
      <c r="K9" s="43">
        <v>14.3</v>
      </c>
      <c r="L9" s="43">
        <v>24.4</v>
      </c>
      <c r="M9" s="43">
        <v>10.4</v>
      </c>
      <c r="N9">
        <v>17.100000000000001</v>
      </c>
    </row>
    <row r="10" spans="1:15" x14ac:dyDescent="0.2">
      <c r="A10" t="s">
        <v>894</v>
      </c>
      <c r="B10" t="s">
        <v>983</v>
      </c>
      <c r="E10" s="97"/>
      <c r="F10" t="s">
        <v>1256</v>
      </c>
      <c r="G10" s="43">
        <v>5.3</v>
      </c>
      <c r="H10" s="43">
        <v>9.1999999999999993</v>
      </c>
      <c r="I10" s="43">
        <v>3.8</v>
      </c>
      <c r="J10" s="43">
        <v>10.3</v>
      </c>
      <c r="K10" s="43">
        <v>10.5</v>
      </c>
      <c r="L10" s="43">
        <v>7.1</v>
      </c>
      <c r="M10" s="43">
        <v>5.7</v>
      </c>
      <c r="N10">
        <v>9.6999999999999993</v>
      </c>
    </row>
    <row r="11" spans="1:15" x14ac:dyDescent="0.2">
      <c r="A11" t="s">
        <v>895</v>
      </c>
      <c r="B11" t="s">
        <v>1257</v>
      </c>
      <c r="E11" s="97"/>
    </row>
    <row r="12" spans="1:15" x14ac:dyDescent="0.2">
      <c r="A12" t="s">
        <v>896</v>
      </c>
      <c r="B12" t="s">
        <v>1245</v>
      </c>
      <c r="E12" s="97"/>
    </row>
    <row r="13" spans="1:15" x14ac:dyDescent="0.2">
      <c r="A13" t="s">
        <v>897</v>
      </c>
      <c r="E13" s="97"/>
    </row>
    <row r="14" spans="1:15" x14ac:dyDescent="0.2">
      <c r="A14" t="s">
        <v>899</v>
      </c>
      <c r="B14" t="s">
        <v>1242</v>
      </c>
      <c r="E14" s="97"/>
    </row>
    <row r="15" spans="1:15" x14ac:dyDescent="0.2">
      <c r="A15" t="s">
        <v>901</v>
      </c>
      <c r="B15" t="b">
        <v>1</v>
      </c>
      <c r="E15" s="97"/>
    </row>
    <row r="16" spans="1:15" x14ac:dyDescent="0.2">
      <c r="A16" t="s">
        <v>1146</v>
      </c>
      <c r="B16" t="b">
        <v>0</v>
      </c>
      <c r="E16" s="97"/>
    </row>
    <row r="17" spans="1:5" x14ac:dyDescent="0.2">
      <c r="E17" s="97"/>
    </row>
    <row r="18" spans="1:5" x14ac:dyDescent="0.2">
      <c r="A18" s="98" t="s">
        <v>902</v>
      </c>
      <c r="B18" s="97"/>
      <c r="E18" s="97"/>
    </row>
    <row r="19" spans="1:5" x14ac:dyDescent="0.2">
      <c r="A19" t="s">
        <v>903</v>
      </c>
      <c r="B19" t="s">
        <v>1258</v>
      </c>
      <c r="E19" s="97"/>
    </row>
    <row r="20" spans="1:5" x14ac:dyDescent="0.2">
      <c r="A20" t="s">
        <v>904</v>
      </c>
      <c r="B20" t="s">
        <v>1259</v>
      </c>
      <c r="E20" s="97"/>
    </row>
    <row r="21" spans="1:5" x14ac:dyDescent="0.2">
      <c r="A21" t="s">
        <v>905</v>
      </c>
      <c r="B21">
        <v>2023</v>
      </c>
      <c r="E21" s="97"/>
    </row>
    <row r="22" spans="1:5" x14ac:dyDescent="0.2">
      <c r="A22" t="s">
        <v>906</v>
      </c>
      <c r="B22" t="s">
        <v>1150</v>
      </c>
      <c r="E22" s="97"/>
    </row>
    <row r="23" spans="1:5" x14ac:dyDescent="0.2">
      <c r="A23" t="s">
        <v>907</v>
      </c>
      <c r="B23" t="s">
        <v>976</v>
      </c>
      <c r="E23" s="97"/>
    </row>
    <row r="24" spans="1:5" x14ac:dyDescent="0.2">
      <c r="A24" t="s">
        <v>908</v>
      </c>
      <c r="B24">
        <v>2025</v>
      </c>
      <c r="E24" s="97"/>
    </row>
    <row r="25" spans="1:5" x14ac:dyDescent="0.2">
      <c r="A25" t="s">
        <v>909</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105</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tbl-economically-disadvantaged</v>
      </c>
    </row>
    <row r="4" spans="1:15" x14ac:dyDescent="0.2">
      <c r="A4" s="58" t="s">
        <v>6</v>
      </c>
      <c r="B4" t="str">
        <f>IF($B$1="","",_xlfn.XLOOKUP($B$1,Master!$F$2:$F$308,Master!$H$2:$H$308,""))</f>
        <v>fig-economically-disadvantaged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7"/>
      <c r="E5" s="99" t="s">
        <v>886</v>
      </c>
      <c r="G5" t="s">
        <v>220</v>
      </c>
      <c r="H5" t="s">
        <v>18</v>
      </c>
      <c r="I5" t="s">
        <v>537</v>
      </c>
      <c r="J5" t="s">
        <v>449</v>
      </c>
      <c r="K5" t="s">
        <v>409</v>
      </c>
      <c r="L5" t="s">
        <v>421</v>
      </c>
      <c r="M5" t="s">
        <v>470</v>
      </c>
      <c r="N5" t="s">
        <v>915</v>
      </c>
    </row>
    <row r="6" spans="1:15" ht="15" customHeight="1" x14ac:dyDescent="0.2">
      <c r="A6" t="s">
        <v>891</v>
      </c>
      <c r="B6" t="b">
        <v>0</v>
      </c>
      <c r="E6" s="97"/>
      <c r="F6" t="s">
        <v>1260</v>
      </c>
      <c r="G6" s="14">
        <v>39.200000000000003</v>
      </c>
      <c r="H6" s="14">
        <v>47</v>
      </c>
      <c r="I6" s="14">
        <v>28.5</v>
      </c>
      <c r="J6" s="14">
        <v>43.9</v>
      </c>
      <c r="K6" s="14">
        <v>60.4</v>
      </c>
      <c r="L6" s="14">
        <v>48.6</v>
      </c>
      <c r="M6" s="14">
        <v>38.9</v>
      </c>
      <c r="N6" s="14">
        <v>56.2</v>
      </c>
    </row>
    <row r="7" spans="1:15" ht="15.75" customHeight="1" x14ac:dyDescent="0.2">
      <c r="E7" s="97"/>
      <c r="F7" t="s">
        <v>1261</v>
      </c>
      <c r="G7" s="14">
        <v>43.1</v>
      </c>
      <c r="H7" s="14">
        <v>49</v>
      </c>
      <c r="I7" s="14">
        <v>32.1</v>
      </c>
      <c r="J7" s="14">
        <v>48.1</v>
      </c>
      <c r="K7" s="14">
        <v>62.7</v>
      </c>
      <c r="L7" s="14">
        <v>52.5</v>
      </c>
      <c r="M7" s="14">
        <v>39.6</v>
      </c>
      <c r="N7" s="14">
        <v>59.1</v>
      </c>
    </row>
    <row r="8" spans="1:15" x14ac:dyDescent="0.2">
      <c r="E8" s="97"/>
      <c r="F8" t="s">
        <v>1262</v>
      </c>
      <c r="G8" s="14">
        <v>43.3</v>
      </c>
      <c r="H8" s="14">
        <v>49.5</v>
      </c>
      <c r="I8" s="14">
        <v>32.5</v>
      </c>
      <c r="J8" s="14">
        <v>51</v>
      </c>
      <c r="K8" s="14">
        <v>61.4</v>
      </c>
      <c r="L8" s="14">
        <v>48.8</v>
      </c>
      <c r="M8" s="14">
        <v>39.700000000000003</v>
      </c>
      <c r="N8" s="14">
        <v>59.2</v>
      </c>
    </row>
    <row r="9" spans="1:15" x14ac:dyDescent="0.2">
      <c r="A9" s="98" t="s">
        <v>893</v>
      </c>
      <c r="B9" s="97"/>
      <c r="E9" s="97"/>
    </row>
    <row r="10" spans="1:15" x14ac:dyDescent="0.2">
      <c r="A10" t="s">
        <v>894</v>
      </c>
      <c r="B10" t="s">
        <v>983</v>
      </c>
      <c r="E10" s="97"/>
    </row>
    <row r="11" spans="1:15" x14ac:dyDescent="0.2">
      <c r="A11" t="s">
        <v>895</v>
      </c>
      <c r="B11" t="s">
        <v>887</v>
      </c>
      <c r="E11" s="97"/>
    </row>
    <row r="12" spans="1:15" x14ac:dyDescent="0.2">
      <c r="A12" t="s">
        <v>896</v>
      </c>
      <c r="E12" s="97"/>
    </row>
    <row r="13" spans="1:15" x14ac:dyDescent="0.2">
      <c r="A13" t="s">
        <v>897</v>
      </c>
      <c r="E13" s="97"/>
    </row>
    <row r="14" spans="1:15" x14ac:dyDescent="0.2">
      <c r="A14" t="s">
        <v>899</v>
      </c>
      <c r="B14" t="s">
        <v>1263</v>
      </c>
      <c r="E14" s="97"/>
    </row>
    <row r="15" spans="1:15" x14ac:dyDescent="0.2">
      <c r="A15" t="s">
        <v>901</v>
      </c>
      <c r="B15" t="b">
        <v>0</v>
      </c>
      <c r="E15" s="97"/>
    </row>
    <row r="16" spans="1:15" x14ac:dyDescent="0.2">
      <c r="A16" t="s">
        <v>1146</v>
      </c>
      <c r="B16" t="b">
        <v>0</v>
      </c>
      <c r="E16" s="97"/>
    </row>
    <row r="17" spans="1:5" x14ac:dyDescent="0.2">
      <c r="E17" s="97"/>
    </row>
    <row r="18" spans="1:5" x14ac:dyDescent="0.2">
      <c r="A18" s="98" t="s">
        <v>902</v>
      </c>
      <c r="B18" s="97"/>
      <c r="E18" s="97"/>
    </row>
    <row r="19" spans="1:5" x14ac:dyDescent="0.2">
      <c r="A19" t="s">
        <v>903</v>
      </c>
      <c r="B19" s="61"/>
      <c r="E19" s="97"/>
    </row>
    <row r="20" spans="1:5" x14ac:dyDescent="0.2">
      <c r="A20" t="s">
        <v>904</v>
      </c>
      <c r="B20" s="61" t="s">
        <v>1264</v>
      </c>
      <c r="E20" s="97"/>
    </row>
    <row r="21" spans="1:5" x14ac:dyDescent="0.2">
      <c r="A21" t="s">
        <v>905</v>
      </c>
      <c r="B21" s="61">
        <v>2024</v>
      </c>
      <c r="E21" s="97"/>
    </row>
    <row r="22" spans="1:5" x14ac:dyDescent="0.2">
      <c r="A22" t="s">
        <v>906</v>
      </c>
      <c r="B22" s="61"/>
      <c r="E22" s="97"/>
    </row>
    <row r="23" spans="1:5" x14ac:dyDescent="0.2">
      <c r="A23" t="s">
        <v>907</v>
      </c>
      <c r="B23" s="61" t="s">
        <v>976</v>
      </c>
      <c r="E23" s="97"/>
    </row>
    <row r="24" spans="1:5" x14ac:dyDescent="0.2">
      <c r="A24" t="s">
        <v>908</v>
      </c>
      <c r="B24" s="61">
        <v>2025</v>
      </c>
      <c r="E24" s="97"/>
    </row>
    <row r="25" spans="1:5" x14ac:dyDescent="0.2">
      <c r="A25" t="s">
        <v>909</v>
      </c>
      <c r="B25" s="61" t="s">
        <v>1265</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882</v>
      </c>
      <c r="B1" s="112" t="s">
        <v>110</v>
      </c>
      <c r="C1" s="113"/>
      <c r="D1" s="113"/>
      <c r="E1" s="113"/>
      <c r="F1" s="113"/>
      <c r="G1" s="113"/>
      <c r="H1" s="113"/>
      <c r="I1" s="113"/>
      <c r="J1" s="113"/>
      <c r="K1" s="113"/>
      <c r="L1" s="113"/>
      <c r="M1" s="113"/>
      <c r="N1" s="113"/>
      <c r="O1" s="113"/>
    </row>
    <row r="2" spans="1:15" x14ac:dyDescent="0.2">
      <c r="A2" s="58" t="s">
        <v>883</v>
      </c>
      <c r="B2" t="s">
        <v>12</v>
      </c>
    </row>
    <row r="3" spans="1:15" x14ac:dyDescent="0.2">
      <c r="A3" s="58" t="s">
        <v>884</v>
      </c>
      <c r="B3" t="str">
        <f>IF($B$1="","",_xlfn.XLOOKUP($B$1,Master!$F$2:$F$308,Master!$G$2:$G$308,""))</f>
        <v>tbl-alice-budget</v>
      </c>
    </row>
    <row r="4" spans="1:15" x14ac:dyDescent="0.2">
      <c r="A4" s="58" t="s">
        <v>6</v>
      </c>
      <c r="B4">
        <f>IF($B$1="","",_xlfn.XLOOKUP($B$1,Master!$F$2:$F$308,Master!$H$2:$H$308,""))</f>
        <v>0</v>
      </c>
      <c r="E4" s="13"/>
      <c r="F4" s="13"/>
      <c r="G4" s="16" t="s">
        <v>700</v>
      </c>
      <c r="H4" s="16" t="s">
        <v>700</v>
      </c>
      <c r="I4" s="16" t="s">
        <v>700</v>
      </c>
      <c r="J4" s="16" t="s">
        <v>700</v>
      </c>
      <c r="K4" s="16" t="s">
        <v>700</v>
      </c>
      <c r="L4" s="16" t="s">
        <v>700</v>
      </c>
      <c r="M4" s="16" t="s">
        <v>700</v>
      </c>
      <c r="N4" s="16" t="s">
        <v>700</v>
      </c>
      <c r="O4" s="16"/>
    </row>
    <row r="5" spans="1:15" x14ac:dyDescent="0.2">
      <c r="A5" s="98" t="s">
        <v>885</v>
      </c>
      <c r="B5" s="97"/>
      <c r="E5" s="99" t="s">
        <v>886</v>
      </c>
      <c r="G5" t="s">
        <v>1266</v>
      </c>
      <c r="H5" t="s">
        <v>1267</v>
      </c>
      <c r="I5" t="s">
        <v>1268</v>
      </c>
      <c r="J5" t="s">
        <v>1269</v>
      </c>
      <c r="K5" t="s">
        <v>1270</v>
      </c>
      <c r="L5" t="s">
        <v>1271</v>
      </c>
      <c r="M5" t="s">
        <v>1272</v>
      </c>
      <c r="N5" t="s">
        <v>1273</v>
      </c>
    </row>
    <row r="6" spans="1:15" ht="15" customHeight="1" x14ac:dyDescent="0.2">
      <c r="A6" t="s">
        <v>891</v>
      </c>
      <c r="B6" t="b">
        <v>0</v>
      </c>
      <c r="E6" s="97"/>
      <c r="F6" t="s">
        <v>1274</v>
      </c>
      <c r="G6" s="41">
        <v>1103</v>
      </c>
      <c r="H6" s="41">
        <v>1189</v>
      </c>
      <c r="I6" s="41">
        <v>1189</v>
      </c>
      <c r="J6" s="41">
        <v>1189</v>
      </c>
      <c r="K6" s="41">
        <v>1437</v>
      </c>
      <c r="L6" s="41">
        <v>1437</v>
      </c>
      <c r="M6" s="41">
        <v>1103</v>
      </c>
      <c r="N6" s="41">
        <v>1189</v>
      </c>
    </row>
    <row r="7" spans="1:15" ht="15.75" customHeight="1" x14ac:dyDescent="0.2">
      <c r="E7" s="97"/>
      <c r="F7" t="s">
        <v>1275</v>
      </c>
      <c r="G7" s="41">
        <v>0</v>
      </c>
      <c r="H7" s="41">
        <v>423</v>
      </c>
      <c r="I7" s="41">
        <v>1126</v>
      </c>
      <c r="J7" s="41">
        <v>0</v>
      </c>
      <c r="K7" s="41">
        <v>844</v>
      </c>
      <c r="L7" s="41">
        <v>2345</v>
      </c>
      <c r="M7" s="41">
        <v>0</v>
      </c>
      <c r="N7" s="41">
        <v>0</v>
      </c>
    </row>
    <row r="8" spans="1:15" x14ac:dyDescent="0.2">
      <c r="E8" s="97"/>
      <c r="F8" t="s">
        <v>1276</v>
      </c>
      <c r="G8" s="41">
        <v>516</v>
      </c>
      <c r="H8" s="41">
        <v>873</v>
      </c>
      <c r="I8" s="41">
        <v>783</v>
      </c>
      <c r="J8" s="41">
        <v>946</v>
      </c>
      <c r="K8" s="41">
        <v>1587</v>
      </c>
      <c r="L8" s="41">
        <v>1400</v>
      </c>
      <c r="M8" s="41">
        <v>475</v>
      </c>
      <c r="N8" s="41">
        <v>870</v>
      </c>
    </row>
    <row r="9" spans="1:15" x14ac:dyDescent="0.2">
      <c r="A9" s="98" t="s">
        <v>893</v>
      </c>
      <c r="B9" s="97"/>
      <c r="E9" s="97"/>
      <c r="F9" t="s">
        <v>1277</v>
      </c>
      <c r="G9" s="41">
        <v>401</v>
      </c>
      <c r="H9" s="41">
        <v>535</v>
      </c>
      <c r="I9" s="41">
        <v>506</v>
      </c>
      <c r="J9" s="41">
        <v>617</v>
      </c>
      <c r="K9" s="41">
        <v>957</v>
      </c>
      <c r="L9" s="41">
        <v>899</v>
      </c>
      <c r="M9" s="41">
        <v>346</v>
      </c>
      <c r="N9" s="41">
        <v>508</v>
      </c>
    </row>
    <row r="10" spans="1:15" x14ac:dyDescent="0.2">
      <c r="A10" t="s">
        <v>894</v>
      </c>
      <c r="E10" s="97"/>
      <c r="F10" t="s">
        <v>1278</v>
      </c>
      <c r="G10" s="41">
        <v>196</v>
      </c>
      <c r="H10" s="41">
        <v>452</v>
      </c>
      <c r="I10" s="41">
        <v>452</v>
      </c>
      <c r="J10" s="41">
        <v>452</v>
      </c>
      <c r="K10" s="41">
        <v>775</v>
      </c>
      <c r="L10" s="41">
        <v>775</v>
      </c>
      <c r="M10" s="41">
        <v>543</v>
      </c>
      <c r="N10" s="41">
        <v>1086</v>
      </c>
    </row>
    <row r="11" spans="1:15" x14ac:dyDescent="0.2">
      <c r="A11" t="s">
        <v>895</v>
      </c>
      <c r="E11" s="97"/>
      <c r="F11" t="s">
        <v>1279</v>
      </c>
      <c r="G11" s="41">
        <v>86</v>
      </c>
      <c r="H11" s="41">
        <v>86</v>
      </c>
      <c r="I11" s="41">
        <v>86</v>
      </c>
      <c r="J11" s="41">
        <v>116</v>
      </c>
      <c r="K11" s="41">
        <v>116</v>
      </c>
      <c r="L11" s="41">
        <v>116</v>
      </c>
      <c r="M11" s="41">
        <v>86</v>
      </c>
      <c r="N11" s="41">
        <v>116</v>
      </c>
    </row>
    <row r="12" spans="1:15" x14ac:dyDescent="0.2">
      <c r="A12" t="s">
        <v>896</v>
      </c>
      <c r="E12" s="97"/>
      <c r="F12" t="s">
        <v>1280</v>
      </c>
      <c r="G12" s="41">
        <v>230</v>
      </c>
      <c r="H12" s="41">
        <v>356</v>
      </c>
      <c r="I12" s="41">
        <v>414</v>
      </c>
      <c r="J12" s="41">
        <v>332</v>
      </c>
      <c r="K12" s="41">
        <v>572</v>
      </c>
      <c r="L12" s="41">
        <v>697</v>
      </c>
      <c r="M12" s="41">
        <v>255</v>
      </c>
      <c r="N12" s="41">
        <v>377</v>
      </c>
    </row>
    <row r="13" spans="1:15" x14ac:dyDescent="0.2">
      <c r="A13" t="s">
        <v>897</v>
      </c>
      <c r="E13" s="97"/>
      <c r="F13" t="s">
        <v>1281</v>
      </c>
      <c r="G13" s="41">
        <v>439</v>
      </c>
      <c r="H13" s="41">
        <v>461</v>
      </c>
      <c r="I13" s="41">
        <v>625</v>
      </c>
      <c r="J13" s="41">
        <v>529</v>
      </c>
      <c r="K13" s="41">
        <v>684</v>
      </c>
      <c r="L13" s="41">
        <v>1037</v>
      </c>
      <c r="M13" s="41">
        <v>510</v>
      </c>
      <c r="N13" s="41">
        <v>861</v>
      </c>
    </row>
    <row r="14" spans="1:15" x14ac:dyDescent="0.2">
      <c r="A14" t="s">
        <v>899</v>
      </c>
      <c r="E14" s="97"/>
      <c r="F14" t="s">
        <v>1282</v>
      </c>
      <c r="G14" s="41">
        <v>2971</v>
      </c>
      <c r="H14" s="41">
        <v>4375</v>
      </c>
      <c r="I14" s="41">
        <v>5181</v>
      </c>
      <c r="J14" s="41">
        <v>4181</v>
      </c>
      <c r="K14" s="41">
        <v>6972</v>
      </c>
      <c r="L14" s="41">
        <v>8706</v>
      </c>
      <c r="M14" s="41">
        <v>3318</v>
      </c>
      <c r="N14" s="41">
        <v>5007</v>
      </c>
    </row>
    <row r="15" spans="1:15" x14ac:dyDescent="0.2">
      <c r="A15" t="s">
        <v>901</v>
      </c>
      <c r="E15" s="97"/>
      <c r="F15" t="s">
        <v>1283</v>
      </c>
      <c r="G15" s="41">
        <v>35652</v>
      </c>
      <c r="H15" s="41">
        <v>52500</v>
      </c>
      <c r="I15" s="41">
        <v>62172</v>
      </c>
      <c r="J15" s="41">
        <v>50172</v>
      </c>
      <c r="K15" s="41">
        <v>83664</v>
      </c>
      <c r="L15" s="41">
        <v>104472</v>
      </c>
      <c r="M15" s="41">
        <v>39816</v>
      </c>
      <c r="N15" s="41">
        <v>60084</v>
      </c>
    </row>
    <row r="16" spans="1:15" x14ac:dyDescent="0.2">
      <c r="E16" s="97"/>
      <c r="F16" t="s">
        <v>1284</v>
      </c>
      <c r="G16" s="41">
        <v>17.829999999999998</v>
      </c>
      <c r="H16" s="41">
        <v>26.25</v>
      </c>
      <c r="I16" s="41">
        <v>31.09</v>
      </c>
      <c r="J16" s="41">
        <v>25.09</v>
      </c>
      <c r="K16" s="41">
        <v>41.83</v>
      </c>
      <c r="L16" s="41">
        <v>52.24</v>
      </c>
      <c r="M16" s="41">
        <v>19.91</v>
      </c>
      <c r="N16" s="41">
        <v>30.04</v>
      </c>
    </row>
    <row r="17" spans="1:5" x14ac:dyDescent="0.2">
      <c r="E17" s="97"/>
    </row>
    <row r="18" spans="1:5" x14ac:dyDescent="0.2">
      <c r="A18" s="98" t="s">
        <v>902</v>
      </c>
      <c r="B18" s="97"/>
      <c r="E18" s="97"/>
    </row>
    <row r="19" spans="1:5" x14ac:dyDescent="0.2">
      <c r="A19" t="s">
        <v>903</v>
      </c>
      <c r="E19" s="97"/>
    </row>
    <row r="20" spans="1:5" x14ac:dyDescent="0.2">
      <c r="A20" t="s">
        <v>904</v>
      </c>
      <c r="B20" t="s">
        <v>1285</v>
      </c>
      <c r="E20" s="97"/>
    </row>
    <row r="21" spans="1:5" x14ac:dyDescent="0.2">
      <c r="A21" t="s">
        <v>905</v>
      </c>
      <c r="B21">
        <v>2023</v>
      </c>
      <c r="E21" s="97"/>
    </row>
    <row r="22" spans="1:5" x14ac:dyDescent="0.2">
      <c r="A22" t="s">
        <v>906</v>
      </c>
      <c r="E22" s="97"/>
    </row>
    <row r="23" spans="1:5" x14ac:dyDescent="0.2">
      <c r="A23" t="s">
        <v>907</v>
      </c>
      <c r="B23" t="s">
        <v>976</v>
      </c>
      <c r="E23" s="97"/>
    </row>
    <row r="24" spans="1:5" x14ac:dyDescent="0.2">
      <c r="A24" t="s">
        <v>908</v>
      </c>
      <c r="B24">
        <v>2025</v>
      </c>
      <c r="E24" s="97"/>
    </row>
    <row r="25" spans="1:5" x14ac:dyDescent="0.2">
      <c r="A25" t="s">
        <v>909</v>
      </c>
      <c r="B25" t="s">
        <v>1286</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2" t="s">
        <v>114</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tbl-alice-threshold</v>
      </c>
    </row>
    <row r="4" spans="1:15" x14ac:dyDescent="0.2">
      <c r="A4" s="58" t="s">
        <v>6</v>
      </c>
      <c r="B4" t="str">
        <f>IF($B$1="","",_xlfn.XLOOKUP($B$1,Master!$F$2:$F$308,Master!$H$2:$H$308,""))</f>
        <v>fig-alice-threshold</v>
      </c>
      <c r="E4" s="13"/>
      <c r="F4" s="13"/>
      <c r="G4" s="16" t="s">
        <v>679</v>
      </c>
      <c r="H4" s="16" t="s">
        <v>679</v>
      </c>
      <c r="I4" s="16" t="s">
        <v>679</v>
      </c>
      <c r="J4" s="16" t="s">
        <v>679</v>
      </c>
      <c r="K4" s="16" t="s">
        <v>679</v>
      </c>
      <c r="L4" s="16" t="s">
        <v>679</v>
      </c>
      <c r="M4" s="16" t="s">
        <v>679</v>
      </c>
      <c r="N4" s="16" t="s">
        <v>679</v>
      </c>
      <c r="O4" s="16"/>
    </row>
    <row r="5" spans="1:15" x14ac:dyDescent="0.2">
      <c r="A5" s="98" t="s">
        <v>885</v>
      </c>
      <c r="B5" s="97"/>
      <c r="E5" s="99" t="s">
        <v>886</v>
      </c>
      <c r="G5" t="s">
        <v>220</v>
      </c>
      <c r="H5" t="s">
        <v>18</v>
      </c>
      <c r="I5" t="s">
        <v>537</v>
      </c>
      <c r="J5" t="s">
        <v>449</v>
      </c>
      <c r="K5" t="s">
        <v>409</v>
      </c>
      <c r="L5" t="s">
        <v>421</v>
      </c>
      <c r="M5" t="s">
        <v>470</v>
      </c>
      <c r="N5" t="s">
        <v>915</v>
      </c>
    </row>
    <row r="6" spans="1:15" ht="15" customHeight="1" x14ac:dyDescent="0.2">
      <c r="A6" t="s">
        <v>891</v>
      </c>
      <c r="B6" t="b">
        <v>0</v>
      </c>
      <c r="E6" s="97"/>
      <c r="F6" t="s">
        <v>1287</v>
      </c>
      <c r="G6" s="14">
        <v>31</v>
      </c>
      <c r="H6" s="14">
        <v>33</v>
      </c>
      <c r="I6" s="14">
        <v>32</v>
      </c>
      <c r="J6" s="14">
        <v>38</v>
      </c>
      <c r="K6" s="14">
        <v>30</v>
      </c>
      <c r="L6" s="14">
        <v>32</v>
      </c>
      <c r="M6" s="14">
        <v>28</v>
      </c>
      <c r="N6" s="14">
        <v>33</v>
      </c>
    </row>
    <row r="7" spans="1:15" ht="15.75" customHeight="1" x14ac:dyDescent="0.2">
      <c r="E7" s="97"/>
      <c r="F7" t="s">
        <v>1027</v>
      </c>
      <c r="G7" s="14">
        <v>6</v>
      </c>
      <c r="H7" s="14">
        <v>10</v>
      </c>
      <c r="I7" s="14">
        <v>6</v>
      </c>
      <c r="J7" s="14">
        <v>12</v>
      </c>
      <c r="K7" s="14">
        <v>15</v>
      </c>
      <c r="L7" s="14">
        <v>10</v>
      </c>
      <c r="M7" s="14">
        <v>10</v>
      </c>
      <c r="N7" s="14">
        <v>14</v>
      </c>
    </row>
    <row r="8" spans="1:15" x14ac:dyDescent="0.2">
      <c r="E8" s="97"/>
      <c r="F8" t="s">
        <v>1288</v>
      </c>
      <c r="G8" s="14">
        <v>62</v>
      </c>
      <c r="H8" s="14">
        <v>57</v>
      </c>
      <c r="I8" s="14">
        <v>63</v>
      </c>
      <c r="J8" s="14">
        <v>50</v>
      </c>
      <c r="K8" s="14">
        <v>54</v>
      </c>
      <c r="L8" s="14">
        <v>58</v>
      </c>
      <c r="M8" s="14">
        <v>61</v>
      </c>
      <c r="N8" s="14">
        <v>52</v>
      </c>
    </row>
    <row r="9" spans="1:15" x14ac:dyDescent="0.2">
      <c r="A9" s="98" t="s">
        <v>893</v>
      </c>
      <c r="B9" s="97"/>
      <c r="E9" s="97"/>
    </row>
    <row r="10" spans="1:15" x14ac:dyDescent="0.2">
      <c r="A10" t="s">
        <v>894</v>
      </c>
      <c r="B10" t="s">
        <v>1020</v>
      </c>
      <c r="E10" s="97"/>
    </row>
    <row r="11" spans="1:15" x14ac:dyDescent="0.2">
      <c r="A11" t="s">
        <v>895</v>
      </c>
      <c r="B11" t="s">
        <v>985</v>
      </c>
      <c r="E11" s="97"/>
    </row>
    <row r="12" spans="1:15" x14ac:dyDescent="0.2">
      <c r="A12" t="s">
        <v>896</v>
      </c>
      <c r="E12" s="97"/>
    </row>
    <row r="13" spans="1:15" x14ac:dyDescent="0.2">
      <c r="A13" t="s">
        <v>897</v>
      </c>
      <c r="E13" s="97"/>
    </row>
    <row r="14" spans="1:15" x14ac:dyDescent="0.2">
      <c r="A14" t="s">
        <v>899</v>
      </c>
      <c r="B14" t="s">
        <v>1289</v>
      </c>
      <c r="E14" s="97"/>
    </row>
    <row r="15" spans="1:15" x14ac:dyDescent="0.2">
      <c r="A15" t="s">
        <v>901</v>
      </c>
      <c r="B15" t="b">
        <v>1</v>
      </c>
      <c r="E15" s="97"/>
    </row>
    <row r="16" spans="1:15" x14ac:dyDescent="0.2">
      <c r="A16" t="s">
        <v>1146</v>
      </c>
      <c r="B16" t="b">
        <v>1</v>
      </c>
      <c r="E16" s="97"/>
    </row>
    <row r="17" spans="1:5" x14ac:dyDescent="0.2">
      <c r="E17" s="97"/>
    </row>
    <row r="18" spans="1:5" x14ac:dyDescent="0.2">
      <c r="A18" s="98" t="s">
        <v>902</v>
      </c>
      <c r="B18" s="97"/>
      <c r="E18" s="97"/>
    </row>
    <row r="19" spans="1:5" x14ac:dyDescent="0.2">
      <c r="A19" t="s">
        <v>903</v>
      </c>
      <c r="E19" s="97"/>
    </row>
    <row r="20" spans="1:5" x14ac:dyDescent="0.2">
      <c r="A20" t="s">
        <v>904</v>
      </c>
      <c r="B20" t="s">
        <v>1285</v>
      </c>
      <c r="E20" s="97"/>
    </row>
    <row r="21" spans="1:5" x14ac:dyDescent="0.2">
      <c r="A21" t="s">
        <v>905</v>
      </c>
      <c r="B21">
        <v>2023</v>
      </c>
      <c r="E21" s="97"/>
    </row>
    <row r="22" spans="1:5" x14ac:dyDescent="0.2">
      <c r="A22" t="s">
        <v>906</v>
      </c>
      <c r="E22" s="97"/>
    </row>
    <row r="23" spans="1:5" x14ac:dyDescent="0.2">
      <c r="A23" t="s">
        <v>907</v>
      </c>
      <c r="B23" t="s">
        <v>976</v>
      </c>
      <c r="E23" s="97"/>
    </row>
    <row r="24" spans="1:5" x14ac:dyDescent="0.2">
      <c r="A24" t="s">
        <v>908</v>
      </c>
      <c r="B24">
        <v>2025</v>
      </c>
      <c r="E24" s="97"/>
    </row>
    <row r="25" spans="1:5" x14ac:dyDescent="0.2">
      <c r="A25" t="s">
        <v>909</v>
      </c>
      <c r="B25" t="s">
        <v>1286</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2" t="s">
        <v>118</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tbl-graduation-rate</v>
      </c>
    </row>
    <row r="4" spans="1:15" x14ac:dyDescent="0.2">
      <c r="A4" s="58" t="s">
        <v>6</v>
      </c>
      <c r="B4" t="str">
        <f>IF($B$1="","",_xlfn.XLOOKUP($B$1,Master!$F$2:$F$308,Master!$H$2:$H$308,""))</f>
        <v>fig-graduation-rate</v>
      </c>
      <c r="E4" s="13"/>
      <c r="F4" s="16" t="s">
        <v>664</v>
      </c>
      <c r="G4" s="16" t="s">
        <v>679</v>
      </c>
      <c r="H4" s="16" t="s">
        <v>679</v>
      </c>
      <c r="I4" s="16" t="s">
        <v>679</v>
      </c>
      <c r="J4" s="16" t="s">
        <v>679</v>
      </c>
      <c r="K4" s="16" t="s">
        <v>679</v>
      </c>
      <c r="L4" s="16" t="s">
        <v>679</v>
      </c>
      <c r="M4" s="16" t="s">
        <v>679</v>
      </c>
      <c r="N4" s="16" t="s">
        <v>679</v>
      </c>
      <c r="O4" s="16"/>
    </row>
    <row r="5" spans="1:15" x14ac:dyDescent="0.2">
      <c r="A5" s="98" t="s">
        <v>885</v>
      </c>
      <c r="B5" s="97"/>
      <c r="E5" s="99" t="s">
        <v>886</v>
      </c>
      <c r="F5" s="60"/>
      <c r="G5" s="60" t="s">
        <v>220</v>
      </c>
      <c r="H5" s="60" t="s">
        <v>18</v>
      </c>
      <c r="I5" s="60" t="s">
        <v>537</v>
      </c>
      <c r="J5" s="60" t="s">
        <v>449</v>
      </c>
      <c r="K5" s="60" t="s">
        <v>409</v>
      </c>
      <c r="L5" s="60" t="s">
        <v>421</v>
      </c>
      <c r="M5" s="60" t="s">
        <v>470</v>
      </c>
      <c r="N5" s="60" t="s">
        <v>915</v>
      </c>
    </row>
    <row r="6" spans="1:15" ht="15" customHeight="1" x14ac:dyDescent="0.2">
      <c r="A6" t="s">
        <v>891</v>
      </c>
      <c r="B6" t="b">
        <v>0</v>
      </c>
      <c r="E6" s="97"/>
      <c r="F6" s="60">
        <v>2021</v>
      </c>
      <c r="G6" s="42">
        <v>87</v>
      </c>
      <c r="H6" s="42">
        <v>89</v>
      </c>
      <c r="I6" s="42">
        <v>94</v>
      </c>
      <c r="J6" s="42">
        <v>90</v>
      </c>
      <c r="K6" s="42">
        <v>82</v>
      </c>
      <c r="L6" s="42">
        <v>87</v>
      </c>
      <c r="M6" s="42">
        <v>91</v>
      </c>
      <c r="N6" s="42">
        <v>86</v>
      </c>
    </row>
    <row r="7" spans="1:15" ht="15.75" customHeight="1" x14ac:dyDescent="0.2">
      <c r="E7" s="97"/>
      <c r="F7" s="60">
        <v>2022</v>
      </c>
      <c r="G7" s="42">
        <v>86</v>
      </c>
      <c r="H7" s="42">
        <v>89</v>
      </c>
      <c r="I7" s="42">
        <v>94</v>
      </c>
      <c r="J7" s="42">
        <v>88</v>
      </c>
      <c r="K7" s="42">
        <v>78</v>
      </c>
      <c r="L7" s="42">
        <v>87</v>
      </c>
      <c r="M7" s="42">
        <v>92</v>
      </c>
      <c r="N7" s="42">
        <v>87</v>
      </c>
    </row>
    <row r="8" spans="1:15" x14ac:dyDescent="0.2">
      <c r="E8" s="97"/>
      <c r="F8" s="60">
        <v>2023</v>
      </c>
      <c r="G8" s="42">
        <v>87</v>
      </c>
      <c r="H8" s="42">
        <v>89</v>
      </c>
      <c r="I8" s="42">
        <v>91</v>
      </c>
      <c r="J8" s="42">
        <v>86</v>
      </c>
      <c r="K8" s="42">
        <v>76</v>
      </c>
      <c r="L8" s="42">
        <v>87</v>
      </c>
      <c r="M8" s="42">
        <v>91</v>
      </c>
      <c r="N8" s="42">
        <v>86</v>
      </c>
    </row>
    <row r="9" spans="1:15" x14ac:dyDescent="0.2">
      <c r="A9" s="98" t="s">
        <v>893</v>
      </c>
      <c r="B9" s="97"/>
      <c r="E9" s="97"/>
    </row>
    <row r="10" spans="1:15" x14ac:dyDescent="0.2">
      <c r="A10" t="s">
        <v>894</v>
      </c>
      <c r="B10" t="s">
        <v>983</v>
      </c>
      <c r="E10" s="97"/>
    </row>
    <row r="11" spans="1:15" x14ac:dyDescent="0.2">
      <c r="A11" t="s">
        <v>895</v>
      </c>
      <c r="B11" t="s">
        <v>887</v>
      </c>
      <c r="E11" s="97"/>
    </row>
    <row r="12" spans="1:15" x14ac:dyDescent="0.2">
      <c r="A12" t="s">
        <v>896</v>
      </c>
      <c r="E12" s="97"/>
    </row>
    <row r="13" spans="1:15" x14ac:dyDescent="0.2">
      <c r="A13" t="s">
        <v>897</v>
      </c>
      <c r="E13" s="97"/>
    </row>
    <row r="14" spans="1:15" x14ac:dyDescent="0.2">
      <c r="A14" t="s">
        <v>899</v>
      </c>
      <c r="B14" t="s">
        <v>1290</v>
      </c>
      <c r="E14" s="97"/>
    </row>
    <row r="15" spans="1:15" x14ac:dyDescent="0.2">
      <c r="A15" t="s">
        <v>901</v>
      </c>
      <c r="B15" t="b">
        <v>0</v>
      </c>
      <c r="E15" s="97"/>
    </row>
    <row r="16" spans="1:15" x14ac:dyDescent="0.2">
      <c r="A16" t="s">
        <v>1146</v>
      </c>
      <c r="B16" t="b">
        <v>1</v>
      </c>
      <c r="E16" s="97"/>
    </row>
    <row r="17" spans="1:5" x14ac:dyDescent="0.2">
      <c r="E17" s="97"/>
    </row>
    <row r="18" spans="1:5" x14ac:dyDescent="0.2">
      <c r="A18" s="98" t="s">
        <v>902</v>
      </c>
      <c r="B18" s="97"/>
      <c r="E18" s="97"/>
    </row>
    <row r="19" spans="1:5" x14ac:dyDescent="0.2">
      <c r="A19" t="s">
        <v>903</v>
      </c>
      <c r="B19" s="61"/>
      <c r="E19" s="97"/>
    </row>
    <row r="20" spans="1:5" x14ac:dyDescent="0.2">
      <c r="A20" t="s">
        <v>904</v>
      </c>
      <c r="B20" s="61" t="s">
        <v>1291</v>
      </c>
      <c r="E20" s="97"/>
    </row>
    <row r="21" spans="1:5" x14ac:dyDescent="0.2">
      <c r="A21" t="s">
        <v>905</v>
      </c>
      <c r="B21" s="61">
        <v>2023</v>
      </c>
      <c r="E21" s="97"/>
    </row>
    <row r="22" spans="1:5" x14ac:dyDescent="0.2">
      <c r="A22" t="s">
        <v>906</v>
      </c>
      <c r="B22" s="61"/>
      <c r="E22" s="97"/>
    </row>
    <row r="23" spans="1:5" x14ac:dyDescent="0.2">
      <c r="A23" t="s">
        <v>907</v>
      </c>
      <c r="B23" s="61" t="s">
        <v>976</v>
      </c>
      <c r="E23" s="97"/>
    </row>
    <row r="24" spans="1:5" x14ac:dyDescent="0.2">
      <c r="A24" t="s">
        <v>908</v>
      </c>
      <c r="B24" s="61">
        <v>2025</v>
      </c>
      <c r="E24" s="97"/>
    </row>
    <row r="25" spans="1:5" x14ac:dyDescent="0.2">
      <c r="A25" t="s">
        <v>909</v>
      </c>
      <c r="B25" s="61" t="s">
        <v>1292</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882</v>
      </c>
      <c r="B1" s="112" t="s">
        <v>122</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tbl-graduation-by-race</v>
      </c>
    </row>
    <row r="4" spans="1:15" x14ac:dyDescent="0.2">
      <c r="A4" s="58" t="s">
        <v>6</v>
      </c>
      <c r="B4" t="str">
        <f>IF($B$1="","",_xlfn.XLOOKUP($B$1,Master!$F$2:$F$308,Master!$H$2:$H$308,""))</f>
        <v>fig-graduation-by-race</v>
      </c>
      <c r="E4" s="13"/>
      <c r="F4" s="13"/>
      <c r="G4" s="16" t="s">
        <v>679</v>
      </c>
      <c r="H4" s="16" t="s">
        <v>679</v>
      </c>
      <c r="I4" s="16" t="s">
        <v>679</v>
      </c>
      <c r="J4" s="16" t="s">
        <v>679</v>
      </c>
      <c r="K4" s="16" t="s">
        <v>679</v>
      </c>
      <c r="L4" s="16" t="s">
        <v>679</v>
      </c>
      <c r="M4" s="16" t="s">
        <v>679</v>
      </c>
      <c r="N4" s="16" t="s">
        <v>679</v>
      </c>
      <c r="O4" s="16"/>
    </row>
    <row r="5" spans="1:15" x14ac:dyDescent="0.2">
      <c r="A5" s="98" t="s">
        <v>885</v>
      </c>
      <c r="B5" s="97"/>
      <c r="E5" s="99" t="s">
        <v>886</v>
      </c>
      <c r="F5" s="60"/>
      <c r="G5" s="60" t="s">
        <v>220</v>
      </c>
      <c r="H5" s="60" t="s">
        <v>18</v>
      </c>
      <c r="I5" s="60" t="s">
        <v>537</v>
      </c>
      <c r="J5" s="60" t="s">
        <v>449</v>
      </c>
      <c r="K5" s="60" t="s">
        <v>409</v>
      </c>
      <c r="L5" s="60" t="s">
        <v>421</v>
      </c>
      <c r="M5" s="60" t="s">
        <v>470</v>
      </c>
      <c r="N5" s="60" t="s">
        <v>915</v>
      </c>
    </row>
    <row r="6" spans="1:15" ht="15" customHeight="1" x14ac:dyDescent="0.2">
      <c r="A6" t="s">
        <v>891</v>
      </c>
      <c r="B6" t="b">
        <v>0</v>
      </c>
      <c r="E6" s="97"/>
      <c r="F6" s="60" t="s">
        <v>1293</v>
      </c>
      <c r="G6" s="60">
        <v>91</v>
      </c>
      <c r="H6" s="60">
        <v>96</v>
      </c>
      <c r="I6" s="60">
        <v>100</v>
      </c>
      <c r="J6" s="60">
        <v>97</v>
      </c>
      <c r="K6" s="60" t="s">
        <v>754</v>
      </c>
      <c r="L6" s="60" t="s">
        <v>754</v>
      </c>
      <c r="M6" s="60">
        <v>97</v>
      </c>
      <c r="N6" s="60">
        <v>93</v>
      </c>
    </row>
    <row r="7" spans="1:15" ht="15.75" customHeight="1" x14ac:dyDescent="0.2">
      <c r="E7" s="97"/>
      <c r="F7" s="60" t="s">
        <v>1294</v>
      </c>
      <c r="G7" s="60">
        <v>78</v>
      </c>
      <c r="H7" s="60">
        <v>85</v>
      </c>
      <c r="I7" s="60">
        <v>97</v>
      </c>
      <c r="J7" s="60">
        <v>86</v>
      </c>
      <c r="K7" s="60">
        <v>66</v>
      </c>
      <c r="L7" s="60">
        <v>84</v>
      </c>
      <c r="M7" s="60">
        <v>83</v>
      </c>
      <c r="N7" s="60">
        <v>81</v>
      </c>
    </row>
    <row r="8" spans="1:15" x14ac:dyDescent="0.2">
      <c r="E8" s="97"/>
      <c r="F8" s="60" t="s">
        <v>1295</v>
      </c>
      <c r="G8" s="60">
        <v>92</v>
      </c>
      <c r="H8" s="60">
        <v>93</v>
      </c>
      <c r="I8" s="60">
        <v>95</v>
      </c>
      <c r="J8" s="60">
        <v>94</v>
      </c>
      <c r="K8" s="60">
        <v>84</v>
      </c>
      <c r="L8" s="60">
        <v>90</v>
      </c>
      <c r="M8" s="60">
        <v>96</v>
      </c>
      <c r="N8" s="60">
        <v>91</v>
      </c>
    </row>
    <row r="9" spans="1:15" x14ac:dyDescent="0.2">
      <c r="A9" s="98" t="s">
        <v>893</v>
      </c>
      <c r="B9" s="97"/>
      <c r="E9" s="97"/>
      <c r="F9" s="60" t="s">
        <v>1296</v>
      </c>
      <c r="G9" s="60">
        <v>80</v>
      </c>
      <c r="H9" s="60">
        <v>88</v>
      </c>
      <c r="I9" s="60" t="s">
        <v>754</v>
      </c>
      <c r="J9" s="60" t="s">
        <v>754</v>
      </c>
      <c r="K9" s="60">
        <v>68</v>
      </c>
      <c r="L9" s="60">
        <v>74</v>
      </c>
      <c r="M9" s="60">
        <v>94</v>
      </c>
      <c r="N9" s="60">
        <v>84</v>
      </c>
    </row>
    <row r="10" spans="1:15" x14ac:dyDescent="0.2">
      <c r="A10" t="s">
        <v>894</v>
      </c>
      <c r="B10" t="s">
        <v>983</v>
      </c>
      <c r="E10" s="97"/>
      <c r="F10" s="60" t="s">
        <v>927</v>
      </c>
      <c r="G10" s="60">
        <v>79</v>
      </c>
      <c r="H10" s="60">
        <v>83</v>
      </c>
      <c r="I10" s="60">
        <v>80</v>
      </c>
      <c r="J10" s="60">
        <v>74</v>
      </c>
      <c r="K10" s="60">
        <v>63</v>
      </c>
      <c r="L10" s="60">
        <v>80</v>
      </c>
      <c r="M10" s="60">
        <v>85</v>
      </c>
      <c r="N10" s="60">
        <v>81</v>
      </c>
    </row>
    <row r="11" spans="1:15" x14ac:dyDescent="0.2">
      <c r="A11" t="s">
        <v>895</v>
      </c>
      <c r="B11" t="s">
        <v>1245</v>
      </c>
      <c r="E11" s="97"/>
    </row>
    <row r="12" spans="1:15" x14ac:dyDescent="0.2">
      <c r="A12" t="s">
        <v>896</v>
      </c>
      <c r="E12" s="97"/>
    </row>
    <row r="13" spans="1:15" x14ac:dyDescent="0.2">
      <c r="A13" t="s">
        <v>897</v>
      </c>
      <c r="E13" s="97"/>
    </row>
    <row r="14" spans="1:15" x14ac:dyDescent="0.2">
      <c r="A14" t="s">
        <v>899</v>
      </c>
      <c r="B14" t="s">
        <v>1290</v>
      </c>
      <c r="E14" s="97"/>
    </row>
    <row r="15" spans="1:15" x14ac:dyDescent="0.2">
      <c r="A15" t="s">
        <v>901</v>
      </c>
      <c r="B15" t="b">
        <v>1</v>
      </c>
      <c r="E15" s="97"/>
    </row>
    <row r="16" spans="1:15" x14ac:dyDescent="0.2">
      <c r="A16" t="s">
        <v>1146</v>
      </c>
      <c r="B16" t="b">
        <v>0</v>
      </c>
      <c r="E16" s="97"/>
    </row>
    <row r="17" spans="1:5" x14ac:dyDescent="0.2">
      <c r="E17" s="97"/>
    </row>
    <row r="18" spans="1:5" x14ac:dyDescent="0.2">
      <c r="A18" s="98" t="s">
        <v>902</v>
      </c>
      <c r="B18" s="97"/>
      <c r="E18" s="97"/>
    </row>
    <row r="19" spans="1:5" x14ac:dyDescent="0.2">
      <c r="A19" t="s">
        <v>903</v>
      </c>
      <c r="B19" s="61"/>
      <c r="E19" s="97"/>
    </row>
    <row r="20" spans="1:5" x14ac:dyDescent="0.2">
      <c r="A20" t="s">
        <v>904</v>
      </c>
      <c r="B20" s="61" t="s">
        <v>1291</v>
      </c>
      <c r="E20" s="97"/>
    </row>
    <row r="21" spans="1:5" x14ac:dyDescent="0.2">
      <c r="A21" t="s">
        <v>905</v>
      </c>
      <c r="B21" s="61">
        <v>2023</v>
      </c>
      <c r="E21" s="97"/>
    </row>
    <row r="22" spans="1:5" x14ac:dyDescent="0.2">
      <c r="A22" t="s">
        <v>906</v>
      </c>
      <c r="B22" s="61"/>
      <c r="E22" s="97"/>
    </row>
    <row r="23" spans="1:5" x14ac:dyDescent="0.2">
      <c r="A23" t="s">
        <v>907</v>
      </c>
      <c r="B23" s="61" t="s">
        <v>976</v>
      </c>
      <c r="E23" s="97"/>
    </row>
    <row r="24" spans="1:5" x14ac:dyDescent="0.2">
      <c r="A24" t="s">
        <v>908</v>
      </c>
      <c r="B24" s="61">
        <v>2025</v>
      </c>
      <c r="E24" s="97"/>
    </row>
    <row r="25" spans="1:5" x14ac:dyDescent="0.2">
      <c r="A25" t="s">
        <v>909</v>
      </c>
      <c r="B25" s="61" t="s">
        <v>1292</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126</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tbl-educational-attainment</v>
      </c>
    </row>
    <row r="4" spans="1:15" x14ac:dyDescent="0.2">
      <c r="A4" s="58" t="s">
        <v>6</v>
      </c>
      <c r="B4" t="str">
        <f>IF($B$1="","",_xlfn.XLOOKUP($B$1,Master!$F$2:$F$308,Master!$H$2:$H$308,""))</f>
        <v>fig-educational-attainment</v>
      </c>
      <c r="E4" s="13"/>
      <c r="F4" s="13"/>
      <c r="G4" s="16" t="s">
        <v>679</v>
      </c>
      <c r="H4" s="16" t="s">
        <v>679</v>
      </c>
      <c r="I4" s="16" t="s">
        <v>679</v>
      </c>
      <c r="J4" s="16" t="s">
        <v>679</v>
      </c>
      <c r="K4" s="16" t="s">
        <v>679</v>
      </c>
      <c r="L4" s="16" t="s">
        <v>679</v>
      </c>
      <c r="M4" s="16" t="s">
        <v>679</v>
      </c>
      <c r="N4" s="16" t="s">
        <v>679</v>
      </c>
      <c r="O4" s="16"/>
    </row>
    <row r="5" spans="1:15" x14ac:dyDescent="0.2">
      <c r="A5" s="98" t="s">
        <v>885</v>
      </c>
      <c r="B5" s="97"/>
      <c r="E5" s="99" t="s">
        <v>886</v>
      </c>
      <c r="G5" t="s">
        <v>220</v>
      </c>
      <c r="H5" t="s">
        <v>18</v>
      </c>
      <c r="I5" t="s">
        <v>537</v>
      </c>
      <c r="J5" t="s">
        <v>449</v>
      </c>
      <c r="K5" t="s">
        <v>409</v>
      </c>
      <c r="L5" t="s">
        <v>421</v>
      </c>
      <c r="M5" t="s">
        <v>470</v>
      </c>
      <c r="N5" t="s">
        <v>915</v>
      </c>
    </row>
    <row r="6" spans="1:15" ht="15" customHeight="1" x14ac:dyDescent="0.2">
      <c r="A6" t="s">
        <v>891</v>
      </c>
      <c r="B6" t="b">
        <v>0</v>
      </c>
      <c r="E6" s="97"/>
      <c r="F6" t="s">
        <v>945</v>
      </c>
      <c r="G6" s="14">
        <v>16.899999999999999</v>
      </c>
      <c r="H6" s="14">
        <v>19.100000000000001</v>
      </c>
      <c r="I6" s="14">
        <v>16.5</v>
      </c>
      <c r="J6" s="14">
        <v>16.2</v>
      </c>
      <c r="K6" s="14">
        <v>17.899999999999999</v>
      </c>
      <c r="L6" s="14">
        <v>17.100000000000001</v>
      </c>
      <c r="M6" s="14">
        <v>12.6</v>
      </c>
      <c r="N6" s="14">
        <v>14.9</v>
      </c>
    </row>
    <row r="7" spans="1:15" ht="15.75" customHeight="1" x14ac:dyDescent="0.2">
      <c r="E7" s="97"/>
      <c r="F7" t="s">
        <v>1297</v>
      </c>
      <c r="G7" s="14">
        <v>10.1</v>
      </c>
      <c r="H7" s="14">
        <v>10.3</v>
      </c>
      <c r="I7" s="14">
        <v>8.4</v>
      </c>
      <c r="J7" s="14">
        <v>7.8</v>
      </c>
      <c r="K7" s="14">
        <v>10.3</v>
      </c>
      <c r="L7" s="14">
        <v>9.6</v>
      </c>
      <c r="M7" s="14">
        <v>6.4</v>
      </c>
      <c r="N7" s="14">
        <v>8.9</v>
      </c>
    </row>
    <row r="8" spans="1:15" x14ac:dyDescent="0.2">
      <c r="E8" s="97"/>
      <c r="F8" t="s">
        <v>947</v>
      </c>
      <c r="G8" s="14">
        <v>21</v>
      </c>
      <c r="H8" s="14">
        <v>18.2</v>
      </c>
      <c r="I8" s="14">
        <v>24.2</v>
      </c>
      <c r="J8" s="14">
        <v>23.2</v>
      </c>
      <c r="K8" s="14">
        <v>17</v>
      </c>
      <c r="L8" s="14">
        <v>20.2</v>
      </c>
      <c r="M8" s="14">
        <v>26</v>
      </c>
      <c r="N8" s="14">
        <v>22</v>
      </c>
    </row>
    <row r="9" spans="1:15" x14ac:dyDescent="0.2">
      <c r="A9" s="98" t="s">
        <v>893</v>
      </c>
      <c r="B9" s="97"/>
      <c r="E9" s="97"/>
      <c r="F9" t="s">
        <v>948</v>
      </c>
      <c r="G9" s="14">
        <v>18.7</v>
      </c>
      <c r="H9" s="14">
        <v>14.1</v>
      </c>
      <c r="I9" s="14">
        <v>19.3</v>
      </c>
      <c r="J9" s="14">
        <v>18.899999999999999</v>
      </c>
      <c r="K9" s="14">
        <v>12.7</v>
      </c>
      <c r="L9" s="14">
        <v>16.899999999999999</v>
      </c>
      <c r="M9" s="14">
        <v>26.5</v>
      </c>
      <c r="N9" s="14">
        <v>17.5</v>
      </c>
    </row>
    <row r="10" spans="1:15" x14ac:dyDescent="0.2">
      <c r="A10" t="s">
        <v>894</v>
      </c>
      <c r="B10" t="s">
        <v>1020</v>
      </c>
      <c r="E10" s="97"/>
    </row>
    <row r="11" spans="1:15" x14ac:dyDescent="0.2">
      <c r="A11" t="s">
        <v>895</v>
      </c>
      <c r="B11" t="s">
        <v>1298</v>
      </c>
      <c r="E11" s="97"/>
    </row>
    <row r="12" spans="1:15" x14ac:dyDescent="0.2">
      <c r="A12" t="s">
        <v>896</v>
      </c>
      <c r="E12" s="97"/>
    </row>
    <row r="13" spans="1:15" x14ac:dyDescent="0.2">
      <c r="A13" t="s">
        <v>897</v>
      </c>
      <c r="E13" s="97"/>
    </row>
    <row r="14" spans="1:15" x14ac:dyDescent="0.2">
      <c r="A14" t="s">
        <v>899</v>
      </c>
      <c r="B14" t="s">
        <v>1289</v>
      </c>
      <c r="E14" s="97"/>
    </row>
    <row r="15" spans="1:15" x14ac:dyDescent="0.2">
      <c r="A15" t="s">
        <v>901</v>
      </c>
      <c r="B15" t="b">
        <v>1</v>
      </c>
      <c r="E15" s="97"/>
    </row>
    <row r="16" spans="1:15" x14ac:dyDescent="0.2">
      <c r="A16" t="s">
        <v>1146</v>
      </c>
      <c r="B16" t="b">
        <v>0</v>
      </c>
      <c r="E16" s="97"/>
    </row>
    <row r="17" spans="1:5" x14ac:dyDescent="0.2">
      <c r="E17" s="97"/>
    </row>
    <row r="18" spans="1:5" x14ac:dyDescent="0.2">
      <c r="A18" s="98" t="s">
        <v>902</v>
      </c>
      <c r="B18" s="97"/>
      <c r="E18" s="97"/>
    </row>
    <row r="19" spans="1:5" x14ac:dyDescent="0.2">
      <c r="A19" t="s">
        <v>903</v>
      </c>
      <c r="B19" s="61" t="s">
        <v>1299</v>
      </c>
      <c r="E19" s="97"/>
    </row>
    <row r="20" spans="1:5" x14ac:dyDescent="0.2">
      <c r="A20" t="s">
        <v>904</v>
      </c>
      <c r="B20" s="61" t="s">
        <v>1300</v>
      </c>
      <c r="E20" s="97"/>
    </row>
    <row r="21" spans="1:5" x14ac:dyDescent="0.2">
      <c r="A21" t="s">
        <v>905</v>
      </c>
      <c r="B21" s="61">
        <v>2023</v>
      </c>
      <c r="E21" s="97"/>
    </row>
    <row r="22" spans="1:5" x14ac:dyDescent="0.2">
      <c r="A22" t="s">
        <v>906</v>
      </c>
      <c r="B22" s="61" t="s">
        <v>1150</v>
      </c>
      <c r="E22" s="97"/>
    </row>
    <row r="23" spans="1:5" x14ac:dyDescent="0.2">
      <c r="A23" t="s">
        <v>907</v>
      </c>
      <c r="B23" s="61" t="s">
        <v>976</v>
      </c>
      <c r="E23" s="97"/>
    </row>
    <row r="24" spans="1:5" x14ac:dyDescent="0.2">
      <c r="A24" t="s">
        <v>908</v>
      </c>
      <c r="B24" s="61">
        <v>2025</v>
      </c>
      <c r="E24" s="97"/>
    </row>
    <row r="25" spans="1:5" x14ac:dyDescent="0.2">
      <c r="A25" t="s">
        <v>909</v>
      </c>
      <c r="B25" s="61"/>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130</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tbl-language-proficiency</v>
      </c>
    </row>
    <row r="4" spans="1:15" x14ac:dyDescent="0.2">
      <c r="A4" s="58" t="s">
        <v>6</v>
      </c>
      <c r="B4" t="str">
        <f>IF($B$1="","",_xlfn.XLOOKUP($B$1,Master!$F$2:$F$308,Master!$H$2:$H$308,""))</f>
        <v>fig-language-proficiency</v>
      </c>
      <c r="E4" s="13"/>
      <c r="F4" s="16" t="s">
        <v>664</v>
      </c>
      <c r="G4" s="16" t="s">
        <v>664</v>
      </c>
      <c r="H4" s="16" t="s">
        <v>679</v>
      </c>
      <c r="I4" s="16" t="s">
        <v>679</v>
      </c>
      <c r="J4" s="16" t="s">
        <v>679</v>
      </c>
      <c r="K4" s="16" t="s">
        <v>679</v>
      </c>
      <c r="L4" s="16" t="s">
        <v>679</v>
      </c>
      <c r="M4" s="16" t="s">
        <v>679</v>
      </c>
      <c r="N4" s="16" t="s">
        <v>679</v>
      </c>
      <c r="O4" s="16"/>
    </row>
    <row r="5" spans="1:15" x14ac:dyDescent="0.2">
      <c r="A5" s="98" t="s">
        <v>885</v>
      </c>
      <c r="B5" s="97"/>
      <c r="E5" s="99" t="s">
        <v>886</v>
      </c>
      <c r="G5" t="s">
        <v>220</v>
      </c>
      <c r="H5" t="s">
        <v>18</v>
      </c>
      <c r="I5" t="s">
        <v>537</v>
      </c>
      <c r="J5" t="s">
        <v>449</v>
      </c>
      <c r="K5" t="s">
        <v>409</v>
      </c>
      <c r="L5" t="s">
        <v>421</v>
      </c>
      <c r="M5" t="s">
        <v>470</v>
      </c>
      <c r="N5" t="s">
        <v>915</v>
      </c>
    </row>
    <row r="6" spans="1:15" ht="15" customHeight="1" x14ac:dyDescent="0.2">
      <c r="A6" t="s">
        <v>891</v>
      </c>
      <c r="E6" s="97"/>
      <c r="F6">
        <v>2021</v>
      </c>
      <c r="G6">
        <v>4.7</v>
      </c>
      <c r="H6">
        <v>10.6</v>
      </c>
      <c r="I6">
        <v>5.3</v>
      </c>
      <c r="J6">
        <v>18.600000000000001</v>
      </c>
      <c r="K6">
        <v>5.9</v>
      </c>
      <c r="L6">
        <v>2.9</v>
      </c>
      <c r="M6">
        <v>12.7</v>
      </c>
      <c r="N6">
        <v>13.1</v>
      </c>
    </row>
    <row r="7" spans="1:15" ht="15.75" customHeight="1" x14ac:dyDescent="0.2">
      <c r="E7" s="97"/>
      <c r="F7">
        <v>2022</v>
      </c>
      <c r="G7">
        <v>4.8</v>
      </c>
      <c r="H7">
        <v>11.3</v>
      </c>
      <c r="I7">
        <v>5.6</v>
      </c>
      <c r="J7">
        <v>18.8</v>
      </c>
      <c r="K7">
        <v>7.3</v>
      </c>
      <c r="L7">
        <v>3</v>
      </c>
      <c r="M7">
        <v>12.2</v>
      </c>
      <c r="N7">
        <v>13.1</v>
      </c>
    </row>
    <row r="8" spans="1:15" x14ac:dyDescent="0.2">
      <c r="E8" s="97"/>
      <c r="F8">
        <v>2023</v>
      </c>
      <c r="G8">
        <v>5.4</v>
      </c>
      <c r="H8">
        <v>12.2</v>
      </c>
      <c r="I8">
        <v>6</v>
      </c>
      <c r="J8">
        <v>20</v>
      </c>
      <c r="K8">
        <v>8</v>
      </c>
      <c r="L8">
        <v>3.4</v>
      </c>
      <c r="M8">
        <v>12.4</v>
      </c>
      <c r="N8">
        <v>13.3</v>
      </c>
    </row>
    <row r="9" spans="1:15" x14ac:dyDescent="0.2">
      <c r="A9" s="98" t="s">
        <v>893</v>
      </c>
      <c r="B9" s="97"/>
      <c r="E9" s="97"/>
    </row>
    <row r="10" spans="1:15" x14ac:dyDescent="0.2">
      <c r="A10" t="s">
        <v>894</v>
      </c>
      <c r="B10" t="s">
        <v>983</v>
      </c>
      <c r="E10" s="97"/>
    </row>
    <row r="11" spans="1:15" x14ac:dyDescent="0.2">
      <c r="A11" t="s">
        <v>895</v>
      </c>
      <c r="B11" t="s">
        <v>887</v>
      </c>
      <c r="E11" s="97"/>
    </row>
    <row r="12" spans="1:15" x14ac:dyDescent="0.2">
      <c r="A12" t="s">
        <v>896</v>
      </c>
      <c r="E12" s="97"/>
    </row>
    <row r="13" spans="1:15" x14ac:dyDescent="0.2">
      <c r="A13" t="s">
        <v>897</v>
      </c>
      <c r="E13" s="97"/>
    </row>
    <row r="14" spans="1:15" x14ac:dyDescent="0.2">
      <c r="A14" t="s">
        <v>899</v>
      </c>
      <c r="B14" t="s">
        <v>1301</v>
      </c>
      <c r="E14" s="97"/>
    </row>
    <row r="15" spans="1:15" x14ac:dyDescent="0.2">
      <c r="A15" t="s">
        <v>901</v>
      </c>
      <c r="B15" t="b">
        <v>0</v>
      </c>
      <c r="E15" s="97"/>
    </row>
    <row r="16" spans="1:15" x14ac:dyDescent="0.2">
      <c r="A16" t="s">
        <v>1146</v>
      </c>
      <c r="B16" t="b">
        <v>1</v>
      </c>
      <c r="E16" s="97"/>
    </row>
    <row r="17" spans="1:5" x14ac:dyDescent="0.2">
      <c r="E17" s="97"/>
    </row>
    <row r="18" spans="1:5" x14ac:dyDescent="0.2">
      <c r="A18" s="98" t="s">
        <v>902</v>
      </c>
      <c r="B18" s="97"/>
      <c r="E18" s="97"/>
    </row>
    <row r="19" spans="1:5" x14ac:dyDescent="0.2">
      <c r="A19" t="s">
        <v>903</v>
      </c>
      <c r="B19" t="s">
        <v>1302</v>
      </c>
      <c r="E19" s="97"/>
    </row>
    <row r="20" spans="1:5" x14ac:dyDescent="0.2">
      <c r="A20" t="s">
        <v>904</v>
      </c>
      <c r="B20" t="s">
        <v>1303</v>
      </c>
      <c r="E20" s="97"/>
    </row>
    <row r="21" spans="1:5" x14ac:dyDescent="0.2">
      <c r="A21" t="s">
        <v>905</v>
      </c>
      <c r="B21">
        <v>2023</v>
      </c>
      <c r="E21" s="97"/>
    </row>
    <row r="22" spans="1:5" x14ac:dyDescent="0.2">
      <c r="A22" t="s">
        <v>906</v>
      </c>
      <c r="B22" t="s">
        <v>1150</v>
      </c>
      <c r="E22" s="97"/>
    </row>
    <row r="23" spans="1:5" x14ac:dyDescent="0.2">
      <c r="A23" t="s">
        <v>907</v>
      </c>
      <c r="B23" t="s">
        <v>976</v>
      </c>
      <c r="E23" s="97"/>
    </row>
    <row r="24" spans="1:5" x14ac:dyDescent="0.2">
      <c r="A24" t="s">
        <v>908</v>
      </c>
      <c r="B24">
        <v>2025</v>
      </c>
      <c r="E24" s="97"/>
    </row>
    <row r="25" spans="1:5" x14ac:dyDescent="0.2">
      <c r="A25" t="s">
        <v>909</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134</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tbl-disconnected-youth</v>
      </c>
    </row>
    <row r="4" spans="1:15" x14ac:dyDescent="0.2">
      <c r="A4" s="58" t="s">
        <v>6</v>
      </c>
      <c r="B4" t="str">
        <f>IF($B$1="","",_xlfn.XLOOKUP($B$1,Master!$F$2:$F$308,Master!$H$2:$H$308,""))</f>
        <v>fig-disconnected-youth</v>
      </c>
      <c r="E4" s="13"/>
      <c r="F4" s="16" t="s">
        <v>664</v>
      </c>
      <c r="G4" s="16" t="s">
        <v>679</v>
      </c>
      <c r="H4" s="16" t="s">
        <v>679</v>
      </c>
      <c r="I4" s="16" t="s">
        <v>679</v>
      </c>
      <c r="J4" s="16" t="s">
        <v>679</v>
      </c>
      <c r="K4" s="16" t="s">
        <v>679</v>
      </c>
      <c r="L4" s="16" t="s">
        <v>679</v>
      </c>
      <c r="M4" s="16" t="s">
        <v>679</v>
      </c>
      <c r="N4" s="16" t="s">
        <v>679</v>
      </c>
      <c r="O4" s="16"/>
    </row>
    <row r="5" spans="1:15" x14ac:dyDescent="0.2">
      <c r="A5" s="98" t="s">
        <v>885</v>
      </c>
      <c r="B5" s="97"/>
      <c r="E5" s="99" t="s">
        <v>886</v>
      </c>
      <c r="G5" t="s">
        <v>220</v>
      </c>
      <c r="H5" t="s">
        <v>18</v>
      </c>
      <c r="I5" t="s">
        <v>537</v>
      </c>
      <c r="J5" t="s">
        <v>449</v>
      </c>
      <c r="K5" t="s">
        <v>409</v>
      </c>
      <c r="L5" t="s">
        <v>421</v>
      </c>
      <c r="M5" t="s">
        <v>470</v>
      </c>
      <c r="N5" t="s">
        <v>915</v>
      </c>
    </row>
    <row r="6" spans="1:15" ht="15" customHeight="1" x14ac:dyDescent="0.2">
      <c r="A6" t="s">
        <v>891</v>
      </c>
      <c r="B6" t="b">
        <v>0</v>
      </c>
      <c r="E6" s="97"/>
      <c r="F6" t="s">
        <v>1304</v>
      </c>
      <c r="G6" s="42">
        <v>4</v>
      </c>
      <c r="H6" s="42">
        <v>8</v>
      </c>
      <c r="I6" s="42">
        <v>4</v>
      </c>
      <c r="J6" s="42">
        <v>5</v>
      </c>
      <c r="K6" s="42">
        <v>12</v>
      </c>
      <c r="L6" s="42">
        <v>6</v>
      </c>
      <c r="M6" s="42">
        <v>6</v>
      </c>
      <c r="N6" s="42">
        <v>6</v>
      </c>
    </row>
    <row r="7" spans="1:15" ht="15.75" customHeight="1" x14ac:dyDescent="0.2">
      <c r="E7" s="97"/>
      <c r="F7" t="s">
        <v>1305</v>
      </c>
      <c r="G7" s="42">
        <v>5</v>
      </c>
      <c r="H7" s="42">
        <v>8</v>
      </c>
      <c r="I7" s="42" t="s">
        <v>754</v>
      </c>
      <c r="J7" s="42">
        <v>5</v>
      </c>
      <c r="K7" s="42">
        <v>12</v>
      </c>
      <c r="L7" s="42">
        <v>6</v>
      </c>
      <c r="M7" s="42">
        <v>6</v>
      </c>
      <c r="N7" s="42">
        <v>6</v>
      </c>
    </row>
    <row r="8" spans="1:15" x14ac:dyDescent="0.2">
      <c r="E8" s="97"/>
      <c r="F8" t="s">
        <v>1159</v>
      </c>
      <c r="G8" s="42">
        <v>5</v>
      </c>
      <c r="H8" s="42">
        <v>10</v>
      </c>
      <c r="I8" s="42" t="s">
        <v>754</v>
      </c>
      <c r="J8" s="42">
        <v>5</v>
      </c>
      <c r="K8" s="42">
        <v>17</v>
      </c>
      <c r="L8" s="42">
        <v>6</v>
      </c>
      <c r="M8" s="42">
        <v>4</v>
      </c>
      <c r="N8" s="42">
        <v>6</v>
      </c>
    </row>
    <row r="9" spans="1:15" x14ac:dyDescent="0.2">
      <c r="A9" s="98" t="s">
        <v>893</v>
      </c>
      <c r="B9" s="97"/>
      <c r="E9" s="97"/>
      <c r="F9" t="s">
        <v>969</v>
      </c>
      <c r="G9" s="42">
        <v>6</v>
      </c>
      <c r="H9" s="42">
        <v>8</v>
      </c>
      <c r="I9" s="42" t="s">
        <v>754</v>
      </c>
      <c r="J9" s="42">
        <v>4</v>
      </c>
      <c r="K9" s="42">
        <v>17</v>
      </c>
      <c r="L9" s="42">
        <v>6</v>
      </c>
      <c r="M9" s="42">
        <v>4</v>
      </c>
      <c r="N9" s="42">
        <v>6</v>
      </c>
    </row>
    <row r="10" spans="1:15" x14ac:dyDescent="0.2">
      <c r="A10" t="s">
        <v>894</v>
      </c>
      <c r="B10" t="s">
        <v>972</v>
      </c>
      <c r="E10" s="97"/>
      <c r="F10" t="s">
        <v>970</v>
      </c>
      <c r="G10" s="42">
        <v>7</v>
      </c>
      <c r="H10" s="42">
        <v>8</v>
      </c>
      <c r="I10" s="42" t="s">
        <v>754</v>
      </c>
      <c r="J10" s="42">
        <v>6</v>
      </c>
      <c r="K10" s="42">
        <v>25</v>
      </c>
      <c r="L10" s="42">
        <v>9</v>
      </c>
      <c r="M10" s="42">
        <v>5</v>
      </c>
      <c r="N10" s="42">
        <v>7</v>
      </c>
    </row>
    <row r="11" spans="1:15" x14ac:dyDescent="0.2">
      <c r="A11" t="s">
        <v>895</v>
      </c>
      <c r="B11" t="s">
        <v>973</v>
      </c>
      <c r="E11" s="97"/>
      <c r="F11" t="s">
        <v>971</v>
      </c>
      <c r="G11" s="42">
        <v>6</v>
      </c>
      <c r="H11" s="42">
        <v>8</v>
      </c>
      <c r="I11" s="42" t="s">
        <v>754</v>
      </c>
      <c r="J11" s="42">
        <v>6</v>
      </c>
      <c r="K11" s="42">
        <v>24</v>
      </c>
      <c r="L11" s="42">
        <v>9</v>
      </c>
      <c r="M11" s="42">
        <v>5</v>
      </c>
      <c r="N11" s="42">
        <v>7</v>
      </c>
    </row>
    <row r="12" spans="1:15" x14ac:dyDescent="0.2">
      <c r="A12" t="s">
        <v>896</v>
      </c>
      <c r="E12" s="97"/>
    </row>
    <row r="13" spans="1:15" x14ac:dyDescent="0.2">
      <c r="A13" t="s">
        <v>897</v>
      </c>
      <c r="E13" s="97"/>
    </row>
    <row r="14" spans="1:15" x14ac:dyDescent="0.2">
      <c r="A14" t="s">
        <v>899</v>
      </c>
      <c r="B14" t="s">
        <v>1306</v>
      </c>
      <c r="E14" s="97"/>
    </row>
    <row r="15" spans="1:15" x14ac:dyDescent="0.2">
      <c r="A15" t="s">
        <v>901</v>
      </c>
      <c r="B15" t="b">
        <v>0</v>
      </c>
      <c r="E15" s="97"/>
    </row>
    <row r="16" spans="1:15" x14ac:dyDescent="0.2">
      <c r="A16" t="s">
        <v>1146</v>
      </c>
      <c r="B16" t="b">
        <v>1</v>
      </c>
      <c r="E16" s="97"/>
    </row>
    <row r="17" spans="1:5" x14ac:dyDescent="0.2">
      <c r="E17" s="97"/>
    </row>
    <row r="18" spans="1:5" x14ac:dyDescent="0.2">
      <c r="A18" s="98" t="s">
        <v>902</v>
      </c>
      <c r="B18" s="97"/>
      <c r="E18" s="97"/>
    </row>
    <row r="19" spans="1:5" x14ac:dyDescent="0.2">
      <c r="A19" t="s">
        <v>903</v>
      </c>
      <c r="B19" t="s">
        <v>1307</v>
      </c>
      <c r="E19" s="97"/>
    </row>
    <row r="20" spans="1:5" x14ac:dyDescent="0.2">
      <c r="A20" t="s">
        <v>904</v>
      </c>
      <c r="B20" t="s">
        <v>1308</v>
      </c>
      <c r="E20" s="97"/>
    </row>
    <row r="21" spans="1:5" x14ac:dyDescent="0.2">
      <c r="A21" t="s">
        <v>905</v>
      </c>
      <c r="B21">
        <v>2023</v>
      </c>
      <c r="E21" s="97"/>
    </row>
    <row r="22" spans="1:5" x14ac:dyDescent="0.2">
      <c r="A22" t="s">
        <v>906</v>
      </c>
      <c r="B22" t="s">
        <v>1150</v>
      </c>
      <c r="E22" s="97"/>
    </row>
    <row r="23" spans="1:5" x14ac:dyDescent="0.2">
      <c r="A23" t="s">
        <v>907</v>
      </c>
      <c r="B23" t="s">
        <v>976</v>
      </c>
      <c r="E23" s="97"/>
    </row>
    <row r="24" spans="1:5" x14ac:dyDescent="0.2">
      <c r="A24" t="s">
        <v>908</v>
      </c>
      <c r="B24">
        <v>2025</v>
      </c>
      <c r="E24" s="97"/>
    </row>
    <row r="25" spans="1:5" x14ac:dyDescent="0.2">
      <c r="A25" t="s">
        <v>909</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138</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tbl-residential-segregation</v>
      </c>
    </row>
    <row r="4" spans="1:15" x14ac:dyDescent="0.2">
      <c r="A4" s="58" t="s">
        <v>6</v>
      </c>
      <c r="B4" t="str">
        <f>IF($B$1="","",_xlfn.XLOOKUP($B$1,Master!$F$2:$F$308,Master!$H$2:$H$308,""))</f>
        <v>fig-residential-segregation</v>
      </c>
      <c r="E4" s="13"/>
      <c r="F4" s="16" t="s">
        <v>664</v>
      </c>
      <c r="G4" s="16" t="s">
        <v>679</v>
      </c>
      <c r="H4" s="16" t="s">
        <v>679</v>
      </c>
      <c r="I4" s="16" t="s">
        <v>679</v>
      </c>
      <c r="J4" s="16" t="s">
        <v>679</v>
      </c>
      <c r="K4" s="16" t="s">
        <v>679</v>
      </c>
      <c r="L4" s="16" t="s">
        <v>679</v>
      </c>
      <c r="M4" s="16" t="s">
        <v>679</v>
      </c>
      <c r="N4" s="16" t="s">
        <v>679</v>
      </c>
      <c r="O4" s="16"/>
    </row>
    <row r="5" spans="1:15" x14ac:dyDescent="0.2">
      <c r="A5" s="98" t="s">
        <v>885</v>
      </c>
      <c r="B5" s="97"/>
      <c r="E5" s="99" t="s">
        <v>886</v>
      </c>
      <c r="G5" t="s">
        <v>220</v>
      </c>
      <c r="H5" t="s">
        <v>18</v>
      </c>
      <c r="I5" t="s">
        <v>537</v>
      </c>
      <c r="J5" t="s">
        <v>449</v>
      </c>
      <c r="K5" t="s">
        <v>409</v>
      </c>
      <c r="L5" t="s">
        <v>421</v>
      </c>
      <c r="M5" t="s">
        <v>470</v>
      </c>
      <c r="N5" t="s">
        <v>915</v>
      </c>
    </row>
    <row r="6" spans="1:15" ht="15" customHeight="1" x14ac:dyDescent="0.2">
      <c r="A6" t="s">
        <v>891</v>
      </c>
      <c r="B6" t="b">
        <v>0</v>
      </c>
      <c r="E6" s="97"/>
      <c r="F6" t="s">
        <v>1309</v>
      </c>
      <c r="G6" s="42">
        <v>52</v>
      </c>
      <c r="H6" s="42">
        <v>44</v>
      </c>
      <c r="I6" s="42">
        <v>39</v>
      </c>
      <c r="J6" s="42">
        <v>58</v>
      </c>
      <c r="K6" s="42">
        <v>46</v>
      </c>
      <c r="L6" s="42">
        <v>49</v>
      </c>
      <c r="M6" s="42">
        <v>62</v>
      </c>
      <c r="N6" s="42">
        <v>74</v>
      </c>
    </row>
    <row r="7" spans="1:15" ht="15.75" customHeight="1" x14ac:dyDescent="0.2">
      <c r="E7" s="97"/>
      <c r="F7" t="s">
        <v>1159</v>
      </c>
      <c r="G7" s="42">
        <v>50</v>
      </c>
      <c r="H7" s="42">
        <v>45</v>
      </c>
      <c r="I7" s="42">
        <v>44</v>
      </c>
      <c r="J7" s="42">
        <v>55</v>
      </c>
      <c r="K7" s="42">
        <v>50</v>
      </c>
      <c r="L7" s="42">
        <v>50</v>
      </c>
      <c r="M7" s="42">
        <v>59</v>
      </c>
      <c r="N7" s="42">
        <v>74</v>
      </c>
    </row>
    <row r="8" spans="1:15" x14ac:dyDescent="0.2">
      <c r="E8" s="97"/>
      <c r="F8" t="s">
        <v>969</v>
      </c>
      <c r="G8" s="42">
        <v>47</v>
      </c>
      <c r="H8" s="42">
        <v>47</v>
      </c>
      <c r="I8" s="42">
        <v>38</v>
      </c>
      <c r="J8" s="42">
        <v>58</v>
      </c>
      <c r="K8" s="42">
        <v>55</v>
      </c>
      <c r="L8" s="42">
        <v>46</v>
      </c>
      <c r="M8" s="42">
        <v>59</v>
      </c>
      <c r="N8" s="42">
        <v>74</v>
      </c>
    </row>
    <row r="9" spans="1:15" x14ac:dyDescent="0.2">
      <c r="A9" s="98" t="s">
        <v>893</v>
      </c>
      <c r="B9" s="97"/>
      <c r="E9" s="97"/>
      <c r="F9" t="s">
        <v>970</v>
      </c>
      <c r="G9" s="42">
        <v>46</v>
      </c>
      <c r="H9" s="42">
        <v>49</v>
      </c>
      <c r="I9" s="42">
        <v>45</v>
      </c>
      <c r="J9" s="42">
        <v>56</v>
      </c>
      <c r="K9" s="42">
        <v>51</v>
      </c>
      <c r="L9" s="42">
        <v>43</v>
      </c>
      <c r="M9" s="42">
        <v>60</v>
      </c>
      <c r="N9" s="42">
        <v>74</v>
      </c>
    </row>
    <row r="10" spans="1:15" x14ac:dyDescent="0.2">
      <c r="A10" t="s">
        <v>894</v>
      </c>
      <c r="B10" t="s">
        <v>972</v>
      </c>
      <c r="E10" s="97"/>
      <c r="F10" t="s">
        <v>971</v>
      </c>
      <c r="G10" s="42">
        <v>49</v>
      </c>
      <c r="H10" s="42">
        <v>48</v>
      </c>
      <c r="I10" s="42">
        <v>49</v>
      </c>
      <c r="J10" s="42">
        <v>58</v>
      </c>
      <c r="K10" s="42">
        <v>43</v>
      </c>
      <c r="L10" s="42" t="s">
        <v>754</v>
      </c>
      <c r="M10" s="42">
        <v>63</v>
      </c>
      <c r="N10" s="42">
        <v>74</v>
      </c>
    </row>
    <row r="11" spans="1:15" x14ac:dyDescent="0.2">
      <c r="A11" t="s">
        <v>895</v>
      </c>
      <c r="B11" t="s">
        <v>973</v>
      </c>
      <c r="E11" s="97"/>
      <c r="G11" s="42"/>
      <c r="H11" s="42"/>
      <c r="I11" s="42"/>
      <c r="J11" s="42"/>
      <c r="K11" s="42"/>
      <c r="L11" s="42"/>
      <c r="M11" s="42"/>
      <c r="N11" s="42"/>
    </row>
    <row r="12" spans="1:15" x14ac:dyDescent="0.2">
      <c r="A12" t="s">
        <v>896</v>
      </c>
      <c r="E12" s="97"/>
    </row>
    <row r="13" spans="1:15" x14ac:dyDescent="0.2">
      <c r="A13" t="s">
        <v>897</v>
      </c>
      <c r="E13" s="97"/>
    </row>
    <row r="14" spans="1:15" x14ac:dyDescent="0.2">
      <c r="A14" t="s">
        <v>899</v>
      </c>
      <c r="B14" t="s">
        <v>680</v>
      </c>
      <c r="E14" s="97"/>
    </row>
    <row r="15" spans="1:15" x14ac:dyDescent="0.2">
      <c r="A15" t="s">
        <v>901</v>
      </c>
      <c r="B15" t="b">
        <v>0</v>
      </c>
      <c r="E15" s="97"/>
    </row>
    <row r="16" spans="1:15" x14ac:dyDescent="0.2">
      <c r="A16" t="s">
        <v>1146</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142</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tbl-adult-medical-care-cost</v>
      </c>
    </row>
    <row r="4" spans="1:15" x14ac:dyDescent="0.2">
      <c r="A4" s="58" t="s">
        <v>6</v>
      </c>
      <c r="B4" t="str">
        <f>IF($B$1="","",_xlfn.XLOOKUP($B$1,Master!$F$2:$F$308,Master!$H$2:$H$308,""))</f>
        <v>fig-medical-care-cost</v>
      </c>
      <c r="E4" s="13"/>
      <c r="F4" s="16" t="s">
        <v>664</v>
      </c>
      <c r="G4" s="16" t="s">
        <v>679</v>
      </c>
      <c r="H4" s="16" t="s">
        <v>679</v>
      </c>
      <c r="I4" s="16" t="s">
        <v>679</v>
      </c>
      <c r="J4" s="16" t="s">
        <v>679</v>
      </c>
      <c r="K4" s="16" t="s">
        <v>679</v>
      </c>
      <c r="L4" s="16" t="s">
        <v>679</v>
      </c>
      <c r="M4" s="16" t="s">
        <v>679</v>
      </c>
      <c r="N4" s="16" t="s">
        <v>679</v>
      </c>
      <c r="O4" s="16"/>
    </row>
    <row r="5" spans="1:15" x14ac:dyDescent="0.2">
      <c r="A5" s="98" t="s">
        <v>885</v>
      </c>
      <c r="B5" s="97"/>
      <c r="E5" s="99" t="s">
        <v>886</v>
      </c>
      <c r="G5" t="s">
        <v>220</v>
      </c>
      <c r="H5" t="s">
        <v>18</v>
      </c>
      <c r="I5" t="s">
        <v>537</v>
      </c>
      <c r="J5" t="s">
        <v>449</v>
      </c>
      <c r="K5" t="s">
        <v>409</v>
      </c>
      <c r="L5" t="s">
        <v>421</v>
      </c>
      <c r="M5" t="s">
        <v>470</v>
      </c>
      <c r="N5" t="s">
        <v>915</v>
      </c>
    </row>
    <row r="6" spans="1:15" ht="15" customHeight="1" x14ac:dyDescent="0.2">
      <c r="A6" t="s">
        <v>891</v>
      </c>
      <c r="B6" t="b">
        <v>0</v>
      </c>
      <c r="E6" s="97"/>
      <c r="F6">
        <v>2016</v>
      </c>
      <c r="G6" s="42">
        <v>8.6</v>
      </c>
      <c r="H6" s="42">
        <v>11.1</v>
      </c>
      <c r="I6" s="42">
        <v>13.5</v>
      </c>
      <c r="J6" s="42">
        <v>11.8</v>
      </c>
      <c r="K6" s="42">
        <v>20.9</v>
      </c>
      <c r="L6" s="42">
        <v>11.2</v>
      </c>
      <c r="M6" s="42">
        <v>12.4</v>
      </c>
      <c r="N6" s="42">
        <v>11.5</v>
      </c>
    </row>
    <row r="7" spans="1:15" ht="15.75" customHeight="1" x14ac:dyDescent="0.2">
      <c r="E7" s="97"/>
      <c r="F7">
        <v>2018</v>
      </c>
      <c r="G7" s="42">
        <v>7.7</v>
      </c>
      <c r="H7" s="42">
        <v>8.5</v>
      </c>
      <c r="I7" s="42">
        <v>11.4</v>
      </c>
      <c r="J7" s="42">
        <v>11.8</v>
      </c>
      <c r="K7" s="42">
        <v>11.3</v>
      </c>
      <c r="L7" s="42">
        <v>12.7</v>
      </c>
      <c r="M7" s="42">
        <v>7.5</v>
      </c>
      <c r="N7" s="42">
        <v>11.3</v>
      </c>
    </row>
    <row r="8" spans="1:15" x14ac:dyDescent="0.2">
      <c r="E8" s="97"/>
      <c r="F8">
        <v>2021</v>
      </c>
      <c r="G8" s="42">
        <v>8.6999999999999993</v>
      </c>
      <c r="H8" s="42" t="s">
        <v>1310</v>
      </c>
      <c r="I8" s="42">
        <v>9.9</v>
      </c>
      <c r="J8" s="42">
        <v>8.4</v>
      </c>
      <c r="K8" s="42">
        <v>4.9000000000000004</v>
      </c>
      <c r="L8" s="42">
        <v>5.3</v>
      </c>
      <c r="M8" s="42">
        <v>8.3000000000000007</v>
      </c>
      <c r="N8" s="42">
        <v>8.4</v>
      </c>
    </row>
    <row r="9" spans="1:15" x14ac:dyDescent="0.2">
      <c r="A9" s="98" t="s">
        <v>893</v>
      </c>
      <c r="B9" s="97"/>
      <c r="E9" s="97"/>
      <c r="G9" s="42"/>
      <c r="H9" s="42"/>
      <c r="I9" s="42"/>
      <c r="J9" s="42"/>
      <c r="K9" s="42"/>
      <c r="L9" s="42"/>
      <c r="M9" s="42"/>
      <c r="N9" s="42"/>
    </row>
    <row r="10" spans="1:15" x14ac:dyDescent="0.2">
      <c r="A10" t="s">
        <v>894</v>
      </c>
      <c r="B10" t="s">
        <v>972</v>
      </c>
      <c r="E10" s="97"/>
      <c r="G10" s="42"/>
      <c r="H10" s="42"/>
      <c r="I10" s="42"/>
      <c r="J10" s="42"/>
      <c r="K10" s="42"/>
      <c r="L10" s="42"/>
      <c r="M10" s="42"/>
      <c r="N10" s="42"/>
    </row>
    <row r="11" spans="1:15" x14ac:dyDescent="0.2">
      <c r="A11" t="s">
        <v>895</v>
      </c>
      <c r="B11" t="s">
        <v>973</v>
      </c>
      <c r="E11" s="97"/>
      <c r="G11" s="42"/>
      <c r="H11" s="42"/>
      <c r="I11" s="42"/>
      <c r="J11" s="42"/>
      <c r="K11" s="42"/>
      <c r="L11" s="42"/>
      <c r="M11" s="42"/>
      <c r="N11" s="42"/>
    </row>
    <row r="12" spans="1:15" x14ac:dyDescent="0.2">
      <c r="A12" t="s">
        <v>896</v>
      </c>
      <c r="E12" s="97"/>
    </row>
    <row r="13" spans="1:15" x14ac:dyDescent="0.2">
      <c r="A13" t="s">
        <v>897</v>
      </c>
      <c r="E13" s="97"/>
    </row>
    <row r="14" spans="1:15" x14ac:dyDescent="0.2">
      <c r="A14" t="s">
        <v>899</v>
      </c>
      <c r="B14" t="s">
        <v>680</v>
      </c>
      <c r="E14" s="97"/>
    </row>
    <row r="15" spans="1:15" x14ac:dyDescent="0.2">
      <c r="A15" t="s">
        <v>901</v>
      </c>
      <c r="B15" t="b">
        <v>0</v>
      </c>
      <c r="E15" s="97"/>
    </row>
    <row r="16" spans="1:15" x14ac:dyDescent="0.2">
      <c r="A16" t="s">
        <v>1146</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146</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tbl-children-uninsured</v>
      </c>
    </row>
    <row r="4" spans="1:15" x14ac:dyDescent="0.2">
      <c r="A4" s="58" t="s">
        <v>6</v>
      </c>
      <c r="B4" t="str">
        <f>IF($B$1="","",_xlfn.XLOOKUP($B$1,Master!$F$2:$F$308,Master!$H$2:$H$308,""))</f>
        <v>fig-children-uninsured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7"/>
      <c r="E5" s="99" t="s">
        <v>886</v>
      </c>
      <c r="G5" t="s">
        <v>220</v>
      </c>
      <c r="H5" t="s">
        <v>18</v>
      </c>
      <c r="I5" t="s">
        <v>537</v>
      </c>
      <c r="J5" t="s">
        <v>449</v>
      </c>
      <c r="K5" t="s">
        <v>409</v>
      </c>
      <c r="L5" t="s">
        <v>421</v>
      </c>
      <c r="M5" t="s">
        <v>470</v>
      </c>
      <c r="N5" t="s">
        <v>915</v>
      </c>
    </row>
    <row r="6" spans="1:15" ht="15" customHeight="1" x14ac:dyDescent="0.2">
      <c r="A6" t="s">
        <v>891</v>
      </c>
      <c r="B6" t="b">
        <v>0</v>
      </c>
      <c r="E6" s="97"/>
      <c r="F6">
        <v>2020</v>
      </c>
      <c r="G6" s="42">
        <v>2.4</v>
      </c>
      <c r="H6" s="42">
        <v>2.2999999999999998</v>
      </c>
      <c r="I6" s="42">
        <v>2.5</v>
      </c>
      <c r="J6" s="42">
        <v>2.4</v>
      </c>
      <c r="K6" s="42">
        <v>4.0999999999999996</v>
      </c>
      <c r="L6" s="42">
        <v>2.5</v>
      </c>
      <c r="M6" s="42">
        <v>2.7</v>
      </c>
      <c r="N6" s="42">
        <v>2.5</v>
      </c>
    </row>
    <row r="7" spans="1:15" ht="15.75" customHeight="1" x14ac:dyDescent="0.2">
      <c r="E7" s="97"/>
      <c r="F7">
        <v>2021</v>
      </c>
      <c r="G7" s="42">
        <v>2.7</v>
      </c>
      <c r="H7" s="42">
        <v>2.8</v>
      </c>
      <c r="I7" s="42">
        <v>2.5</v>
      </c>
      <c r="J7" s="42">
        <v>2.2999999999999998</v>
      </c>
      <c r="K7" s="42">
        <v>3.2</v>
      </c>
      <c r="L7" s="42">
        <v>2.8</v>
      </c>
      <c r="M7" s="42">
        <v>3.2</v>
      </c>
      <c r="N7" s="42">
        <v>2.6</v>
      </c>
    </row>
    <row r="8" spans="1:15" x14ac:dyDescent="0.2">
      <c r="E8" s="97"/>
      <c r="F8">
        <v>2022</v>
      </c>
      <c r="G8" s="42">
        <v>2.2999999999999998</v>
      </c>
      <c r="H8" s="42">
        <v>2.8</v>
      </c>
      <c r="I8" s="42">
        <v>2.5</v>
      </c>
      <c r="J8" s="42">
        <v>3</v>
      </c>
      <c r="K8" s="42">
        <v>3.4</v>
      </c>
      <c r="L8" s="42">
        <v>2.7</v>
      </c>
      <c r="M8" s="42">
        <v>2.2999999999999998</v>
      </c>
      <c r="N8" s="42">
        <v>2.5</v>
      </c>
    </row>
    <row r="9" spans="1:15" x14ac:dyDescent="0.2">
      <c r="A9" s="98" t="s">
        <v>893</v>
      </c>
      <c r="B9" s="97"/>
      <c r="E9" s="97"/>
      <c r="F9">
        <v>2023</v>
      </c>
      <c r="G9" s="42">
        <v>2.6</v>
      </c>
      <c r="H9" s="42">
        <v>2.7</v>
      </c>
      <c r="I9" s="42">
        <v>2.4</v>
      </c>
      <c r="J9" s="42">
        <v>2.8</v>
      </c>
      <c r="K9" s="42">
        <v>3.5</v>
      </c>
      <c r="L9" s="42">
        <v>3</v>
      </c>
      <c r="M9" s="42">
        <v>2.8</v>
      </c>
      <c r="N9" s="42">
        <v>2.8</v>
      </c>
    </row>
    <row r="10" spans="1:15" x14ac:dyDescent="0.2">
      <c r="A10" t="s">
        <v>894</v>
      </c>
      <c r="B10" t="s">
        <v>972</v>
      </c>
      <c r="E10" s="97"/>
      <c r="G10" s="42"/>
      <c r="H10" s="42"/>
      <c r="I10" s="42"/>
      <c r="J10" s="42"/>
      <c r="K10" s="42"/>
      <c r="L10" s="42"/>
      <c r="M10" s="42"/>
      <c r="N10" s="42"/>
    </row>
    <row r="11" spans="1:15" x14ac:dyDescent="0.2">
      <c r="A11" t="s">
        <v>895</v>
      </c>
      <c r="B11" t="s">
        <v>973</v>
      </c>
      <c r="E11" s="97"/>
      <c r="G11" s="42"/>
      <c r="H11" s="42"/>
      <c r="I11" s="42"/>
      <c r="J11" s="42"/>
      <c r="K11" s="42"/>
      <c r="L11" s="42"/>
      <c r="M11" s="42"/>
      <c r="N11" s="42"/>
    </row>
    <row r="12" spans="1:15" x14ac:dyDescent="0.2">
      <c r="A12" t="s">
        <v>896</v>
      </c>
      <c r="E12" s="97"/>
    </row>
    <row r="13" spans="1:15" x14ac:dyDescent="0.2">
      <c r="A13" t="s">
        <v>897</v>
      </c>
      <c r="E13" s="97"/>
    </row>
    <row r="14" spans="1:15" x14ac:dyDescent="0.2">
      <c r="A14" t="s">
        <v>899</v>
      </c>
      <c r="B14" t="s">
        <v>680</v>
      </c>
      <c r="E14" s="97"/>
    </row>
    <row r="15" spans="1:15" x14ac:dyDescent="0.2">
      <c r="A15" t="s">
        <v>901</v>
      </c>
      <c r="B15" t="b">
        <v>0</v>
      </c>
      <c r="E15" s="97"/>
    </row>
    <row r="16" spans="1:15" x14ac:dyDescent="0.2">
      <c r="A16" t="s">
        <v>1146</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150</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tbl-adult-health-insured</v>
      </c>
    </row>
    <row r="4" spans="1:15" x14ac:dyDescent="0.2">
      <c r="A4" s="58" t="s">
        <v>6</v>
      </c>
      <c r="B4" t="str">
        <f>IF($B$1="","",_xlfn.XLOOKUP($B$1,Master!$F$2:$F$308,Master!$H$2:$H$308,""))</f>
        <v>fig-adult-health-insured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7"/>
      <c r="E5" s="99" t="s">
        <v>886</v>
      </c>
      <c r="G5" t="s">
        <v>220</v>
      </c>
      <c r="H5" t="s">
        <v>18</v>
      </c>
      <c r="I5" t="s">
        <v>537</v>
      </c>
      <c r="J5" t="s">
        <v>449</v>
      </c>
      <c r="K5" t="s">
        <v>409</v>
      </c>
      <c r="L5" t="s">
        <v>421</v>
      </c>
      <c r="M5" t="s">
        <v>470</v>
      </c>
      <c r="N5" t="s">
        <v>915</v>
      </c>
    </row>
    <row r="6" spans="1:15" ht="15" customHeight="1" x14ac:dyDescent="0.2">
      <c r="A6" t="s">
        <v>891</v>
      </c>
      <c r="B6" t="b">
        <v>0</v>
      </c>
      <c r="E6" s="97"/>
      <c r="F6">
        <v>2020</v>
      </c>
      <c r="G6" s="42">
        <v>94.5</v>
      </c>
      <c r="H6" s="42">
        <v>93.2</v>
      </c>
      <c r="I6" s="42">
        <v>95.1</v>
      </c>
      <c r="J6" s="42">
        <v>93.3</v>
      </c>
      <c r="K6" s="42">
        <v>92.6</v>
      </c>
      <c r="L6" s="42">
        <v>92.6</v>
      </c>
      <c r="M6" s="42">
        <v>93.2</v>
      </c>
      <c r="N6" s="42">
        <v>92.7</v>
      </c>
    </row>
    <row r="7" spans="1:15" ht="15.75" customHeight="1" x14ac:dyDescent="0.2">
      <c r="E7" s="97"/>
      <c r="F7">
        <v>2021</v>
      </c>
      <c r="G7" s="42">
        <v>94.2</v>
      </c>
      <c r="H7" s="42">
        <v>93.5</v>
      </c>
      <c r="I7" s="42">
        <v>94.6</v>
      </c>
      <c r="J7" s="42">
        <v>93.3</v>
      </c>
      <c r="K7" s="42">
        <v>92.4</v>
      </c>
      <c r="L7" s="42">
        <v>92.7</v>
      </c>
      <c r="M7" s="42">
        <v>93</v>
      </c>
      <c r="N7" s="42">
        <v>92.6</v>
      </c>
    </row>
    <row r="8" spans="1:15" x14ac:dyDescent="0.2">
      <c r="E8" s="97"/>
      <c r="F8">
        <v>2022</v>
      </c>
      <c r="G8" s="42">
        <v>94.6</v>
      </c>
      <c r="H8" s="42">
        <v>93.3</v>
      </c>
      <c r="I8" s="42">
        <v>95</v>
      </c>
      <c r="J8" s="42">
        <v>93.6</v>
      </c>
      <c r="K8" s="42">
        <v>92.9</v>
      </c>
      <c r="L8" s="42">
        <v>91.8</v>
      </c>
      <c r="M8" s="42">
        <v>93.6</v>
      </c>
      <c r="N8" s="42">
        <v>93.2</v>
      </c>
    </row>
    <row r="9" spans="1:15" x14ac:dyDescent="0.2">
      <c r="A9" s="98" t="s">
        <v>893</v>
      </c>
      <c r="B9" s="97"/>
      <c r="E9" s="97"/>
      <c r="F9">
        <v>2023</v>
      </c>
      <c r="G9" s="42">
        <v>94.4</v>
      </c>
      <c r="H9" s="42">
        <v>93</v>
      </c>
      <c r="I9" s="42">
        <v>94.9</v>
      </c>
      <c r="J9" s="42">
        <v>92.3</v>
      </c>
      <c r="K9" s="42">
        <v>92.5</v>
      </c>
      <c r="L9" s="42">
        <v>92</v>
      </c>
      <c r="M9" s="42">
        <v>93.6</v>
      </c>
      <c r="N9" s="42">
        <v>93.2</v>
      </c>
    </row>
    <row r="10" spans="1:15" x14ac:dyDescent="0.2">
      <c r="A10" t="s">
        <v>894</v>
      </c>
      <c r="B10" t="s">
        <v>972</v>
      </c>
      <c r="E10" s="97"/>
      <c r="G10" s="42"/>
      <c r="H10" s="42"/>
      <c r="I10" s="42"/>
      <c r="J10" s="42"/>
      <c r="K10" s="42"/>
      <c r="L10" s="42"/>
      <c r="M10" s="42"/>
      <c r="N10" s="42"/>
    </row>
    <row r="11" spans="1:15" x14ac:dyDescent="0.2">
      <c r="A11" t="s">
        <v>895</v>
      </c>
      <c r="B11" t="s">
        <v>973</v>
      </c>
      <c r="E11" s="97"/>
      <c r="G11" s="42"/>
      <c r="H11" s="42"/>
      <c r="I11" s="42"/>
      <c r="J11" s="42"/>
      <c r="K11" s="42"/>
      <c r="L11" s="42"/>
      <c r="M11" s="42"/>
      <c r="N11" s="42"/>
    </row>
    <row r="12" spans="1:15" x14ac:dyDescent="0.2">
      <c r="A12" t="s">
        <v>896</v>
      </c>
      <c r="E12" s="97"/>
    </row>
    <row r="13" spans="1:15" x14ac:dyDescent="0.2">
      <c r="A13" t="s">
        <v>897</v>
      </c>
      <c r="E13" s="97"/>
    </row>
    <row r="14" spans="1:15" x14ac:dyDescent="0.2">
      <c r="A14" t="s">
        <v>899</v>
      </c>
      <c r="B14" t="s">
        <v>680</v>
      </c>
      <c r="E14" s="97"/>
    </row>
    <row r="15" spans="1:15" x14ac:dyDescent="0.2">
      <c r="A15" t="s">
        <v>901</v>
      </c>
      <c r="B15" t="b">
        <v>0</v>
      </c>
      <c r="E15" s="97"/>
    </row>
    <row r="16" spans="1:15" x14ac:dyDescent="0.2">
      <c r="A16" t="s">
        <v>1146</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152</v>
      </c>
      <c r="C1" s="113"/>
      <c r="D1" s="113"/>
      <c r="E1" s="113"/>
      <c r="F1" s="113"/>
      <c r="G1" s="113"/>
      <c r="H1" s="113"/>
      <c r="I1" s="113"/>
      <c r="J1" s="113"/>
      <c r="K1" s="113"/>
      <c r="L1" s="113"/>
      <c r="M1" s="113"/>
      <c r="N1" s="113"/>
      <c r="O1" s="113"/>
    </row>
    <row r="2" spans="1:15" x14ac:dyDescent="0.2">
      <c r="A2" s="58" t="s">
        <v>883</v>
      </c>
      <c r="B2" t="s">
        <v>12</v>
      </c>
    </row>
    <row r="3" spans="1:15" x14ac:dyDescent="0.2">
      <c r="A3" s="58" t="s">
        <v>884</v>
      </c>
      <c r="B3" t="str">
        <f>IF($B$1="","",_xlfn.XLOOKUP($B$1,Master!$F$2:$F$308,Master!$G$2:$G$308,""))</f>
        <v>tbl-medically-underserved</v>
      </c>
    </row>
    <row r="4" spans="1:15" x14ac:dyDescent="0.2">
      <c r="A4" s="58" t="s">
        <v>6</v>
      </c>
      <c r="B4">
        <f>IF($B$1="","",_xlfn.XLOOKUP($B$1,Master!$F$2:$F$308,Master!$H$2:$H$308,""))</f>
        <v>0</v>
      </c>
      <c r="E4" s="13"/>
      <c r="F4" s="16" t="s">
        <v>664</v>
      </c>
      <c r="G4" s="16" t="s">
        <v>664</v>
      </c>
      <c r="H4" s="16" t="s">
        <v>664</v>
      </c>
      <c r="I4" s="16" t="s">
        <v>664</v>
      </c>
      <c r="J4" s="16" t="s">
        <v>714</v>
      </c>
      <c r="K4" s="16"/>
      <c r="L4" s="16"/>
      <c r="M4" s="16"/>
      <c r="N4" s="16"/>
      <c r="O4" s="16"/>
    </row>
    <row r="5" spans="1:15" x14ac:dyDescent="0.2">
      <c r="A5" s="98" t="s">
        <v>885</v>
      </c>
      <c r="B5" s="97"/>
      <c r="E5" s="99" t="s">
        <v>886</v>
      </c>
      <c r="G5" t="s">
        <v>1311</v>
      </c>
      <c r="H5" t="s">
        <v>1312</v>
      </c>
      <c r="I5" t="s">
        <v>1313</v>
      </c>
      <c r="J5" t="s">
        <v>1314</v>
      </c>
    </row>
    <row r="6" spans="1:15" ht="15" customHeight="1" x14ac:dyDescent="0.2">
      <c r="A6" t="s">
        <v>891</v>
      </c>
      <c r="B6" t="b">
        <v>0</v>
      </c>
      <c r="E6" s="97"/>
      <c r="F6" t="s">
        <v>220</v>
      </c>
      <c r="G6" s="42" t="s">
        <v>1315</v>
      </c>
      <c r="H6" s="42" t="s">
        <v>1316</v>
      </c>
      <c r="I6" s="42">
        <v>59.2</v>
      </c>
      <c r="J6" s="44">
        <v>37036</v>
      </c>
      <c r="K6" s="42"/>
      <c r="L6" s="42"/>
      <c r="M6" s="42"/>
      <c r="N6" s="42"/>
    </row>
    <row r="7" spans="1:15" ht="15.75" customHeight="1" x14ac:dyDescent="0.2">
      <c r="E7" s="97"/>
      <c r="F7" t="s">
        <v>220</v>
      </c>
      <c r="G7" s="42" t="s">
        <v>1317</v>
      </c>
      <c r="H7" s="42" t="s">
        <v>1316</v>
      </c>
      <c r="I7" s="42">
        <v>44.8</v>
      </c>
      <c r="J7" s="44">
        <v>36997</v>
      </c>
      <c r="K7" s="42"/>
      <c r="L7" s="42"/>
      <c r="M7" s="42"/>
      <c r="N7" s="42"/>
    </row>
    <row r="8" spans="1:15" x14ac:dyDescent="0.2">
      <c r="E8" s="97"/>
      <c r="F8" t="s">
        <v>220</v>
      </c>
      <c r="G8" s="42" t="s">
        <v>1318</v>
      </c>
      <c r="H8" s="42" t="s">
        <v>1319</v>
      </c>
      <c r="I8" s="42" t="s">
        <v>900</v>
      </c>
      <c r="J8" s="44">
        <v>34156</v>
      </c>
      <c r="K8" s="42"/>
      <c r="L8" s="42"/>
      <c r="M8" s="42"/>
      <c r="N8" s="42"/>
    </row>
    <row r="9" spans="1:15" x14ac:dyDescent="0.2">
      <c r="A9" s="98" t="s">
        <v>893</v>
      </c>
      <c r="B9" s="97"/>
      <c r="E9" s="97"/>
      <c r="F9" t="s">
        <v>18</v>
      </c>
      <c r="G9" s="42" t="s">
        <v>1320</v>
      </c>
      <c r="H9" s="42" t="s">
        <v>1321</v>
      </c>
      <c r="I9" s="42">
        <v>55.5</v>
      </c>
      <c r="J9" s="44">
        <v>34458</v>
      </c>
      <c r="K9" s="42"/>
      <c r="L9" s="42"/>
      <c r="M9" s="42"/>
      <c r="N9" s="42"/>
    </row>
    <row r="10" spans="1:15" x14ac:dyDescent="0.2">
      <c r="A10" t="s">
        <v>894</v>
      </c>
      <c r="E10" s="97"/>
      <c r="F10" t="s">
        <v>18</v>
      </c>
      <c r="G10" s="42" t="s">
        <v>1322</v>
      </c>
      <c r="H10" s="42" t="s">
        <v>1321</v>
      </c>
      <c r="I10" s="42">
        <v>60.8</v>
      </c>
      <c r="J10" s="44">
        <v>36340</v>
      </c>
      <c r="K10" s="42"/>
      <c r="L10" s="42"/>
      <c r="M10" s="42"/>
      <c r="N10" s="42"/>
    </row>
    <row r="11" spans="1:15" x14ac:dyDescent="0.2">
      <c r="A11" t="s">
        <v>895</v>
      </c>
      <c r="E11" s="97"/>
      <c r="F11" t="s">
        <v>18</v>
      </c>
      <c r="G11" s="42" t="s">
        <v>1323</v>
      </c>
      <c r="H11" s="42" t="s">
        <v>1321</v>
      </c>
      <c r="I11" s="42">
        <v>45</v>
      </c>
      <c r="J11" s="44">
        <v>34171</v>
      </c>
      <c r="K11" s="42"/>
      <c r="L11" s="42"/>
      <c r="M11" s="42"/>
      <c r="N11" s="42"/>
    </row>
    <row r="12" spans="1:15" x14ac:dyDescent="0.2">
      <c r="A12" t="s">
        <v>896</v>
      </c>
      <c r="E12" s="97"/>
      <c r="F12" t="s">
        <v>18</v>
      </c>
      <c r="G12" t="s">
        <v>1324</v>
      </c>
      <c r="H12" t="s">
        <v>1316</v>
      </c>
      <c r="I12">
        <v>58.2</v>
      </c>
      <c r="J12" s="45">
        <v>34432</v>
      </c>
    </row>
    <row r="13" spans="1:15" x14ac:dyDescent="0.2">
      <c r="A13" t="s">
        <v>897</v>
      </c>
      <c r="E13" s="97"/>
      <c r="F13" t="s">
        <v>449</v>
      </c>
      <c r="G13" t="s">
        <v>1325</v>
      </c>
      <c r="H13" t="s">
        <v>1321</v>
      </c>
      <c r="I13">
        <v>45.5</v>
      </c>
      <c r="J13" s="45">
        <v>34184</v>
      </c>
    </row>
    <row r="14" spans="1:15" x14ac:dyDescent="0.2">
      <c r="A14" t="s">
        <v>899</v>
      </c>
      <c r="E14" s="97"/>
      <c r="F14" t="s">
        <v>449</v>
      </c>
      <c r="G14" t="s">
        <v>1326</v>
      </c>
      <c r="H14" t="s">
        <v>1316</v>
      </c>
      <c r="I14">
        <v>61.6</v>
      </c>
      <c r="J14" s="45">
        <v>38925</v>
      </c>
    </row>
    <row r="15" spans="1:15" x14ac:dyDescent="0.2">
      <c r="A15" t="s">
        <v>901</v>
      </c>
      <c r="E15" s="97"/>
      <c r="F15" t="s">
        <v>409</v>
      </c>
      <c r="G15" t="s">
        <v>1327</v>
      </c>
      <c r="H15" t="s">
        <v>1316</v>
      </c>
      <c r="I15">
        <v>59.3</v>
      </c>
      <c r="J15" s="45">
        <v>37407</v>
      </c>
    </row>
    <row r="16" spans="1:15" x14ac:dyDescent="0.2">
      <c r="A16" t="s">
        <v>1146</v>
      </c>
      <c r="E16" s="97"/>
      <c r="F16" t="s">
        <v>409</v>
      </c>
      <c r="G16" t="s">
        <v>1328</v>
      </c>
      <c r="H16" t="s">
        <v>1316</v>
      </c>
      <c r="I16">
        <v>61.4</v>
      </c>
      <c r="J16" s="45">
        <v>38162</v>
      </c>
    </row>
    <row r="17" spans="1:10" x14ac:dyDescent="0.2">
      <c r="E17" s="97"/>
      <c r="F17" t="s">
        <v>1329</v>
      </c>
      <c r="G17" t="s">
        <v>1330</v>
      </c>
      <c r="H17" t="s">
        <v>1316</v>
      </c>
      <c r="I17">
        <v>61.8</v>
      </c>
      <c r="J17" s="45">
        <v>37425</v>
      </c>
    </row>
    <row r="18" spans="1:10" x14ac:dyDescent="0.2">
      <c r="A18" s="98" t="s">
        <v>902</v>
      </c>
      <c r="B18" s="97"/>
      <c r="E18" s="97"/>
      <c r="F18" t="s">
        <v>421</v>
      </c>
      <c r="G18" t="s">
        <v>1331</v>
      </c>
      <c r="H18" t="s">
        <v>1321</v>
      </c>
      <c r="I18">
        <v>58.8</v>
      </c>
      <c r="J18" s="45">
        <v>29713</v>
      </c>
    </row>
    <row r="19" spans="1:10" x14ac:dyDescent="0.2">
      <c r="A19" t="s">
        <v>903</v>
      </c>
      <c r="E19" s="97"/>
      <c r="F19" t="s">
        <v>470</v>
      </c>
      <c r="G19" t="s">
        <v>1332</v>
      </c>
      <c r="H19" t="s">
        <v>1321</v>
      </c>
      <c r="I19">
        <v>61.6</v>
      </c>
      <c r="J19" s="45">
        <v>34520</v>
      </c>
    </row>
    <row r="20" spans="1:10" x14ac:dyDescent="0.2">
      <c r="A20" t="s">
        <v>904</v>
      </c>
      <c r="E20" s="97"/>
      <c r="F20" t="s">
        <v>470</v>
      </c>
      <c r="G20" t="s">
        <v>1333</v>
      </c>
      <c r="H20" t="s">
        <v>1321</v>
      </c>
      <c r="I20">
        <v>54</v>
      </c>
      <c r="J20" s="45">
        <v>28586</v>
      </c>
    </row>
    <row r="21" spans="1:10" x14ac:dyDescent="0.2">
      <c r="A21" t="s">
        <v>905</v>
      </c>
      <c r="E21" s="97"/>
      <c r="F21" t="s">
        <v>470</v>
      </c>
      <c r="G21" t="s">
        <v>1334</v>
      </c>
      <c r="H21" t="s">
        <v>1319</v>
      </c>
      <c r="I21" t="s">
        <v>900</v>
      </c>
      <c r="J21" s="45">
        <v>37680</v>
      </c>
    </row>
    <row r="22" spans="1:10" x14ac:dyDescent="0.2">
      <c r="A22" t="s">
        <v>906</v>
      </c>
      <c r="E22" s="97"/>
      <c r="F22" t="s">
        <v>470</v>
      </c>
      <c r="G22" t="s">
        <v>1335</v>
      </c>
      <c r="H22" t="s">
        <v>1321</v>
      </c>
      <c r="I22">
        <v>58.8</v>
      </c>
      <c r="J22" s="45">
        <v>34458</v>
      </c>
    </row>
    <row r="23" spans="1:10" x14ac:dyDescent="0.2">
      <c r="A23" t="s">
        <v>907</v>
      </c>
      <c r="E23" s="97"/>
      <c r="F23" t="s">
        <v>470</v>
      </c>
      <c r="G23" t="s">
        <v>1336</v>
      </c>
      <c r="H23" t="s">
        <v>1319</v>
      </c>
      <c r="I23" t="s">
        <v>900</v>
      </c>
      <c r="J23" s="45">
        <v>34067</v>
      </c>
    </row>
    <row r="24" spans="1:10" x14ac:dyDescent="0.2">
      <c r="A24" t="s">
        <v>908</v>
      </c>
      <c r="E24" s="97"/>
      <c r="F24" t="s">
        <v>470</v>
      </c>
      <c r="G24" t="s">
        <v>1337</v>
      </c>
      <c r="H24" t="s">
        <v>1321</v>
      </c>
      <c r="I24">
        <v>41.2</v>
      </c>
      <c r="J24" s="45">
        <v>32423</v>
      </c>
    </row>
    <row r="25" spans="1:10" x14ac:dyDescent="0.2">
      <c r="A25" t="s">
        <v>909</v>
      </c>
      <c r="E25" s="97"/>
    </row>
    <row r="26" spans="1:10" x14ac:dyDescent="0.2">
      <c r="E26" s="97"/>
    </row>
    <row r="27" spans="1:10" x14ac:dyDescent="0.2">
      <c r="A27" s="100" t="s">
        <v>910</v>
      </c>
      <c r="B27" s="97"/>
      <c r="E27" s="97"/>
    </row>
    <row r="28" spans="1:10" x14ac:dyDescent="0.2">
      <c r="E28" s="97"/>
    </row>
    <row r="29" spans="1:10" x14ac:dyDescent="0.2">
      <c r="E29" s="97"/>
    </row>
    <row r="30" spans="1:10" x14ac:dyDescent="0.2">
      <c r="E30" s="97"/>
    </row>
    <row r="31" spans="1:10" x14ac:dyDescent="0.2">
      <c r="E31" s="97"/>
    </row>
    <row r="32" spans="1:10"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157</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tbl-primary-care-providers</v>
      </c>
    </row>
    <row r="4" spans="1:15" x14ac:dyDescent="0.2">
      <c r="A4" s="58" t="s">
        <v>6</v>
      </c>
      <c r="B4" t="str">
        <f>IF($B$1="","",_xlfn.XLOOKUP($B$1,Master!$F$2:$F$308,Master!$H$2:$H$308,""))</f>
        <v>fig-primary-care-providers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7"/>
      <c r="E5" s="99" t="s">
        <v>886</v>
      </c>
      <c r="F5" s="46"/>
      <c r="G5" s="46" t="s">
        <v>220</v>
      </c>
      <c r="H5" s="46" t="s">
        <v>18</v>
      </c>
      <c r="I5" s="46" t="s">
        <v>537</v>
      </c>
      <c r="J5" s="46" t="s">
        <v>449</v>
      </c>
      <c r="K5" s="46" t="s">
        <v>409</v>
      </c>
      <c r="L5" s="46" t="s">
        <v>421</v>
      </c>
      <c r="M5" s="46" t="s">
        <v>470</v>
      </c>
      <c r="N5" s="46" t="s">
        <v>915</v>
      </c>
    </row>
    <row r="6" spans="1:15" ht="15" customHeight="1" x14ac:dyDescent="0.2">
      <c r="A6" t="s">
        <v>891</v>
      </c>
      <c r="B6" t="b">
        <v>0</v>
      </c>
      <c r="E6" s="97"/>
      <c r="F6">
        <v>2019</v>
      </c>
      <c r="G6" s="60" t="s">
        <v>1338</v>
      </c>
      <c r="H6" s="60" t="s">
        <v>1339</v>
      </c>
      <c r="I6" s="60" t="s">
        <v>1340</v>
      </c>
      <c r="J6" s="60" t="s">
        <v>1341</v>
      </c>
      <c r="K6" s="60" t="s">
        <v>1342</v>
      </c>
      <c r="L6" s="60" t="s">
        <v>1343</v>
      </c>
      <c r="M6" s="60" t="s">
        <v>1344</v>
      </c>
      <c r="N6" s="60" t="s">
        <v>1345</v>
      </c>
    </row>
    <row r="7" spans="1:15" ht="15.75" customHeight="1" x14ac:dyDescent="0.2">
      <c r="E7" s="97"/>
      <c r="F7">
        <v>2020</v>
      </c>
      <c r="G7" s="60" t="s">
        <v>1346</v>
      </c>
      <c r="H7" s="60" t="s">
        <v>1346</v>
      </c>
      <c r="I7" s="60" t="s">
        <v>1347</v>
      </c>
      <c r="J7" s="60" t="s">
        <v>1348</v>
      </c>
      <c r="K7" s="60" t="s">
        <v>1349</v>
      </c>
      <c r="L7" s="60" t="s">
        <v>1350</v>
      </c>
      <c r="M7" s="60" t="s">
        <v>1344</v>
      </c>
      <c r="N7" s="60" t="s">
        <v>1351</v>
      </c>
    </row>
    <row r="8" spans="1:15" x14ac:dyDescent="0.2">
      <c r="E8" s="97"/>
      <c r="F8">
        <v>2021</v>
      </c>
      <c r="G8" s="60" t="s">
        <v>1352</v>
      </c>
      <c r="H8" s="60" t="s">
        <v>1338</v>
      </c>
      <c r="I8" s="60" t="s">
        <v>1353</v>
      </c>
      <c r="J8" s="60" t="s">
        <v>1345</v>
      </c>
      <c r="K8" s="60" t="s">
        <v>1354</v>
      </c>
      <c r="L8" s="60" t="s">
        <v>1355</v>
      </c>
      <c r="M8" s="60" t="s">
        <v>1356</v>
      </c>
      <c r="N8" s="60" t="s">
        <v>1357</v>
      </c>
    </row>
    <row r="9" spans="1:15" x14ac:dyDescent="0.2">
      <c r="A9" s="98" t="s">
        <v>893</v>
      </c>
      <c r="B9" s="97"/>
      <c r="E9" s="97"/>
      <c r="G9" s="42"/>
      <c r="H9" s="42"/>
      <c r="I9" s="42"/>
      <c r="J9" s="42"/>
      <c r="K9" s="42"/>
      <c r="L9" s="42"/>
      <c r="M9" s="42"/>
      <c r="N9" s="42"/>
    </row>
    <row r="10" spans="1:15" x14ac:dyDescent="0.2">
      <c r="A10" t="s">
        <v>894</v>
      </c>
      <c r="B10" t="s">
        <v>972</v>
      </c>
      <c r="E10" s="97"/>
      <c r="G10" s="42"/>
      <c r="H10" s="42"/>
      <c r="I10" s="42"/>
      <c r="J10" s="42"/>
      <c r="K10" s="42"/>
      <c r="L10" s="42"/>
      <c r="M10" s="42"/>
      <c r="N10" s="42"/>
    </row>
    <row r="11" spans="1:15" x14ac:dyDescent="0.2">
      <c r="A11" t="s">
        <v>895</v>
      </c>
      <c r="B11" t="s">
        <v>973</v>
      </c>
      <c r="E11" s="97"/>
      <c r="G11" s="42"/>
      <c r="H11" s="42"/>
      <c r="I11" s="42"/>
      <c r="J11" s="42"/>
      <c r="K11" s="42"/>
      <c r="L11" s="42"/>
      <c r="M11" s="42"/>
      <c r="N11" s="42"/>
    </row>
    <row r="12" spans="1:15" x14ac:dyDescent="0.2">
      <c r="A12" t="s">
        <v>896</v>
      </c>
      <c r="E12" s="97"/>
    </row>
    <row r="13" spans="1:15" x14ac:dyDescent="0.2">
      <c r="A13" t="s">
        <v>897</v>
      </c>
      <c r="E13" s="97"/>
    </row>
    <row r="14" spans="1:15" x14ac:dyDescent="0.2">
      <c r="A14" t="s">
        <v>899</v>
      </c>
      <c r="B14" t="s">
        <v>680</v>
      </c>
      <c r="E14" s="97"/>
    </row>
    <row r="15" spans="1:15" x14ac:dyDescent="0.2">
      <c r="A15" t="s">
        <v>901</v>
      </c>
      <c r="B15" t="b">
        <v>0</v>
      </c>
      <c r="E15" s="97"/>
    </row>
    <row r="16" spans="1:15" x14ac:dyDescent="0.2">
      <c r="A16" t="s">
        <v>1146</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161</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tbl-dentists</v>
      </c>
    </row>
    <row r="4" spans="1:15" x14ac:dyDescent="0.2">
      <c r="A4" s="58" t="s">
        <v>6</v>
      </c>
      <c r="B4" t="str">
        <f>IF($B$1="","",_xlfn.XLOOKUP($B$1,Master!$F$2:$F$308,Master!$H$2:$H$308,""))</f>
        <v>fig-dentists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7"/>
      <c r="E5" s="99" t="s">
        <v>886</v>
      </c>
      <c r="F5" s="46"/>
      <c r="G5" s="46" t="s">
        <v>220</v>
      </c>
      <c r="H5" s="46" t="s">
        <v>18</v>
      </c>
      <c r="I5" s="46" t="s">
        <v>537</v>
      </c>
      <c r="J5" s="46" t="s">
        <v>449</v>
      </c>
      <c r="K5" s="46" t="s">
        <v>409</v>
      </c>
      <c r="L5" s="46" t="s">
        <v>421</v>
      </c>
      <c r="M5" s="46" t="s">
        <v>470</v>
      </c>
      <c r="N5" s="46" t="s">
        <v>915</v>
      </c>
    </row>
    <row r="6" spans="1:15" ht="15" customHeight="1" x14ac:dyDescent="0.2">
      <c r="A6" t="s">
        <v>891</v>
      </c>
      <c r="B6" t="b">
        <v>0</v>
      </c>
      <c r="E6" s="97"/>
      <c r="F6">
        <v>2019</v>
      </c>
      <c r="G6" s="60" t="s">
        <v>1358</v>
      </c>
      <c r="H6" s="60" t="s">
        <v>1359</v>
      </c>
      <c r="I6" s="60" t="s">
        <v>1360</v>
      </c>
      <c r="J6" s="60" t="s">
        <v>1361</v>
      </c>
      <c r="K6" s="60" t="s">
        <v>1362</v>
      </c>
      <c r="L6" s="60" t="s">
        <v>1363</v>
      </c>
      <c r="M6" s="60" t="s">
        <v>1364</v>
      </c>
      <c r="N6" s="60" t="s">
        <v>1351</v>
      </c>
    </row>
    <row r="7" spans="1:15" ht="15.75" customHeight="1" x14ac:dyDescent="0.2">
      <c r="E7" s="97"/>
      <c r="F7">
        <v>2020</v>
      </c>
      <c r="G7" s="60" t="s">
        <v>1365</v>
      </c>
      <c r="H7" s="60" t="s">
        <v>1366</v>
      </c>
      <c r="I7" s="60" t="s">
        <v>1367</v>
      </c>
      <c r="J7" s="60" t="s">
        <v>1368</v>
      </c>
      <c r="K7" s="60" t="s">
        <v>1369</v>
      </c>
      <c r="L7" s="60" t="s">
        <v>1343</v>
      </c>
      <c r="M7" s="60" t="s">
        <v>1370</v>
      </c>
      <c r="N7" s="60" t="s">
        <v>1371</v>
      </c>
    </row>
    <row r="8" spans="1:15" x14ac:dyDescent="0.2">
      <c r="E8" s="97"/>
      <c r="F8">
        <v>2021</v>
      </c>
      <c r="G8" s="60" t="s">
        <v>1352</v>
      </c>
      <c r="H8" s="60" t="s">
        <v>1372</v>
      </c>
      <c r="I8" s="60" t="s">
        <v>1373</v>
      </c>
      <c r="J8" s="60" t="s">
        <v>1374</v>
      </c>
      <c r="K8" s="60" t="s">
        <v>1375</v>
      </c>
      <c r="L8" s="60" t="s">
        <v>1372</v>
      </c>
      <c r="M8" s="60" t="s">
        <v>1376</v>
      </c>
      <c r="N8" s="60" t="s">
        <v>1377</v>
      </c>
    </row>
    <row r="9" spans="1:15" x14ac:dyDescent="0.2">
      <c r="A9" s="98" t="s">
        <v>893</v>
      </c>
      <c r="B9" s="97"/>
      <c r="E9" s="97"/>
      <c r="F9">
        <v>2022</v>
      </c>
      <c r="G9" s="60" t="s">
        <v>1378</v>
      </c>
      <c r="H9" s="60" t="s">
        <v>1338</v>
      </c>
      <c r="I9" s="60" t="s">
        <v>1379</v>
      </c>
      <c r="J9" s="60" t="s">
        <v>1374</v>
      </c>
      <c r="K9" s="60" t="s">
        <v>1380</v>
      </c>
      <c r="L9" s="60" t="s">
        <v>1381</v>
      </c>
      <c r="M9" s="60" t="s">
        <v>1382</v>
      </c>
      <c r="N9" s="60" t="s">
        <v>1383</v>
      </c>
    </row>
    <row r="10" spans="1:15" x14ac:dyDescent="0.2">
      <c r="A10" t="s">
        <v>894</v>
      </c>
      <c r="B10" t="s">
        <v>972</v>
      </c>
      <c r="E10" s="97"/>
      <c r="G10" s="42"/>
      <c r="H10" s="42"/>
      <c r="I10" s="42"/>
      <c r="J10" s="42"/>
      <c r="K10" s="42"/>
      <c r="L10" s="42"/>
      <c r="M10" s="42"/>
      <c r="N10" s="42"/>
    </row>
    <row r="11" spans="1:15" x14ac:dyDescent="0.2">
      <c r="A11" t="s">
        <v>895</v>
      </c>
      <c r="B11" t="s">
        <v>973</v>
      </c>
      <c r="E11" s="97"/>
      <c r="G11" s="42"/>
      <c r="H11" s="42"/>
      <c r="I11" s="42"/>
      <c r="J11" s="42"/>
      <c r="K11" s="42"/>
      <c r="L11" s="42"/>
      <c r="M11" s="42"/>
      <c r="N11" s="42"/>
    </row>
    <row r="12" spans="1:15" x14ac:dyDescent="0.2">
      <c r="A12" t="s">
        <v>896</v>
      </c>
      <c r="E12" s="97"/>
    </row>
    <row r="13" spans="1:15" x14ac:dyDescent="0.2">
      <c r="A13" t="s">
        <v>897</v>
      </c>
      <c r="E13" s="97"/>
    </row>
    <row r="14" spans="1:15" x14ac:dyDescent="0.2">
      <c r="A14" t="s">
        <v>899</v>
      </c>
      <c r="B14" t="s">
        <v>680</v>
      </c>
      <c r="E14" s="97"/>
    </row>
    <row r="15" spans="1:15" x14ac:dyDescent="0.2">
      <c r="A15" t="s">
        <v>901</v>
      </c>
      <c r="B15" t="b">
        <v>0</v>
      </c>
      <c r="E15" s="97"/>
    </row>
    <row r="16" spans="1:15" x14ac:dyDescent="0.2">
      <c r="A16" t="s">
        <v>1146</v>
      </c>
      <c r="E16" s="97"/>
    </row>
    <row r="17" spans="1:5" x14ac:dyDescent="0.2">
      <c r="E17" s="97"/>
    </row>
    <row r="18" spans="1:5" x14ac:dyDescent="0.2">
      <c r="A18" s="98" t="s">
        <v>902</v>
      </c>
      <c r="B18" s="97"/>
      <c r="E18" s="97"/>
    </row>
    <row r="19" spans="1:5" x14ac:dyDescent="0.2">
      <c r="A19" t="s">
        <v>903</v>
      </c>
      <c r="E19" s="97"/>
    </row>
    <row r="20" spans="1:5" x14ac:dyDescent="0.2">
      <c r="A20" t="s">
        <v>904</v>
      </c>
      <c r="E20" s="97"/>
    </row>
    <row r="21" spans="1:5" x14ac:dyDescent="0.2">
      <c r="A21" t="s">
        <v>905</v>
      </c>
      <c r="E21" s="97"/>
    </row>
    <row r="22" spans="1:5" x14ac:dyDescent="0.2">
      <c r="A22" t="s">
        <v>906</v>
      </c>
      <c r="E22" s="97"/>
    </row>
    <row r="23" spans="1:5" x14ac:dyDescent="0.2">
      <c r="A23" t="s">
        <v>907</v>
      </c>
      <c r="E23" s="97"/>
    </row>
    <row r="24" spans="1:5" x14ac:dyDescent="0.2">
      <c r="A24" t="s">
        <v>908</v>
      </c>
      <c r="E24" s="97"/>
    </row>
    <row r="25" spans="1:5" x14ac:dyDescent="0.2">
      <c r="A25" t="s">
        <v>909</v>
      </c>
      <c r="E25" s="97"/>
    </row>
    <row r="26" spans="1:5" x14ac:dyDescent="0.2">
      <c r="E26" s="97"/>
    </row>
    <row r="27" spans="1:5" x14ac:dyDescent="0.2">
      <c r="A27" s="100" t="s">
        <v>910</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165</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tbl-mental-health-providers</v>
      </c>
    </row>
    <row r="4" spans="1:15" x14ac:dyDescent="0.2">
      <c r="A4" s="58" t="s">
        <v>6</v>
      </c>
      <c r="B4" t="str">
        <f>IF($B$1="","",_xlfn.XLOOKUP($B$1,Master!$F$2:$F$308,Master!$H$2:$H$308,""))</f>
        <v>fig-mental-health-providers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7"/>
      <c r="E5" s="99" t="s">
        <v>886</v>
      </c>
      <c r="F5" s="46"/>
      <c r="G5" s="46" t="s">
        <v>220</v>
      </c>
      <c r="H5" s="46" t="s">
        <v>18</v>
      </c>
      <c r="I5" s="46" t="s">
        <v>537</v>
      </c>
      <c r="J5" s="46" t="s">
        <v>449</v>
      </c>
      <c r="K5" s="46" t="s">
        <v>409</v>
      </c>
      <c r="L5" s="46" t="s">
        <v>421</v>
      </c>
      <c r="M5" s="46" t="s">
        <v>470</v>
      </c>
      <c r="N5" s="46" t="s">
        <v>915</v>
      </c>
      <c r="O5" s="46"/>
    </row>
    <row r="6" spans="1:15" ht="15" customHeight="1" x14ac:dyDescent="0.2">
      <c r="A6" t="s">
        <v>891</v>
      </c>
      <c r="B6" t="b">
        <v>0</v>
      </c>
      <c r="E6" s="97"/>
      <c r="F6">
        <v>2021</v>
      </c>
      <c r="G6" s="46" t="s">
        <v>1384</v>
      </c>
      <c r="H6" s="46" t="s">
        <v>1385</v>
      </c>
      <c r="I6" s="46" t="s">
        <v>1386</v>
      </c>
      <c r="J6" s="46" t="s">
        <v>1387</v>
      </c>
      <c r="K6" s="46" t="s">
        <v>1388</v>
      </c>
      <c r="L6" s="46" t="s">
        <v>1389</v>
      </c>
      <c r="M6" s="46" t="s">
        <v>1390</v>
      </c>
      <c r="N6" s="46" t="s">
        <v>1391</v>
      </c>
      <c r="O6" s="46"/>
    </row>
    <row r="7" spans="1:15" ht="15.75" customHeight="1" x14ac:dyDescent="0.2">
      <c r="E7" s="97"/>
      <c r="F7">
        <v>2022</v>
      </c>
      <c r="G7" s="46" t="s">
        <v>1391</v>
      </c>
      <c r="H7" s="46" t="s">
        <v>1385</v>
      </c>
      <c r="I7" s="46" t="s">
        <v>1392</v>
      </c>
      <c r="J7" s="46" t="s">
        <v>1393</v>
      </c>
      <c r="K7" s="46" t="s">
        <v>1394</v>
      </c>
      <c r="L7" s="46" t="s">
        <v>1386</v>
      </c>
      <c r="M7" s="46" t="s">
        <v>1390</v>
      </c>
      <c r="N7" s="46" t="s">
        <v>1395</v>
      </c>
      <c r="O7" s="46"/>
    </row>
    <row r="8" spans="1:15" x14ac:dyDescent="0.2">
      <c r="E8" s="97"/>
      <c r="F8">
        <v>2023</v>
      </c>
      <c r="G8" s="46" t="s">
        <v>1395</v>
      </c>
      <c r="H8" s="46" t="s">
        <v>1396</v>
      </c>
      <c r="I8" s="46" t="s">
        <v>1390</v>
      </c>
      <c r="J8" s="46" t="s">
        <v>1395</v>
      </c>
      <c r="K8" s="46" t="s">
        <v>1397</v>
      </c>
      <c r="L8" s="46" t="s">
        <v>1398</v>
      </c>
      <c r="M8" s="46" t="s">
        <v>1399</v>
      </c>
      <c r="N8" s="46" t="s">
        <v>1400</v>
      </c>
      <c r="O8" s="46"/>
    </row>
    <row r="9" spans="1:15" x14ac:dyDescent="0.2">
      <c r="A9" s="98" t="s">
        <v>893</v>
      </c>
      <c r="B9" s="97"/>
      <c r="E9" s="97"/>
      <c r="F9">
        <v>2024</v>
      </c>
      <c r="G9" s="46" t="s">
        <v>1401</v>
      </c>
      <c r="H9" s="46" t="s">
        <v>1402</v>
      </c>
      <c r="I9" s="46" t="s">
        <v>1403</v>
      </c>
      <c r="J9" s="46" t="s">
        <v>1401</v>
      </c>
      <c r="K9" s="46" t="s">
        <v>1397</v>
      </c>
      <c r="L9" s="46" t="s">
        <v>1392</v>
      </c>
      <c r="M9" s="46" t="s">
        <v>1404</v>
      </c>
      <c r="N9" s="46" t="s">
        <v>1386</v>
      </c>
      <c r="O9" s="46"/>
    </row>
    <row r="10" spans="1:15" x14ac:dyDescent="0.2">
      <c r="A10" t="s">
        <v>894</v>
      </c>
      <c r="B10" t="s">
        <v>972</v>
      </c>
      <c r="E10" s="97"/>
      <c r="F10" s="46"/>
      <c r="G10" s="47"/>
      <c r="H10" s="47"/>
      <c r="I10" s="47"/>
      <c r="J10" s="47"/>
      <c r="K10" s="47"/>
      <c r="L10" s="47"/>
      <c r="M10" s="47"/>
      <c r="N10" s="47"/>
      <c r="O10" s="46"/>
    </row>
    <row r="11" spans="1:15" x14ac:dyDescent="0.2">
      <c r="A11" t="s">
        <v>895</v>
      </c>
      <c r="B11" t="s">
        <v>973</v>
      </c>
      <c r="E11" s="97"/>
      <c r="F11" s="46"/>
      <c r="G11" s="47"/>
      <c r="H11" s="47"/>
      <c r="I11" s="47"/>
      <c r="J11" s="47"/>
      <c r="K11" s="47"/>
      <c r="L11" s="47"/>
      <c r="M11" s="47"/>
      <c r="N11" s="47"/>
      <c r="O11" s="46"/>
    </row>
    <row r="12" spans="1:15" x14ac:dyDescent="0.2">
      <c r="A12" t="s">
        <v>896</v>
      </c>
      <c r="E12" s="97"/>
      <c r="F12" s="46"/>
      <c r="G12" s="46"/>
      <c r="H12" s="46"/>
      <c r="I12" s="46"/>
      <c r="J12" s="46"/>
      <c r="K12" s="46"/>
      <c r="L12" s="46"/>
      <c r="M12" s="46"/>
      <c r="N12" s="46"/>
      <c r="O12" s="46"/>
    </row>
    <row r="13" spans="1:15" x14ac:dyDescent="0.2">
      <c r="A13" t="s">
        <v>897</v>
      </c>
      <c r="E13" s="97"/>
      <c r="F13" s="46"/>
      <c r="G13" s="46"/>
      <c r="H13" s="46"/>
      <c r="I13" s="46"/>
      <c r="J13" s="46"/>
      <c r="K13" s="46"/>
      <c r="L13" s="46"/>
      <c r="M13" s="46"/>
      <c r="N13" s="46"/>
      <c r="O13" s="46"/>
    </row>
    <row r="14" spans="1:15" x14ac:dyDescent="0.2">
      <c r="A14" t="s">
        <v>899</v>
      </c>
      <c r="B14" t="s">
        <v>680</v>
      </c>
      <c r="E14" s="97"/>
      <c r="F14" s="46"/>
      <c r="G14" s="48"/>
      <c r="H14" s="47"/>
      <c r="I14" s="47"/>
      <c r="J14" s="47"/>
      <c r="K14" s="47"/>
      <c r="L14" s="47"/>
      <c r="M14" s="47"/>
      <c r="N14" s="47"/>
      <c r="O14" s="46"/>
    </row>
    <row r="15" spans="1:15" x14ac:dyDescent="0.2">
      <c r="A15" t="s">
        <v>901</v>
      </c>
      <c r="B15" t="b">
        <v>0</v>
      </c>
      <c r="E15" s="97"/>
      <c r="F15" s="46"/>
      <c r="G15" s="48"/>
      <c r="H15" s="47"/>
      <c r="I15" s="47"/>
      <c r="J15" s="47"/>
      <c r="K15" s="47"/>
      <c r="L15" s="47"/>
      <c r="M15" s="47"/>
      <c r="N15" s="47"/>
      <c r="O15" s="46"/>
    </row>
    <row r="16" spans="1:15" x14ac:dyDescent="0.2">
      <c r="A16" t="s">
        <v>1146</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902</v>
      </c>
      <c r="B18" s="97"/>
      <c r="E18" s="97"/>
      <c r="F18" s="46"/>
      <c r="G18" s="46"/>
      <c r="H18" s="46"/>
      <c r="I18" s="46"/>
      <c r="J18" s="46"/>
      <c r="K18" s="46"/>
      <c r="L18" s="46"/>
      <c r="M18" s="46"/>
      <c r="N18" s="46"/>
      <c r="O18" s="46"/>
    </row>
    <row r="19" spans="1:15" x14ac:dyDescent="0.2">
      <c r="A19" t="s">
        <v>903</v>
      </c>
      <c r="E19" s="97"/>
      <c r="F19" s="46"/>
      <c r="G19" s="46"/>
      <c r="H19" s="46"/>
      <c r="I19" s="46"/>
      <c r="J19" s="46"/>
      <c r="K19" s="46"/>
      <c r="L19" s="46"/>
      <c r="M19" s="46"/>
      <c r="N19" s="46"/>
      <c r="O19" s="46"/>
    </row>
    <row r="20" spans="1:15" x14ac:dyDescent="0.2">
      <c r="A20" t="s">
        <v>904</v>
      </c>
      <c r="E20" s="97"/>
      <c r="F20" s="46"/>
      <c r="G20" s="46"/>
      <c r="H20" s="46"/>
      <c r="I20" s="46"/>
      <c r="J20" s="46"/>
      <c r="K20" s="46"/>
      <c r="L20" s="46"/>
      <c r="M20" s="46"/>
      <c r="N20" s="46"/>
      <c r="O20" s="46"/>
    </row>
    <row r="21" spans="1:15" x14ac:dyDescent="0.2">
      <c r="A21" t="s">
        <v>905</v>
      </c>
      <c r="E21" s="97"/>
      <c r="F21" s="46"/>
      <c r="G21" s="46"/>
      <c r="H21" s="46"/>
      <c r="I21" s="46"/>
      <c r="J21" s="46"/>
      <c r="K21" s="46"/>
      <c r="L21" s="46"/>
      <c r="M21" s="46"/>
      <c r="N21" s="46"/>
      <c r="O21" s="46"/>
    </row>
    <row r="22" spans="1:15" x14ac:dyDescent="0.2">
      <c r="A22" t="s">
        <v>906</v>
      </c>
      <c r="E22" s="97"/>
    </row>
    <row r="23" spans="1:15" x14ac:dyDescent="0.2">
      <c r="A23" t="s">
        <v>907</v>
      </c>
      <c r="E23" s="97"/>
    </row>
    <row r="24" spans="1:15" x14ac:dyDescent="0.2">
      <c r="A24" t="s">
        <v>908</v>
      </c>
      <c r="E24" s="97"/>
    </row>
    <row r="25" spans="1:15" x14ac:dyDescent="0.2">
      <c r="A25" t="s">
        <v>909</v>
      </c>
      <c r="E25" s="97"/>
    </row>
    <row r="26" spans="1:15" x14ac:dyDescent="0.2">
      <c r="E26" s="97"/>
    </row>
    <row r="27" spans="1:15" x14ac:dyDescent="0.2">
      <c r="A27" s="100" t="s">
        <v>910</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170</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tbl-adult-access-primary-care</v>
      </c>
    </row>
    <row r="4" spans="1:15" x14ac:dyDescent="0.2">
      <c r="A4" s="58" t="s">
        <v>6</v>
      </c>
      <c r="B4" t="str">
        <f>IF($B$1="","",_xlfn.XLOOKUP($B$1,Master!$F$2:$F$308,Master!$H$2:$H$308,""))</f>
        <v>fig-access-to-primary-care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7"/>
      <c r="E5" s="99" t="s">
        <v>886</v>
      </c>
      <c r="F5" s="46"/>
      <c r="G5" s="46" t="s">
        <v>220</v>
      </c>
      <c r="H5" s="46" t="s">
        <v>18</v>
      </c>
      <c r="I5" s="46" t="s">
        <v>537</v>
      </c>
      <c r="J5" s="46" t="s">
        <v>449</v>
      </c>
      <c r="K5" s="46" t="s">
        <v>409</v>
      </c>
      <c r="L5" s="46" t="s">
        <v>421</v>
      </c>
      <c r="M5" s="46" t="s">
        <v>470</v>
      </c>
      <c r="N5" s="46" t="s">
        <v>898</v>
      </c>
      <c r="O5" s="46" t="s">
        <v>915</v>
      </c>
    </row>
    <row r="6" spans="1:15" ht="15" customHeight="1" x14ac:dyDescent="0.2">
      <c r="A6" t="s">
        <v>891</v>
      </c>
      <c r="B6" t="b">
        <v>0</v>
      </c>
      <c r="E6" s="97"/>
      <c r="F6">
        <v>2016</v>
      </c>
      <c r="G6">
        <v>82.8</v>
      </c>
      <c r="H6">
        <v>81.8</v>
      </c>
      <c r="I6">
        <v>86.7</v>
      </c>
      <c r="J6">
        <v>84.1</v>
      </c>
      <c r="K6">
        <v>84.6</v>
      </c>
      <c r="L6">
        <v>82.5</v>
      </c>
      <c r="M6">
        <v>79.2</v>
      </c>
      <c r="N6" s="49" t="s">
        <v>900</v>
      </c>
      <c r="O6">
        <v>82.6</v>
      </c>
    </row>
    <row r="7" spans="1:15" ht="15.75" customHeight="1" x14ac:dyDescent="0.2">
      <c r="E7" s="97"/>
      <c r="F7">
        <v>2018</v>
      </c>
      <c r="G7">
        <v>85.7</v>
      </c>
      <c r="H7">
        <v>80.7</v>
      </c>
      <c r="I7">
        <v>89</v>
      </c>
      <c r="J7">
        <v>83.8</v>
      </c>
      <c r="K7">
        <v>75</v>
      </c>
      <c r="L7">
        <v>78.3</v>
      </c>
      <c r="M7">
        <v>81.400000000000006</v>
      </c>
      <c r="N7" s="49" t="s">
        <v>900</v>
      </c>
      <c r="O7">
        <v>79.099999999999994</v>
      </c>
    </row>
    <row r="8" spans="1:15" x14ac:dyDescent="0.2">
      <c r="E8" s="97"/>
      <c r="F8">
        <v>2021</v>
      </c>
      <c r="G8">
        <v>81.599999999999994</v>
      </c>
      <c r="H8">
        <v>88.9</v>
      </c>
      <c r="I8">
        <v>90.5</v>
      </c>
      <c r="J8">
        <v>84.1</v>
      </c>
      <c r="K8">
        <v>76.900000000000006</v>
      </c>
      <c r="L8">
        <v>89.5</v>
      </c>
      <c r="M8">
        <v>84.9</v>
      </c>
      <c r="N8">
        <v>86.5</v>
      </c>
      <c r="O8">
        <v>85</v>
      </c>
    </row>
    <row r="9" spans="1:15" x14ac:dyDescent="0.2">
      <c r="A9" s="98" t="s">
        <v>893</v>
      </c>
      <c r="B9" s="97"/>
      <c r="E9" s="97"/>
      <c r="G9" s="46"/>
      <c r="H9" s="46"/>
      <c r="I9" s="46"/>
      <c r="J9" s="46"/>
      <c r="K9" s="46"/>
      <c r="L9" s="46"/>
      <c r="M9" s="46"/>
      <c r="N9" s="46"/>
      <c r="O9" s="46"/>
    </row>
    <row r="10" spans="1:15" x14ac:dyDescent="0.2">
      <c r="A10" t="s">
        <v>894</v>
      </c>
      <c r="B10" t="s">
        <v>983</v>
      </c>
      <c r="E10" s="97"/>
      <c r="F10" s="46"/>
      <c r="G10" s="47"/>
      <c r="H10" s="47"/>
      <c r="I10" s="47"/>
      <c r="J10" s="47"/>
      <c r="K10" s="47"/>
      <c r="L10" s="47"/>
      <c r="M10" s="47"/>
      <c r="N10" s="47"/>
      <c r="O10" s="46"/>
    </row>
    <row r="11" spans="1:15" x14ac:dyDescent="0.2">
      <c r="A11" t="s">
        <v>895</v>
      </c>
      <c r="B11" t="s">
        <v>887</v>
      </c>
      <c r="E11" s="97"/>
      <c r="F11" s="46"/>
      <c r="G11" s="47"/>
      <c r="H11" s="47"/>
      <c r="I11" s="47"/>
      <c r="J11" s="47"/>
      <c r="K11" s="47"/>
      <c r="L11" s="47"/>
      <c r="M11" s="47"/>
      <c r="N11" s="47"/>
      <c r="O11" s="46"/>
    </row>
    <row r="12" spans="1:15" x14ac:dyDescent="0.2">
      <c r="A12" t="s">
        <v>896</v>
      </c>
      <c r="E12" s="97"/>
      <c r="F12" s="46"/>
      <c r="G12" s="46"/>
      <c r="H12" s="46"/>
      <c r="I12" s="46"/>
      <c r="J12" s="46"/>
      <c r="K12" s="46"/>
      <c r="L12" s="46"/>
      <c r="M12" s="46"/>
      <c r="N12" s="46"/>
      <c r="O12" s="46"/>
    </row>
    <row r="13" spans="1:15" x14ac:dyDescent="0.2">
      <c r="A13" t="s">
        <v>897</v>
      </c>
      <c r="E13" s="97"/>
      <c r="F13" s="46"/>
      <c r="G13" s="46"/>
      <c r="H13" s="46"/>
      <c r="I13" s="46"/>
      <c r="J13" s="46"/>
      <c r="K13" s="46"/>
      <c r="L13" s="46"/>
      <c r="M13" s="46"/>
      <c r="N13" s="46"/>
      <c r="O13" s="46"/>
    </row>
    <row r="14" spans="1:15" x14ac:dyDescent="0.2">
      <c r="A14" t="s">
        <v>899</v>
      </c>
      <c r="E14" s="97"/>
      <c r="F14" s="46"/>
      <c r="G14" s="48"/>
      <c r="H14" s="47"/>
      <c r="I14" s="47"/>
      <c r="J14" s="47"/>
      <c r="K14" s="47"/>
      <c r="L14" s="47"/>
      <c r="M14" s="47"/>
      <c r="N14" s="47"/>
      <c r="O14" s="46"/>
    </row>
    <row r="15" spans="1:15" x14ac:dyDescent="0.2">
      <c r="A15" t="s">
        <v>901</v>
      </c>
      <c r="B15" t="b">
        <v>1</v>
      </c>
      <c r="E15" s="97"/>
      <c r="F15" s="46"/>
      <c r="G15" s="48"/>
      <c r="H15" s="47"/>
      <c r="I15" s="47"/>
      <c r="J15" s="47"/>
      <c r="K15" s="47"/>
      <c r="L15" s="47"/>
      <c r="M15" s="47"/>
      <c r="N15" s="47"/>
      <c r="O15" s="46"/>
    </row>
    <row r="16" spans="1:15" x14ac:dyDescent="0.2">
      <c r="A16" t="s">
        <v>1146</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902</v>
      </c>
      <c r="B18" s="97"/>
      <c r="E18" s="97"/>
      <c r="F18" s="46"/>
      <c r="G18" s="46"/>
      <c r="H18" s="46"/>
      <c r="I18" s="46"/>
      <c r="J18" s="46"/>
      <c r="K18" s="46"/>
      <c r="L18" s="46"/>
      <c r="M18" s="46"/>
      <c r="N18" s="46"/>
      <c r="O18" s="46"/>
    </row>
    <row r="19" spans="1:15" x14ac:dyDescent="0.2">
      <c r="A19" t="s">
        <v>903</v>
      </c>
      <c r="E19" s="97"/>
      <c r="F19" s="46"/>
      <c r="G19" s="46"/>
      <c r="H19" s="46"/>
      <c r="I19" s="46"/>
      <c r="J19" s="46"/>
      <c r="K19" s="46"/>
      <c r="L19" s="46"/>
      <c r="M19" s="46"/>
      <c r="N19" s="46"/>
      <c r="O19" s="46"/>
    </row>
    <row r="20" spans="1:15" x14ac:dyDescent="0.2">
      <c r="A20" t="s">
        <v>904</v>
      </c>
      <c r="E20" s="97"/>
      <c r="F20" s="46"/>
      <c r="G20" s="46"/>
      <c r="H20" s="46"/>
      <c r="I20" s="46"/>
      <c r="J20" s="46"/>
      <c r="K20" s="46"/>
      <c r="L20" s="46"/>
      <c r="M20" s="46"/>
      <c r="N20" s="46"/>
      <c r="O20" s="46"/>
    </row>
    <row r="21" spans="1:15" x14ac:dyDescent="0.2">
      <c r="A21" t="s">
        <v>905</v>
      </c>
      <c r="E21" s="97"/>
      <c r="F21" s="46"/>
      <c r="G21" s="46"/>
      <c r="H21" s="46"/>
      <c r="I21" s="46"/>
      <c r="J21" s="46"/>
      <c r="K21" s="46"/>
      <c r="L21" s="46"/>
      <c r="M21" s="46"/>
      <c r="N21" s="46"/>
      <c r="O21" s="46"/>
    </row>
    <row r="22" spans="1:15" x14ac:dyDescent="0.2">
      <c r="A22" t="s">
        <v>906</v>
      </c>
      <c r="E22" s="97"/>
    </row>
    <row r="23" spans="1:15" x14ac:dyDescent="0.2">
      <c r="A23" t="s">
        <v>907</v>
      </c>
      <c r="E23" s="97"/>
    </row>
    <row r="24" spans="1:15" x14ac:dyDescent="0.2">
      <c r="A24" t="s">
        <v>908</v>
      </c>
      <c r="E24" s="97"/>
    </row>
    <row r="25" spans="1:15" x14ac:dyDescent="0.2">
      <c r="A25" t="s">
        <v>909</v>
      </c>
      <c r="E25" s="97"/>
    </row>
    <row r="26" spans="1:15" x14ac:dyDescent="0.2">
      <c r="E26" s="97"/>
    </row>
    <row r="27" spans="1:15" x14ac:dyDescent="0.2">
      <c r="A27" s="100" t="s">
        <v>910</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174</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tbl-pph</v>
      </c>
    </row>
    <row r="4" spans="1:15" x14ac:dyDescent="0.2">
      <c r="A4" s="58" t="s">
        <v>6</v>
      </c>
      <c r="B4" t="str">
        <f>IF($B$1="","",_xlfn.XLOOKUP($B$1,Master!$F$2:$F$308,Master!$H$2:$H$308,""))</f>
        <v>fig-pph</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7"/>
      <c r="E5" s="99" t="s">
        <v>886</v>
      </c>
      <c r="F5" s="46"/>
      <c r="G5" s="46" t="s">
        <v>220</v>
      </c>
      <c r="H5" s="46" t="s">
        <v>18</v>
      </c>
      <c r="I5" s="46" t="s">
        <v>537</v>
      </c>
      <c r="J5" s="46" t="s">
        <v>449</v>
      </c>
      <c r="K5" s="46" t="s">
        <v>409</v>
      </c>
      <c r="L5" s="46" t="s">
        <v>421</v>
      </c>
      <c r="M5" s="46" t="s">
        <v>470</v>
      </c>
      <c r="N5" s="46" t="s">
        <v>914</v>
      </c>
      <c r="O5" s="46" t="s">
        <v>915</v>
      </c>
    </row>
    <row r="6" spans="1:15" ht="15" customHeight="1" x14ac:dyDescent="0.2">
      <c r="A6" t="s">
        <v>891</v>
      </c>
      <c r="B6" t="b">
        <v>0</v>
      </c>
      <c r="E6" s="97"/>
      <c r="F6" t="s">
        <v>1405</v>
      </c>
      <c r="G6">
        <v>86.4</v>
      </c>
      <c r="H6">
        <v>106.3</v>
      </c>
      <c r="I6">
        <v>60.2</v>
      </c>
      <c r="J6">
        <v>76.7</v>
      </c>
      <c r="K6">
        <v>100.9</v>
      </c>
      <c r="L6">
        <v>95.7</v>
      </c>
      <c r="M6">
        <v>77.099999999999994</v>
      </c>
      <c r="N6" s="49">
        <v>92.7</v>
      </c>
      <c r="O6">
        <v>97.3</v>
      </c>
    </row>
    <row r="7" spans="1:15" ht="15.75" customHeight="1" x14ac:dyDescent="0.2">
      <c r="E7" s="97"/>
      <c r="N7" s="49"/>
    </row>
    <row r="8" spans="1:15" x14ac:dyDescent="0.2">
      <c r="E8" s="97"/>
    </row>
    <row r="9" spans="1:15" x14ac:dyDescent="0.2">
      <c r="A9" s="98" t="s">
        <v>893</v>
      </c>
      <c r="B9" s="97"/>
      <c r="E9" s="97"/>
      <c r="G9" s="46"/>
      <c r="H9" s="46"/>
      <c r="I9" s="46"/>
      <c r="J9" s="46"/>
      <c r="K9" s="46"/>
      <c r="L9" s="46"/>
      <c r="M9" s="46"/>
      <c r="N9" s="46"/>
      <c r="O9" s="46"/>
    </row>
    <row r="10" spans="1:15" x14ac:dyDescent="0.2">
      <c r="A10" t="s">
        <v>894</v>
      </c>
      <c r="B10" t="s">
        <v>1002</v>
      </c>
      <c r="E10" s="97"/>
      <c r="F10" s="46"/>
      <c r="G10" s="47"/>
      <c r="H10" s="47"/>
      <c r="I10" s="47"/>
      <c r="J10" s="47"/>
      <c r="K10" s="47"/>
      <c r="L10" s="47"/>
      <c r="M10" s="47"/>
      <c r="N10" s="47"/>
      <c r="O10" s="46"/>
    </row>
    <row r="11" spans="1:15" x14ac:dyDescent="0.2">
      <c r="A11" t="s">
        <v>895</v>
      </c>
      <c r="B11" t="s">
        <v>887</v>
      </c>
      <c r="E11" s="97"/>
      <c r="F11" s="46"/>
      <c r="G11" s="47"/>
      <c r="H11" s="47"/>
      <c r="I11" s="47"/>
      <c r="J11" s="47"/>
      <c r="K11" s="47"/>
      <c r="L11" s="47"/>
      <c r="M11" s="47"/>
      <c r="N11" s="47"/>
      <c r="O11" s="46"/>
    </row>
    <row r="12" spans="1:15" x14ac:dyDescent="0.2">
      <c r="A12" t="s">
        <v>896</v>
      </c>
      <c r="E12" s="97"/>
      <c r="F12" s="46"/>
      <c r="G12" s="46"/>
      <c r="H12" s="46"/>
      <c r="I12" s="46"/>
      <c r="J12" s="46"/>
      <c r="K12" s="46"/>
      <c r="L12" s="46"/>
      <c r="M12" s="46"/>
      <c r="N12" s="46"/>
      <c r="O12" s="46"/>
    </row>
    <row r="13" spans="1:15" x14ac:dyDescent="0.2">
      <c r="A13" t="s">
        <v>897</v>
      </c>
      <c r="E13" s="97"/>
      <c r="F13" s="46"/>
      <c r="G13" s="46"/>
      <c r="H13" s="46"/>
      <c r="I13" s="46"/>
      <c r="J13" s="46"/>
      <c r="K13" s="46"/>
      <c r="L13" s="46"/>
      <c r="M13" s="46"/>
      <c r="N13" s="46"/>
      <c r="O13" s="46"/>
    </row>
    <row r="14" spans="1:15" x14ac:dyDescent="0.2">
      <c r="A14" t="s">
        <v>899</v>
      </c>
      <c r="E14" s="97"/>
      <c r="F14" s="46"/>
      <c r="G14" s="48"/>
      <c r="H14" s="47"/>
      <c r="I14" s="47"/>
      <c r="J14" s="47"/>
      <c r="K14" s="47"/>
      <c r="L14" s="47"/>
      <c r="M14" s="47"/>
      <c r="N14" s="47"/>
      <c r="O14" s="46"/>
    </row>
    <row r="15" spans="1:15" x14ac:dyDescent="0.2">
      <c r="A15" t="s">
        <v>901</v>
      </c>
      <c r="B15" t="b">
        <v>0</v>
      </c>
      <c r="E15" s="97"/>
      <c r="F15" s="46"/>
      <c r="G15" s="48"/>
      <c r="H15" s="47"/>
      <c r="I15" s="47"/>
      <c r="J15" s="47"/>
      <c r="K15" s="47"/>
      <c r="L15" s="47"/>
      <c r="M15" s="47"/>
      <c r="N15" s="47"/>
      <c r="O15" s="46"/>
    </row>
    <row r="16" spans="1:15" x14ac:dyDescent="0.2">
      <c r="A16" t="s">
        <v>1146</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902</v>
      </c>
      <c r="B18" s="97"/>
      <c r="E18" s="97"/>
      <c r="F18" s="46"/>
      <c r="G18" s="46"/>
      <c r="H18" s="46"/>
      <c r="I18" s="46"/>
      <c r="J18" s="46"/>
      <c r="K18" s="46"/>
      <c r="L18" s="46"/>
      <c r="M18" s="46"/>
      <c r="N18" s="46"/>
      <c r="O18" s="46"/>
    </row>
    <row r="19" spans="1:15" x14ac:dyDescent="0.2">
      <c r="A19" t="s">
        <v>903</v>
      </c>
      <c r="E19" s="97"/>
      <c r="F19" s="46"/>
      <c r="G19" s="46"/>
      <c r="H19" s="46"/>
      <c r="I19" s="46"/>
      <c r="J19" s="46"/>
      <c r="K19" s="46"/>
      <c r="L19" s="46"/>
      <c r="M19" s="46"/>
      <c r="N19" s="46"/>
      <c r="O19" s="46"/>
    </row>
    <row r="20" spans="1:15" x14ac:dyDescent="0.2">
      <c r="A20" t="s">
        <v>904</v>
      </c>
      <c r="E20" s="97"/>
      <c r="F20" s="46"/>
      <c r="G20" s="46"/>
      <c r="H20" s="46"/>
      <c r="I20" s="46"/>
      <c r="J20" s="46"/>
      <c r="K20" s="46"/>
      <c r="L20" s="46"/>
      <c r="M20" s="46"/>
      <c r="N20" s="46"/>
      <c r="O20" s="46"/>
    </row>
    <row r="21" spans="1:15" x14ac:dyDescent="0.2">
      <c r="A21" t="s">
        <v>905</v>
      </c>
      <c r="E21" s="97"/>
      <c r="F21" s="46"/>
      <c r="G21" s="46"/>
      <c r="H21" s="46"/>
      <c r="I21" s="46"/>
      <c r="J21" s="46"/>
      <c r="K21" s="46"/>
      <c r="L21" s="46"/>
      <c r="M21" s="46"/>
      <c r="N21" s="46"/>
      <c r="O21" s="46"/>
    </row>
    <row r="22" spans="1:15" x14ac:dyDescent="0.2">
      <c r="A22" t="s">
        <v>906</v>
      </c>
      <c r="E22" s="97"/>
    </row>
    <row r="23" spans="1:15" x14ac:dyDescent="0.2">
      <c r="A23" t="s">
        <v>907</v>
      </c>
      <c r="E23" s="97"/>
    </row>
    <row r="24" spans="1:15" x14ac:dyDescent="0.2">
      <c r="A24" t="s">
        <v>908</v>
      </c>
      <c r="E24" s="97"/>
    </row>
    <row r="25" spans="1:15" x14ac:dyDescent="0.2">
      <c r="A25" t="s">
        <v>909</v>
      </c>
      <c r="E25" s="97"/>
    </row>
    <row r="26" spans="1:15" x14ac:dyDescent="0.2">
      <c r="E26" s="97"/>
    </row>
    <row r="27" spans="1:15" x14ac:dyDescent="0.2">
      <c r="A27" s="100" t="s">
        <v>910</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177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tbl-pph-black-white-nh</v>
      </c>
    </row>
    <row r="4" spans="1:16" x14ac:dyDescent="0.2">
      <c r="A4" s="58" t="s">
        <v>6</v>
      </c>
      <c r="B4" t="str">
        <f>IF($B$1="","",_xlfn.XLOOKUP($B$1,Master!$F$2:$F$308,Master!$H$2:$H$308,""))</f>
        <v>fig-pph-black-white-nh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s="46"/>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7"/>
      <c r="F6">
        <v>2019</v>
      </c>
      <c r="G6">
        <v>-37.5</v>
      </c>
      <c r="H6">
        <v>115.9</v>
      </c>
      <c r="I6" t="s">
        <v>1442</v>
      </c>
      <c r="J6">
        <v>58.5</v>
      </c>
      <c r="K6">
        <v>111</v>
      </c>
      <c r="L6">
        <v>51.5</v>
      </c>
      <c r="M6">
        <v>145.30000000000001</v>
      </c>
      <c r="N6" s="49">
        <v>95.3</v>
      </c>
      <c r="O6">
        <v>20.2</v>
      </c>
      <c r="P6">
        <v>117.6</v>
      </c>
    </row>
    <row r="7" spans="1:16" ht="15.75" customHeight="1" x14ac:dyDescent="0.2">
      <c r="E7" s="97"/>
      <c r="F7">
        <v>2020</v>
      </c>
      <c r="G7">
        <v>-20.100000000000001</v>
      </c>
      <c r="H7">
        <v>108.9</v>
      </c>
      <c r="I7" t="s">
        <v>1443</v>
      </c>
      <c r="J7">
        <v>62.4</v>
      </c>
      <c r="K7">
        <v>75.900000000000006</v>
      </c>
      <c r="L7">
        <v>31.5</v>
      </c>
      <c r="M7">
        <v>115.1</v>
      </c>
      <c r="N7" s="49">
        <v>78.7</v>
      </c>
      <c r="O7">
        <v>19.7</v>
      </c>
      <c r="P7">
        <v>99</v>
      </c>
    </row>
    <row r="8" spans="1:16" x14ac:dyDescent="0.2">
      <c r="E8" s="97"/>
      <c r="F8">
        <v>2021</v>
      </c>
      <c r="G8">
        <v>-15.4</v>
      </c>
      <c r="H8">
        <v>77.599999999999994</v>
      </c>
      <c r="I8" t="s">
        <v>754</v>
      </c>
      <c r="J8">
        <v>49.7</v>
      </c>
      <c r="K8">
        <v>41.9</v>
      </c>
      <c r="L8">
        <v>46.7</v>
      </c>
      <c r="M8">
        <v>106.9</v>
      </c>
      <c r="N8">
        <v>71.400000000000006</v>
      </c>
      <c r="O8">
        <v>22.2</v>
      </c>
      <c r="P8">
        <v>103.3</v>
      </c>
    </row>
    <row r="9" spans="1:16" x14ac:dyDescent="0.2">
      <c r="A9" s="98" t="s">
        <v>893</v>
      </c>
      <c r="B9" s="97"/>
      <c r="E9" s="97"/>
      <c r="F9">
        <v>2022</v>
      </c>
      <c r="G9" s="46" t="s">
        <v>1444</v>
      </c>
      <c r="H9" s="46" t="s">
        <v>1445</v>
      </c>
      <c r="I9" s="46" t="s">
        <v>1446</v>
      </c>
      <c r="J9" s="46" t="s">
        <v>1447</v>
      </c>
      <c r="K9" s="46" t="s">
        <v>1448</v>
      </c>
      <c r="L9" s="46" t="s">
        <v>1449</v>
      </c>
      <c r="M9" s="46" t="s">
        <v>1450</v>
      </c>
      <c r="N9" s="46" t="s">
        <v>1451</v>
      </c>
      <c r="O9" s="46" t="s">
        <v>1452</v>
      </c>
      <c r="P9">
        <v>101.5</v>
      </c>
    </row>
    <row r="10" spans="1:16" x14ac:dyDescent="0.2">
      <c r="A10" t="s">
        <v>894</v>
      </c>
      <c r="B10" t="s">
        <v>972</v>
      </c>
      <c r="E10" s="97"/>
      <c r="F10" s="46"/>
      <c r="G10" s="47"/>
      <c r="H10" s="47"/>
      <c r="I10" s="47"/>
      <c r="J10" s="47"/>
      <c r="K10" s="47"/>
      <c r="L10" s="47"/>
      <c r="M10" s="47"/>
      <c r="N10" s="47"/>
      <c r="O10" s="46"/>
    </row>
    <row r="11" spans="1:16" x14ac:dyDescent="0.2">
      <c r="A11" t="s">
        <v>895</v>
      </c>
      <c r="B11" t="s">
        <v>973</v>
      </c>
      <c r="E11" s="97"/>
      <c r="F11" s="46"/>
      <c r="G11" s="47"/>
      <c r="H11" s="47"/>
      <c r="I11" s="47"/>
      <c r="J11" s="47"/>
      <c r="K11" s="47"/>
      <c r="L11" s="47"/>
      <c r="M11" s="47"/>
      <c r="N11" s="47"/>
      <c r="O11" s="46"/>
    </row>
    <row r="12" spans="1:16" x14ac:dyDescent="0.2">
      <c r="A12" t="s">
        <v>896</v>
      </c>
      <c r="E12" s="97"/>
      <c r="F12" s="46"/>
      <c r="G12" s="46"/>
      <c r="H12" s="46"/>
      <c r="I12" s="46"/>
      <c r="J12" s="46"/>
      <c r="K12" s="46"/>
      <c r="L12" s="46"/>
      <c r="M12" s="46"/>
      <c r="N12" s="46"/>
      <c r="O12" s="46"/>
    </row>
    <row r="13" spans="1:16" x14ac:dyDescent="0.2">
      <c r="A13" t="s">
        <v>897</v>
      </c>
      <c r="E13" s="97"/>
      <c r="F13" s="46"/>
      <c r="G13" s="46"/>
      <c r="H13" s="46"/>
      <c r="I13" s="46"/>
      <c r="J13" s="46"/>
      <c r="K13" s="46"/>
      <c r="L13" s="46"/>
      <c r="M13" s="46"/>
      <c r="N13" s="46"/>
      <c r="O13" s="46"/>
    </row>
    <row r="14" spans="1:16" x14ac:dyDescent="0.2">
      <c r="A14" t="s">
        <v>899</v>
      </c>
      <c r="B14" t="s">
        <v>708</v>
      </c>
      <c r="E14" s="97"/>
      <c r="F14" s="46"/>
      <c r="G14" s="48"/>
      <c r="H14" s="47"/>
      <c r="I14" s="47"/>
      <c r="J14" s="47"/>
      <c r="K14" s="47"/>
      <c r="L14" s="47"/>
      <c r="M14" s="47"/>
      <c r="N14" s="47"/>
      <c r="O14" s="46"/>
    </row>
    <row r="15" spans="1:16" x14ac:dyDescent="0.2">
      <c r="A15" t="s">
        <v>901</v>
      </c>
      <c r="B15" t="b">
        <v>0</v>
      </c>
      <c r="E15" s="97"/>
      <c r="F15" s="46"/>
      <c r="G15" s="48"/>
      <c r="H15" s="47"/>
      <c r="I15" s="47"/>
      <c r="J15" s="47"/>
      <c r="K15" s="47"/>
      <c r="L15" s="47"/>
      <c r="M15" s="47"/>
      <c r="N15" s="47"/>
      <c r="O15" s="46"/>
    </row>
    <row r="16" spans="1:16" x14ac:dyDescent="0.2">
      <c r="A16" t="s">
        <v>1146</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902</v>
      </c>
      <c r="B18" s="97"/>
      <c r="E18" s="97"/>
      <c r="F18" s="46"/>
      <c r="G18" s="46"/>
      <c r="H18" s="46"/>
      <c r="I18" s="46"/>
      <c r="J18" s="46"/>
      <c r="K18" s="46"/>
      <c r="L18" s="46"/>
      <c r="M18" s="46"/>
      <c r="N18" s="46"/>
      <c r="O18" s="46"/>
    </row>
    <row r="19" spans="1:15" x14ac:dyDescent="0.2">
      <c r="A19" t="s">
        <v>903</v>
      </c>
      <c r="E19" s="97"/>
      <c r="F19" s="46"/>
      <c r="G19" s="46"/>
      <c r="H19" s="46"/>
      <c r="I19" s="46"/>
      <c r="J19" s="46"/>
      <c r="K19" s="46"/>
      <c r="L19" s="46"/>
      <c r="M19" s="46"/>
      <c r="N19" s="46"/>
      <c r="O19" s="46"/>
    </row>
    <row r="20" spans="1:15" x14ac:dyDescent="0.2">
      <c r="A20" t="s">
        <v>904</v>
      </c>
      <c r="E20" s="97"/>
      <c r="F20" s="46"/>
      <c r="G20" s="46"/>
      <c r="H20" s="46"/>
      <c r="I20" s="46"/>
      <c r="J20" s="46"/>
      <c r="K20" s="46"/>
      <c r="L20" s="46"/>
      <c r="M20" s="46"/>
      <c r="N20" s="46"/>
      <c r="O20" s="46"/>
    </row>
    <row r="21" spans="1:15" x14ac:dyDescent="0.2">
      <c r="A21" t="s">
        <v>905</v>
      </c>
      <c r="E21" s="97"/>
      <c r="F21" s="46"/>
      <c r="G21" s="46"/>
      <c r="H21" s="46"/>
      <c r="I21" s="46"/>
      <c r="J21" s="46"/>
      <c r="K21" s="46"/>
      <c r="L21" s="46"/>
      <c r="M21" s="46"/>
      <c r="N21" s="46"/>
      <c r="O21" s="46"/>
    </row>
    <row r="22" spans="1:15" x14ac:dyDescent="0.2">
      <c r="A22" t="s">
        <v>906</v>
      </c>
      <c r="E22" s="97"/>
    </row>
    <row r="23" spans="1:15" x14ac:dyDescent="0.2">
      <c r="A23" t="s">
        <v>907</v>
      </c>
      <c r="E23" s="97"/>
    </row>
    <row r="24" spans="1:15" x14ac:dyDescent="0.2">
      <c r="A24" t="s">
        <v>908</v>
      </c>
      <c r="E24" s="97"/>
    </row>
    <row r="25" spans="1:15" x14ac:dyDescent="0.2">
      <c r="A25" t="s">
        <v>909</v>
      </c>
      <c r="B25" t="s">
        <v>1453</v>
      </c>
      <c r="E25" s="97"/>
    </row>
    <row r="26" spans="1:15" x14ac:dyDescent="0.2">
      <c r="E26" s="97"/>
    </row>
    <row r="27" spans="1:15" x14ac:dyDescent="0.2">
      <c r="A27" s="100" t="s">
        <v>910</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180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tbl-pph-white-nh</v>
      </c>
    </row>
    <row r="4" spans="1:16" x14ac:dyDescent="0.2">
      <c r="A4" s="58" t="s">
        <v>6</v>
      </c>
      <c r="B4" t="str">
        <f>IF($B$1="","",_xlfn.XLOOKUP($B$1,Master!$F$2:$F$308,Master!$H$2:$H$308,""))</f>
        <v>fig-pph-white-nh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s="46"/>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7"/>
      <c r="F6">
        <v>2019</v>
      </c>
      <c r="G6">
        <v>-18</v>
      </c>
      <c r="H6">
        <v>-6.4</v>
      </c>
      <c r="I6">
        <v>-22.3</v>
      </c>
      <c r="J6">
        <v>29.6</v>
      </c>
      <c r="K6">
        <v>2.4</v>
      </c>
      <c r="L6">
        <v>-8.5</v>
      </c>
      <c r="M6">
        <v>-8.9</v>
      </c>
      <c r="N6" s="49">
        <v>-10.8</v>
      </c>
      <c r="O6">
        <v>0.8</v>
      </c>
      <c r="P6">
        <v>36.299999999999997</v>
      </c>
    </row>
    <row r="7" spans="1:16" ht="15.75" customHeight="1" x14ac:dyDescent="0.2">
      <c r="E7" s="97"/>
      <c r="F7">
        <v>2020</v>
      </c>
      <c r="G7">
        <v>-12.6</v>
      </c>
      <c r="H7">
        <v>10.9</v>
      </c>
      <c r="I7">
        <v>-22.7</v>
      </c>
      <c r="J7">
        <v>28.1</v>
      </c>
      <c r="K7">
        <v>-21.3</v>
      </c>
      <c r="L7">
        <v>5.6</v>
      </c>
      <c r="M7">
        <v>7</v>
      </c>
      <c r="N7" s="49">
        <v>1.2</v>
      </c>
      <c r="O7">
        <v>8.1</v>
      </c>
      <c r="P7">
        <v>29.7</v>
      </c>
    </row>
    <row r="8" spans="1:16" x14ac:dyDescent="0.2">
      <c r="E8" s="97"/>
      <c r="F8">
        <v>2021</v>
      </c>
      <c r="G8">
        <v>-18.3</v>
      </c>
      <c r="H8">
        <v>-8.6999999999999993</v>
      </c>
      <c r="I8">
        <v>-25.5</v>
      </c>
      <c r="J8">
        <v>18.100000000000001</v>
      </c>
      <c r="K8">
        <v>-12</v>
      </c>
      <c r="L8">
        <v>8.1</v>
      </c>
      <c r="M8">
        <v>7.5</v>
      </c>
      <c r="N8">
        <v>-1.6</v>
      </c>
      <c r="O8">
        <v>4.0999999999999996</v>
      </c>
      <c r="P8">
        <v>30.1</v>
      </c>
    </row>
    <row r="9" spans="1:16" x14ac:dyDescent="0.2">
      <c r="A9" s="98" t="s">
        <v>893</v>
      </c>
      <c r="B9" s="97"/>
      <c r="E9" s="97"/>
      <c r="F9">
        <v>2022</v>
      </c>
      <c r="G9" s="46" t="s">
        <v>1455</v>
      </c>
      <c r="H9" s="46" t="s">
        <v>1456</v>
      </c>
      <c r="I9" s="46" t="s">
        <v>1457</v>
      </c>
      <c r="J9" s="46" t="s">
        <v>1458</v>
      </c>
      <c r="K9" s="46" t="s">
        <v>1459</v>
      </c>
      <c r="L9" s="46" t="s">
        <v>1460</v>
      </c>
      <c r="M9" s="46" t="s">
        <v>1461</v>
      </c>
      <c r="N9" s="46" t="s">
        <v>1462</v>
      </c>
      <c r="O9" s="46" t="s">
        <v>1463</v>
      </c>
      <c r="P9">
        <v>29.5</v>
      </c>
    </row>
    <row r="10" spans="1:16" x14ac:dyDescent="0.2">
      <c r="A10" t="s">
        <v>894</v>
      </c>
      <c r="B10" t="s">
        <v>972</v>
      </c>
      <c r="E10" s="97"/>
      <c r="F10" s="46"/>
      <c r="G10" s="47"/>
      <c r="H10" s="47"/>
      <c r="I10" s="47"/>
      <c r="J10" s="47"/>
      <c r="K10" s="47"/>
      <c r="L10" s="47"/>
      <c r="M10" s="47"/>
      <c r="N10" s="47"/>
      <c r="O10" s="46"/>
    </row>
    <row r="11" spans="1:16" x14ac:dyDescent="0.2">
      <c r="A11" t="s">
        <v>895</v>
      </c>
      <c r="B11" t="s">
        <v>973</v>
      </c>
      <c r="E11" s="97"/>
      <c r="F11" s="46"/>
      <c r="G11" s="47"/>
      <c r="H11" s="47"/>
      <c r="I11" s="47"/>
      <c r="J11" s="47"/>
      <c r="K11" s="47"/>
      <c r="L11" s="47"/>
      <c r="M11" s="47"/>
      <c r="N11" s="47"/>
      <c r="O11" s="46"/>
    </row>
    <row r="12" spans="1:16" x14ac:dyDescent="0.2">
      <c r="A12" t="s">
        <v>896</v>
      </c>
      <c r="E12" s="97"/>
      <c r="F12" s="46"/>
      <c r="G12" s="46"/>
      <c r="H12" s="46"/>
      <c r="I12" s="46"/>
      <c r="J12" s="46"/>
      <c r="K12" s="46"/>
      <c r="L12" s="46"/>
      <c r="M12" s="46"/>
      <c r="N12" s="46"/>
      <c r="O12" s="46"/>
    </row>
    <row r="13" spans="1:16" x14ac:dyDescent="0.2">
      <c r="A13" t="s">
        <v>897</v>
      </c>
      <c r="E13" s="97"/>
      <c r="F13" s="46"/>
      <c r="G13" s="46"/>
      <c r="H13" s="46"/>
      <c r="I13" s="46"/>
      <c r="J13" s="46"/>
      <c r="K13" s="46"/>
      <c r="L13" s="46"/>
      <c r="M13" s="46"/>
      <c r="N13" s="46"/>
      <c r="O13" s="46"/>
    </row>
    <row r="14" spans="1:16" x14ac:dyDescent="0.2">
      <c r="A14" t="s">
        <v>899</v>
      </c>
      <c r="B14" t="s">
        <v>708</v>
      </c>
      <c r="E14" s="97"/>
      <c r="F14" s="46"/>
      <c r="G14" s="48"/>
      <c r="H14" s="47"/>
      <c r="I14" s="47"/>
      <c r="J14" s="47"/>
      <c r="K14" s="47"/>
      <c r="L14" s="47"/>
      <c r="M14" s="47"/>
      <c r="N14" s="47"/>
      <c r="O14" s="46"/>
    </row>
    <row r="15" spans="1:16" x14ac:dyDescent="0.2">
      <c r="A15" t="s">
        <v>901</v>
      </c>
      <c r="B15" t="b">
        <v>0</v>
      </c>
      <c r="E15" s="97"/>
      <c r="F15" s="46"/>
      <c r="G15" s="48"/>
      <c r="H15" s="47"/>
      <c r="I15" s="47"/>
      <c r="J15" s="47"/>
      <c r="K15" s="47"/>
      <c r="L15" s="47"/>
      <c r="M15" s="47"/>
      <c r="N15" s="47"/>
      <c r="O15" s="46"/>
    </row>
    <row r="16" spans="1:16" x14ac:dyDescent="0.2">
      <c r="A16" t="s">
        <v>1146</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902</v>
      </c>
      <c r="B18" s="97"/>
      <c r="E18" s="97"/>
      <c r="F18" s="46"/>
      <c r="G18" s="46"/>
      <c r="H18" s="46"/>
      <c r="I18" s="46"/>
      <c r="J18" s="46"/>
      <c r="K18" s="46"/>
      <c r="L18" s="46"/>
      <c r="M18" s="46"/>
      <c r="N18" s="46"/>
      <c r="O18" s="46"/>
    </row>
    <row r="19" spans="1:15" x14ac:dyDescent="0.2">
      <c r="A19" t="s">
        <v>903</v>
      </c>
      <c r="E19" s="97"/>
      <c r="F19" s="46"/>
      <c r="G19" s="46"/>
      <c r="H19" s="46"/>
      <c r="I19" s="46"/>
      <c r="J19" s="46"/>
      <c r="K19" s="46"/>
      <c r="L19" s="46"/>
      <c r="M19" s="46"/>
      <c r="N19" s="46"/>
      <c r="O19" s="46"/>
    </row>
    <row r="20" spans="1:15" x14ac:dyDescent="0.2">
      <c r="A20" t="s">
        <v>904</v>
      </c>
      <c r="E20" s="97"/>
      <c r="F20" s="46"/>
      <c r="G20" s="46"/>
      <c r="H20" s="46"/>
      <c r="I20" s="46"/>
      <c r="J20" s="46"/>
      <c r="K20" s="46"/>
      <c r="L20" s="46"/>
      <c r="M20" s="46"/>
      <c r="N20" s="46"/>
      <c r="O20" s="46"/>
    </row>
    <row r="21" spans="1:15" x14ac:dyDescent="0.2">
      <c r="A21" t="s">
        <v>905</v>
      </c>
      <c r="E21" s="97"/>
      <c r="F21" s="46"/>
      <c r="G21" s="46"/>
      <c r="H21" s="46"/>
      <c r="I21" s="46"/>
      <c r="J21" s="46"/>
      <c r="K21" s="46"/>
      <c r="L21" s="46"/>
      <c r="M21" s="46"/>
      <c r="N21" s="46"/>
      <c r="O21" s="46"/>
    </row>
    <row r="22" spans="1:15" x14ac:dyDescent="0.2">
      <c r="A22" t="s">
        <v>906</v>
      </c>
      <c r="E22" s="97"/>
    </row>
    <row r="23" spans="1:15" x14ac:dyDescent="0.2">
      <c r="A23" t="s">
        <v>907</v>
      </c>
      <c r="E23" s="97"/>
    </row>
    <row r="24" spans="1:15" x14ac:dyDescent="0.2">
      <c r="A24" t="s">
        <v>908</v>
      </c>
      <c r="E24" s="97"/>
    </row>
    <row r="25" spans="1:15" x14ac:dyDescent="0.2">
      <c r="A25" t="s">
        <v>909</v>
      </c>
      <c r="B25" t="s">
        <v>1454</v>
      </c>
      <c r="E25" s="97"/>
    </row>
    <row r="26" spans="1:15" x14ac:dyDescent="0.2">
      <c r="E26" s="97"/>
    </row>
    <row r="27" spans="1:15" x14ac:dyDescent="0.2">
      <c r="A27" s="100" t="s">
        <v>910</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182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tbl-food-environment</v>
      </c>
    </row>
    <row r="4" spans="1:16" x14ac:dyDescent="0.2">
      <c r="A4" s="58" t="s">
        <v>6</v>
      </c>
      <c r="B4" t="str">
        <f>IF($B$1="","",_xlfn.XLOOKUP($B$1,Master!$F$2:$F$308,Master!$H$2:$H$308,""))</f>
        <v>tbl-food-environment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7"/>
      <c r="E5" s="99"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7"/>
      <c r="F6">
        <v>2018</v>
      </c>
      <c r="G6">
        <v>8.6</v>
      </c>
      <c r="H6">
        <v>8.6</v>
      </c>
      <c r="I6">
        <v>8.1999999999999993</v>
      </c>
      <c r="J6">
        <v>8.6999999999999993</v>
      </c>
      <c r="K6">
        <v>8.1999999999999993</v>
      </c>
      <c r="L6">
        <v>8</v>
      </c>
      <c r="M6">
        <v>9.1999999999999993</v>
      </c>
      <c r="N6" s="49">
        <v>9</v>
      </c>
    </row>
    <row r="7" spans="1:16" ht="15.75" customHeight="1" x14ac:dyDescent="0.2">
      <c r="E7" s="97"/>
      <c r="F7">
        <v>2019</v>
      </c>
      <c r="G7">
        <v>8.6</v>
      </c>
      <c r="H7">
        <v>8.5</v>
      </c>
      <c r="I7">
        <v>9</v>
      </c>
      <c r="J7">
        <v>8.6999999999999993</v>
      </c>
      <c r="K7">
        <v>8.3000000000000007</v>
      </c>
      <c r="L7">
        <v>8.1</v>
      </c>
      <c r="M7">
        <v>9.3000000000000007</v>
      </c>
      <c r="N7" s="49">
        <v>9</v>
      </c>
    </row>
    <row r="8" spans="1:16" x14ac:dyDescent="0.2">
      <c r="E8" s="97"/>
      <c r="F8">
        <v>2022</v>
      </c>
      <c r="G8">
        <v>8.6999999999999993</v>
      </c>
      <c r="H8">
        <v>8.4</v>
      </c>
      <c r="I8">
        <v>9</v>
      </c>
      <c r="J8">
        <v>8.6</v>
      </c>
      <c r="K8">
        <v>8.3000000000000007</v>
      </c>
      <c r="L8">
        <v>8.1</v>
      </c>
      <c r="M8">
        <v>9.3000000000000007</v>
      </c>
      <c r="N8">
        <v>8.6999999999999993</v>
      </c>
    </row>
    <row r="9" spans="1:16" x14ac:dyDescent="0.2">
      <c r="A9" s="98" t="s">
        <v>893</v>
      </c>
      <c r="B9" s="97"/>
      <c r="E9" s="97"/>
      <c r="G9" s="46"/>
      <c r="H9" s="46"/>
      <c r="I9" s="46"/>
      <c r="J9" s="46"/>
      <c r="K9" s="46"/>
      <c r="L9" s="46"/>
      <c r="M9" s="46"/>
      <c r="N9" s="46"/>
      <c r="O9" s="46"/>
    </row>
    <row r="10" spans="1:16" x14ac:dyDescent="0.2">
      <c r="A10" t="s">
        <v>894</v>
      </c>
      <c r="B10" t="s">
        <v>983</v>
      </c>
      <c r="E10" s="97"/>
      <c r="F10" s="46"/>
      <c r="G10" s="47"/>
      <c r="H10" s="47"/>
      <c r="I10" s="47"/>
      <c r="J10" s="47"/>
      <c r="K10" s="47"/>
      <c r="L10" s="47"/>
      <c r="M10" s="47"/>
      <c r="N10" s="47"/>
      <c r="O10" s="46"/>
    </row>
    <row r="11" spans="1:16" x14ac:dyDescent="0.2">
      <c r="A11" t="s">
        <v>895</v>
      </c>
      <c r="B11" t="s">
        <v>887</v>
      </c>
      <c r="E11" s="97"/>
      <c r="F11" s="46"/>
      <c r="G11" s="47"/>
      <c r="H11" s="47"/>
      <c r="I11" s="47"/>
      <c r="J11" s="47"/>
      <c r="K11" s="47"/>
      <c r="L11" s="47"/>
      <c r="M11" s="47"/>
      <c r="N11" s="47"/>
      <c r="O11" s="46"/>
    </row>
    <row r="12" spans="1:16" x14ac:dyDescent="0.2">
      <c r="A12" t="s">
        <v>896</v>
      </c>
      <c r="E12" s="97"/>
      <c r="F12" s="46"/>
      <c r="G12" s="46"/>
      <c r="H12" s="46"/>
      <c r="I12" s="46"/>
      <c r="J12" s="46"/>
      <c r="K12" s="46"/>
      <c r="L12" s="46"/>
      <c r="M12" s="46"/>
      <c r="N12" s="46"/>
      <c r="O12" s="46"/>
    </row>
    <row r="13" spans="1:16" x14ac:dyDescent="0.2">
      <c r="A13" t="s">
        <v>897</v>
      </c>
      <c r="E13" s="97"/>
      <c r="F13" s="46"/>
      <c r="G13" s="46"/>
      <c r="H13" s="46"/>
      <c r="I13" s="46"/>
      <c r="J13" s="46"/>
      <c r="K13" s="46"/>
      <c r="L13" s="46"/>
      <c r="M13" s="46"/>
      <c r="N13" s="46"/>
      <c r="O13" s="46"/>
    </row>
    <row r="14" spans="1:16" x14ac:dyDescent="0.2">
      <c r="A14" t="s">
        <v>899</v>
      </c>
      <c r="B14" t="s">
        <v>694</v>
      </c>
      <c r="E14" s="97"/>
      <c r="F14" s="46"/>
      <c r="G14" s="48"/>
      <c r="H14" s="47"/>
      <c r="I14" s="47"/>
      <c r="J14" s="47"/>
      <c r="K14" s="47"/>
      <c r="L14" s="47"/>
      <c r="M14" s="47"/>
      <c r="N14" s="47"/>
      <c r="O14" s="46"/>
    </row>
    <row r="15" spans="1:16" x14ac:dyDescent="0.2">
      <c r="A15" t="s">
        <v>901</v>
      </c>
      <c r="B15" t="b">
        <v>1</v>
      </c>
      <c r="E15" s="97"/>
      <c r="F15" s="46"/>
      <c r="G15" s="48"/>
      <c r="H15" s="47"/>
      <c r="I15" s="47"/>
      <c r="J15" s="47"/>
      <c r="K15" s="47"/>
      <c r="L15" s="47"/>
      <c r="M15" s="47"/>
      <c r="N15" s="47"/>
      <c r="O15" s="46"/>
    </row>
    <row r="16" spans="1:16" x14ac:dyDescent="0.2">
      <c r="A16" t="s">
        <v>1146</v>
      </c>
      <c r="B16" t="b">
        <v>1</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902</v>
      </c>
      <c r="B18" s="97"/>
      <c r="E18" s="97"/>
      <c r="F18" s="46"/>
      <c r="G18" s="46"/>
      <c r="H18" s="46"/>
      <c r="I18" s="46"/>
      <c r="J18" s="46"/>
      <c r="K18" s="46"/>
      <c r="L18" s="46"/>
      <c r="M18" s="46"/>
      <c r="N18" s="46"/>
      <c r="O18" s="46"/>
    </row>
    <row r="19" spans="1:15" x14ac:dyDescent="0.2">
      <c r="A19" t="s">
        <v>903</v>
      </c>
      <c r="E19" s="97"/>
      <c r="F19" s="46"/>
      <c r="G19" s="46"/>
      <c r="H19" s="46"/>
      <c r="I19" s="46"/>
      <c r="J19" s="46"/>
      <c r="K19" s="46"/>
      <c r="L19" s="46"/>
      <c r="M19" s="46"/>
      <c r="N19" s="46"/>
      <c r="O19" s="46"/>
    </row>
    <row r="20" spans="1:15" x14ac:dyDescent="0.2">
      <c r="A20" t="s">
        <v>904</v>
      </c>
      <c r="E20" s="97"/>
      <c r="F20" s="46"/>
      <c r="G20" s="46"/>
      <c r="H20" s="46"/>
      <c r="I20" s="46"/>
      <c r="J20" s="46"/>
      <c r="K20" s="46"/>
      <c r="L20" s="46"/>
      <c r="M20" s="46"/>
      <c r="N20" s="46"/>
      <c r="O20" s="46"/>
    </row>
    <row r="21" spans="1:15" x14ac:dyDescent="0.2">
      <c r="A21" t="s">
        <v>905</v>
      </c>
      <c r="E21" s="97"/>
      <c r="F21" s="46"/>
      <c r="G21" s="46"/>
      <c r="H21" s="46"/>
      <c r="I21" s="46"/>
      <c r="J21" s="46"/>
      <c r="K21" s="46"/>
      <c r="L21" s="46"/>
      <c r="M21" s="46"/>
      <c r="N21" s="46"/>
      <c r="O21" s="46"/>
    </row>
    <row r="22" spans="1:15" x14ac:dyDescent="0.2">
      <c r="A22" t="s">
        <v>906</v>
      </c>
      <c r="E22" s="97"/>
    </row>
    <row r="23" spans="1:15" x14ac:dyDescent="0.2">
      <c r="A23" t="s">
        <v>907</v>
      </c>
      <c r="E23" s="97"/>
    </row>
    <row r="24" spans="1:15" x14ac:dyDescent="0.2">
      <c r="A24" t="s">
        <v>908</v>
      </c>
      <c r="E24" s="97"/>
    </row>
    <row r="25" spans="1:15" x14ac:dyDescent="0.2">
      <c r="A25" t="s">
        <v>909</v>
      </c>
      <c r="B25" t="s">
        <v>1464</v>
      </c>
      <c r="E25" s="97"/>
    </row>
    <row r="26" spans="1:15" x14ac:dyDescent="0.2">
      <c r="E26" s="97"/>
    </row>
    <row r="27" spans="1:15" x14ac:dyDescent="0.2">
      <c r="A27" s="100" t="s">
        <v>910</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185</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tbl-limited-healthy-foods</v>
      </c>
    </row>
    <row r="4" spans="1:16" x14ac:dyDescent="0.2">
      <c r="A4" s="58" t="s">
        <v>6</v>
      </c>
      <c r="B4" t="str">
        <f>IF($B$1="","",_xlfn.XLOOKUP($B$1,Master!$F$2:$F$308,Master!$H$2:$H$308,""))</f>
        <v>fig-limited-healthy-foods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7"/>
      <c r="E5" s="99"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7"/>
      <c r="F6">
        <v>2015</v>
      </c>
      <c r="G6" s="14">
        <v>6.1</v>
      </c>
      <c r="H6" s="14">
        <v>6.4</v>
      </c>
      <c r="I6" s="14">
        <v>7.5</v>
      </c>
      <c r="J6" s="14">
        <v>3.7</v>
      </c>
      <c r="K6" s="14">
        <v>2.2000000000000002</v>
      </c>
      <c r="L6" s="14">
        <v>7.5</v>
      </c>
      <c r="M6" s="14">
        <v>1.4</v>
      </c>
      <c r="N6" s="14">
        <v>3.7</v>
      </c>
    </row>
    <row r="7" spans="1:16" ht="15.75" customHeight="1" x14ac:dyDescent="0.2">
      <c r="E7" s="97"/>
      <c r="F7">
        <v>2019</v>
      </c>
      <c r="G7" s="14">
        <v>5.7</v>
      </c>
      <c r="H7" s="14">
        <v>6</v>
      </c>
      <c r="I7" s="14">
        <v>6.7</v>
      </c>
      <c r="J7" s="14">
        <v>4.4000000000000004</v>
      </c>
      <c r="K7" s="14">
        <v>2.9</v>
      </c>
      <c r="L7" s="14">
        <v>6.1</v>
      </c>
      <c r="M7" s="14">
        <v>1.4</v>
      </c>
      <c r="N7" s="14">
        <v>2</v>
      </c>
    </row>
    <row r="8" spans="1:16" x14ac:dyDescent="0.2">
      <c r="E8" s="97"/>
      <c r="G8" s="14"/>
      <c r="H8" s="14"/>
      <c r="I8" s="14"/>
      <c r="J8" s="14"/>
      <c r="K8" s="14"/>
      <c r="L8" s="14"/>
      <c r="M8" s="14"/>
      <c r="N8" s="14"/>
    </row>
    <row r="9" spans="1:16" x14ac:dyDescent="0.2">
      <c r="A9" s="98" t="s">
        <v>893</v>
      </c>
      <c r="B9" s="97"/>
      <c r="E9" s="97"/>
      <c r="G9" s="46"/>
      <c r="H9" s="46"/>
      <c r="I9" s="46"/>
      <c r="J9" s="46"/>
      <c r="K9" s="46"/>
      <c r="L9" s="46"/>
      <c r="M9" s="46"/>
      <c r="N9" s="46"/>
      <c r="O9" s="46"/>
    </row>
    <row r="10" spans="1:16" x14ac:dyDescent="0.2">
      <c r="A10" t="s">
        <v>894</v>
      </c>
      <c r="B10" t="s">
        <v>983</v>
      </c>
      <c r="E10" s="97"/>
      <c r="F10" s="46"/>
      <c r="G10" s="47"/>
      <c r="H10" s="47"/>
      <c r="I10" s="47"/>
      <c r="J10" s="47"/>
      <c r="K10" s="47"/>
      <c r="L10" s="47"/>
      <c r="M10" s="47"/>
      <c r="N10" s="47"/>
      <c r="O10" s="46"/>
    </row>
    <row r="11" spans="1:16" x14ac:dyDescent="0.2">
      <c r="A11" t="s">
        <v>895</v>
      </c>
      <c r="B11" t="s">
        <v>887</v>
      </c>
      <c r="E11" s="97"/>
      <c r="F11" s="46"/>
      <c r="G11" s="47"/>
      <c r="H11" s="47"/>
      <c r="I11" s="47"/>
      <c r="J11" s="47"/>
      <c r="K11" s="47"/>
      <c r="L11" s="47"/>
      <c r="M11" s="47"/>
      <c r="N11" s="47"/>
      <c r="O11" s="46"/>
    </row>
    <row r="12" spans="1:16" x14ac:dyDescent="0.2">
      <c r="A12" t="s">
        <v>896</v>
      </c>
      <c r="E12" s="97"/>
      <c r="F12" s="46"/>
      <c r="G12" s="46"/>
      <c r="H12" s="46"/>
      <c r="I12" s="46"/>
      <c r="J12" s="46"/>
      <c r="K12" s="46"/>
      <c r="L12" s="46"/>
      <c r="M12" s="46"/>
      <c r="N12" s="46"/>
      <c r="O12" s="46"/>
    </row>
    <row r="13" spans="1:16" x14ac:dyDescent="0.2">
      <c r="A13" t="s">
        <v>897</v>
      </c>
      <c r="E13" s="97"/>
      <c r="F13" s="46"/>
      <c r="G13" s="46"/>
      <c r="H13" s="46"/>
      <c r="I13" s="46"/>
      <c r="J13" s="46"/>
      <c r="K13" s="46"/>
      <c r="L13" s="46"/>
      <c r="M13" s="46"/>
      <c r="N13" s="46"/>
      <c r="O13" s="46"/>
    </row>
    <row r="14" spans="1:16" x14ac:dyDescent="0.2">
      <c r="A14" t="s">
        <v>899</v>
      </c>
      <c r="B14" t="s">
        <v>694</v>
      </c>
      <c r="E14" s="97"/>
      <c r="F14" s="46"/>
      <c r="G14" s="48"/>
      <c r="H14" s="47"/>
      <c r="I14" s="47"/>
      <c r="J14" s="47"/>
      <c r="K14" s="47"/>
      <c r="L14" s="47"/>
      <c r="M14" s="47"/>
      <c r="N14" s="47"/>
      <c r="O14" s="46"/>
    </row>
    <row r="15" spans="1:16" x14ac:dyDescent="0.2">
      <c r="A15" t="s">
        <v>901</v>
      </c>
      <c r="B15" t="b">
        <v>1</v>
      </c>
      <c r="E15" s="97"/>
      <c r="F15" s="46"/>
      <c r="G15" s="48"/>
      <c r="H15" s="47"/>
      <c r="I15" s="47"/>
      <c r="J15" s="47"/>
      <c r="K15" s="47"/>
      <c r="L15" s="47"/>
      <c r="M15" s="47"/>
      <c r="N15" s="47"/>
      <c r="O15" s="46"/>
    </row>
    <row r="16" spans="1:16" x14ac:dyDescent="0.2">
      <c r="A16" t="s">
        <v>1146</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902</v>
      </c>
      <c r="B18" s="97"/>
      <c r="E18" s="97"/>
      <c r="F18" s="46"/>
      <c r="G18" s="46"/>
      <c r="H18" s="46"/>
      <c r="I18" s="46"/>
      <c r="J18" s="46"/>
      <c r="K18" s="46"/>
      <c r="L18" s="46"/>
      <c r="M18" s="46"/>
      <c r="N18" s="46"/>
      <c r="O18" s="46"/>
    </row>
    <row r="19" spans="1:15" x14ac:dyDescent="0.2">
      <c r="A19" t="s">
        <v>903</v>
      </c>
      <c r="E19" s="97"/>
      <c r="F19" s="46"/>
      <c r="G19" s="46"/>
      <c r="H19" s="46"/>
      <c r="I19" s="46"/>
      <c r="J19" s="46"/>
      <c r="K19" s="46"/>
      <c r="L19" s="46"/>
      <c r="M19" s="46"/>
      <c r="N19" s="46"/>
      <c r="O19" s="46"/>
    </row>
    <row r="20" spans="1:15" x14ac:dyDescent="0.2">
      <c r="A20" t="s">
        <v>904</v>
      </c>
      <c r="E20" s="97"/>
      <c r="F20" s="46"/>
      <c r="G20" s="46"/>
      <c r="H20" s="46"/>
      <c r="I20" s="46"/>
      <c r="J20" s="46"/>
      <c r="K20" s="46"/>
      <c r="L20" s="46"/>
      <c r="M20" s="46"/>
      <c r="N20" s="46"/>
      <c r="O20" s="46"/>
    </row>
    <row r="21" spans="1:15" x14ac:dyDescent="0.2">
      <c r="A21" t="s">
        <v>905</v>
      </c>
      <c r="E21" s="97"/>
      <c r="F21" s="46"/>
      <c r="G21" s="46"/>
      <c r="H21" s="46"/>
      <c r="I21" s="46"/>
      <c r="J21" s="46"/>
      <c r="K21" s="46"/>
      <c r="L21" s="46"/>
      <c r="M21" s="46"/>
      <c r="N21" s="46"/>
      <c r="O21" s="46"/>
    </row>
    <row r="22" spans="1:15" x14ac:dyDescent="0.2">
      <c r="A22" t="s">
        <v>906</v>
      </c>
      <c r="E22" s="97"/>
    </row>
    <row r="23" spans="1:15" x14ac:dyDescent="0.2">
      <c r="A23" t="s">
        <v>907</v>
      </c>
      <c r="E23" s="97"/>
    </row>
    <row r="24" spans="1:15" x14ac:dyDescent="0.2">
      <c r="A24" t="s">
        <v>908</v>
      </c>
      <c r="E24" s="97"/>
    </row>
    <row r="25" spans="1:15" x14ac:dyDescent="0.2">
      <c r="A25" t="s">
        <v>909</v>
      </c>
      <c r="B25" t="s">
        <v>1464</v>
      </c>
      <c r="E25" s="97"/>
    </row>
    <row r="26" spans="1:15" x14ac:dyDescent="0.2">
      <c r="E26" s="97"/>
    </row>
    <row r="27" spans="1:15" x14ac:dyDescent="0.2">
      <c r="A27" s="100" t="s">
        <v>910</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189</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tbl-violent-crime</v>
      </c>
    </row>
    <row r="4" spans="1:16" x14ac:dyDescent="0.2">
      <c r="A4" s="58" t="s">
        <v>6</v>
      </c>
      <c r="B4" t="str">
        <f>IF($B$1="","",_xlfn.XLOOKUP($B$1,Master!$F$2:$F$308,Master!$H$2:$H$308,""))</f>
        <v>fig-violent-crime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F5" s="46"/>
      <c r="G5" s="46" t="s">
        <v>220</v>
      </c>
      <c r="H5" s="46" t="s">
        <v>18</v>
      </c>
      <c r="I5" s="46" t="s">
        <v>537</v>
      </c>
      <c r="J5" s="46" t="s">
        <v>449</v>
      </c>
      <c r="K5" s="46" t="s">
        <v>409</v>
      </c>
      <c r="L5" s="46" t="s">
        <v>421</v>
      </c>
      <c r="M5" s="46" t="s">
        <v>470</v>
      </c>
      <c r="N5" s="46" t="s">
        <v>914</v>
      </c>
      <c r="O5" s="46" t="s">
        <v>915</v>
      </c>
    </row>
    <row r="6" spans="1:16" ht="15" customHeight="1" x14ac:dyDescent="0.2">
      <c r="A6" t="s">
        <v>891</v>
      </c>
      <c r="B6" t="b">
        <v>0</v>
      </c>
      <c r="E6" s="97"/>
      <c r="F6">
        <v>2018</v>
      </c>
      <c r="G6" s="14">
        <v>186.4</v>
      </c>
      <c r="H6" s="14">
        <v>210.7</v>
      </c>
      <c r="I6" s="14">
        <v>55.4</v>
      </c>
      <c r="J6" s="14">
        <v>113.5</v>
      </c>
      <c r="K6" s="14">
        <v>264.2</v>
      </c>
      <c r="L6" s="14">
        <v>161.1</v>
      </c>
      <c r="M6" s="14">
        <v>173.6</v>
      </c>
      <c r="N6" s="14">
        <v>204</v>
      </c>
      <c r="O6">
        <v>351</v>
      </c>
    </row>
    <row r="7" spans="1:16" ht="15.75" customHeight="1" x14ac:dyDescent="0.2">
      <c r="E7" s="97"/>
      <c r="F7">
        <v>2019</v>
      </c>
      <c r="G7" s="14">
        <v>194.8</v>
      </c>
      <c r="H7" s="14">
        <v>190.9</v>
      </c>
      <c r="I7" s="14">
        <v>49.9</v>
      </c>
      <c r="J7" s="14">
        <v>115.5</v>
      </c>
      <c r="K7" s="14">
        <v>249.9</v>
      </c>
      <c r="L7" s="14">
        <v>145.6</v>
      </c>
      <c r="M7" s="14">
        <v>169.3</v>
      </c>
      <c r="N7" s="14">
        <v>199.4</v>
      </c>
      <c r="O7">
        <v>359.4</v>
      </c>
    </row>
    <row r="8" spans="1:16" x14ac:dyDescent="0.2">
      <c r="E8" s="97"/>
      <c r="F8">
        <v>2020</v>
      </c>
      <c r="G8" s="14">
        <v>198</v>
      </c>
      <c r="H8" s="14">
        <v>174.6</v>
      </c>
      <c r="I8" s="14">
        <v>37.9</v>
      </c>
      <c r="J8" s="14">
        <v>104.9</v>
      </c>
      <c r="K8" s="14">
        <v>196.7</v>
      </c>
      <c r="L8" s="14">
        <v>128.5</v>
      </c>
      <c r="M8" s="14">
        <v>164.4</v>
      </c>
      <c r="N8" s="14">
        <v>206.2</v>
      </c>
      <c r="O8">
        <v>365.7</v>
      </c>
    </row>
    <row r="9" spans="1:16" x14ac:dyDescent="0.2">
      <c r="A9" s="98" t="s">
        <v>893</v>
      </c>
      <c r="B9" s="97"/>
      <c r="E9" s="97"/>
      <c r="F9">
        <v>2021</v>
      </c>
      <c r="G9" s="46" t="s">
        <v>1466</v>
      </c>
      <c r="H9" s="46" t="s">
        <v>1467</v>
      </c>
      <c r="I9" s="46" t="s">
        <v>1468</v>
      </c>
      <c r="J9" s="46" t="s">
        <v>1469</v>
      </c>
      <c r="K9" s="46" t="s">
        <v>1470</v>
      </c>
      <c r="L9" s="46" t="s">
        <v>1471</v>
      </c>
      <c r="M9" s="46" t="s">
        <v>1472</v>
      </c>
      <c r="N9" s="46" t="s">
        <v>1473</v>
      </c>
      <c r="O9" s="46" t="s">
        <v>1474</v>
      </c>
    </row>
    <row r="10" spans="1:16" x14ac:dyDescent="0.2">
      <c r="A10" t="s">
        <v>894</v>
      </c>
      <c r="B10" t="s">
        <v>972</v>
      </c>
      <c r="E10" s="97"/>
      <c r="F10" s="46"/>
      <c r="G10" s="47"/>
      <c r="H10" s="47"/>
      <c r="I10" s="47"/>
      <c r="J10" s="47"/>
      <c r="K10" s="47"/>
      <c r="L10" s="47"/>
      <c r="M10" s="47"/>
      <c r="N10" s="47"/>
      <c r="O10" s="46"/>
    </row>
    <row r="11" spans="1:16" x14ac:dyDescent="0.2">
      <c r="A11" t="s">
        <v>895</v>
      </c>
      <c r="B11" t="s">
        <v>973</v>
      </c>
      <c r="E11" s="97"/>
      <c r="F11" s="46"/>
      <c r="G11" s="47"/>
      <c r="H11" s="47"/>
      <c r="I11" s="47"/>
      <c r="J11" s="47"/>
      <c r="K11" s="47"/>
      <c r="L11" s="47"/>
      <c r="M11" s="47"/>
      <c r="N11" s="47"/>
      <c r="O11" s="46"/>
    </row>
    <row r="12" spans="1:16" x14ac:dyDescent="0.2">
      <c r="A12" t="s">
        <v>896</v>
      </c>
      <c r="E12" s="97"/>
      <c r="F12" s="46"/>
      <c r="G12" s="46"/>
      <c r="H12" s="46"/>
      <c r="I12" s="46"/>
      <c r="J12" s="46"/>
      <c r="K12" s="46"/>
      <c r="L12" s="46"/>
      <c r="M12" s="46"/>
      <c r="N12" s="46"/>
      <c r="O12" s="46"/>
    </row>
    <row r="13" spans="1:16" x14ac:dyDescent="0.2">
      <c r="A13" t="s">
        <v>897</v>
      </c>
      <c r="E13" s="97"/>
      <c r="F13" s="46"/>
      <c r="G13" s="46"/>
      <c r="H13" s="46"/>
      <c r="I13" s="46"/>
      <c r="J13" s="46"/>
      <c r="K13" s="46"/>
      <c r="L13" s="46"/>
      <c r="M13" s="46"/>
      <c r="N13" s="46"/>
      <c r="O13" s="46"/>
    </row>
    <row r="14" spans="1:16" x14ac:dyDescent="0.2">
      <c r="A14" t="s">
        <v>899</v>
      </c>
      <c r="B14" t="s">
        <v>715</v>
      </c>
      <c r="E14" s="97"/>
      <c r="F14" s="46"/>
      <c r="G14" s="48"/>
      <c r="H14" s="47"/>
      <c r="I14" s="47"/>
      <c r="J14" s="47"/>
      <c r="K14" s="47"/>
      <c r="L14" s="47"/>
      <c r="M14" s="47"/>
      <c r="N14" s="47"/>
      <c r="O14" s="46"/>
    </row>
    <row r="15" spans="1:16" x14ac:dyDescent="0.2">
      <c r="A15" t="s">
        <v>901</v>
      </c>
      <c r="B15" t="b">
        <v>1</v>
      </c>
      <c r="E15" s="97"/>
      <c r="F15" s="46"/>
      <c r="G15" s="48"/>
      <c r="H15" s="47"/>
      <c r="I15" s="47"/>
      <c r="J15" s="47"/>
      <c r="K15" s="47"/>
      <c r="L15" s="47"/>
      <c r="M15" s="47"/>
      <c r="N15" s="47"/>
      <c r="O15" s="46"/>
    </row>
    <row r="16" spans="1:16" x14ac:dyDescent="0.2">
      <c r="A16" t="s">
        <v>1146</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902</v>
      </c>
      <c r="B18" s="97"/>
      <c r="E18" s="97"/>
      <c r="F18" s="46"/>
      <c r="G18" s="46"/>
      <c r="H18" s="46"/>
      <c r="I18" s="46"/>
      <c r="J18" s="46"/>
      <c r="K18" s="46"/>
      <c r="L18" s="46"/>
      <c r="M18" s="46"/>
      <c r="N18" s="46"/>
      <c r="O18" s="46"/>
    </row>
    <row r="19" spans="1:15" x14ac:dyDescent="0.2">
      <c r="A19" t="s">
        <v>903</v>
      </c>
      <c r="E19" s="97"/>
      <c r="F19" s="46"/>
      <c r="G19" s="46"/>
      <c r="H19" s="46"/>
      <c r="I19" s="46"/>
      <c r="J19" s="46"/>
      <c r="K19" s="46"/>
      <c r="L19" s="46"/>
      <c r="M19" s="46"/>
      <c r="N19" s="46"/>
      <c r="O19" s="46"/>
    </row>
    <row r="20" spans="1:15" x14ac:dyDescent="0.2">
      <c r="A20" t="s">
        <v>904</v>
      </c>
      <c r="E20" s="97"/>
      <c r="F20" s="46"/>
      <c r="G20" s="46"/>
      <c r="H20" s="46"/>
      <c r="I20" s="46"/>
      <c r="J20" s="46"/>
      <c r="K20" s="46"/>
      <c r="L20" s="46"/>
      <c r="M20" s="46"/>
      <c r="N20" s="46"/>
      <c r="O20" s="46"/>
    </row>
    <row r="21" spans="1:15" x14ac:dyDescent="0.2">
      <c r="A21" t="s">
        <v>905</v>
      </c>
      <c r="E21" s="97"/>
      <c r="F21" s="46"/>
      <c r="G21" s="46"/>
      <c r="H21" s="46"/>
      <c r="I21" s="46"/>
      <c r="J21" s="46"/>
      <c r="K21" s="46"/>
      <c r="L21" s="46"/>
      <c r="M21" s="46"/>
      <c r="N21" s="46"/>
      <c r="O21" s="46"/>
    </row>
    <row r="22" spans="1:15" x14ac:dyDescent="0.2">
      <c r="A22" t="s">
        <v>906</v>
      </c>
      <c r="E22" s="97"/>
    </row>
    <row r="23" spans="1:15" x14ac:dyDescent="0.2">
      <c r="A23" t="s">
        <v>907</v>
      </c>
      <c r="E23" s="97"/>
    </row>
    <row r="24" spans="1:15" x14ac:dyDescent="0.2">
      <c r="A24" t="s">
        <v>908</v>
      </c>
      <c r="E24" s="97"/>
    </row>
    <row r="25" spans="1:15" x14ac:dyDescent="0.2">
      <c r="A25" t="s">
        <v>909</v>
      </c>
      <c r="B25" t="s">
        <v>1465</v>
      </c>
      <c r="E25" s="97"/>
    </row>
    <row r="26" spans="1:15" x14ac:dyDescent="0.2">
      <c r="E26" s="97"/>
    </row>
    <row r="27" spans="1:15" x14ac:dyDescent="0.2">
      <c r="A27" s="100" t="s">
        <v>910</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192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tbl-density-matter</v>
      </c>
    </row>
    <row r="4" spans="1:16" x14ac:dyDescent="0.2">
      <c r="A4" s="58" t="s">
        <v>6</v>
      </c>
      <c r="B4" t="str">
        <f>IF($B$1="","",_xlfn.XLOOKUP($B$1,Master!$F$2:$F$308,Master!$H$2:$H$308,""))</f>
        <v>fig-density-matter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7"/>
      <c r="F6">
        <v>2014</v>
      </c>
      <c r="G6" s="14">
        <v>9.3000000000000007</v>
      </c>
      <c r="H6" s="14">
        <v>9</v>
      </c>
      <c r="I6" s="14">
        <v>9.3000000000000007</v>
      </c>
      <c r="J6" s="14">
        <v>9.6999999999999993</v>
      </c>
      <c r="K6" s="14">
        <v>8.4</v>
      </c>
      <c r="L6" s="14">
        <v>8.9</v>
      </c>
      <c r="M6" s="14">
        <v>10.4</v>
      </c>
      <c r="N6" s="14">
        <v>8.5</v>
      </c>
    </row>
    <row r="7" spans="1:16" ht="15.75" customHeight="1" x14ac:dyDescent="0.2">
      <c r="E7" s="97"/>
      <c r="F7">
        <v>2016</v>
      </c>
      <c r="G7" s="14">
        <v>7.9</v>
      </c>
      <c r="H7" s="14">
        <v>6.2</v>
      </c>
      <c r="I7" s="14">
        <v>8</v>
      </c>
      <c r="J7" s="14">
        <v>8.5</v>
      </c>
      <c r="K7" s="14">
        <v>7.3</v>
      </c>
      <c r="L7" s="14">
        <v>7.5</v>
      </c>
      <c r="M7" s="14">
        <v>9</v>
      </c>
      <c r="N7" s="14">
        <v>6.6</v>
      </c>
    </row>
    <row r="8" spans="1:16" x14ac:dyDescent="0.2">
      <c r="E8" s="97"/>
      <c r="F8">
        <v>2018</v>
      </c>
      <c r="G8" s="14">
        <v>7.7</v>
      </c>
      <c r="H8" s="14">
        <v>6.4</v>
      </c>
      <c r="I8" s="14">
        <v>7.9</v>
      </c>
      <c r="J8" s="14">
        <v>8.8000000000000007</v>
      </c>
      <c r="K8" s="14">
        <v>7.2</v>
      </c>
      <c r="L8" s="14">
        <v>7.4</v>
      </c>
      <c r="M8" s="14">
        <v>9.3000000000000007</v>
      </c>
      <c r="N8" s="14">
        <v>6.9</v>
      </c>
    </row>
    <row r="9" spans="1:16" x14ac:dyDescent="0.2">
      <c r="A9" s="98" t="s">
        <v>893</v>
      </c>
      <c r="B9" s="97"/>
      <c r="E9" s="97"/>
      <c r="F9">
        <v>2020</v>
      </c>
      <c r="G9" s="46" t="s">
        <v>1477</v>
      </c>
      <c r="H9" s="46" t="s">
        <v>1478</v>
      </c>
      <c r="I9" s="46" t="s">
        <v>1461</v>
      </c>
      <c r="J9" s="46" t="s">
        <v>1479</v>
      </c>
      <c r="K9" s="46" t="s">
        <v>1480</v>
      </c>
      <c r="L9" s="46" t="s">
        <v>1481</v>
      </c>
      <c r="M9" s="46" t="s">
        <v>1482</v>
      </c>
      <c r="N9" s="46" t="s">
        <v>1480</v>
      </c>
      <c r="O9" s="46"/>
    </row>
    <row r="10" spans="1:16" x14ac:dyDescent="0.2">
      <c r="A10" t="s">
        <v>894</v>
      </c>
      <c r="B10" t="s">
        <v>972</v>
      </c>
      <c r="E10" s="97"/>
      <c r="F10" s="46"/>
      <c r="G10" s="47"/>
      <c r="H10" s="47"/>
      <c r="I10" s="47"/>
      <c r="J10" s="47"/>
      <c r="K10" s="47"/>
      <c r="L10" s="47"/>
      <c r="M10" s="47"/>
      <c r="N10" s="47"/>
      <c r="O10" s="46"/>
    </row>
    <row r="11" spans="1:16" x14ac:dyDescent="0.2">
      <c r="A11" t="s">
        <v>895</v>
      </c>
      <c r="B11" t="s">
        <v>973</v>
      </c>
      <c r="E11" s="97"/>
      <c r="F11" s="46"/>
      <c r="G11" s="47"/>
      <c r="H11" s="47"/>
      <c r="I11" s="47"/>
      <c r="J11" s="47"/>
      <c r="K11" s="47"/>
      <c r="L11" s="47"/>
      <c r="M11" s="47"/>
      <c r="N11" s="47"/>
      <c r="O11" s="46"/>
    </row>
    <row r="12" spans="1:16" x14ac:dyDescent="0.2">
      <c r="A12" t="s">
        <v>896</v>
      </c>
      <c r="E12" s="97"/>
      <c r="F12" s="46"/>
      <c r="G12" s="46"/>
      <c r="H12" s="46"/>
      <c r="I12" s="46"/>
      <c r="J12" s="46"/>
      <c r="K12" s="46"/>
      <c r="L12" s="46"/>
      <c r="M12" s="46"/>
      <c r="N12" s="46"/>
      <c r="O12" s="46"/>
    </row>
    <row r="13" spans="1:16" x14ac:dyDescent="0.2">
      <c r="A13" t="s">
        <v>897</v>
      </c>
      <c r="E13" s="97"/>
      <c r="F13" s="46"/>
      <c r="G13" s="46"/>
      <c r="H13" s="46"/>
      <c r="I13" s="46"/>
      <c r="J13" s="46"/>
      <c r="K13" s="46"/>
      <c r="L13" s="46"/>
      <c r="M13" s="46"/>
      <c r="N13" s="46"/>
      <c r="O13" s="46"/>
    </row>
    <row r="14" spans="1:16" x14ac:dyDescent="0.2">
      <c r="A14" t="s">
        <v>899</v>
      </c>
      <c r="B14" t="s">
        <v>1475</v>
      </c>
      <c r="E14" s="97"/>
      <c r="F14" s="46"/>
      <c r="G14" s="48"/>
      <c r="H14" s="47"/>
      <c r="I14" s="47"/>
      <c r="J14" s="47"/>
      <c r="K14" s="47"/>
      <c r="L14" s="47"/>
      <c r="M14" s="47"/>
      <c r="N14" s="47"/>
      <c r="O14" s="46"/>
    </row>
    <row r="15" spans="1:16" x14ac:dyDescent="0.2">
      <c r="A15" t="s">
        <v>901</v>
      </c>
      <c r="B15" t="b">
        <v>1</v>
      </c>
      <c r="E15" s="97"/>
      <c r="F15" s="46"/>
      <c r="G15" s="48"/>
      <c r="H15" s="47"/>
      <c r="I15" s="47"/>
      <c r="J15" s="47"/>
      <c r="K15" s="47"/>
      <c r="L15" s="47"/>
      <c r="M15" s="47"/>
      <c r="N15" s="47"/>
      <c r="O15" s="46"/>
    </row>
    <row r="16" spans="1:16" x14ac:dyDescent="0.2">
      <c r="A16" t="s">
        <v>1146</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902</v>
      </c>
      <c r="B18" s="97"/>
      <c r="E18" s="97"/>
      <c r="F18" s="46"/>
      <c r="G18" s="46"/>
      <c r="H18" s="46"/>
      <c r="I18" s="46"/>
      <c r="J18" s="46"/>
      <c r="K18" s="46"/>
      <c r="L18" s="46"/>
      <c r="M18" s="46"/>
      <c r="N18" s="46"/>
      <c r="O18" s="46"/>
    </row>
    <row r="19" spans="1:15" x14ac:dyDescent="0.2">
      <c r="A19" t="s">
        <v>903</v>
      </c>
      <c r="E19" s="97"/>
      <c r="F19" s="46"/>
      <c r="G19" s="46"/>
      <c r="H19" s="46"/>
      <c r="I19" s="46"/>
      <c r="J19" s="46"/>
      <c r="K19" s="46"/>
      <c r="L19" s="46"/>
      <c r="M19" s="46"/>
      <c r="N19" s="46"/>
      <c r="O19" s="46"/>
    </row>
    <row r="20" spans="1:15" x14ac:dyDescent="0.2">
      <c r="A20" t="s">
        <v>904</v>
      </c>
      <c r="E20" s="97"/>
      <c r="F20" s="46"/>
      <c r="G20" s="46"/>
      <c r="H20" s="46"/>
      <c r="I20" s="46"/>
      <c r="J20" s="46"/>
      <c r="K20" s="46"/>
      <c r="L20" s="46"/>
      <c r="M20" s="46"/>
      <c r="N20" s="46"/>
      <c r="O20" s="46"/>
    </row>
    <row r="21" spans="1:15" x14ac:dyDescent="0.2">
      <c r="A21" t="s">
        <v>905</v>
      </c>
      <c r="E21" s="97"/>
      <c r="F21" s="46"/>
      <c r="G21" s="46"/>
      <c r="H21" s="46"/>
      <c r="I21" s="46"/>
      <c r="J21" s="46"/>
      <c r="K21" s="46"/>
      <c r="L21" s="46"/>
      <c r="M21" s="46"/>
      <c r="N21" s="46"/>
      <c r="O21" s="46"/>
    </row>
    <row r="22" spans="1:15" x14ac:dyDescent="0.2">
      <c r="A22" t="s">
        <v>906</v>
      </c>
      <c r="E22" s="97"/>
    </row>
    <row r="23" spans="1:15" x14ac:dyDescent="0.2">
      <c r="A23" t="s">
        <v>907</v>
      </c>
      <c r="E23" s="97"/>
    </row>
    <row r="24" spans="1:15" x14ac:dyDescent="0.2">
      <c r="A24" t="s">
        <v>908</v>
      </c>
      <c r="E24" s="97"/>
    </row>
    <row r="25" spans="1:15" x14ac:dyDescent="0.2">
      <c r="A25" t="s">
        <v>909</v>
      </c>
      <c r="B25" t="s">
        <v>1476</v>
      </c>
      <c r="E25" s="97"/>
    </row>
    <row r="26" spans="1:15" x14ac:dyDescent="0.2">
      <c r="E26" s="97"/>
    </row>
    <row r="27" spans="1:15" x14ac:dyDescent="0.2">
      <c r="A27" s="100" t="s">
        <v>910</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197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tbl-lead-children</v>
      </c>
    </row>
    <row r="4" spans="1:16" x14ac:dyDescent="0.2">
      <c r="A4" s="58" t="s">
        <v>6</v>
      </c>
      <c r="B4" t="str">
        <f>IF($B$1="","",_xlfn.XLOOKUP($B$1,Master!$F$2:$F$308,Master!$H$2:$H$308,""))</f>
        <v>fig-lead-children</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F5" s="46"/>
      <c r="G5" s="46" t="s">
        <v>220</v>
      </c>
      <c r="H5" s="46" t="s">
        <v>18</v>
      </c>
      <c r="I5" s="46" t="s">
        <v>537</v>
      </c>
      <c r="J5" s="46" t="s">
        <v>449</v>
      </c>
      <c r="K5" s="46" t="s">
        <v>409</v>
      </c>
      <c r="L5" s="46" t="s">
        <v>421</v>
      </c>
      <c r="M5" s="46" t="s">
        <v>470</v>
      </c>
      <c r="N5" s="46" t="s">
        <v>898</v>
      </c>
      <c r="O5" s="46" t="s">
        <v>915</v>
      </c>
    </row>
    <row r="6" spans="1:16" ht="15" customHeight="1" x14ac:dyDescent="0.2">
      <c r="A6" t="s">
        <v>891</v>
      </c>
      <c r="B6" t="b">
        <v>0</v>
      </c>
      <c r="E6" s="97"/>
      <c r="F6">
        <v>2013</v>
      </c>
      <c r="G6" s="14">
        <v>57.2</v>
      </c>
      <c r="H6" s="14">
        <v>53.4</v>
      </c>
      <c r="I6" s="14">
        <v>61.3</v>
      </c>
      <c r="J6" s="14">
        <v>71.3</v>
      </c>
      <c r="K6" s="14">
        <v>36.4</v>
      </c>
      <c r="L6" s="14">
        <v>51.7</v>
      </c>
      <c r="M6" s="14">
        <v>65.5</v>
      </c>
      <c r="N6" s="14">
        <v>61.6</v>
      </c>
      <c r="O6">
        <v>62.8</v>
      </c>
    </row>
    <row r="7" spans="1:16" ht="15.75" customHeight="1" x14ac:dyDescent="0.2">
      <c r="E7" s="97"/>
      <c r="F7">
        <v>2016</v>
      </c>
      <c r="G7" s="14">
        <v>58.8</v>
      </c>
      <c r="H7" s="14">
        <v>52.3</v>
      </c>
      <c r="I7" s="14">
        <v>62.4</v>
      </c>
      <c r="J7" s="14">
        <v>60.3</v>
      </c>
      <c r="K7" s="14">
        <v>46.1</v>
      </c>
      <c r="L7" s="14">
        <v>53.5</v>
      </c>
      <c r="M7" s="14">
        <v>64.3</v>
      </c>
      <c r="N7" s="14">
        <v>59.4</v>
      </c>
      <c r="O7">
        <v>63.3</v>
      </c>
    </row>
    <row r="8" spans="1:16" x14ac:dyDescent="0.2">
      <c r="E8" s="97"/>
      <c r="F8">
        <v>2017</v>
      </c>
      <c r="G8" s="14">
        <v>60.7</v>
      </c>
      <c r="H8" s="14">
        <v>51</v>
      </c>
      <c r="I8" s="14">
        <v>60.8</v>
      </c>
      <c r="J8" s="14">
        <v>57</v>
      </c>
      <c r="K8" s="14">
        <v>44.4</v>
      </c>
      <c r="L8" s="14">
        <v>55.3</v>
      </c>
      <c r="M8" s="14">
        <v>63.6</v>
      </c>
      <c r="N8" s="14">
        <v>58.4</v>
      </c>
      <c r="O8">
        <v>62.4</v>
      </c>
    </row>
    <row r="9" spans="1:16" x14ac:dyDescent="0.2">
      <c r="A9" s="98" t="s">
        <v>893</v>
      </c>
      <c r="B9" s="97"/>
      <c r="E9" s="97"/>
      <c r="F9">
        <v>2019</v>
      </c>
      <c r="G9" s="46" t="s">
        <v>1484</v>
      </c>
      <c r="H9" s="46" t="s">
        <v>1485</v>
      </c>
      <c r="I9" s="46" t="s">
        <v>1486</v>
      </c>
      <c r="J9" s="46" t="s">
        <v>1487</v>
      </c>
      <c r="K9" s="46" t="s">
        <v>1488</v>
      </c>
      <c r="L9" s="46" t="s">
        <v>1489</v>
      </c>
      <c r="M9" s="46" t="s">
        <v>1490</v>
      </c>
      <c r="N9" s="46" t="s">
        <v>1491</v>
      </c>
      <c r="O9" s="46" t="s">
        <v>1492</v>
      </c>
    </row>
    <row r="10" spans="1:16" x14ac:dyDescent="0.2">
      <c r="A10" t="s">
        <v>894</v>
      </c>
      <c r="B10" t="s">
        <v>972</v>
      </c>
      <c r="E10" s="97"/>
      <c r="F10" s="46"/>
      <c r="G10" s="47"/>
      <c r="H10" s="47"/>
      <c r="I10" s="47"/>
      <c r="J10" s="47"/>
      <c r="K10" s="47"/>
      <c r="L10" s="47"/>
      <c r="M10" s="47"/>
      <c r="N10" s="47"/>
      <c r="O10" s="46"/>
    </row>
    <row r="11" spans="1:16" x14ac:dyDescent="0.2">
      <c r="A11" t="s">
        <v>895</v>
      </c>
      <c r="B11" t="s">
        <v>973</v>
      </c>
      <c r="E11" s="97"/>
      <c r="F11" s="46"/>
      <c r="G11" s="47"/>
      <c r="H11" s="47"/>
      <c r="I11" s="47"/>
      <c r="J11" s="47"/>
      <c r="K11" s="47"/>
      <c r="L11" s="47"/>
      <c r="M11" s="47"/>
      <c r="N11" s="47"/>
      <c r="O11" s="46"/>
    </row>
    <row r="12" spans="1:16" x14ac:dyDescent="0.2">
      <c r="A12" t="s">
        <v>896</v>
      </c>
      <c r="E12" s="97"/>
      <c r="F12" s="46"/>
      <c r="G12" s="46"/>
      <c r="H12" s="46"/>
      <c r="I12" s="46"/>
      <c r="J12" s="46"/>
      <c r="K12" s="46"/>
      <c r="L12" s="46"/>
      <c r="M12" s="46"/>
      <c r="N12" s="46"/>
      <c r="O12" s="46"/>
    </row>
    <row r="13" spans="1:16" x14ac:dyDescent="0.2">
      <c r="A13" t="s">
        <v>897</v>
      </c>
      <c r="E13" s="97"/>
      <c r="F13" s="46"/>
      <c r="G13" s="46"/>
      <c r="H13" s="46"/>
      <c r="I13" s="46"/>
      <c r="J13" s="46"/>
      <c r="K13" s="46"/>
      <c r="L13" s="46"/>
      <c r="M13" s="46"/>
      <c r="N13" s="46"/>
      <c r="O13" s="46"/>
    </row>
    <row r="14" spans="1:16" x14ac:dyDescent="0.2">
      <c r="A14" t="s">
        <v>899</v>
      </c>
      <c r="B14" t="s">
        <v>694</v>
      </c>
      <c r="E14" s="97"/>
      <c r="F14" s="46"/>
      <c r="G14" s="48"/>
      <c r="H14" s="47"/>
      <c r="I14" s="47"/>
      <c r="J14" s="47"/>
      <c r="K14" s="47"/>
      <c r="L14" s="47"/>
      <c r="M14" s="47"/>
      <c r="N14" s="47"/>
      <c r="O14" s="46"/>
    </row>
    <row r="15" spans="1:16" x14ac:dyDescent="0.2">
      <c r="A15" t="s">
        <v>901</v>
      </c>
      <c r="B15" t="b">
        <v>1</v>
      </c>
      <c r="E15" s="97"/>
      <c r="F15" s="46"/>
      <c r="G15" s="48"/>
      <c r="H15" s="47"/>
      <c r="I15" s="47"/>
      <c r="J15" s="47"/>
      <c r="K15" s="47"/>
      <c r="L15" s="47"/>
      <c r="M15" s="47"/>
      <c r="N15" s="47"/>
      <c r="O15" s="46"/>
    </row>
    <row r="16" spans="1:16" x14ac:dyDescent="0.2">
      <c r="A16" t="s">
        <v>1146</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902</v>
      </c>
      <c r="B18" s="97"/>
      <c r="E18" s="97"/>
      <c r="F18" s="46"/>
      <c r="G18" s="46"/>
      <c r="H18" s="46"/>
      <c r="I18" s="46"/>
      <c r="J18" s="46"/>
      <c r="K18" s="46"/>
      <c r="L18" s="46"/>
      <c r="M18" s="46"/>
      <c r="N18" s="46"/>
      <c r="O18" s="46"/>
    </row>
    <row r="19" spans="1:15" x14ac:dyDescent="0.2">
      <c r="A19" t="s">
        <v>903</v>
      </c>
      <c r="E19" s="97"/>
      <c r="F19" s="46"/>
      <c r="G19" s="46"/>
      <c r="H19" s="46"/>
      <c r="I19" s="46"/>
      <c r="J19" s="46"/>
      <c r="K19" s="46"/>
      <c r="L19" s="46"/>
      <c r="M19" s="46"/>
      <c r="N19" s="46"/>
      <c r="O19" s="46"/>
    </row>
    <row r="20" spans="1:15" x14ac:dyDescent="0.2">
      <c r="A20" t="s">
        <v>904</v>
      </c>
      <c r="E20" s="97"/>
      <c r="F20" s="46"/>
      <c r="G20" s="46"/>
      <c r="H20" s="46"/>
      <c r="I20" s="46"/>
      <c r="J20" s="46"/>
      <c r="K20" s="46"/>
      <c r="L20" s="46"/>
      <c r="M20" s="46"/>
      <c r="N20" s="46"/>
      <c r="O20" s="46"/>
    </row>
    <row r="21" spans="1:15" x14ac:dyDescent="0.2">
      <c r="A21" t="s">
        <v>905</v>
      </c>
      <c r="E21" s="97"/>
      <c r="F21" s="46"/>
      <c r="G21" s="46"/>
      <c r="H21" s="46"/>
      <c r="I21" s="46"/>
      <c r="J21" s="46"/>
      <c r="K21" s="46"/>
      <c r="L21" s="46"/>
      <c r="M21" s="46"/>
      <c r="N21" s="46"/>
      <c r="O21" s="46"/>
    </row>
    <row r="22" spans="1:15" x14ac:dyDescent="0.2">
      <c r="A22" t="s">
        <v>906</v>
      </c>
      <c r="E22" s="97"/>
    </row>
    <row r="23" spans="1:15" x14ac:dyDescent="0.2">
      <c r="A23" t="s">
        <v>907</v>
      </c>
      <c r="E23" s="97"/>
    </row>
    <row r="24" spans="1:15" x14ac:dyDescent="0.2">
      <c r="A24" t="s">
        <v>908</v>
      </c>
      <c r="E24" s="97"/>
    </row>
    <row r="25" spans="1:15" x14ac:dyDescent="0.2">
      <c r="A25" t="s">
        <v>909</v>
      </c>
      <c r="B25" t="s">
        <v>1483</v>
      </c>
      <c r="E25" s="97"/>
    </row>
    <row r="26" spans="1:15" x14ac:dyDescent="0.2">
      <c r="E26" s="97"/>
    </row>
    <row r="27" spans="1:15" x14ac:dyDescent="0.2">
      <c r="A27" s="100" t="s">
        <v>910</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202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tbl-severe-housing</v>
      </c>
    </row>
    <row r="4" spans="1:16" x14ac:dyDescent="0.2">
      <c r="A4" s="58" t="s">
        <v>6</v>
      </c>
      <c r="B4" t="str">
        <f>IF($B$1="","",_xlfn.XLOOKUP($B$1,Master!$F$2:$F$308,Master!$H$2:$H$308,""))</f>
        <v>fig-severe-housing</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F5" s="46"/>
      <c r="G5" s="46" t="s">
        <v>220</v>
      </c>
      <c r="H5" s="46" t="s">
        <v>18</v>
      </c>
      <c r="I5" s="46" t="s">
        <v>537</v>
      </c>
      <c r="J5" s="46" t="s">
        <v>449</v>
      </c>
      <c r="K5" s="46" t="s">
        <v>409</v>
      </c>
      <c r="L5" s="46" t="s">
        <v>421</v>
      </c>
      <c r="M5" s="46" t="s">
        <v>470</v>
      </c>
      <c r="N5" s="46" t="s">
        <v>915</v>
      </c>
      <c r="O5" s="46" t="s">
        <v>1141</v>
      </c>
    </row>
    <row r="6" spans="1:16" ht="15" customHeight="1" x14ac:dyDescent="0.2">
      <c r="A6" t="s">
        <v>891</v>
      </c>
      <c r="B6" t="b">
        <v>0</v>
      </c>
      <c r="E6" s="97"/>
      <c r="F6" t="s">
        <v>969</v>
      </c>
      <c r="G6" s="14">
        <v>17</v>
      </c>
      <c r="H6" s="14">
        <v>21</v>
      </c>
      <c r="I6" s="14">
        <v>17</v>
      </c>
      <c r="J6" s="14">
        <v>26</v>
      </c>
      <c r="K6" s="14">
        <v>16</v>
      </c>
      <c r="L6" s="14">
        <v>18</v>
      </c>
      <c r="M6" s="14">
        <v>22</v>
      </c>
      <c r="N6" s="14">
        <v>23</v>
      </c>
      <c r="O6" s="14">
        <v>17</v>
      </c>
    </row>
    <row r="7" spans="1:16" ht="15.75" customHeight="1" x14ac:dyDescent="0.2">
      <c r="E7" s="97"/>
      <c r="G7" s="14"/>
      <c r="H7" s="14"/>
      <c r="I7" s="14"/>
      <c r="J7" s="14"/>
      <c r="K7" s="14"/>
      <c r="L7" s="14"/>
      <c r="M7" s="14"/>
      <c r="N7" s="14"/>
    </row>
    <row r="8" spans="1:16" x14ac:dyDescent="0.2">
      <c r="E8" s="97"/>
      <c r="G8" s="14"/>
      <c r="H8" s="14"/>
      <c r="I8" s="14"/>
      <c r="J8" s="14"/>
      <c r="K8" s="14"/>
      <c r="L8" s="14"/>
      <c r="M8" s="14"/>
      <c r="N8" s="14"/>
    </row>
    <row r="9" spans="1:16" x14ac:dyDescent="0.2">
      <c r="A9" s="98" t="s">
        <v>893</v>
      </c>
      <c r="B9" s="97"/>
      <c r="E9" s="97"/>
      <c r="G9" s="46"/>
      <c r="H9" s="46"/>
      <c r="I9" s="46"/>
      <c r="J9" s="46"/>
      <c r="K9" s="46"/>
      <c r="L9" s="46"/>
      <c r="M9" s="46"/>
      <c r="N9" s="46"/>
      <c r="O9" s="46"/>
    </row>
    <row r="10" spans="1:16" x14ac:dyDescent="0.2">
      <c r="A10" t="s">
        <v>894</v>
      </c>
      <c r="B10" t="s">
        <v>1002</v>
      </c>
      <c r="E10" s="97"/>
      <c r="F10" s="46"/>
      <c r="G10" s="47"/>
      <c r="H10" s="47"/>
      <c r="I10" s="47"/>
      <c r="J10" s="47"/>
      <c r="K10" s="47"/>
      <c r="L10" s="47"/>
      <c r="M10" s="47"/>
      <c r="N10" s="47"/>
      <c r="O10" s="46"/>
    </row>
    <row r="11" spans="1:16" x14ac:dyDescent="0.2">
      <c r="A11" t="s">
        <v>895</v>
      </c>
      <c r="B11" t="s">
        <v>887</v>
      </c>
      <c r="E11" s="97"/>
      <c r="F11" s="46"/>
      <c r="G11" s="47"/>
      <c r="H11" s="47"/>
      <c r="I11" s="47"/>
      <c r="J11" s="47"/>
      <c r="K11" s="47"/>
      <c r="L11" s="47"/>
      <c r="M11" s="47"/>
      <c r="N11" s="47"/>
      <c r="O11" s="46"/>
    </row>
    <row r="12" spans="1:16" x14ac:dyDescent="0.2">
      <c r="A12" t="s">
        <v>896</v>
      </c>
      <c r="E12" s="97"/>
      <c r="F12" s="46"/>
      <c r="G12" s="46"/>
      <c r="H12" s="46"/>
      <c r="I12" s="46"/>
      <c r="J12" s="46"/>
      <c r="K12" s="46"/>
      <c r="L12" s="46"/>
      <c r="M12" s="46"/>
      <c r="N12" s="46"/>
      <c r="O12" s="46"/>
    </row>
    <row r="13" spans="1:16" x14ac:dyDescent="0.2">
      <c r="A13" t="s">
        <v>897</v>
      </c>
      <c r="E13" s="97"/>
      <c r="F13" s="46"/>
      <c r="G13" s="46"/>
      <c r="H13" s="46"/>
      <c r="I13" s="46"/>
      <c r="J13" s="46"/>
      <c r="K13" s="46"/>
      <c r="L13" s="46"/>
      <c r="M13" s="46"/>
      <c r="N13" s="46"/>
      <c r="O13" s="46"/>
    </row>
    <row r="14" spans="1:16" x14ac:dyDescent="0.2">
      <c r="A14" t="s">
        <v>899</v>
      </c>
      <c r="B14" t="s">
        <v>694</v>
      </c>
      <c r="E14" s="97"/>
      <c r="F14" s="46"/>
      <c r="G14" s="48"/>
      <c r="H14" s="47"/>
      <c r="I14" s="47"/>
      <c r="J14" s="47"/>
      <c r="K14" s="47"/>
      <c r="L14" s="47"/>
      <c r="M14" s="47"/>
      <c r="N14" s="47"/>
      <c r="O14" s="46"/>
    </row>
    <row r="15" spans="1:16" x14ac:dyDescent="0.2">
      <c r="A15" t="s">
        <v>901</v>
      </c>
      <c r="B15" t="b">
        <v>1</v>
      </c>
      <c r="E15" s="97"/>
      <c r="F15" s="46"/>
      <c r="G15" s="48"/>
      <c r="H15" s="47"/>
      <c r="I15" s="47"/>
      <c r="J15" s="47"/>
      <c r="K15" s="47"/>
      <c r="L15" s="47"/>
      <c r="M15" s="47"/>
      <c r="N15" s="47"/>
      <c r="O15" s="46"/>
    </row>
    <row r="16" spans="1:16" x14ac:dyDescent="0.2">
      <c r="A16" t="s">
        <v>1146</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902</v>
      </c>
      <c r="B18" s="97"/>
      <c r="E18" s="97"/>
      <c r="F18" s="46"/>
      <c r="G18" s="46"/>
      <c r="H18" s="46"/>
      <c r="I18" s="46"/>
      <c r="J18" s="46"/>
      <c r="K18" s="46"/>
      <c r="L18" s="46"/>
      <c r="M18" s="46"/>
      <c r="N18" s="46"/>
      <c r="O18" s="46"/>
    </row>
    <row r="19" spans="1:15" x14ac:dyDescent="0.2">
      <c r="A19" t="s">
        <v>903</v>
      </c>
      <c r="E19" s="97"/>
      <c r="F19" s="46"/>
      <c r="G19" s="46"/>
      <c r="H19" s="46"/>
      <c r="I19" s="46"/>
      <c r="J19" s="46"/>
      <c r="K19" s="46"/>
      <c r="L19" s="46"/>
      <c r="M19" s="46"/>
      <c r="N19" s="46"/>
      <c r="O19" s="46"/>
    </row>
    <row r="20" spans="1:15" x14ac:dyDescent="0.2">
      <c r="A20" t="s">
        <v>904</v>
      </c>
      <c r="E20" s="97"/>
      <c r="F20" s="46"/>
      <c r="G20" s="46"/>
      <c r="H20" s="46"/>
      <c r="I20" s="46"/>
      <c r="J20" s="46"/>
      <c r="K20" s="46"/>
      <c r="L20" s="46"/>
      <c r="M20" s="46"/>
      <c r="N20" s="46"/>
      <c r="O20" s="46"/>
    </row>
    <row r="21" spans="1:15" x14ac:dyDescent="0.2">
      <c r="A21" t="s">
        <v>905</v>
      </c>
      <c r="E21" s="97"/>
      <c r="F21" s="46"/>
      <c r="G21" s="46"/>
      <c r="H21" s="46"/>
      <c r="I21" s="46"/>
      <c r="J21" s="46"/>
      <c r="K21" s="46"/>
      <c r="L21" s="46"/>
      <c r="M21" s="46"/>
      <c r="N21" s="46"/>
      <c r="O21" s="46"/>
    </row>
    <row r="22" spans="1:15" x14ac:dyDescent="0.2">
      <c r="A22" t="s">
        <v>906</v>
      </c>
      <c r="E22" s="97"/>
    </row>
    <row r="23" spans="1:15" x14ac:dyDescent="0.2">
      <c r="A23" t="s">
        <v>907</v>
      </c>
      <c r="E23" s="97"/>
    </row>
    <row r="24" spans="1:15" x14ac:dyDescent="0.2">
      <c r="A24" t="s">
        <v>908</v>
      </c>
      <c r="E24" s="97"/>
    </row>
    <row r="25" spans="1:15" x14ac:dyDescent="0.2">
      <c r="A25" t="s">
        <v>909</v>
      </c>
      <c r="B25" t="s">
        <v>1493</v>
      </c>
      <c r="E25" s="97"/>
    </row>
    <row r="26" spans="1:15" x14ac:dyDescent="0.2">
      <c r="E26" s="97"/>
    </row>
    <row r="27" spans="1:15" x14ac:dyDescent="0.2">
      <c r="A27" s="100" t="s">
        <v>910</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204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tbl-no-vehicles</v>
      </c>
    </row>
    <row r="4" spans="1:16"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7"/>
      <c r="E5" s="99"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7"/>
      <c r="F6">
        <v>2021</v>
      </c>
      <c r="G6" s="14">
        <v>7.2</v>
      </c>
      <c r="H6" s="14">
        <v>8.9</v>
      </c>
      <c r="I6" s="14">
        <v>4.7</v>
      </c>
      <c r="J6" s="14">
        <v>10.4</v>
      </c>
      <c r="K6" s="14">
        <v>10.4</v>
      </c>
      <c r="L6" s="14">
        <v>6.8</v>
      </c>
      <c r="M6" s="14">
        <v>14.3</v>
      </c>
      <c r="N6" s="14">
        <v>28.9</v>
      </c>
    </row>
    <row r="7" spans="1:16" ht="15.75" customHeight="1" x14ac:dyDescent="0.2">
      <c r="E7" s="97"/>
      <c r="F7">
        <v>2022</v>
      </c>
      <c r="G7" s="14">
        <v>7.2</v>
      </c>
      <c r="H7" s="14">
        <v>8.6</v>
      </c>
      <c r="I7" s="14">
        <v>4.0999999999999996</v>
      </c>
      <c r="J7" s="14">
        <v>9.9</v>
      </c>
      <c r="K7" s="14">
        <v>9.9</v>
      </c>
      <c r="L7" s="14">
        <v>7.2</v>
      </c>
      <c r="M7" s="14">
        <v>14.2</v>
      </c>
      <c r="N7" s="14">
        <v>29</v>
      </c>
    </row>
    <row r="8" spans="1:16" x14ac:dyDescent="0.2">
      <c r="E8" s="97"/>
      <c r="F8">
        <v>2023</v>
      </c>
      <c r="G8" s="14">
        <v>7</v>
      </c>
      <c r="H8" s="14">
        <v>8.6</v>
      </c>
      <c r="I8" s="14">
        <v>4.2</v>
      </c>
      <c r="J8" s="14">
        <v>9.6999999999999993</v>
      </c>
      <c r="K8" s="14">
        <v>8.8000000000000007</v>
      </c>
      <c r="L8" s="14">
        <v>7.5</v>
      </c>
      <c r="M8" s="14">
        <v>14.2</v>
      </c>
      <c r="N8" s="14">
        <v>29</v>
      </c>
    </row>
    <row r="9" spans="1:16" x14ac:dyDescent="0.2">
      <c r="A9" s="98" t="s">
        <v>893</v>
      </c>
      <c r="B9" s="97"/>
      <c r="E9" s="97"/>
      <c r="G9" s="46"/>
      <c r="H9" s="46"/>
      <c r="I9" s="46"/>
      <c r="J9" s="46"/>
      <c r="K9" s="46"/>
      <c r="L9" s="46"/>
      <c r="M9" s="46"/>
      <c r="N9" s="46"/>
      <c r="O9" s="46"/>
    </row>
    <row r="10" spans="1:16" x14ac:dyDescent="0.2">
      <c r="A10" t="s">
        <v>894</v>
      </c>
      <c r="B10" t="s">
        <v>972</v>
      </c>
      <c r="E10" s="97"/>
      <c r="F10" s="46"/>
      <c r="G10" s="47"/>
      <c r="H10" s="47"/>
      <c r="I10" s="47"/>
      <c r="J10" s="47"/>
      <c r="K10" s="47"/>
      <c r="L10" s="47"/>
      <c r="M10" s="47"/>
      <c r="N10" s="47"/>
      <c r="O10" s="46"/>
    </row>
    <row r="11" spans="1:16" x14ac:dyDescent="0.2">
      <c r="A11" t="s">
        <v>895</v>
      </c>
      <c r="B11" t="s">
        <v>973</v>
      </c>
      <c r="E11" s="97"/>
      <c r="F11" s="46"/>
      <c r="G11" s="47"/>
      <c r="H11" s="47"/>
      <c r="I11" s="47"/>
      <c r="J11" s="47"/>
      <c r="K11" s="47"/>
      <c r="L11" s="47"/>
      <c r="M11" s="47"/>
      <c r="N11" s="47"/>
      <c r="O11" s="46"/>
    </row>
    <row r="12" spans="1:16" x14ac:dyDescent="0.2">
      <c r="A12" t="s">
        <v>896</v>
      </c>
      <c r="E12" s="97"/>
      <c r="F12" s="46"/>
      <c r="G12" s="46"/>
      <c r="H12" s="46"/>
      <c r="I12" s="46"/>
      <c r="J12" s="46"/>
      <c r="K12" s="46"/>
      <c r="L12" s="46"/>
      <c r="M12" s="46"/>
      <c r="N12" s="46"/>
      <c r="O12" s="46"/>
    </row>
    <row r="13" spans="1:16" x14ac:dyDescent="0.2">
      <c r="A13" t="s">
        <v>897</v>
      </c>
      <c r="E13" s="97"/>
      <c r="F13" s="46"/>
      <c r="G13" s="46"/>
      <c r="H13" s="46"/>
      <c r="I13" s="46"/>
      <c r="J13" s="46"/>
      <c r="K13" s="46"/>
      <c r="L13" s="46"/>
      <c r="M13" s="46"/>
      <c r="N13" s="46"/>
      <c r="O13" s="46"/>
    </row>
    <row r="14" spans="1:16" x14ac:dyDescent="0.2">
      <c r="A14" t="s">
        <v>899</v>
      </c>
      <c r="B14" t="s">
        <v>694</v>
      </c>
      <c r="E14" s="97"/>
      <c r="F14" s="46"/>
      <c r="G14" s="48"/>
      <c r="H14" s="47"/>
      <c r="I14" s="47"/>
      <c r="J14" s="47"/>
      <c r="K14" s="47"/>
      <c r="L14" s="47"/>
      <c r="M14" s="47"/>
      <c r="N14" s="47"/>
      <c r="O14" s="46"/>
    </row>
    <row r="15" spans="1:16" x14ac:dyDescent="0.2">
      <c r="A15" t="s">
        <v>901</v>
      </c>
      <c r="B15" t="b">
        <v>1</v>
      </c>
      <c r="E15" s="97"/>
      <c r="F15" s="46"/>
      <c r="G15" s="48"/>
      <c r="H15" s="47"/>
      <c r="I15" s="47"/>
      <c r="J15" s="47"/>
      <c r="K15" s="47"/>
      <c r="L15" s="47"/>
      <c r="M15" s="47"/>
      <c r="N15" s="47"/>
      <c r="O15" s="46"/>
    </row>
    <row r="16" spans="1:16" x14ac:dyDescent="0.2">
      <c r="A16" t="s">
        <v>1146</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902</v>
      </c>
      <c r="B18" s="97"/>
      <c r="E18" s="97"/>
      <c r="F18" s="46"/>
      <c r="G18" s="46"/>
      <c r="H18" s="46"/>
      <c r="I18" s="46"/>
      <c r="J18" s="46"/>
      <c r="K18" s="46"/>
      <c r="L18" s="46"/>
      <c r="M18" s="46"/>
      <c r="N18" s="46"/>
      <c r="O18" s="46"/>
    </row>
    <row r="19" spans="1:15" x14ac:dyDescent="0.2">
      <c r="A19" t="s">
        <v>903</v>
      </c>
      <c r="E19" s="97"/>
      <c r="F19" s="46"/>
      <c r="G19" s="46"/>
      <c r="H19" s="46"/>
      <c r="I19" s="46"/>
      <c r="J19" s="46"/>
      <c r="K19" s="46"/>
      <c r="L19" s="46"/>
      <c r="M19" s="46"/>
      <c r="N19" s="46"/>
      <c r="O19" s="46"/>
    </row>
    <row r="20" spans="1:15" x14ac:dyDescent="0.2">
      <c r="A20" t="s">
        <v>904</v>
      </c>
      <c r="E20" s="97"/>
      <c r="F20" s="46"/>
      <c r="G20" s="46"/>
      <c r="H20" s="46"/>
      <c r="I20" s="46"/>
      <c r="J20" s="46"/>
      <c r="K20" s="46"/>
      <c r="L20" s="46"/>
      <c r="M20" s="46"/>
      <c r="N20" s="46"/>
      <c r="O20" s="46"/>
    </row>
    <row r="21" spans="1:15" x14ac:dyDescent="0.2">
      <c r="A21" t="s">
        <v>905</v>
      </c>
      <c r="E21" s="97"/>
      <c r="F21" s="46"/>
      <c r="G21" s="46"/>
      <c r="H21" s="46"/>
      <c r="I21" s="46"/>
      <c r="J21" s="46"/>
      <c r="K21" s="46"/>
      <c r="L21" s="46"/>
      <c r="M21" s="46"/>
      <c r="N21" s="46"/>
      <c r="O21" s="46"/>
    </row>
    <row r="22" spans="1:15" x14ac:dyDescent="0.2">
      <c r="A22" t="s">
        <v>906</v>
      </c>
      <c r="E22" s="97"/>
    </row>
    <row r="23" spans="1:15" x14ac:dyDescent="0.2">
      <c r="A23" t="s">
        <v>907</v>
      </c>
      <c r="E23" s="97"/>
    </row>
    <row r="24" spans="1:15" x14ac:dyDescent="0.2">
      <c r="A24" t="s">
        <v>908</v>
      </c>
      <c r="E24" s="97"/>
    </row>
    <row r="25" spans="1:15" x14ac:dyDescent="0.2">
      <c r="A25" t="s">
        <v>909</v>
      </c>
      <c r="B25" t="s">
        <v>1494</v>
      </c>
      <c r="E25" s="97"/>
    </row>
    <row r="26" spans="1:15" x14ac:dyDescent="0.2">
      <c r="E26" s="97"/>
    </row>
    <row r="27" spans="1:15" x14ac:dyDescent="0.2">
      <c r="A27" s="100" t="s">
        <v>910</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206</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tbl-mode-to-work</v>
      </c>
    </row>
    <row r="4" spans="1:16" x14ac:dyDescent="0.2">
      <c r="A4" s="58" t="s">
        <v>6</v>
      </c>
      <c r="B4" t="str">
        <f>IF($B$1="","",_xlfn.XLOOKUP($B$1,Master!$F$2:$F$308,Master!$H$2:$H$308,""))</f>
        <v>fig-mode-to-work</v>
      </c>
      <c r="E4" s="13"/>
      <c r="F4" s="16" t="s">
        <v>664</v>
      </c>
      <c r="G4" s="16" t="s">
        <v>679</v>
      </c>
      <c r="H4" s="16" t="s">
        <v>679</v>
      </c>
      <c r="I4" s="16" t="s">
        <v>679</v>
      </c>
      <c r="J4" s="16" t="s">
        <v>679</v>
      </c>
      <c r="K4" s="16" t="s">
        <v>679</v>
      </c>
      <c r="L4" s="16" t="s">
        <v>679</v>
      </c>
      <c r="M4" s="16"/>
      <c r="N4" s="16"/>
      <c r="O4" s="16"/>
      <c r="P4" s="16"/>
    </row>
    <row r="5" spans="1:16" x14ac:dyDescent="0.2">
      <c r="A5" s="98" t="s">
        <v>885</v>
      </c>
      <c r="B5" s="97"/>
      <c r="E5" s="99" t="s">
        <v>886</v>
      </c>
      <c r="F5" s="46"/>
      <c r="G5" s="46" t="s">
        <v>979</v>
      </c>
      <c r="H5" s="46" t="s">
        <v>980</v>
      </c>
      <c r="I5" s="46" t="s">
        <v>981</v>
      </c>
      <c r="J5" s="46" t="s">
        <v>982</v>
      </c>
      <c r="K5" s="46" t="s">
        <v>984</v>
      </c>
      <c r="L5" s="46" t="s">
        <v>986</v>
      </c>
      <c r="M5" s="46"/>
      <c r="N5" s="46"/>
      <c r="O5" s="46"/>
    </row>
    <row r="6" spans="1:16" ht="15" customHeight="1" x14ac:dyDescent="0.2">
      <c r="A6" t="s">
        <v>891</v>
      </c>
      <c r="B6" t="b">
        <v>0</v>
      </c>
      <c r="E6" s="97"/>
      <c r="F6" t="s">
        <v>220</v>
      </c>
      <c r="G6" s="14">
        <v>71.400000000000006</v>
      </c>
      <c r="H6" s="14">
        <v>7.5</v>
      </c>
      <c r="I6" s="14">
        <v>3.7</v>
      </c>
      <c r="J6" s="14">
        <v>2.2999999999999998</v>
      </c>
      <c r="K6" s="14">
        <v>1.7</v>
      </c>
      <c r="L6" s="14">
        <v>13.4</v>
      </c>
      <c r="M6" s="14"/>
      <c r="N6" s="14"/>
    </row>
    <row r="7" spans="1:16" ht="15.75" customHeight="1" x14ac:dyDescent="0.2">
      <c r="E7" s="97"/>
      <c r="F7" t="s">
        <v>18</v>
      </c>
      <c r="G7" s="14">
        <v>69.8</v>
      </c>
      <c r="H7" s="14">
        <v>9.6</v>
      </c>
      <c r="I7" s="14">
        <v>4.4000000000000004</v>
      </c>
      <c r="J7" s="14">
        <v>3.1</v>
      </c>
      <c r="K7" s="14">
        <v>2</v>
      </c>
      <c r="L7" s="14">
        <v>11.1</v>
      </c>
      <c r="M7" s="14"/>
      <c r="N7" s="14"/>
    </row>
    <row r="8" spans="1:16" x14ac:dyDescent="0.2">
      <c r="E8" s="97"/>
      <c r="F8" t="s">
        <v>537</v>
      </c>
      <c r="G8" s="14">
        <v>70.599999999999994</v>
      </c>
      <c r="H8" s="14">
        <v>7.6</v>
      </c>
      <c r="I8" s="14">
        <v>5.6</v>
      </c>
      <c r="J8" s="14">
        <v>1.5</v>
      </c>
      <c r="K8" s="14">
        <v>1</v>
      </c>
      <c r="L8" s="14">
        <v>13.7</v>
      </c>
      <c r="M8" s="14"/>
      <c r="N8" s="14"/>
    </row>
    <row r="9" spans="1:16" x14ac:dyDescent="0.2">
      <c r="A9" s="98" t="s">
        <v>893</v>
      </c>
      <c r="B9" s="97"/>
      <c r="E9" s="97"/>
      <c r="F9" t="s">
        <v>449</v>
      </c>
      <c r="G9" s="46" t="s">
        <v>1496</v>
      </c>
      <c r="H9" s="46" t="s">
        <v>1497</v>
      </c>
      <c r="I9" s="46" t="s">
        <v>1498</v>
      </c>
      <c r="J9" s="46" t="s">
        <v>1499</v>
      </c>
      <c r="K9" s="46" t="s">
        <v>1500</v>
      </c>
      <c r="L9" s="46" t="s">
        <v>1501</v>
      </c>
      <c r="M9" s="46"/>
      <c r="N9" s="46"/>
      <c r="O9" s="46"/>
    </row>
    <row r="10" spans="1:16" x14ac:dyDescent="0.2">
      <c r="A10" t="s">
        <v>894</v>
      </c>
      <c r="B10" t="s">
        <v>983</v>
      </c>
      <c r="E10" s="97"/>
      <c r="F10" s="46" t="s">
        <v>409</v>
      </c>
      <c r="G10" s="47" t="s">
        <v>1502</v>
      </c>
      <c r="H10" s="47" t="s">
        <v>1482</v>
      </c>
      <c r="I10" s="47" t="s">
        <v>1503</v>
      </c>
      <c r="J10" s="47" t="s">
        <v>1504</v>
      </c>
      <c r="K10" s="47" t="s">
        <v>1505</v>
      </c>
      <c r="L10" s="47" t="s">
        <v>1506</v>
      </c>
      <c r="M10" s="47"/>
      <c r="N10" s="47"/>
      <c r="O10" s="46"/>
    </row>
    <row r="11" spans="1:16" x14ac:dyDescent="0.2">
      <c r="A11" t="s">
        <v>895</v>
      </c>
      <c r="B11" t="s">
        <v>985</v>
      </c>
      <c r="E11" s="97"/>
      <c r="F11" s="46" t="s">
        <v>421</v>
      </c>
      <c r="G11" s="47" t="s">
        <v>1507</v>
      </c>
      <c r="H11" s="47" t="s">
        <v>1508</v>
      </c>
      <c r="I11" s="47" t="s">
        <v>1509</v>
      </c>
      <c r="J11" s="47" t="s">
        <v>1504</v>
      </c>
      <c r="K11" s="47" t="s">
        <v>1510</v>
      </c>
      <c r="L11" s="47" t="s">
        <v>1511</v>
      </c>
      <c r="M11" s="47"/>
      <c r="N11" s="47"/>
      <c r="O11" s="46"/>
    </row>
    <row r="12" spans="1:16" x14ac:dyDescent="0.2">
      <c r="A12" t="s">
        <v>896</v>
      </c>
      <c r="E12" s="97"/>
      <c r="F12" s="46" t="s">
        <v>470</v>
      </c>
      <c r="G12" s="46" t="s">
        <v>1512</v>
      </c>
      <c r="H12" s="46" t="s">
        <v>1513</v>
      </c>
      <c r="I12" s="46" t="s">
        <v>1514</v>
      </c>
      <c r="J12" s="46" t="s">
        <v>1515</v>
      </c>
      <c r="K12" s="46" t="s">
        <v>1509</v>
      </c>
      <c r="L12" s="46" t="s">
        <v>1516</v>
      </c>
      <c r="M12" s="46"/>
      <c r="N12" s="46"/>
      <c r="O12" s="46"/>
    </row>
    <row r="13" spans="1:16" x14ac:dyDescent="0.2">
      <c r="A13" t="s">
        <v>897</v>
      </c>
      <c r="E13" s="97"/>
      <c r="F13" s="46" t="s">
        <v>915</v>
      </c>
      <c r="G13" s="46" t="s">
        <v>1517</v>
      </c>
      <c r="H13" s="46" t="s">
        <v>1518</v>
      </c>
      <c r="I13" s="46" t="s">
        <v>1519</v>
      </c>
      <c r="J13" s="46" t="s">
        <v>1520</v>
      </c>
      <c r="K13" s="46" t="s">
        <v>1521</v>
      </c>
      <c r="L13" s="46" t="s">
        <v>1522</v>
      </c>
      <c r="M13" s="46"/>
      <c r="N13" s="46"/>
      <c r="O13" s="46"/>
    </row>
    <row r="14" spans="1:16" x14ac:dyDescent="0.2">
      <c r="A14" t="s">
        <v>899</v>
      </c>
      <c r="B14" t="s">
        <v>694</v>
      </c>
      <c r="E14" s="97"/>
      <c r="F14" s="46"/>
      <c r="G14" s="48"/>
      <c r="H14" s="47"/>
      <c r="I14" s="47"/>
      <c r="J14" s="47"/>
      <c r="K14" s="47"/>
      <c r="L14" s="47"/>
      <c r="M14" s="47"/>
      <c r="N14" s="47"/>
      <c r="O14" s="46"/>
    </row>
    <row r="15" spans="1:16" x14ac:dyDescent="0.2">
      <c r="A15" t="s">
        <v>901</v>
      </c>
      <c r="B15" t="b">
        <v>1</v>
      </c>
      <c r="E15" s="97"/>
      <c r="F15" s="46"/>
      <c r="G15" s="48"/>
      <c r="H15" s="47"/>
      <c r="I15" s="47"/>
      <c r="J15" s="47"/>
      <c r="K15" s="47"/>
      <c r="L15" s="47"/>
      <c r="M15" s="47"/>
      <c r="N15" s="47"/>
      <c r="O15" s="46"/>
    </row>
    <row r="16" spans="1:16" x14ac:dyDescent="0.2">
      <c r="A16" t="s">
        <v>1146</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902</v>
      </c>
      <c r="B18" s="97"/>
      <c r="E18" s="97"/>
      <c r="F18" s="46"/>
      <c r="G18" s="46"/>
      <c r="H18" s="46"/>
      <c r="I18" s="46"/>
      <c r="J18" s="46"/>
      <c r="K18" s="46"/>
      <c r="L18" s="46"/>
      <c r="M18" s="46"/>
      <c r="N18" s="46"/>
      <c r="O18" s="46"/>
    </row>
    <row r="19" spans="1:15" x14ac:dyDescent="0.2">
      <c r="A19" t="s">
        <v>903</v>
      </c>
      <c r="E19" s="97"/>
      <c r="F19" s="46"/>
      <c r="G19" s="46"/>
      <c r="H19" s="46"/>
      <c r="I19" s="46"/>
      <c r="J19" s="46"/>
      <c r="K19" s="46"/>
      <c r="L19" s="46"/>
      <c r="M19" s="46"/>
      <c r="N19" s="46"/>
      <c r="O19" s="46"/>
    </row>
    <row r="20" spans="1:15" x14ac:dyDescent="0.2">
      <c r="A20" t="s">
        <v>904</v>
      </c>
      <c r="E20" s="97"/>
      <c r="F20" s="46"/>
      <c r="G20" s="46"/>
      <c r="H20" s="46"/>
      <c r="I20" s="46"/>
      <c r="J20" s="46"/>
      <c r="K20" s="46"/>
      <c r="L20" s="46"/>
      <c r="M20" s="46"/>
      <c r="N20" s="46"/>
      <c r="O20" s="46"/>
    </row>
    <row r="21" spans="1:15" x14ac:dyDescent="0.2">
      <c r="A21" t="s">
        <v>905</v>
      </c>
      <c r="E21" s="97"/>
      <c r="F21" s="46"/>
      <c r="G21" s="46"/>
      <c r="H21" s="46"/>
      <c r="I21" s="46"/>
      <c r="J21" s="46"/>
      <c r="K21" s="46"/>
      <c r="L21" s="46"/>
      <c r="M21" s="46"/>
      <c r="N21" s="46"/>
      <c r="O21" s="46"/>
    </row>
    <row r="22" spans="1:15" x14ac:dyDescent="0.2">
      <c r="A22" t="s">
        <v>906</v>
      </c>
      <c r="E22" s="97"/>
    </row>
    <row r="23" spans="1:15" x14ac:dyDescent="0.2">
      <c r="A23" t="s">
        <v>907</v>
      </c>
      <c r="E23" s="97"/>
    </row>
    <row r="24" spans="1:15" x14ac:dyDescent="0.2">
      <c r="A24" t="s">
        <v>908</v>
      </c>
      <c r="E24" s="97"/>
    </row>
    <row r="25" spans="1:15" x14ac:dyDescent="0.2">
      <c r="A25" t="s">
        <v>909</v>
      </c>
      <c r="B25" t="s">
        <v>1495</v>
      </c>
      <c r="E25" s="97"/>
    </row>
    <row r="26" spans="1:15" x14ac:dyDescent="0.2">
      <c r="E26" s="97"/>
    </row>
    <row r="27" spans="1:15" x14ac:dyDescent="0.2">
      <c r="A27" s="100" t="s">
        <v>910</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211</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tbl-mean-time-work</v>
      </c>
    </row>
    <row r="4" spans="1:16"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7"/>
      <c r="F6">
        <v>2021</v>
      </c>
      <c r="G6" s="14">
        <v>32</v>
      </c>
      <c r="H6" s="14">
        <v>34.1</v>
      </c>
      <c r="I6" s="14">
        <v>39.200000000000003</v>
      </c>
      <c r="J6" s="14">
        <v>31.2</v>
      </c>
      <c r="K6" s="14">
        <v>28.6</v>
      </c>
      <c r="L6" s="14">
        <v>28.6</v>
      </c>
      <c r="M6" s="14">
        <v>34.799999999999997</v>
      </c>
      <c r="N6" s="14">
        <v>33.299999999999997</v>
      </c>
    </row>
    <row r="7" spans="1:16" ht="15.75" customHeight="1" x14ac:dyDescent="0.2">
      <c r="E7" s="97"/>
      <c r="F7">
        <v>2022</v>
      </c>
      <c r="G7" s="14">
        <v>32.299999999999997</v>
      </c>
      <c r="H7" s="14">
        <v>34.1</v>
      </c>
      <c r="I7" s="14">
        <v>39.9</v>
      </c>
      <c r="J7" s="14">
        <v>31</v>
      </c>
      <c r="K7" s="14">
        <v>28.1</v>
      </c>
      <c r="L7" s="14">
        <v>28.1</v>
      </c>
      <c r="M7" s="14">
        <v>34.799999999999997</v>
      </c>
      <c r="N7" s="14">
        <v>33.200000000000003</v>
      </c>
    </row>
    <row r="8" spans="1:16" x14ac:dyDescent="0.2">
      <c r="E8" s="97"/>
      <c r="F8">
        <v>2023</v>
      </c>
      <c r="G8" s="14">
        <v>31.4</v>
      </c>
      <c r="H8" s="14">
        <v>34.200000000000003</v>
      </c>
      <c r="I8" s="14">
        <v>39.5</v>
      </c>
      <c r="J8" s="14">
        <v>30.3</v>
      </c>
      <c r="K8" s="14">
        <v>27.8</v>
      </c>
      <c r="L8" s="14">
        <v>27.8</v>
      </c>
      <c r="M8" s="14">
        <v>34.700000000000003</v>
      </c>
      <c r="N8" s="14">
        <v>32.799999999999997</v>
      </c>
    </row>
    <row r="9" spans="1:16" x14ac:dyDescent="0.2">
      <c r="A9" s="98" t="s">
        <v>893</v>
      </c>
      <c r="B9" s="97"/>
      <c r="E9" s="97"/>
      <c r="G9" s="46"/>
      <c r="H9" s="46"/>
      <c r="I9" s="46"/>
      <c r="J9" s="46"/>
      <c r="K9" s="46"/>
      <c r="L9" s="46"/>
      <c r="M9" s="46"/>
      <c r="N9" s="46"/>
      <c r="O9" s="46"/>
    </row>
    <row r="10" spans="1:16" x14ac:dyDescent="0.2">
      <c r="A10" t="s">
        <v>894</v>
      </c>
      <c r="B10" t="s">
        <v>972</v>
      </c>
      <c r="E10" s="97"/>
      <c r="F10" s="46"/>
      <c r="G10" s="47"/>
      <c r="H10" s="47"/>
      <c r="I10" s="47"/>
      <c r="J10" s="47"/>
      <c r="K10" s="47"/>
      <c r="L10" s="47"/>
      <c r="M10" s="47"/>
      <c r="N10" s="47"/>
      <c r="O10" s="46"/>
    </row>
    <row r="11" spans="1:16" x14ac:dyDescent="0.2">
      <c r="A11" t="s">
        <v>895</v>
      </c>
      <c r="B11" t="s">
        <v>973</v>
      </c>
      <c r="E11" s="97"/>
      <c r="F11" s="46"/>
      <c r="G11" s="47"/>
      <c r="H11" s="47"/>
      <c r="I11" s="47"/>
      <c r="J11" s="47"/>
      <c r="K11" s="47"/>
      <c r="L11" s="47"/>
      <c r="M11" s="47"/>
      <c r="N11" s="47"/>
      <c r="O11" s="46"/>
    </row>
    <row r="12" spans="1:16" x14ac:dyDescent="0.2">
      <c r="A12" t="s">
        <v>896</v>
      </c>
      <c r="E12" s="97"/>
      <c r="F12" s="46"/>
      <c r="G12" s="46"/>
      <c r="H12" s="46"/>
      <c r="I12" s="46"/>
      <c r="J12" s="46"/>
      <c r="K12" s="46"/>
      <c r="L12" s="46"/>
      <c r="M12" s="46"/>
      <c r="N12" s="46"/>
      <c r="O12" s="46"/>
    </row>
    <row r="13" spans="1:16" x14ac:dyDescent="0.2">
      <c r="A13" t="s">
        <v>897</v>
      </c>
      <c r="E13" s="97"/>
      <c r="F13" s="46"/>
      <c r="G13" s="46"/>
      <c r="H13" s="46"/>
      <c r="I13" s="46"/>
      <c r="J13" s="46"/>
      <c r="K13" s="46"/>
      <c r="L13" s="46"/>
      <c r="M13" s="46"/>
      <c r="N13" s="46"/>
      <c r="O13" s="46"/>
    </row>
    <row r="14" spans="1:16" x14ac:dyDescent="0.2">
      <c r="A14" t="s">
        <v>899</v>
      </c>
      <c r="B14" t="s">
        <v>989</v>
      </c>
      <c r="E14" s="97"/>
      <c r="F14" s="46"/>
      <c r="G14" s="48"/>
      <c r="H14" s="47"/>
      <c r="I14" s="47"/>
      <c r="J14" s="47"/>
      <c r="K14" s="47"/>
      <c r="L14" s="47"/>
      <c r="M14" s="47"/>
      <c r="N14" s="47"/>
      <c r="O14" s="46"/>
    </row>
    <row r="15" spans="1:16" x14ac:dyDescent="0.2">
      <c r="A15" t="s">
        <v>901</v>
      </c>
      <c r="B15" t="b">
        <v>1</v>
      </c>
      <c r="E15" s="97"/>
      <c r="F15" s="46"/>
      <c r="G15" s="48"/>
      <c r="H15" s="47"/>
      <c r="I15" s="47"/>
      <c r="J15" s="47"/>
      <c r="K15" s="47"/>
      <c r="L15" s="47"/>
      <c r="M15" s="47"/>
      <c r="N15" s="47"/>
      <c r="O15" s="46"/>
    </row>
    <row r="16" spans="1:16" x14ac:dyDescent="0.2">
      <c r="A16" t="s">
        <v>1146</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902</v>
      </c>
      <c r="B18" s="97"/>
      <c r="E18" s="97"/>
      <c r="F18" s="46"/>
      <c r="G18" s="46"/>
      <c r="H18" s="46"/>
      <c r="I18" s="46"/>
      <c r="J18" s="46"/>
      <c r="K18" s="46"/>
      <c r="L18" s="46"/>
      <c r="M18" s="46"/>
      <c r="N18" s="46"/>
      <c r="O18" s="46"/>
    </row>
    <row r="19" spans="1:15" x14ac:dyDescent="0.2">
      <c r="A19" t="s">
        <v>903</v>
      </c>
      <c r="E19" s="97"/>
      <c r="F19" s="46"/>
      <c r="G19" s="46"/>
      <c r="H19" s="46"/>
      <c r="I19" s="46"/>
      <c r="J19" s="46"/>
      <c r="K19" s="46"/>
      <c r="L19" s="46"/>
      <c r="M19" s="46"/>
      <c r="N19" s="46"/>
      <c r="O19" s="46"/>
    </row>
    <row r="20" spans="1:15" x14ac:dyDescent="0.2">
      <c r="A20" t="s">
        <v>904</v>
      </c>
      <c r="E20" s="97"/>
      <c r="F20" s="46"/>
      <c r="G20" s="46"/>
      <c r="H20" s="46"/>
      <c r="I20" s="46"/>
      <c r="J20" s="46"/>
      <c r="K20" s="46"/>
      <c r="L20" s="46"/>
      <c r="M20" s="46"/>
      <c r="N20" s="46"/>
      <c r="O20" s="46"/>
    </row>
    <row r="21" spans="1:15" x14ac:dyDescent="0.2">
      <c r="A21" t="s">
        <v>905</v>
      </c>
      <c r="E21" s="97"/>
      <c r="F21" s="46"/>
      <c r="G21" s="46"/>
      <c r="H21" s="46"/>
      <c r="I21" s="46"/>
      <c r="J21" s="46"/>
      <c r="K21" s="46"/>
      <c r="L21" s="46"/>
      <c r="M21" s="46"/>
      <c r="N21" s="46"/>
      <c r="O21" s="46"/>
    </row>
    <row r="22" spans="1:15" x14ac:dyDescent="0.2">
      <c r="A22" t="s">
        <v>906</v>
      </c>
      <c r="E22" s="97"/>
    </row>
    <row r="23" spans="1:15" x14ac:dyDescent="0.2">
      <c r="A23" t="s">
        <v>907</v>
      </c>
      <c r="E23" s="97"/>
    </row>
    <row r="24" spans="1:15" x14ac:dyDescent="0.2">
      <c r="A24" t="s">
        <v>908</v>
      </c>
      <c r="E24" s="97"/>
    </row>
    <row r="25" spans="1:15" x14ac:dyDescent="0.2">
      <c r="A25" t="s">
        <v>909</v>
      </c>
      <c r="B25" t="s">
        <v>1523</v>
      </c>
      <c r="E25" s="97"/>
    </row>
    <row r="26" spans="1:15" x14ac:dyDescent="0.2">
      <c r="E26" s="97"/>
    </row>
    <row r="27" spans="1:15" x14ac:dyDescent="0.2">
      <c r="A27" s="100" t="s">
        <v>910</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1649</v>
      </c>
      <c r="C1" s="113"/>
      <c r="D1" s="113"/>
      <c r="E1" s="113"/>
      <c r="F1" s="113"/>
      <c r="G1" s="113"/>
      <c r="H1" s="113"/>
      <c r="I1" s="113"/>
      <c r="J1" s="113"/>
      <c r="K1" s="113"/>
      <c r="L1" s="113"/>
      <c r="M1" s="113"/>
      <c r="N1" s="113"/>
      <c r="O1" s="113"/>
    </row>
    <row r="2" spans="1:16" x14ac:dyDescent="0.2">
      <c r="A2" s="58" t="s">
        <v>883</v>
      </c>
      <c r="B2" t="s">
        <v>56</v>
      </c>
    </row>
    <row r="3" spans="1:16" x14ac:dyDescent="0.2">
      <c r="A3" s="58" t="s">
        <v>884</v>
      </c>
      <c r="B3" t="str">
        <f>IF($B$1="","",_xlfn.XLOOKUP($B$1,Master!$F$2:$F$308,Master!$G$2:$G$308,""))</f>
        <v>tbl-dc-pav</v>
      </c>
    </row>
    <row r="4" spans="1:16" x14ac:dyDescent="0.2">
      <c r="A4" s="58" t="s">
        <v>6</v>
      </c>
      <c r="B4" t="str">
        <f>IF($B$1="","",_xlfn.XLOOKUP($B$1,Master!$F$2:$F$308,Master!$H$2:$H$308,""))</f>
        <v>fig-dc-pav</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F5" s="46" t="s">
        <v>1022</v>
      </c>
      <c r="G5" s="46" t="s">
        <v>1023</v>
      </c>
      <c r="H5" s="46" t="s">
        <v>1024</v>
      </c>
      <c r="I5" s="46" t="s">
        <v>1025</v>
      </c>
      <c r="J5" s="46" t="s">
        <v>1653</v>
      </c>
      <c r="K5" s="46" t="s">
        <v>1654</v>
      </c>
      <c r="L5" s="46"/>
      <c r="M5" s="46"/>
      <c r="N5" s="46"/>
      <c r="O5" s="46"/>
    </row>
    <row r="6" spans="1:16" ht="15" customHeight="1" x14ac:dyDescent="0.2">
      <c r="A6" t="s">
        <v>891</v>
      </c>
      <c r="B6" t="b">
        <v>0</v>
      </c>
      <c r="E6" s="97"/>
      <c r="F6">
        <v>412</v>
      </c>
      <c r="G6" s="14">
        <v>324</v>
      </c>
      <c r="H6" s="14">
        <v>265</v>
      </c>
      <c r="I6" s="14">
        <v>286</v>
      </c>
      <c r="J6" s="14">
        <v>206</v>
      </c>
      <c r="K6" s="14">
        <v>167</v>
      </c>
      <c r="L6" s="14"/>
      <c r="M6" s="14"/>
      <c r="N6" s="14"/>
    </row>
    <row r="7" spans="1:16" ht="15.75" customHeight="1" x14ac:dyDescent="0.2">
      <c r="E7" s="97"/>
      <c r="G7" s="14"/>
      <c r="H7" s="14"/>
      <c r="I7" s="14"/>
      <c r="J7" s="14"/>
      <c r="K7" s="14"/>
      <c r="L7" s="14"/>
      <c r="M7" s="14"/>
      <c r="N7" s="14"/>
    </row>
    <row r="8" spans="1:16" x14ac:dyDescent="0.2">
      <c r="E8" s="97"/>
      <c r="G8" s="14"/>
      <c r="H8" s="14"/>
      <c r="I8" s="14"/>
      <c r="J8" s="14"/>
      <c r="K8" s="14"/>
      <c r="L8" s="14"/>
      <c r="M8" s="14"/>
      <c r="N8" s="14"/>
    </row>
    <row r="9" spans="1:16" x14ac:dyDescent="0.2">
      <c r="A9" s="98" t="s">
        <v>893</v>
      </c>
      <c r="B9" s="97"/>
      <c r="E9" s="97"/>
      <c r="G9" s="46"/>
      <c r="H9" s="46"/>
      <c r="I9" s="46"/>
      <c r="J9" s="46"/>
      <c r="K9" s="46"/>
      <c r="L9" s="46"/>
      <c r="M9" s="46"/>
      <c r="N9" s="46"/>
      <c r="O9" s="46"/>
    </row>
    <row r="10" spans="1:16" x14ac:dyDescent="0.2">
      <c r="A10" t="s">
        <v>894</v>
      </c>
      <c r="B10" t="s">
        <v>1002</v>
      </c>
      <c r="E10" s="97"/>
      <c r="F10" s="46"/>
      <c r="G10" s="47"/>
      <c r="H10" s="47"/>
      <c r="I10" s="47"/>
      <c r="J10" s="47"/>
      <c r="K10" s="47"/>
      <c r="L10" s="47"/>
      <c r="M10" s="47"/>
      <c r="N10" s="47"/>
      <c r="O10" s="46"/>
    </row>
    <row r="11" spans="1:16" x14ac:dyDescent="0.2">
      <c r="A11" t="s">
        <v>895</v>
      </c>
      <c r="B11" t="s">
        <v>985</v>
      </c>
      <c r="E11" s="97"/>
      <c r="F11" s="46"/>
      <c r="G11" s="47"/>
      <c r="H11" s="47"/>
      <c r="I11" s="47"/>
      <c r="J11" s="47"/>
      <c r="K11" s="47"/>
      <c r="L11" s="47"/>
      <c r="M11" s="47"/>
      <c r="N11" s="47"/>
      <c r="O11" s="46"/>
    </row>
    <row r="12" spans="1:16" x14ac:dyDescent="0.2">
      <c r="A12" t="s">
        <v>896</v>
      </c>
      <c r="E12" s="97"/>
      <c r="F12" s="46"/>
      <c r="G12" s="46"/>
      <c r="H12" s="46"/>
      <c r="I12" s="46"/>
      <c r="J12" s="46"/>
      <c r="K12" s="46"/>
      <c r="L12" s="46"/>
      <c r="M12" s="46"/>
      <c r="N12" s="46"/>
      <c r="O12" s="46"/>
    </row>
    <row r="13" spans="1:16" x14ac:dyDescent="0.2">
      <c r="A13" t="s">
        <v>897</v>
      </c>
      <c r="E13" s="97"/>
      <c r="F13" s="46"/>
      <c r="G13" s="46"/>
      <c r="H13" s="46"/>
      <c r="I13" s="46"/>
      <c r="J13" s="46"/>
      <c r="K13" s="46"/>
      <c r="L13" s="46"/>
      <c r="M13" s="46"/>
      <c r="N13" s="46"/>
      <c r="O13" s="46"/>
    </row>
    <row r="14" spans="1:16" x14ac:dyDescent="0.2">
      <c r="A14" t="s">
        <v>899</v>
      </c>
      <c r="E14" s="97"/>
      <c r="F14" s="46"/>
      <c r="G14" s="48"/>
      <c r="H14" s="47"/>
      <c r="I14" s="47"/>
      <c r="J14" s="47"/>
      <c r="K14" s="47"/>
      <c r="L14" s="47"/>
      <c r="M14" s="47"/>
      <c r="N14" s="47"/>
      <c r="O14" s="46"/>
    </row>
    <row r="15" spans="1:16" x14ac:dyDescent="0.2">
      <c r="A15" t="s">
        <v>901</v>
      </c>
      <c r="B15" t="b">
        <v>1</v>
      </c>
      <c r="E15" s="97"/>
      <c r="F15" s="46"/>
      <c r="G15" s="48"/>
      <c r="H15" s="47"/>
      <c r="I15" s="47"/>
      <c r="J15" s="47"/>
      <c r="K15" s="47"/>
      <c r="L15" s="47"/>
      <c r="M15" s="47"/>
      <c r="N15" s="47"/>
      <c r="O15" s="46"/>
    </row>
    <row r="16" spans="1:16" x14ac:dyDescent="0.2">
      <c r="A16" t="s">
        <v>1146</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902</v>
      </c>
      <c r="B18" s="97"/>
      <c r="E18" s="97"/>
      <c r="F18" s="46"/>
      <c r="G18" s="46"/>
      <c r="H18" s="46"/>
      <c r="I18" s="46"/>
      <c r="J18" s="46"/>
      <c r="K18" s="46"/>
      <c r="L18" s="46"/>
      <c r="M18" s="46"/>
      <c r="N18" s="46"/>
      <c r="O18" s="46"/>
    </row>
    <row r="19" spans="1:15" x14ac:dyDescent="0.2">
      <c r="A19" t="s">
        <v>903</v>
      </c>
      <c r="E19" s="97"/>
      <c r="F19" s="46"/>
      <c r="G19" s="46"/>
      <c r="H19" s="46"/>
      <c r="I19" s="46"/>
      <c r="J19" s="46"/>
      <c r="K19" s="46"/>
      <c r="L19" s="46"/>
      <c r="M19" s="46"/>
      <c r="N19" s="46"/>
      <c r="O19" s="46"/>
    </row>
    <row r="20" spans="1:15" x14ac:dyDescent="0.2">
      <c r="A20" t="s">
        <v>904</v>
      </c>
      <c r="E20" s="97"/>
      <c r="F20" s="46"/>
      <c r="G20" s="46"/>
      <c r="H20" s="46"/>
      <c r="I20" s="46"/>
      <c r="J20" s="46"/>
      <c r="K20" s="46"/>
      <c r="L20" s="46"/>
      <c r="M20" s="46"/>
      <c r="N20" s="46"/>
      <c r="O20" s="46"/>
    </row>
    <row r="21" spans="1:15" x14ac:dyDescent="0.2">
      <c r="A21" t="s">
        <v>905</v>
      </c>
      <c r="E21" s="97"/>
      <c r="F21" s="46"/>
      <c r="G21" s="46"/>
      <c r="H21" s="46"/>
      <c r="I21" s="46"/>
      <c r="J21" s="46"/>
      <c r="K21" s="46"/>
      <c r="L21" s="46"/>
      <c r="M21" s="46"/>
      <c r="N21" s="46"/>
      <c r="O21" s="46"/>
    </row>
    <row r="22" spans="1:15" x14ac:dyDescent="0.2">
      <c r="A22" t="s">
        <v>906</v>
      </c>
      <c r="E22" s="97"/>
    </row>
    <row r="23" spans="1:15" x14ac:dyDescent="0.2">
      <c r="A23" t="s">
        <v>907</v>
      </c>
      <c r="E23" s="97"/>
    </row>
    <row r="24" spans="1:15" x14ac:dyDescent="0.2">
      <c r="A24" t="s">
        <v>908</v>
      </c>
      <c r="E24" s="97"/>
    </row>
    <row r="25" spans="1:15" x14ac:dyDescent="0.2">
      <c r="A25" t="s">
        <v>909</v>
      </c>
      <c r="E25" s="97"/>
    </row>
    <row r="26" spans="1:15" x14ac:dyDescent="0.2">
      <c r="E26" s="97"/>
    </row>
    <row r="27" spans="1:15" x14ac:dyDescent="0.2">
      <c r="A27" s="100" t="s">
        <v>910</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1655</v>
      </c>
      <c r="C1" s="113"/>
      <c r="D1" s="113"/>
      <c r="E1" s="113"/>
      <c r="F1" s="113"/>
      <c r="G1" s="113"/>
      <c r="H1" s="113"/>
      <c r="I1" s="113"/>
      <c r="J1" s="113"/>
      <c r="K1" s="113"/>
      <c r="L1" s="113"/>
      <c r="M1" s="113"/>
      <c r="N1" s="113"/>
      <c r="O1" s="113"/>
    </row>
    <row r="2" spans="1:16" x14ac:dyDescent="0.2">
      <c r="A2" s="58" t="s">
        <v>883</v>
      </c>
      <c r="B2" t="s">
        <v>12</v>
      </c>
    </row>
    <row r="3" spans="1:16" x14ac:dyDescent="0.2">
      <c r="A3" s="58" t="s">
        <v>884</v>
      </c>
      <c r="B3" t="str">
        <f>IF($B$1="","",_xlfn.XLOOKUP($B$1,Master!$F$2:$F$308,Master!$G$2:$G$308,""))</f>
        <v>tbl-rccha-demo</v>
      </c>
    </row>
    <row r="4" spans="1:16" x14ac:dyDescent="0.2">
      <c r="A4" s="58" t="s">
        <v>6</v>
      </c>
      <c r="B4" t="str">
        <f>IF($B$1="","",_xlfn.XLOOKUP($B$1,Master!$F$2:$F$308,Master!$H$2:$H$308,""))</f>
        <v>fig-rccha-demo</v>
      </c>
      <c r="E4" s="13"/>
      <c r="F4" s="16" t="s">
        <v>664</v>
      </c>
      <c r="G4" s="16" t="s">
        <v>671</v>
      </c>
      <c r="H4" s="16" t="s">
        <v>679</v>
      </c>
      <c r="I4" s="16"/>
      <c r="J4" s="16"/>
      <c r="K4" s="16"/>
      <c r="L4" s="16"/>
      <c r="M4" s="16"/>
      <c r="N4" s="16"/>
      <c r="O4" s="16"/>
      <c r="P4" s="16"/>
    </row>
    <row r="5" spans="1:16" x14ac:dyDescent="0.2">
      <c r="A5" s="98" t="s">
        <v>885</v>
      </c>
      <c r="B5" s="97"/>
      <c r="E5" s="99" t="s">
        <v>886</v>
      </c>
      <c r="F5" s="46"/>
      <c r="G5" s="46" t="s">
        <v>1</v>
      </c>
      <c r="H5" s="46" t="s">
        <v>694</v>
      </c>
      <c r="J5" s="46"/>
      <c r="K5" s="46"/>
      <c r="L5" s="46"/>
      <c r="M5" s="46"/>
      <c r="N5" s="46"/>
      <c r="O5" s="46"/>
    </row>
    <row r="6" spans="1:16" ht="15" customHeight="1" x14ac:dyDescent="0.2">
      <c r="A6" t="s">
        <v>891</v>
      </c>
      <c r="B6" t="b">
        <v>0</v>
      </c>
      <c r="E6" s="97"/>
      <c r="F6" t="s">
        <v>1657</v>
      </c>
      <c r="J6" s="14"/>
      <c r="K6" s="14"/>
      <c r="L6" s="14"/>
      <c r="M6" s="14"/>
      <c r="N6" s="14"/>
    </row>
    <row r="7" spans="1:16" ht="15.75" customHeight="1" x14ac:dyDescent="0.2">
      <c r="E7" s="97"/>
      <c r="F7" s="59" t="s">
        <v>911</v>
      </c>
      <c r="G7" s="59">
        <v>180</v>
      </c>
      <c r="H7" s="59">
        <v>29.9</v>
      </c>
      <c r="J7" s="14"/>
      <c r="K7" s="14"/>
      <c r="L7" s="14"/>
      <c r="M7" s="14"/>
      <c r="N7" s="14"/>
    </row>
    <row r="8" spans="1:16" x14ac:dyDescent="0.2">
      <c r="E8" s="97"/>
      <c r="F8" s="59" t="s">
        <v>912</v>
      </c>
      <c r="G8" s="59">
        <v>410</v>
      </c>
      <c r="H8" s="59">
        <v>68</v>
      </c>
      <c r="J8" s="14"/>
      <c r="K8" s="14"/>
      <c r="L8" s="14"/>
      <c r="M8" s="14"/>
      <c r="N8" s="14"/>
    </row>
    <row r="9" spans="1:16" x14ac:dyDescent="0.2">
      <c r="A9" s="98" t="s">
        <v>893</v>
      </c>
      <c r="B9" s="97"/>
      <c r="E9" s="97"/>
      <c r="F9" t="s">
        <v>1658</v>
      </c>
      <c r="J9" s="46"/>
      <c r="K9" s="46"/>
      <c r="L9" s="46"/>
      <c r="M9" s="46"/>
      <c r="N9" s="46"/>
      <c r="O9" s="46"/>
    </row>
    <row r="10" spans="1:16" x14ac:dyDescent="0.2">
      <c r="A10" t="s">
        <v>894</v>
      </c>
      <c r="E10" s="97"/>
      <c r="F10" s="59" t="s">
        <v>1659</v>
      </c>
      <c r="G10" s="59">
        <v>90</v>
      </c>
      <c r="H10" s="59">
        <v>14.9</v>
      </c>
      <c r="J10" s="47"/>
      <c r="K10" s="47"/>
      <c r="L10" s="47"/>
      <c r="M10" s="47"/>
      <c r="N10" s="47"/>
      <c r="O10" s="46"/>
    </row>
    <row r="11" spans="1:16" x14ac:dyDescent="0.2">
      <c r="A11" t="s">
        <v>895</v>
      </c>
      <c r="E11" s="97"/>
      <c r="F11" s="68" t="s">
        <v>1660</v>
      </c>
      <c r="G11" s="68" t="s">
        <v>1661</v>
      </c>
      <c r="H11" s="68" t="s">
        <v>1662</v>
      </c>
      <c r="J11" s="47"/>
      <c r="K11" s="47"/>
      <c r="L11" s="47"/>
      <c r="M11" s="47"/>
      <c r="N11" s="47"/>
      <c r="O11" s="46"/>
    </row>
    <row r="12" spans="1:16" x14ac:dyDescent="0.2">
      <c r="A12" t="s">
        <v>896</v>
      </c>
      <c r="E12" s="97"/>
      <c r="F12" s="47" t="s">
        <v>1663</v>
      </c>
      <c r="G12" s="47" t="s">
        <v>1664</v>
      </c>
      <c r="H12" s="47" t="s">
        <v>1665</v>
      </c>
      <c r="J12" s="46"/>
      <c r="K12" s="46"/>
      <c r="L12" s="46"/>
      <c r="M12" s="46"/>
      <c r="N12" s="46"/>
      <c r="O12" s="46"/>
    </row>
    <row r="13" spans="1:16" x14ac:dyDescent="0.2">
      <c r="A13" t="s">
        <v>897</v>
      </c>
      <c r="E13" s="97"/>
      <c r="F13" s="47" t="s">
        <v>1666</v>
      </c>
      <c r="G13" s="47" t="s">
        <v>1667</v>
      </c>
      <c r="H13" s="47" t="s">
        <v>1668</v>
      </c>
      <c r="I13" s="46"/>
      <c r="J13" s="46"/>
      <c r="K13" s="46"/>
      <c r="L13" s="46"/>
      <c r="M13" s="46"/>
      <c r="N13" s="46"/>
      <c r="O13" s="46"/>
    </row>
    <row r="14" spans="1:16" x14ac:dyDescent="0.2">
      <c r="A14" t="s">
        <v>899</v>
      </c>
      <c r="E14" s="97"/>
      <c r="F14" s="68" t="s">
        <v>1669</v>
      </c>
      <c r="G14" s="68" t="s">
        <v>1670</v>
      </c>
      <c r="H14" s="68" t="s">
        <v>1671</v>
      </c>
      <c r="I14" s="46"/>
      <c r="J14" s="47"/>
      <c r="K14" s="47"/>
      <c r="L14" s="47"/>
      <c r="M14" s="47"/>
      <c r="N14" s="47"/>
      <c r="O14" s="46"/>
    </row>
    <row r="15" spans="1:16" x14ac:dyDescent="0.2">
      <c r="A15" t="s">
        <v>901</v>
      </c>
      <c r="E15" s="97"/>
      <c r="F15" t="s">
        <v>1245</v>
      </c>
      <c r="G15" s="68"/>
      <c r="H15" s="68"/>
      <c r="I15" s="46"/>
      <c r="J15" s="47"/>
      <c r="K15" s="47"/>
      <c r="L15" s="47"/>
      <c r="M15" s="47"/>
      <c r="N15" s="47"/>
      <c r="O15" s="46"/>
    </row>
    <row r="16" spans="1:16" x14ac:dyDescent="0.2">
      <c r="A16" t="s">
        <v>1146</v>
      </c>
      <c r="E16" s="97"/>
      <c r="F16" s="55" t="s">
        <v>1672</v>
      </c>
      <c r="G16" s="68" t="s">
        <v>1673</v>
      </c>
      <c r="H16" s="68" t="s">
        <v>1674</v>
      </c>
      <c r="I16" s="46"/>
      <c r="J16" s="47"/>
      <c r="K16" s="47"/>
      <c r="L16" s="47"/>
      <c r="M16" s="47"/>
      <c r="N16" s="47"/>
      <c r="O16" s="46"/>
    </row>
    <row r="17" spans="1:15" x14ac:dyDescent="0.2">
      <c r="E17" s="97"/>
      <c r="F17" s="55" t="s">
        <v>1675</v>
      </c>
      <c r="G17" s="68" t="s">
        <v>1676</v>
      </c>
      <c r="H17" s="68" t="s">
        <v>1677</v>
      </c>
      <c r="I17" s="46"/>
      <c r="J17" s="47"/>
      <c r="K17" s="47"/>
      <c r="L17" s="47"/>
      <c r="M17" s="47"/>
      <c r="N17" s="47"/>
      <c r="O17" s="46"/>
    </row>
    <row r="18" spans="1:15" x14ac:dyDescent="0.2">
      <c r="A18" s="98" t="s">
        <v>902</v>
      </c>
      <c r="B18" s="97"/>
      <c r="E18" s="97"/>
      <c r="F18" s="55" t="s">
        <v>1678</v>
      </c>
      <c r="G18" s="68" t="s">
        <v>1679</v>
      </c>
      <c r="H18" s="68" t="s">
        <v>1680</v>
      </c>
      <c r="I18" s="46"/>
      <c r="J18" s="46"/>
      <c r="K18" s="46"/>
      <c r="L18" s="46"/>
      <c r="M18" s="46"/>
      <c r="N18" s="46"/>
      <c r="O18" s="46"/>
    </row>
    <row r="19" spans="1:15" x14ac:dyDescent="0.2">
      <c r="A19" t="s">
        <v>903</v>
      </c>
      <c r="E19" s="97"/>
      <c r="F19" s="55" t="s">
        <v>1710</v>
      </c>
      <c r="G19" s="68" t="s">
        <v>1681</v>
      </c>
      <c r="H19" s="68" t="s">
        <v>1682</v>
      </c>
      <c r="I19" s="46"/>
      <c r="J19" s="46"/>
      <c r="K19" s="46"/>
      <c r="L19" s="46"/>
      <c r="M19" s="46"/>
      <c r="N19" s="46"/>
      <c r="O19" s="46"/>
    </row>
    <row r="20" spans="1:15" x14ac:dyDescent="0.2">
      <c r="A20" t="s">
        <v>904</v>
      </c>
      <c r="E20" s="97"/>
      <c r="F20" s="55" t="s">
        <v>1683</v>
      </c>
      <c r="G20" s="68" t="s">
        <v>1684</v>
      </c>
      <c r="H20" s="68" t="s">
        <v>1685</v>
      </c>
      <c r="I20" s="46"/>
      <c r="J20" s="46"/>
      <c r="K20" s="46"/>
      <c r="L20" s="46"/>
      <c r="M20" s="46"/>
      <c r="N20" s="46"/>
      <c r="O20" s="46"/>
    </row>
    <row r="21" spans="1:15" x14ac:dyDescent="0.2">
      <c r="A21" t="s">
        <v>905</v>
      </c>
      <c r="E21" s="97"/>
      <c r="F21" s="55" t="s">
        <v>1686</v>
      </c>
      <c r="G21" s="68" t="s">
        <v>1687</v>
      </c>
      <c r="H21" s="68" t="s">
        <v>1688</v>
      </c>
      <c r="I21" s="46"/>
      <c r="J21" s="46"/>
      <c r="K21" s="46"/>
      <c r="L21" s="46"/>
      <c r="M21" s="46"/>
      <c r="N21" s="46"/>
      <c r="O21" s="46"/>
    </row>
    <row r="22" spans="1:15" x14ac:dyDescent="0.2">
      <c r="A22" t="s">
        <v>906</v>
      </c>
      <c r="E22" s="97"/>
      <c r="F22" s="55" t="s">
        <v>1689</v>
      </c>
      <c r="G22" s="68" t="s">
        <v>1690</v>
      </c>
      <c r="H22" s="68" t="s">
        <v>1691</v>
      </c>
      <c r="I22" s="46"/>
    </row>
    <row r="23" spans="1:15" x14ac:dyDescent="0.2">
      <c r="A23" t="s">
        <v>907</v>
      </c>
      <c r="E23" s="97"/>
      <c r="F23" s="55" t="s">
        <v>728</v>
      </c>
      <c r="G23" s="68" t="s">
        <v>1692</v>
      </c>
      <c r="H23" s="68" t="s">
        <v>1693</v>
      </c>
      <c r="I23" s="46"/>
    </row>
    <row r="24" spans="1:15" x14ac:dyDescent="0.2">
      <c r="A24" t="s">
        <v>908</v>
      </c>
      <c r="E24" s="97"/>
      <c r="F24" s="46" t="s">
        <v>1694</v>
      </c>
      <c r="G24" s="46"/>
      <c r="H24" s="46"/>
      <c r="I24" s="46"/>
    </row>
    <row r="25" spans="1:15" x14ac:dyDescent="0.2">
      <c r="A25" t="s">
        <v>909</v>
      </c>
      <c r="E25" s="97"/>
      <c r="F25" s="68" t="s">
        <v>1695</v>
      </c>
      <c r="G25" s="68" t="s">
        <v>1696</v>
      </c>
      <c r="H25" s="68" t="s">
        <v>1697</v>
      </c>
      <c r="I25" s="46"/>
    </row>
    <row r="26" spans="1:15" x14ac:dyDescent="0.2">
      <c r="E26" s="97"/>
      <c r="F26" s="55" t="s">
        <v>1698</v>
      </c>
      <c r="G26" s="55">
        <v>98</v>
      </c>
      <c r="H26" s="70">
        <v>0.16300000000000001</v>
      </c>
      <c r="I26" s="46"/>
    </row>
    <row r="27" spans="1:15" x14ac:dyDescent="0.2">
      <c r="A27" s="100" t="s">
        <v>910</v>
      </c>
      <c r="B27" s="97"/>
      <c r="E27" s="97"/>
      <c r="F27" s="55" t="s">
        <v>1699</v>
      </c>
      <c r="G27" s="55">
        <v>116</v>
      </c>
      <c r="H27" s="70">
        <v>0.192</v>
      </c>
      <c r="I27" s="46"/>
    </row>
    <row r="28" spans="1:15" x14ac:dyDescent="0.2">
      <c r="E28" s="97"/>
      <c r="F28" s="55" t="s">
        <v>1700</v>
      </c>
      <c r="G28" s="55">
        <v>86</v>
      </c>
      <c r="H28" s="70">
        <v>0.14299999999999999</v>
      </c>
      <c r="I28" s="46"/>
    </row>
    <row r="29" spans="1:15" x14ac:dyDescent="0.2">
      <c r="E29" s="97"/>
      <c r="F29" s="55" t="s">
        <v>1701</v>
      </c>
      <c r="G29" s="55">
        <v>46</v>
      </c>
      <c r="H29" s="70">
        <v>7.5999999999999998E-2</v>
      </c>
      <c r="I29" s="46"/>
    </row>
    <row r="30" spans="1:15" x14ac:dyDescent="0.2">
      <c r="E30" s="97"/>
      <c r="F30" s="55" t="s">
        <v>1702</v>
      </c>
      <c r="G30" s="55">
        <v>37</v>
      </c>
      <c r="H30" s="70">
        <v>6.0999999999999999E-2</v>
      </c>
      <c r="I30" s="46"/>
    </row>
    <row r="31" spans="1:15" x14ac:dyDescent="0.2">
      <c r="E31" s="97"/>
      <c r="F31" s="55" t="s">
        <v>1703</v>
      </c>
      <c r="G31" s="55">
        <v>50</v>
      </c>
      <c r="H31" s="70">
        <v>8.3000000000000004E-2</v>
      </c>
      <c r="I31" s="46"/>
    </row>
    <row r="32" spans="1:15" x14ac:dyDescent="0.2">
      <c r="E32" s="97"/>
      <c r="F32" t="s">
        <v>1704</v>
      </c>
      <c r="G32" s="46"/>
      <c r="H32" s="46"/>
      <c r="I32" s="46"/>
    </row>
    <row r="33" spans="5:9" x14ac:dyDescent="0.2">
      <c r="E33" s="97"/>
      <c r="F33" s="55">
        <v>1</v>
      </c>
      <c r="G33" s="55">
        <v>75</v>
      </c>
      <c r="H33" s="70">
        <v>0.124</v>
      </c>
      <c r="I33" s="46"/>
    </row>
    <row r="34" spans="5:9" x14ac:dyDescent="0.2">
      <c r="E34" s="97"/>
      <c r="F34" s="55">
        <v>2</v>
      </c>
      <c r="G34" s="55">
        <v>164</v>
      </c>
      <c r="H34" s="70">
        <v>0.27200000000000002</v>
      </c>
      <c r="I34" s="47"/>
    </row>
    <row r="35" spans="5:9" x14ac:dyDescent="0.2">
      <c r="E35" s="97"/>
      <c r="F35" s="55">
        <v>3</v>
      </c>
      <c r="G35" s="55">
        <v>107</v>
      </c>
      <c r="H35" s="70">
        <v>0.17699999999999999</v>
      </c>
      <c r="I35" s="47"/>
    </row>
    <row r="36" spans="5:9" x14ac:dyDescent="0.2">
      <c r="E36" s="97"/>
      <c r="F36" s="55">
        <v>4</v>
      </c>
      <c r="G36" s="55">
        <v>126</v>
      </c>
      <c r="H36" s="70">
        <v>0.20899999999999999</v>
      </c>
      <c r="I36" s="47"/>
    </row>
    <row r="37" spans="5:9" x14ac:dyDescent="0.2">
      <c r="E37" s="97"/>
      <c r="F37" s="55" t="s">
        <v>1705</v>
      </c>
      <c r="G37" s="55">
        <v>117</v>
      </c>
      <c r="H37" s="70">
        <v>0.19400000000000001</v>
      </c>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1712</v>
      </c>
      <c r="C1" s="113"/>
      <c r="D1" s="113"/>
      <c r="E1" s="113"/>
      <c r="F1" s="113"/>
      <c r="G1" s="113"/>
      <c r="H1" s="113"/>
      <c r="I1" s="113"/>
      <c r="J1" s="113"/>
      <c r="K1" s="113"/>
      <c r="L1" s="113"/>
      <c r="M1" s="113"/>
      <c r="N1" s="113"/>
      <c r="O1" s="113"/>
    </row>
    <row r="2" spans="1:16" x14ac:dyDescent="0.2">
      <c r="A2" s="58" t="s">
        <v>883</v>
      </c>
      <c r="B2" t="s">
        <v>56</v>
      </c>
    </row>
    <row r="3" spans="1:16" x14ac:dyDescent="0.2">
      <c r="A3" s="58" t="s">
        <v>884</v>
      </c>
      <c r="B3" t="str">
        <f>IF($B$1="","",_xlfn.XLOOKUP($B$1,Master!$F$2:$F$308,Master!$G$2:$G$308,""))</f>
        <v>tbl-resp-zip</v>
      </c>
    </row>
    <row r="4" spans="1:16" x14ac:dyDescent="0.2">
      <c r="A4" s="58" t="s">
        <v>6</v>
      </c>
      <c r="B4" t="str">
        <f>IF($B$1="","",_xlfn.XLOOKUP($B$1,Master!$F$2:$F$308,Master!$H$2:$H$308,""))</f>
        <v>fig-resp-zip</v>
      </c>
      <c r="E4" s="13"/>
      <c r="F4" s="16" t="s">
        <v>671</v>
      </c>
      <c r="G4" s="16" t="s">
        <v>679</v>
      </c>
      <c r="H4" s="16"/>
      <c r="I4" s="16"/>
      <c r="J4" s="16"/>
      <c r="K4" s="16"/>
      <c r="L4" s="16"/>
      <c r="M4" s="16"/>
      <c r="N4" s="16"/>
      <c r="O4" s="16"/>
      <c r="P4" s="16"/>
    </row>
    <row r="5" spans="1:16" x14ac:dyDescent="0.2">
      <c r="A5" s="98" t="s">
        <v>885</v>
      </c>
      <c r="B5" s="97"/>
      <c r="E5" s="99" t="s">
        <v>886</v>
      </c>
      <c r="F5" s="76">
        <v>10901</v>
      </c>
      <c r="G5" s="77">
        <v>0.11442786069651742</v>
      </c>
      <c r="H5" s="46"/>
      <c r="I5" s="46"/>
      <c r="J5" s="46"/>
      <c r="K5" s="46"/>
      <c r="L5" s="46"/>
      <c r="M5" s="46"/>
      <c r="N5" s="46"/>
      <c r="O5" s="46"/>
    </row>
    <row r="6" spans="1:16" ht="15" customHeight="1" x14ac:dyDescent="0.2">
      <c r="A6" t="s">
        <v>891</v>
      </c>
      <c r="B6" t="b">
        <v>0</v>
      </c>
      <c r="E6" s="97"/>
      <c r="F6" s="76">
        <v>10911</v>
      </c>
      <c r="G6" s="77">
        <v>4.9751243781094526E-3</v>
      </c>
      <c r="J6" s="14"/>
      <c r="K6" s="14"/>
      <c r="L6" s="14"/>
      <c r="M6" s="14"/>
      <c r="N6" s="14"/>
    </row>
    <row r="7" spans="1:16" ht="15.75" customHeight="1" x14ac:dyDescent="0.2">
      <c r="E7" s="97"/>
      <c r="F7" s="76">
        <v>10913</v>
      </c>
      <c r="G7" s="77">
        <v>1.9900497512437811E-2</v>
      </c>
      <c r="H7" s="59"/>
      <c r="J7" s="14"/>
      <c r="K7" s="14"/>
      <c r="L7" s="14"/>
      <c r="M7" s="14"/>
      <c r="N7" s="14"/>
    </row>
    <row r="8" spans="1:16" x14ac:dyDescent="0.2">
      <c r="E8" s="97"/>
      <c r="F8" s="76">
        <v>10920</v>
      </c>
      <c r="G8" s="77">
        <v>1.9900497512437811E-2</v>
      </c>
      <c r="H8" s="59"/>
      <c r="J8" s="14"/>
      <c r="K8" s="14"/>
      <c r="L8" s="14"/>
      <c r="M8" s="14"/>
      <c r="N8" s="14"/>
    </row>
    <row r="9" spans="1:16" x14ac:dyDescent="0.2">
      <c r="A9" s="98" t="s">
        <v>893</v>
      </c>
      <c r="B9" s="97"/>
      <c r="E9" s="97"/>
      <c r="F9" s="76">
        <v>10923</v>
      </c>
      <c r="G9" s="77">
        <v>4.809286898839138E-2</v>
      </c>
      <c r="J9" s="46"/>
      <c r="K9" s="46"/>
      <c r="L9" s="46"/>
      <c r="M9" s="46"/>
      <c r="N9" s="46"/>
      <c r="O9" s="46"/>
    </row>
    <row r="10" spans="1:16" x14ac:dyDescent="0.2">
      <c r="A10" t="s">
        <v>894</v>
      </c>
      <c r="B10" t="s">
        <v>1002</v>
      </c>
      <c r="E10" s="97"/>
      <c r="F10" s="76">
        <v>10927</v>
      </c>
      <c r="G10" s="77">
        <v>4.4776119402985072E-2</v>
      </c>
      <c r="H10" s="59"/>
      <c r="J10" s="47"/>
      <c r="K10" s="47"/>
      <c r="L10" s="47"/>
      <c r="M10" s="47"/>
      <c r="N10" s="47"/>
      <c r="O10" s="46"/>
    </row>
    <row r="11" spans="1:16" x14ac:dyDescent="0.2">
      <c r="A11" t="s">
        <v>895</v>
      </c>
      <c r="B11" t="s">
        <v>1814</v>
      </c>
      <c r="E11" s="97"/>
      <c r="F11" s="76">
        <v>10931</v>
      </c>
      <c r="G11" s="77">
        <v>8.291873963515755E-3</v>
      </c>
      <c r="H11" s="68"/>
      <c r="J11" s="47"/>
      <c r="K11" s="47"/>
      <c r="L11" s="47"/>
      <c r="M11" s="47"/>
      <c r="N11" s="47"/>
      <c r="O11" s="46"/>
    </row>
    <row r="12" spans="1:16" x14ac:dyDescent="0.2">
      <c r="A12" t="s">
        <v>896</v>
      </c>
      <c r="E12" s="97"/>
      <c r="F12" s="76">
        <v>10952</v>
      </c>
      <c r="G12" s="77">
        <v>7.2968490878938641E-2</v>
      </c>
      <c r="H12" s="47"/>
      <c r="J12" s="46"/>
      <c r="K12" s="46"/>
      <c r="L12" s="46"/>
      <c r="M12" s="46"/>
      <c r="N12" s="46"/>
      <c r="O12" s="46"/>
    </row>
    <row r="13" spans="1:16" x14ac:dyDescent="0.2">
      <c r="A13" t="s">
        <v>897</v>
      </c>
      <c r="E13" s="97"/>
      <c r="F13" s="76">
        <v>10954</v>
      </c>
      <c r="G13" s="77">
        <v>7.9601990049751242E-2</v>
      </c>
      <c r="H13" s="47"/>
      <c r="I13" s="46"/>
      <c r="J13" s="46"/>
      <c r="K13" s="46"/>
      <c r="L13" s="46"/>
      <c r="M13" s="46"/>
      <c r="N13" s="46"/>
      <c r="O13" s="46"/>
    </row>
    <row r="14" spans="1:16" x14ac:dyDescent="0.2">
      <c r="A14" t="s">
        <v>899</v>
      </c>
      <c r="B14" t="s">
        <v>1813</v>
      </c>
      <c r="E14" s="97"/>
      <c r="F14" s="76">
        <v>10956</v>
      </c>
      <c r="G14" s="77">
        <v>0.12437810945273632</v>
      </c>
      <c r="H14" s="68"/>
      <c r="I14" s="46"/>
      <c r="J14" s="47"/>
      <c r="K14" s="47"/>
      <c r="L14" s="47"/>
      <c r="M14" s="47"/>
      <c r="N14" s="47"/>
      <c r="O14" s="46"/>
    </row>
    <row r="15" spans="1:16" x14ac:dyDescent="0.2">
      <c r="A15" t="s">
        <v>901</v>
      </c>
      <c r="B15" t="b">
        <v>1</v>
      </c>
      <c r="E15" s="97"/>
      <c r="F15" s="76">
        <v>10960</v>
      </c>
      <c r="G15" s="77">
        <v>6.633499170812604E-2</v>
      </c>
      <c r="H15" s="68"/>
      <c r="I15" s="46"/>
      <c r="J15" s="47"/>
      <c r="K15" s="47"/>
      <c r="L15" s="47"/>
      <c r="M15" s="47"/>
      <c r="N15" s="47"/>
      <c r="O15" s="46"/>
    </row>
    <row r="16" spans="1:16" x14ac:dyDescent="0.2">
      <c r="A16" t="s">
        <v>1146</v>
      </c>
      <c r="E16" s="97"/>
      <c r="F16" s="76">
        <v>10962</v>
      </c>
      <c r="G16" s="77">
        <v>1.1608623548922056E-2</v>
      </c>
      <c r="H16" s="68"/>
      <c r="I16" s="46"/>
      <c r="J16" s="47"/>
      <c r="K16" s="47"/>
      <c r="L16" s="47"/>
      <c r="M16" s="47"/>
      <c r="N16" s="47"/>
      <c r="O16" s="46"/>
    </row>
    <row r="17" spans="1:15" x14ac:dyDescent="0.2">
      <c r="E17" s="97"/>
      <c r="F17" s="76" t="s">
        <v>1811</v>
      </c>
      <c r="G17" s="77">
        <v>1.658374792703151E-3</v>
      </c>
      <c r="H17" s="68"/>
      <c r="I17" s="46"/>
      <c r="J17" s="47"/>
      <c r="K17" s="47"/>
      <c r="L17" s="47"/>
      <c r="M17" s="47"/>
      <c r="N17" s="47"/>
      <c r="O17" s="46"/>
    </row>
    <row r="18" spans="1:15" x14ac:dyDescent="0.2">
      <c r="A18" s="98" t="s">
        <v>902</v>
      </c>
      <c r="B18" s="97"/>
      <c r="E18" s="97"/>
      <c r="F18" s="76">
        <v>10965</v>
      </c>
      <c r="G18" s="77">
        <v>2.8192371475953566E-2</v>
      </c>
      <c r="H18" s="68"/>
      <c r="I18" s="46"/>
      <c r="J18" s="46"/>
      <c r="K18" s="46"/>
      <c r="L18" s="46"/>
      <c r="M18" s="46"/>
      <c r="N18" s="46"/>
      <c r="O18" s="46"/>
    </row>
    <row r="19" spans="1:15" x14ac:dyDescent="0.2">
      <c r="A19" t="s">
        <v>903</v>
      </c>
      <c r="E19" s="97"/>
      <c r="F19" s="76">
        <v>10968</v>
      </c>
      <c r="G19" s="77">
        <v>4.9751243781094526E-3</v>
      </c>
      <c r="H19" s="68"/>
      <c r="I19" s="46"/>
      <c r="J19" s="46"/>
      <c r="K19" s="46"/>
      <c r="L19" s="46"/>
      <c r="M19" s="46"/>
      <c r="N19" s="46"/>
      <c r="O19" s="46"/>
    </row>
    <row r="20" spans="1:15" x14ac:dyDescent="0.2">
      <c r="A20" t="s">
        <v>904</v>
      </c>
      <c r="E20" s="97"/>
      <c r="F20" s="76">
        <v>10970</v>
      </c>
      <c r="G20" s="77">
        <v>3.8142620232172471E-2</v>
      </c>
      <c r="H20" s="68"/>
      <c r="I20" s="46"/>
      <c r="J20" s="46"/>
      <c r="K20" s="46"/>
      <c r="L20" s="46"/>
      <c r="M20" s="46"/>
      <c r="N20" s="46"/>
      <c r="O20" s="46"/>
    </row>
    <row r="21" spans="1:15" x14ac:dyDescent="0.2">
      <c r="A21" t="s">
        <v>905</v>
      </c>
      <c r="E21" s="97"/>
      <c r="F21" s="76">
        <v>10974</v>
      </c>
      <c r="G21" s="77">
        <v>1.1608623548922056E-2</v>
      </c>
      <c r="H21" s="68"/>
      <c r="I21" s="46"/>
      <c r="J21" s="46"/>
      <c r="K21" s="46"/>
      <c r="L21" s="46"/>
      <c r="M21" s="46"/>
      <c r="N21" s="46"/>
      <c r="O21" s="46"/>
    </row>
    <row r="22" spans="1:15" x14ac:dyDescent="0.2">
      <c r="A22" t="s">
        <v>906</v>
      </c>
      <c r="E22" s="97"/>
      <c r="F22" s="76">
        <v>10976</v>
      </c>
      <c r="G22" s="77">
        <v>1.658374792703151E-3</v>
      </c>
      <c r="H22" s="68"/>
      <c r="I22" s="46"/>
    </row>
    <row r="23" spans="1:15" x14ac:dyDescent="0.2">
      <c r="A23" t="s">
        <v>907</v>
      </c>
      <c r="E23" s="97"/>
      <c r="F23" s="76">
        <v>10977</v>
      </c>
      <c r="G23" s="77">
        <v>0.14427860696517414</v>
      </c>
      <c r="H23" s="68"/>
      <c r="I23" s="46"/>
    </row>
    <row r="24" spans="1:15" x14ac:dyDescent="0.2">
      <c r="A24" t="s">
        <v>908</v>
      </c>
      <c r="E24" s="97"/>
      <c r="F24" s="76">
        <v>10980</v>
      </c>
      <c r="G24" s="77">
        <v>4.975124378109453E-2</v>
      </c>
      <c r="H24" s="46"/>
      <c r="I24" s="46"/>
    </row>
    <row r="25" spans="1:15" x14ac:dyDescent="0.2">
      <c r="A25" t="s">
        <v>909</v>
      </c>
      <c r="E25" s="97"/>
      <c r="F25" s="76" t="s">
        <v>1812</v>
      </c>
      <c r="G25" s="77">
        <v>4.9751243781094526E-3</v>
      </c>
      <c r="H25" s="68"/>
      <c r="I25" s="46"/>
    </row>
    <row r="26" spans="1:15" x14ac:dyDescent="0.2">
      <c r="E26" s="97"/>
      <c r="F26" s="76">
        <v>10983</v>
      </c>
      <c r="G26" s="77">
        <v>1.824212271973466E-2</v>
      </c>
      <c r="H26" s="70"/>
      <c r="I26" s="46"/>
    </row>
    <row r="27" spans="1:15" x14ac:dyDescent="0.2">
      <c r="A27" s="100" t="s">
        <v>910</v>
      </c>
      <c r="B27" s="97"/>
      <c r="E27" s="97"/>
      <c r="F27" s="76">
        <v>10984</v>
      </c>
      <c r="G27" s="77">
        <v>1.658374792703151E-2</v>
      </c>
      <c r="H27" s="70"/>
      <c r="I27" s="46"/>
    </row>
    <row r="28" spans="1:15" x14ac:dyDescent="0.2">
      <c r="E28" s="97"/>
      <c r="F28" s="76">
        <v>10986</v>
      </c>
      <c r="G28" s="77">
        <v>6.6334991708126038E-3</v>
      </c>
      <c r="H28" s="70"/>
      <c r="I28" s="46"/>
    </row>
    <row r="29" spans="1:15" x14ac:dyDescent="0.2">
      <c r="E29" s="97"/>
      <c r="F29" s="76">
        <v>10989</v>
      </c>
      <c r="G29" s="77">
        <v>1.824212271973466E-2</v>
      </c>
      <c r="H29" s="70"/>
      <c r="I29" s="46"/>
    </row>
    <row r="30" spans="1:15" x14ac:dyDescent="0.2">
      <c r="E30" s="97"/>
      <c r="F30" s="76">
        <v>10993</v>
      </c>
      <c r="G30" s="77">
        <v>1.824212271973466E-2</v>
      </c>
      <c r="H30" s="70"/>
      <c r="I30" s="46"/>
    </row>
    <row r="31" spans="1:15" x14ac:dyDescent="0.2">
      <c r="E31" s="97"/>
      <c r="F31" s="76">
        <v>10994</v>
      </c>
      <c r="G31" s="77">
        <v>2.1558872305140961E-2</v>
      </c>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1715</v>
      </c>
      <c r="C1" s="113"/>
      <c r="D1" s="113"/>
      <c r="E1" s="113"/>
      <c r="F1" s="113"/>
      <c r="G1" s="113"/>
      <c r="H1" s="113"/>
      <c r="I1" s="113"/>
      <c r="J1" s="113"/>
      <c r="K1" s="113"/>
      <c r="L1" s="113"/>
      <c r="M1" s="113"/>
      <c r="N1" s="113"/>
      <c r="O1" s="113"/>
    </row>
    <row r="2" spans="1:16" x14ac:dyDescent="0.2">
      <c r="A2" s="58" t="s">
        <v>883</v>
      </c>
      <c r="B2" t="s">
        <v>56</v>
      </c>
    </row>
    <row r="3" spans="1:16" x14ac:dyDescent="0.2">
      <c r="A3" s="58" t="s">
        <v>884</v>
      </c>
      <c r="B3" t="str">
        <f>IF($B$1="","",_xlfn.XLOOKUP($B$1,Master!$F$2:$F$308,Master!$G$2:$G$308,""))</f>
        <v>tbl-resp-qol-rc</v>
      </c>
    </row>
    <row r="4" spans="1:16" x14ac:dyDescent="0.2">
      <c r="A4" s="58" t="s">
        <v>6</v>
      </c>
      <c r="B4" t="str">
        <f>IF($B$1="","",_xlfn.XLOOKUP($B$1,Master!$F$2:$F$308,Master!$H$2:$H$308,""))</f>
        <v>fig-resp-qol-rc</v>
      </c>
      <c r="E4" s="13"/>
      <c r="F4" s="16" t="s">
        <v>679</v>
      </c>
      <c r="G4" s="16" t="s">
        <v>679</v>
      </c>
      <c r="H4" s="16" t="s">
        <v>679</v>
      </c>
      <c r="I4" s="16" t="s">
        <v>679</v>
      </c>
      <c r="J4" s="16" t="s">
        <v>679</v>
      </c>
      <c r="K4" s="16" t="s">
        <v>679</v>
      </c>
      <c r="L4" s="16"/>
      <c r="M4" s="16"/>
      <c r="N4" s="16"/>
      <c r="O4" s="16"/>
      <c r="P4" s="16"/>
    </row>
    <row r="5" spans="1:16" x14ac:dyDescent="0.2">
      <c r="A5" s="98" t="s">
        <v>885</v>
      </c>
      <c r="B5" s="97"/>
      <c r="E5" s="99" t="s">
        <v>886</v>
      </c>
      <c r="F5" s="68" t="s">
        <v>1923</v>
      </c>
      <c r="G5" s="68" t="s">
        <v>1928</v>
      </c>
      <c r="H5" s="46"/>
      <c r="I5" s="46"/>
      <c r="J5" s="46"/>
      <c r="K5" s="46"/>
      <c r="L5" s="46"/>
      <c r="M5" s="46"/>
      <c r="N5" s="46"/>
      <c r="O5" s="46"/>
    </row>
    <row r="6" spans="1:16" ht="15" customHeight="1" x14ac:dyDescent="0.2">
      <c r="A6" t="s">
        <v>891</v>
      </c>
      <c r="B6" t="b">
        <v>0</v>
      </c>
      <c r="E6" s="97"/>
      <c r="F6" s="55" t="s">
        <v>1924</v>
      </c>
      <c r="G6" s="55">
        <v>51.2</v>
      </c>
      <c r="J6" s="14"/>
      <c r="K6" s="14"/>
      <c r="L6" s="14"/>
      <c r="M6" s="14"/>
      <c r="N6" s="14"/>
    </row>
    <row r="7" spans="1:16" ht="15.75" customHeight="1" x14ac:dyDescent="0.2">
      <c r="E7" s="97"/>
      <c r="F7" s="59" t="s">
        <v>1925</v>
      </c>
      <c r="G7" s="59">
        <v>21.9</v>
      </c>
      <c r="H7" s="59"/>
      <c r="J7" s="14"/>
      <c r="K7" s="14"/>
      <c r="L7" s="14"/>
      <c r="M7" s="14"/>
      <c r="N7" s="14"/>
    </row>
    <row r="8" spans="1:16" x14ac:dyDescent="0.2">
      <c r="E8" s="97"/>
      <c r="F8" s="59" t="s">
        <v>1926</v>
      </c>
      <c r="G8" s="59">
        <v>4.0999999999999996</v>
      </c>
      <c r="H8" s="59"/>
      <c r="J8" s="14"/>
      <c r="K8" s="14"/>
      <c r="L8" s="14"/>
      <c r="M8" s="14"/>
      <c r="N8" s="14"/>
    </row>
    <row r="9" spans="1:16" x14ac:dyDescent="0.2">
      <c r="A9" s="98" t="s">
        <v>893</v>
      </c>
      <c r="B9" s="97"/>
      <c r="E9" s="97"/>
      <c r="F9" s="55" t="s">
        <v>1927</v>
      </c>
      <c r="G9" s="55">
        <v>1.2</v>
      </c>
      <c r="J9" s="46"/>
      <c r="K9" s="46"/>
      <c r="L9" s="46"/>
      <c r="M9" s="46"/>
      <c r="N9" s="46"/>
      <c r="O9" s="46"/>
    </row>
    <row r="10" spans="1:16" x14ac:dyDescent="0.2">
      <c r="A10" t="s">
        <v>894</v>
      </c>
      <c r="B10" t="s">
        <v>1002</v>
      </c>
      <c r="E10" s="97"/>
      <c r="F10" s="59"/>
      <c r="G10" s="59"/>
      <c r="H10" s="59"/>
      <c r="J10" s="47"/>
      <c r="K10" s="47"/>
      <c r="L10" s="47"/>
      <c r="M10" s="47"/>
      <c r="N10" s="47"/>
      <c r="O10" s="46"/>
    </row>
    <row r="11" spans="1:16" x14ac:dyDescent="0.2">
      <c r="A11" t="s">
        <v>895</v>
      </c>
      <c r="E11" s="97"/>
      <c r="F11" s="68"/>
      <c r="G11" s="68"/>
      <c r="H11" s="68"/>
      <c r="J11" s="47"/>
      <c r="K11" s="47"/>
      <c r="L11" s="47"/>
      <c r="M11" s="47"/>
      <c r="N11" s="47"/>
      <c r="O11" s="46"/>
    </row>
    <row r="12" spans="1:16" x14ac:dyDescent="0.2">
      <c r="A12" t="s">
        <v>896</v>
      </c>
      <c r="E12" s="97"/>
      <c r="F12" s="47"/>
      <c r="G12" s="47"/>
      <c r="H12" s="47"/>
      <c r="J12" s="46"/>
      <c r="K12" s="46"/>
      <c r="L12" s="46"/>
      <c r="M12" s="46"/>
      <c r="N12" s="46"/>
      <c r="O12" s="46"/>
    </row>
    <row r="13" spans="1:16" x14ac:dyDescent="0.2">
      <c r="A13" t="s">
        <v>897</v>
      </c>
      <c r="E13" s="97"/>
      <c r="F13" s="47"/>
      <c r="G13" s="47"/>
      <c r="H13" s="47"/>
      <c r="I13" s="46"/>
      <c r="J13" s="46"/>
      <c r="K13" s="46"/>
      <c r="L13" s="46"/>
      <c r="M13" s="46"/>
      <c r="N13" s="46"/>
      <c r="O13" s="46"/>
    </row>
    <row r="14" spans="1:16" x14ac:dyDescent="0.2">
      <c r="A14" t="s">
        <v>899</v>
      </c>
      <c r="B14" t="s">
        <v>1813</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882</v>
      </c>
      <c r="B1" s="112" t="s">
        <v>1718</v>
      </c>
      <c r="C1" s="113"/>
      <c r="D1" s="113"/>
      <c r="E1" s="113"/>
      <c r="F1" s="113"/>
      <c r="G1" s="113"/>
      <c r="H1" s="113"/>
      <c r="I1" s="113"/>
      <c r="J1" s="113"/>
      <c r="K1" s="113"/>
      <c r="L1" s="113"/>
      <c r="M1" s="113"/>
      <c r="N1" s="113"/>
      <c r="O1" s="113"/>
      <c r="P1" s="113"/>
    </row>
    <row r="2" spans="1:18" x14ac:dyDescent="0.2">
      <c r="A2" s="58" t="s">
        <v>883</v>
      </c>
      <c r="B2" t="s">
        <v>56</v>
      </c>
    </row>
    <row r="3" spans="1:18" x14ac:dyDescent="0.2">
      <c r="A3" s="58" t="s">
        <v>884</v>
      </c>
      <c r="B3" t="str">
        <f>IF($B$1="","",_xlfn.XLOOKUP($B$1,Master!$F$2:$F$308,Master!$G$2:$G$308,""))</f>
        <v>tbl-t3-pos-rc</v>
      </c>
    </row>
    <row r="4" spans="1:18" x14ac:dyDescent="0.2">
      <c r="A4" s="58" t="s">
        <v>6</v>
      </c>
      <c r="B4" t="str">
        <f>IF($B$1="","",_xlfn.XLOOKUP($B$1,Master!$F$2:$F$308,Master!$H$2:$H$308,""))</f>
        <v>fig-t3-pos-rc</v>
      </c>
      <c r="E4" s="13"/>
      <c r="F4" s="16" t="s">
        <v>679</v>
      </c>
      <c r="G4" s="16" t="s">
        <v>679</v>
      </c>
      <c r="H4" s="16"/>
      <c r="I4" s="16"/>
      <c r="J4" s="16"/>
      <c r="K4" s="16"/>
      <c r="L4" s="16"/>
      <c r="M4" s="16"/>
      <c r="N4" s="16"/>
      <c r="O4" s="16"/>
      <c r="P4" s="16"/>
      <c r="Q4" s="16"/>
      <c r="R4" s="16"/>
    </row>
    <row r="5" spans="1:18" x14ac:dyDescent="0.2">
      <c r="A5" s="98" t="s">
        <v>885</v>
      </c>
      <c r="B5" s="97"/>
      <c r="E5" s="99" t="s">
        <v>886</v>
      </c>
      <c r="F5" s="59" t="s">
        <v>1719</v>
      </c>
      <c r="G5" s="47" t="s">
        <v>1929</v>
      </c>
      <c r="H5" s="46"/>
      <c r="I5" s="46"/>
      <c r="J5" s="46"/>
      <c r="K5" s="46"/>
      <c r="L5" s="46"/>
      <c r="M5" s="46"/>
      <c r="N5" s="46"/>
      <c r="O5" s="46"/>
      <c r="P5" s="46"/>
      <c r="Q5" s="46"/>
      <c r="R5" s="46"/>
    </row>
    <row r="6" spans="1:18" ht="15" customHeight="1" x14ac:dyDescent="0.2">
      <c r="A6" t="s">
        <v>891</v>
      </c>
      <c r="B6" t="b">
        <v>0</v>
      </c>
      <c r="E6" s="97"/>
      <c r="F6" t="s">
        <v>1721</v>
      </c>
      <c r="G6" s="47">
        <v>2.8</v>
      </c>
      <c r="J6" s="14"/>
      <c r="K6" s="14"/>
      <c r="L6" s="14"/>
      <c r="M6" s="14"/>
      <c r="N6" s="14"/>
      <c r="O6" s="14"/>
      <c r="P6" s="14"/>
      <c r="Q6" s="14"/>
      <c r="R6" s="14"/>
    </row>
    <row r="7" spans="1:18" ht="15.75" customHeight="1" x14ac:dyDescent="0.2">
      <c r="E7" s="97"/>
      <c r="F7" s="59" t="s">
        <v>1722</v>
      </c>
      <c r="G7" s="47">
        <v>10.6</v>
      </c>
      <c r="H7" s="59"/>
      <c r="J7" s="14"/>
      <c r="K7" s="14"/>
      <c r="L7" s="14"/>
      <c r="M7" s="14"/>
      <c r="N7" s="14"/>
      <c r="O7" s="14"/>
    </row>
    <row r="8" spans="1:18" x14ac:dyDescent="0.2">
      <c r="E8" s="97"/>
      <c r="F8" s="68" t="s">
        <v>1723</v>
      </c>
      <c r="G8" s="47">
        <v>6.6</v>
      </c>
      <c r="H8" s="59"/>
      <c r="J8" s="14"/>
      <c r="K8" s="14"/>
      <c r="L8" s="14"/>
      <c r="M8" s="14"/>
      <c r="N8" s="14"/>
      <c r="O8" s="14"/>
    </row>
    <row r="9" spans="1:18" x14ac:dyDescent="0.2">
      <c r="A9" s="98" t="s">
        <v>893</v>
      </c>
      <c r="B9" s="97"/>
      <c r="E9" s="97"/>
      <c r="F9" s="47" t="s">
        <v>1724</v>
      </c>
      <c r="G9" s="47">
        <v>21.1</v>
      </c>
      <c r="J9" s="46"/>
      <c r="K9" s="46"/>
      <c r="L9" s="46"/>
      <c r="M9" s="46"/>
      <c r="N9" s="46"/>
      <c r="O9" s="46"/>
      <c r="P9" s="46"/>
    </row>
    <row r="10" spans="1:18" x14ac:dyDescent="0.2">
      <c r="A10" t="s">
        <v>894</v>
      </c>
      <c r="B10" t="s">
        <v>1735</v>
      </c>
      <c r="E10" s="97"/>
      <c r="F10" s="47" t="s">
        <v>1725</v>
      </c>
      <c r="G10" s="47">
        <v>16.399999999999999</v>
      </c>
      <c r="H10" s="59"/>
      <c r="J10" s="47"/>
      <c r="K10" s="47"/>
      <c r="L10" s="47"/>
      <c r="M10" s="47"/>
      <c r="N10" s="47"/>
      <c r="O10" s="47"/>
      <c r="P10" s="46"/>
    </row>
    <row r="11" spans="1:18" x14ac:dyDescent="0.2">
      <c r="A11" t="s">
        <v>895</v>
      </c>
      <c r="E11" s="97"/>
      <c r="F11" s="68" t="s">
        <v>1726</v>
      </c>
      <c r="G11" s="47">
        <v>35</v>
      </c>
      <c r="H11" s="68"/>
      <c r="J11" s="47"/>
      <c r="K11" s="47"/>
      <c r="L11" s="47"/>
      <c r="M11" s="47"/>
      <c r="N11" s="47"/>
      <c r="O11" s="47"/>
      <c r="P11" s="46"/>
    </row>
    <row r="12" spans="1:18" x14ac:dyDescent="0.2">
      <c r="A12" t="s">
        <v>896</v>
      </c>
      <c r="E12" s="97"/>
      <c r="F12" s="68" t="s">
        <v>1727</v>
      </c>
      <c r="G12" s="47">
        <v>4.0999999999999996</v>
      </c>
      <c r="J12" s="46"/>
      <c r="K12" s="46"/>
      <c r="L12" s="46"/>
      <c r="M12" s="46"/>
      <c r="N12" s="46"/>
      <c r="O12" s="46"/>
      <c r="P12" s="46"/>
    </row>
    <row r="13" spans="1:18" x14ac:dyDescent="0.2">
      <c r="A13" t="s">
        <v>897</v>
      </c>
      <c r="E13" s="97"/>
      <c r="F13" s="68" t="s">
        <v>1728</v>
      </c>
      <c r="G13" s="47">
        <v>17.399999999999999</v>
      </c>
      <c r="I13" s="46"/>
      <c r="J13" s="46"/>
      <c r="K13" s="46"/>
      <c r="L13" s="46"/>
      <c r="M13" s="46"/>
      <c r="N13" s="46"/>
      <c r="O13" s="46"/>
      <c r="P13" s="46"/>
    </row>
    <row r="14" spans="1:18" x14ac:dyDescent="0.2">
      <c r="A14" t="s">
        <v>899</v>
      </c>
      <c r="B14" t="s">
        <v>1813</v>
      </c>
      <c r="E14" s="97"/>
      <c r="F14" s="68" t="s">
        <v>1734</v>
      </c>
      <c r="G14" s="47">
        <v>29.7</v>
      </c>
      <c r="I14" s="46"/>
      <c r="J14" s="47"/>
      <c r="K14" s="47"/>
      <c r="L14" s="47"/>
      <c r="M14" s="47"/>
      <c r="N14" s="47"/>
      <c r="O14" s="47"/>
      <c r="P14" s="46"/>
    </row>
    <row r="15" spans="1:18" x14ac:dyDescent="0.2">
      <c r="A15" t="s">
        <v>901</v>
      </c>
      <c r="B15" t="b">
        <v>1</v>
      </c>
      <c r="E15" s="97"/>
      <c r="F15" s="68" t="s">
        <v>1730</v>
      </c>
      <c r="G15" s="47">
        <v>41</v>
      </c>
      <c r="I15" s="46"/>
      <c r="J15" s="47"/>
      <c r="K15" s="47"/>
      <c r="L15" s="47"/>
      <c r="M15" s="47"/>
      <c r="N15" s="47"/>
      <c r="O15" s="47"/>
      <c r="P15" s="46"/>
    </row>
    <row r="16" spans="1:18" x14ac:dyDescent="0.2">
      <c r="A16" t="s">
        <v>1146</v>
      </c>
      <c r="E16" s="97"/>
      <c r="F16" s="68" t="s">
        <v>1731</v>
      </c>
      <c r="G16" s="47">
        <v>12.1</v>
      </c>
      <c r="I16" s="46"/>
      <c r="J16" s="47"/>
      <c r="K16" s="47"/>
      <c r="L16" s="47"/>
      <c r="M16" s="47"/>
      <c r="N16" s="47"/>
      <c r="O16" s="47"/>
      <c r="P16" s="46"/>
    </row>
    <row r="17" spans="1:16" x14ac:dyDescent="0.2">
      <c r="E17" s="97"/>
      <c r="F17" s="68" t="s">
        <v>1732</v>
      </c>
      <c r="G17" s="47">
        <v>61.5</v>
      </c>
      <c r="I17" s="46"/>
      <c r="J17" s="47"/>
      <c r="K17" s="47"/>
      <c r="L17" s="47"/>
      <c r="M17" s="47"/>
      <c r="N17" s="47"/>
      <c r="O17" s="47"/>
      <c r="P17" s="46"/>
    </row>
    <row r="18" spans="1:16" x14ac:dyDescent="0.2">
      <c r="A18" s="98" t="s">
        <v>902</v>
      </c>
      <c r="B18" s="97"/>
      <c r="E18" s="97"/>
      <c r="F18" s="55"/>
      <c r="I18" s="46"/>
      <c r="J18" s="46"/>
      <c r="K18" s="46"/>
      <c r="L18" s="46"/>
      <c r="M18" s="46"/>
      <c r="N18" s="46"/>
      <c r="O18" s="46"/>
      <c r="P18" s="46"/>
    </row>
    <row r="19" spans="1:16" x14ac:dyDescent="0.2">
      <c r="A19" t="s">
        <v>903</v>
      </c>
      <c r="E19" s="97"/>
      <c r="F19" s="55"/>
      <c r="I19" s="46"/>
      <c r="J19" s="46"/>
      <c r="K19" s="46"/>
      <c r="L19" s="46"/>
      <c r="M19" s="46"/>
      <c r="N19" s="46"/>
      <c r="O19" s="46"/>
      <c r="P19" s="46"/>
    </row>
    <row r="20" spans="1:16" x14ac:dyDescent="0.2">
      <c r="A20" t="s">
        <v>904</v>
      </c>
      <c r="E20" s="97"/>
      <c r="F20" s="55"/>
      <c r="I20" s="46"/>
      <c r="J20" s="46"/>
      <c r="K20" s="46"/>
      <c r="L20" s="46"/>
      <c r="M20" s="46"/>
      <c r="N20" s="46"/>
      <c r="O20" s="46"/>
      <c r="P20" s="46"/>
    </row>
    <row r="21" spans="1:16" x14ac:dyDescent="0.2">
      <c r="A21" t="s">
        <v>905</v>
      </c>
      <c r="E21" s="97"/>
      <c r="F21" s="55"/>
      <c r="G21" s="68"/>
      <c r="I21" s="46"/>
      <c r="J21" s="46"/>
      <c r="K21" s="46"/>
      <c r="L21" s="46"/>
      <c r="M21" s="46"/>
      <c r="N21" s="46"/>
      <c r="O21" s="46"/>
      <c r="P21" s="46"/>
    </row>
    <row r="22" spans="1:16" x14ac:dyDescent="0.2">
      <c r="A22" t="s">
        <v>906</v>
      </c>
      <c r="E22" s="97"/>
      <c r="F22" s="55"/>
      <c r="G22" s="68"/>
      <c r="I22" s="46"/>
    </row>
    <row r="23" spans="1:16" x14ac:dyDescent="0.2">
      <c r="A23" t="s">
        <v>907</v>
      </c>
      <c r="E23" s="97"/>
      <c r="F23" s="55"/>
      <c r="G23" s="68"/>
      <c r="I23" s="46"/>
    </row>
    <row r="24" spans="1:16" x14ac:dyDescent="0.2">
      <c r="A24" t="s">
        <v>908</v>
      </c>
      <c r="E24" s="97"/>
      <c r="F24" s="46"/>
      <c r="G24" s="46"/>
      <c r="H24" s="46"/>
      <c r="I24" s="46"/>
    </row>
    <row r="25" spans="1:16" x14ac:dyDescent="0.2">
      <c r="A25" t="s">
        <v>909</v>
      </c>
      <c r="E25" s="97"/>
      <c r="F25" s="68"/>
      <c r="G25" s="68"/>
      <c r="H25" s="68"/>
      <c r="I25" s="46"/>
    </row>
    <row r="26" spans="1:16" x14ac:dyDescent="0.2">
      <c r="E26" s="97"/>
      <c r="F26" s="55"/>
      <c r="G26" s="55"/>
      <c r="H26" s="70"/>
      <c r="I26" s="46"/>
    </row>
    <row r="27" spans="1:16" x14ac:dyDescent="0.2">
      <c r="A27" s="100" t="s">
        <v>910</v>
      </c>
      <c r="B27" s="97"/>
      <c r="E27" s="97"/>
      <c r="F27" s="55"/>
      <c r="G27" s="55"/>
      <c r="H27" s="70"/>
      <c r="I27" s="46"/>
    </row>
    <row r="28" spans="1:16" x14ac:dyDescent="0.2">
      <c r="E28" s="97"/>
      <c r="F28" s="55"/>
      <c r="G28" s="55"/>
      <c r="H28" s="70"/>
      <c r="I28" s="46"/>
    </row>
    <row r="29" spans="1:16" x14ac:dyDescent="0.2">
      <c r="E29" s="97"/>
      <c r="F29" s="55"/>
      <c r="G29" s="55"/>
      <c r="H29" s="70"/>
      <c r="I29" s="46"/>
    </row>
    <row r="30" spans="1:16" x14ac:dyDescent="0.2">
      <c r="E30" s="97"/>
      <c r="F30" s="55"/>
      <c r="G30" s="55"/>
      <c r="H30" s="70"/>
      <c r="I30" s="46"/>
    </row>
    <row r="31" spans="1:16" x14ac:dyDescent="0.2">
      <c r="E31" s="97"/>
      <c r="F31" s="55"/>
      <c r="G31" s="55"/>
      <c r="H31" s="70"/>
      <c r="I31" s="46"/>
    </row>
    <row r="32" spans="1:16"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1736</v>
      </c>
      <c r="C1" s="113"/>
      <c r="D1" s="113"/>
      <c r="E1" s="113"/>
      <c r="F1" s="113"/>
      <c r="G1" s="113"/>
      <c r="H1" s="113"/>
      <c r="I1" s="113"/>
      <c r="J1" s="113"/>
      <c r="K1" s="113"/>
      <c r="L1" s="113"/>
      <c r="M1" s="113"/>
      <c r="N1" s="113"/>
      <c r="O1" s="113"/>
    </row>
    <row r="2" spans="1:16" x14ac:dyDescent="0.2">
      <c r="A2" s="58" t="s">
        <v>883</v>
      </c>
      <c r="B2" t="s">
        <v>56</v>
      </c>
    </row>
    <row r="3" spans="1:16" x14ac:dyDescent="0.2">
      <c r="A3" s="58" t="s">
        <v>884</v>
      </c>
      <c r="B3" t="str">
        <f>IF($B$1="","",_xlfn.XLOOKUP($B$1,Master!$F$2:$F$308,Master!$G$2:$G$308,""))</f>
        <v>tbl-top-need-improve</v>
      </c>
    </row>
    <row r="4" spans="1:16" x14ac:dyDescent="0.2">
      <c r="A4" s="58" t="s">
        <v>6</v>
      </c>
      <c r="B4" t="str">
        <f>IF($B$1="","",_xlfn.XLOOKUP($B$1,Master!$F$2:$F$308,Master!$H$2:$H$308,""))</f>
        <v>fig-top-need-improve</v>
      </c>
      <c r="E4" s="13"/>
      <c r="F4" s="16" t="s">
        <v>679</v>
      </c>
      <c r="G4" s="16" t="s">
        <v>679</v>
      </c>
      <c r="H4" s="16"/>
      <c r="I4" s="16"/>
      <c r="J4" s="16"/>
      <c r="K4" s="16"/>
      <c r="L4" s="16"/>
      <c r="M4" s="16"/>
      <c r="N4" s="16"/>
      <c r="O4" s="16"/>
      <c r="P4" s="16"/>
    </row>
    <row r="5" spans="1:16" x14ac:dyDescent="0.2">
      <c r="A5" s="98" t="s">
        <v>885</v>
      </c>
      <c r="B5" s="97"/>
      <c r="E5" s="99" t="s">
        <v>886</v>
      </c>
      <c r="F5" s="59" t="s">
        <v>1654</v>
      </c>
      <c r="G5" s="59">
        <v>73.3</v>
      </c>
      <c r="H5" s="46"/>
      <c r="I5" s="46"/>
      <c r="J5" s="46"/>
      <c r="K5" s="46"/>
      <c r="L5" s="46"/>
      <c r="M5" s="46"/>
      <c r="N5" s="46"/>
      <c r="O5" s="46"/>
    </row>
    <row r="6" spans="1:16" ht="15" customHeight="1" x14ac:dyDescent="0.2">
      <c r="A6" t="s">
        <v>891</v>
      </c>
      <c r="B6" t="b">
        <v>0</v>
      </c>
      <c r="E6" s="97"/>
      <c r="F6" t="s">
        <v>1738</v>
      </c>
      <c r="G6" s="55">
        <v>71.5</v>
      </c>
      <c r="J6" s="14"/>
      <c r="K6" s="14"/>
      <c r="L6" s="14"/>
      <c r="M6" s="14"/>
      <c r="N6" s="14"/>
    </row>
    <row r="7" spans="1:16" ht="15.75" customHeight="1" x14ac:dyDescent="0.2">
      <c r="E7" s="97"/>
      <c r="F7" s="59" t="s">
        <v>1739</v>
      </c>
      <c r="G7" s="59">
        <v>49.8</v>
      </c>
      <c r="H7" s="59"/>
      <c r="J7" s="14"/>
      <c r="K7" s="14"/>
      <c r="L7" s="14"/>
      <c r="M7" s="14"/>
      <c r="N7" s="14"/>
    </row>
    <row r="8" spans="1:16" x14ac:dyDescent="0.2">
      <c r="E8" s="97"/>
      <c r="F8" s="68" t="s">
        <v>1741</v>
      </c>
      <c r="G8" s="68">
        <v>45.2</v>
      </c>
      <c r="H8" s="59"/>
      <c r="J8" s="14"/>
      <c r="K8" s="14"/>
      <c r="L8" s="14"/>
      <c r="M8" s="14"/>
      <c r="N8" s="14"/>
    </row>
    <row r="9" spans="1:16" x14ac:dyDescent="0.2">
      <c r="A9" s="98" t="s">
        <v>893</v>
      </c>
      <c r="B9" s="97"/>
      <c r="E9" s="97"/>
      <c r="F9" s="47" t="s">
        <v>1745</v>
      </c>
      <c r="G9" s="47">
        <v>40.5</v>
      </c>
      <c r="J9" s="46"/>
      <c r="K9" s="46"/>
      <c r="L9" s="46"/>
      <c r="M9" s="46"/>
      <c r="N9" s="46"/>
      <c r="O9" s="46"/>
    </row>
    <row r="10" spans="1:16" x14ac:dyDescent="0.2">
      <c r="A10" t="s">
        <v>894</v>
      </c>
      <c r="B10" t="s">
        <v>1002</v>
      </c>
      <c r="E10" s="97"/>
      <c r="F10" s="47" t="s">
        <v>1025</v>
      </c>
      <c r="G10" s="47">
        <v>23.5</v>
      </c>
      <c r="H10" s="59"/>
      <c r="J10" s="47"/>
      <c r="K10" s="47"/>
      <c r="L10" s="47"/>
      <c r="M10" s="47"/>
      <c r="N10" s="47"/>
      <c r="O10" s="46"/>
    </row>
    <row r="11" spans="1:16" x14ac:dyDescent="0.2">
      <c r="A11" t="s">
        <v>895</v>
      </c>
      <c r="E11" s="97"/>
      <c r="H11" s="68"/>
      <c r="J11" s="47"/>
      <c r="K11" s="47"/>
      <c r="L11" s="47"/>
      <c r="M11" s="47"/>
      <c r="N11" s="47"/>
      <c r="O11" s="46"/>
    </row>
    <row r="12" spans="1:16" x14ac:dyDescent="0.2">
      <c r="A12" t="s">
        <v>896</v>
      </c>
      <c r="E12" s="97"/>
      <c r="H12" s="47"/>
      <c r="J12" s="46"/>
      <c r="K12" s="46"/>
      <c r="L12" s="46"/>
      <c r="M12" s="46"/>
      <c r="N12" s="46"/>
      <c r="O12" s="46"/>
    </row>
    <row r="13" spans="1:16" x14ac:dyDescent="0.2">
      <c r="A13" t="s">
        <v>897</v>
      </c>
      <c r="E13" s="97"/>
      <c r="H13" s="47"/>
      <c r="I13" s="46"/>
      <c r="J13" s="46"/>
      <c r="K13" s="46"/>
      <c r="L13" s="46"/>
      <c r="M13" s="46"/>
      <c r="N13" s="46"/>
      <c r="O13" s="46"/>
    </row>
    <row r="14" spans="1:16" x14ac:dyDescent="0.2">
      <c r="A14" t="s">
        <v>899</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1756</v>
      </c>
      <c r="C1" s="113"/>
      <c r="D1" s="113"/>
      <c r="E1" s="113"/>
      <c r="F1" s="113"/>
      <c r="G1" s="113"/>
      <c r="H1" s="113"/>
      <c r="I1" s="113"/>
      <c r="J1" s="113"/>
      <c r="K1" s="113"/>
      <c r="L1" s="113"/>
      <c r="M1" s="113"/>
      <c r="N1" s="113"/>
      <c r="O1" s="113"/>
    </row>
    <row r="2" spans="1:16" x14ac:dyDescent="0.2">
      <c r="A2" s="58" t="s">
        <v>883</v>
      </c>
      <c r="B2" t="s">
        <v>56</v>
      </c>
    </row>
    <row r="3" spans="1:16" x14ac:dyDescent="0.2">
      <c r="A3" s="58" t="s">
        <v>884</v>
      </c>
      <c r="B3" t="str">
        <f>IF($B$1="","",_xlfn.XLOOKUP($B$1,Master!$F$2:$F$308,Master!$G$2:$G$308,""))</f>
        <v>tbl-econ-need-improve</v>
      </c>
    </row>
    <row r="4" spans="1:16" x14ac:dyDescent="0.2">
      <c r="A4" s="58" t="s">
        <v>6</v>
      </c>
      <c r="B4" t="str">
        <f>IF($B$1="","",_xlfn.XLOOKUP($B$1,Master!$F$2:$F$308,Master!$H$2:$H$308,""))</f>
        <v>fig-econ-need-improve</v>
      </c>
      <c r="E4" s="13"/>
      <c r="F4" s="16"/>
      <c r="G4" s="16" t="s">
        <v>679</v>
      </c>
      <c r="H4" s="16" t="s">
        <v>679</v>
      </c>
      <c r="I4" s="16" t="s">
        <v>679</v>
      </c>
      <c r="J4" s="16" t="s">
        <v>679</v>
      </c>
      <c r="K4" s="16" t="s">
        <v>679</v>
      </c>
      <c r="L4" s="16"/>
      <c r="M4" s="16"/>
      <c r="N4" s="16"/>
      <c r="O4" s="16"/>
      <c r="P4" s="16"/>
    </row>
    <row r="5" spans="1:16" x14ac:dyDescent="0.2">
      <c r="A5" s="98" t="s">
        <v>885</v>
      </c>
      <c r="B5" s="97"/>
      <c r="E5" s="99" t="s">
        <v>886</v>
      </c>
      <c r="F5" s="46"/>
      <c r="G5" s="46" t="s">
        <v>1750</v>
      </c>
      <c r="H5" s="46">
        <v>2</v>
      </c>
      <c r="I5" s="46">
        <v>3</v>
      </c>
      <c r="J5" s="46">
        <v>4</v>
      </c>
      <c r="K5" s="46" t="s">
        <v>1751</v>
      </c>
      <c r="L5" s="46" t="s">
        <v>1752</v>
      </c>
      <c r="M5" s="46"/>
      <c r="N5" s="46"/>
      <c r="O5" s="46"/>
    </row>
    <row r="6" spans="1:16" ht="15" customHeight="1" x14ac:dyDescent="0.2">
      <c r="A6" t="s">
        <v>891</v>
      </c>
      <c r="B6" t="b">
        <v>0</v>
      </c>
      <c r="E6" s="97"/>
      <c r="F6" s="72" t="s">
        <v>1747</v>
      </c>
      <c r="G6" s="73">
        <v>2.7</v>
      </c>
      <c r="H6" s="73">
        <v>5</v>
      </c>
      <c r="I6" s="73">
        <v>11.5</v>
      </c>
      <c r="J6" s="73">
        <v>16.3</v>
      </c>
      <c r="K6" s="73">
        <v>48</v>
      </c>
      <c r="L6" s="73">
        <v>16.5</v>
      </c>
      <c r="M6" s="71"/>
      <c r="N6" s="71"/>
    </row>
    <row r="7" spans="1:16" ht="15.75" customHeight="1" x14ac:dyDescent="0.2">
      <c r="E7" s="97"/>
      <c r="F7" s="53" t="s">
        <v>1748</v>
      </c>
      <c r="G7" s="59">
        <v>1.6</v>
      </c>
      <c r="H7" s="59">
        <v>4.0999999999999996</v>
      </c>
      <c r="I7" s="55">
        <v>10.9</v>
      </c>
      <c r="J7" s="59">
        <v>20.100000000000001</v>
      </c>
      <c r="K7" s="59">
        <v>58.6</v>
      </c>
      <c r="L7" s="59">
        <v>4.8</v>
      </c>
      <c r="M7" s="14"/>
      <c r="N7" s="14"/>
    </row>
    <row r="8" spans="1:16" x14ac:dyDescent="0.2">
      <c r="E8" s="97"/>
      <c r="F8" s="53" t="s">
        <v>1078</v>
      </c>
      <c r="G8" s="59">
        <v>2</v>
      </c>
      <c r="H8" s="59">
        <v>2.2999999999999998</v>
      </c>
      <c r="I8" s="55">
        <v>6.6</v>
      </c>
      <c r="J8" s="59">
        <v>12.4</v>
      </c>
      <c r="K8" s="59">
        <v>73.5</v>
      </c>
      <c r="L8" s="59">
        <v>3.2</v>
      </c>
      <c r="M8" s="14"/>
      <c r="N8" s="14"/>
    </row>
    <row r="9" spans="1:16" x14ac:dyDescent="0.2">
      <c r="A9" s="98" t="s">
        <v>893</v>
      </c>
      <c r="B9" s="97"/>
      <c r="E9" s="97"/>
      <c r="F9" s="61" t="s">
        <v>1749</v>
      </c>
      <c r="G9" s="55">
        <v>11.3</v>
      </c>
      <c r="H9" s="55">
        <v>12.9</v>
      </c>
      <c r="I9" s="55">
        <v>24</v>
      </c>
      <c r="J9" s="68" t="s">
        <v>1753</v>
      </c>
      <c r="K9" s="68" t="s">
        <v>1754</v>
      </c>
      <c r="L9" s="68" t="s">
        <v>1755</v>
      </c>
      <c r="M9" s="46"/>
      <c r="N9" s="46"/>
      <c r="O9" s="46"/>
    </row>
    <row r="10" spans="1:16" x14ac:dyDescent="0.2">
      <c r="A10" t="s">
        <v>894</v>
      </c>
      <c r="B10" t="s">
        <v>1020</v>
      </c>
      <c r="E10" s="97"/>
      <c r="F10" s="59"/>
      <c r="G10" s="59"/>
      <c r="H10" s="59"/>
      <c r="J10" s="47"/>
      <c r="K10" s="47"/>
      <c r="L10" s="47"/>
      <c r="M10" s="47"/>
      <c r="N10" s="47"/>
      <c r="O10" s="46"/>
    </row>
    <row r="11" spans="1:16" x14ac:dyDescent="0.2">
      <c r="A11" t="s">
        <v>895</v>
      </c>
      <c r="E11" s="97"/>
      <c r="F11" s="68"/>
      <c r="G11" s="68"/>
      <c r="H11" s="68"/>
      <c r="J11" s="47"/>
      <c r="K11" s="47"/>
      <c r="L11" s="47"/>
      <c r="M11" s="47"/>
      <c r="N11" s="47"/>
      <c r="O11" s="46"/>
    </row>
    <row r="12" spans="1:16" x14ac:dyDescent="0.2">
      <c r="A12" t="s">
        <v>896</v>
      </c>
      <c r="E12" s="97"/>
      <c r="F12" s="47"/>
      <c r="G12" s="47"/>
      <c r="H12" s="47"/>
      <c r="J12" s="46"/>
      <c r="K12" s="46"/>
      <c r="L12" s="46"/>
      <c r="M12" s="46"/>
      <c r="N12" s="46"/>
      <c r="O12" s="46"/>
    </row>
    <row r="13" spans="1:16" x14ac:dyDescent="0.2">
      <c r="A13" t="s">
        <v>897</v>
      </c>
      <c r="E13" s="97"/>
      <c r="F13" s="47"/>
      <c r="G13" s="47"/>
      <c r="H13" s="47"/>
      <c r="I13" s="46"/>
      <c r="J13" s="46"/>
      <c r="K13" s="46"/>
      <c r="L13" s="46"/>
      <c r="M13" s="46"/>
      <c r="N13" s="46"/>
      <c r="O13" s="46"/>
    </row>
    <row r="14" spans="1:16" x14ac:dyDescent="0.2">
      <c r="A14" t="s">
        <v>899</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1758</v>
      </c>
      <c r="C1" s="113"/>
      <c r="D1" s="113"/>
      <c r="E1" s="113"/>
      <c r="F1" s="113"/>
      <c r="G1" s="113"/>
      <c r="H1" s="113"/>
      <c r="I1" s="113"/>
      <c r="J1" s="113"/>
      <c r="K1" s="113"/>
      <c r="L1" s="113"/>
      <c r="M1" s="113"/>
      <c r="N1" s="113"/>
      <c r="O1" s="113"/>
    </row>
    <row r="2" spans="1:16" x14ac:dyDescent="0.2">
      <c r="A2" s="58" t="s">
        <v>883</v>
      </c>
      <c r="B2" t="s">
        <v>56</v>
      </c>
    </row>
    <row r="3" spans="1:16" x14ac:dyDescent="0.2">
      <c r="A3" s="58" t="s">
        <v>884</v>
      </c>
      <c r="B3" t="str">
        <f>IF($B$1="","",_xlfn.XLOOKUP($B$1,Master!$F$2:$F$308,Master!$G$2:$G$308,""))</f>
        <v>tbl-safe-health-need-improve</v>
      </c>
    </row>
    <row r="4" spans="1:16" x14ac:dyDescent="0.2">
      <c r="A4" s="58" t="s">
        <v>6</v>
      </c>
      <c r="B4" t="str">
        <f>IF($B$1="","",_xlfn.XLOOKUP($B$1,Master!$F$2:$F$308,Master!$H$2:$H$308,""))</f>
        <v>fig-safe-health-need-improve</v>
      </c>
      <c r="E4" s="13"/>
      <c r="F4" s="16"/>
      <c r="G4" s="16" t="s">
        <v>679</v>
      </c>
      <c r="H4" s="16" t="s">
        <v>679</v>
      </c>
      <c r="I4" s="16" t="s">
        <v>679</v>
      </c>
      <c r="J4" s="16" t="s">
        <v>679</v>
      </c>
      <c r="K4" s="16" t="s">
        <v>679</v>
      </c>
      <c r="L4" s="16" t="s">
        <v>679</v>
      </c>
      <c r="M4" s="16"/>
      <c r="N4" s="16"/>
      <c r="O4" s="16"/>
      <c r="P4" s="16"/>
    </row>
    <row r="5" spans="1:16" x14ac:dyDescent="0.2">
      <c r="A5" s="98" t="s">
        <v>885</v>
      </c>
      <c r="B5" s="97"/>
      <c r="E5" s="99" t="s">
        <v>886</v>
      </c>
      <c r="F5" s="46"/>
      <c r="G5" s="68" t="s">
        <v>1750</v>
      </c>
      <c r="H5" s="68">
        <v>2</v>
      </c>
      <c r="I5" s="68">
        <v>3</v>
      </c>
      <c r="J5" s="68">
        <v>4</v>
      </c>
      <c r="K5" s="68" t="s">
        <v>1751</v>
      </c>
      <c r="L5" s="68" t="s">
        <v>1752</v>
      </c>
      <c r="M5" s="46"/>
      <c r="N5" s="46"/>
      <c r="O5" s="46"/>
    </row>
    <row r="6" spans="1:16" ht="15" customHeight="1" x14ac:dyDescent="0.2">
      <c r="A6" t="s">
        <v>891</v>
      </c>
      <c r="B6" t="b">
        <v>0</v>
      </c>
      <c r="E6" s="97"/>
      <c r="F6" s="71" t="s">
        <v>1761</v>
      </c>
      <c r="G6" s="75">
        <v>6</v>
      </c>
      <c r="H6" s="75">
        <v>8.6</v>
      </c>
      <c r="I6" s="75">
        <v>17.899999999999999</v>
      </c>
      <c r="J6" s="75">
        <v>17.600000000000001</v>
      </c>
      <c r="K6" s="75">
        <v>40.4</v>
      </c>
      <c r="L6" s="75">
        <v>9.5</v>
      </c>
      <c r="M6" s="71"/>
      <c r="N6" s="71"/>
    </row>
    <row r="7" spans="1:16" ht="15.75" customHeight="1" x14ac:dyDescent="0.2">
      <c r="E7" s="97"/>
      <c r="F7" s="14" t="s">
        <v>1762</v>
      </c>
      <c r="G7" s="59">
        <v>6</v>
      </c>
      <c r="H7" s="59">
        <v>9.5</v>
      </c>
      <c r="I7" s="59">
        <v>11.6</v>
      </c>
      <c r="J7" s="59">
        <v>20.399999999999999</v>
      </c>
      <c r="K7" s="59">
        <v>44.5</v>
      </c>
      <c r="L7" s="59">
        <v>7.9</v>
      </c>
      <c r="M7" s="14"/>
      <c r="N7" s="14"/>
    </row>
    <row r="8" spans="1:16" x14ac:dyDescent="0.2">
      <c r="E8" s="97"/>
      <c r="F8" s="14" t="s">
        <v>1763</v>
      </c>
      <c r="G8" s="59">
        <v>3.2</v>
      </c>
      <c r="H8" s="59">
        <v>7.4</v>
      </c>
      <c r="I8" s="59">
        <v>15.1</v>
      </c>
      <c r="J8" s="59">
        <v>19.5</v>
      </c>
      <c r="K8" s="59">
        <v>47.3</v>
      </c>
      <c r="L8" s="59">
        <v>7.4</v>
      </c>
      <c r="M8" s="14"/>
      <c r="N8" s="14"/>
    </row>
    <row r="9" spans="1:16" x14ac:dyDescent="0.2">
      <c r="A9" s="98" t="s">
        <v>893</v>
      </c>
      <c r="B9" s="97"/>
      <c r="E9" s="97"/>
      <c r="F9" t="s">
        <v>1764</v>
      </c>
      <c r="G9" s="59">
        <v>7</v>
      </c>
      <c r="H9" s="59">
        <v>10.7</v>
      </c>
      <c r="I9" s="59">
        <v>25.8</v>
      </c>
      <c r="J9" s="59" t="s">
        <v>1768</v>
      </c>
      <c r="K9" s="59" t="s">
        <v>1769</v>
      </c>
      <c r="L9" s="59" t="s">
        <v>1770</v>
      </c>
      <c r="M9" s="46"/>
      <c r="N9" s="46"/>
      <c r="O9" s="46"/>
    </row>
    <row r="10" spans="1:16" x14ac:dyDescent="0.2">
      <c r="A10" t="s">
        <v>894</v>
      </c>
      <c r="B10" t="s">
        <v>1020</v>
      </c>
      <c r="E10" s="97"/>
      <c r="F10" s="14" t="s">
        <v>1765</v>
      </c>
      <c r="G10" s="59">
        <v>11.6</v>
      </c>
      <c r="H10" s="59">
        <v>12.5</v>
      </c>
      <c r="I10" s="59">
        <v>24.4</v>
      </c>
      <c r="J10" s="42" t="s">
        <v>1771</v>
      </c>
      <c r="K10" s="42" t="s">
        <v>1772</v>
      </c>
      <c r="L10" s="42" t="s">
        <v>1773</v>
      </c>
      <c r="M10" s="47"/>
      <c r="N10" s="47"/>
      <c r="O10" s="46"/>
    </row>
    <row r="11" spans="1:16" x14ac:dyDescent="0.2">
      <c r="A11" t="s">
        <v>895</v>
      </c>
      <c r="E11" s="97"/>
      <c r="F11" s="46" t="s">
        <v>1766</v>
      </c>
      <c r="G11" s="59" t="s">
        <v>1479</v>
      </c>
      <c r="H11" s="59" t="s">
        <v>1774</v>
      </c>
      <c r="I11" s="59">
        <v>23.4</v>
      </c>
      <c r="J11" s="42" t="s">
        <v>1775</v>
      </c>
      <c r="K11" s="42" t="s">
        <v>1776</v>
      </c>
      <c r="L11" s="42" t="s">
        <v>1777</v>
      </c>
      <c r="M11" s="47"/>
      <c r="N11" s="47"/>
      <c r="O11" s="46"/>
    </row>
    <row r="12" spans="1:16" x14ac:dyDescent="0.2">
      <c r="A12" t="s">
        <v>896</v>
      </c>
      <c r="E12" s="97"/>
      <c r="F12" s="74" t="s">
        <v>1767</v>
      </c>
      <c r="G12" s="42" t="s">
        <v>1778</v>
      </c>
      <c r="H12" s="42" t="s">
        <v>1779</v>
      </c>
      <c r="I12" s="59">
        <v>22.7</v>
      </c>
      <c r="J12" s="59" t="s">
        <v>1775</v>
      </c>
      <c r="K12" s="59" t="s">
        <v>1775</v>
      </c>
      <c r="L12" s="59" t="s">
        <v>1515</v>
      </c>
      <c r="M12" s="46"/>
      <c r="N12" s="46"/>
      <c r="O12" s="46"/>
    </row>
    <row r="13" spans="1:16" x14ac:dyDescent="0.2">
      <c r="A13" t="s">
        <v>897</v>
      </c>
      <c r="E13" s="97"/>
      <c r="F13" s="47"/>
      <c r="G13" s="47"/>
      <c r="H13" s="47"/>
      <c r="I13" s="46"/>
      <c r="J13" s="46"/>
      <c r="K13" s="46"/>
      <c r="L13" s="46"/>
      <c r="M13" s="46"/>
      <c r="N13" s="46"/>
      <c r="O13" s="46"/>
    </row>
    <row r="14" spans="1:16" x14ac:dyDescent="0.2">
      <c r="A14" t="s">
        <v>899</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1780</v>
      </c>
      <c r="C1" s="113"/>
      <c r="D1" s="113"/>
      <c r="E1" s="113"/>
      <c r="F1" s="113"/>
      <c r="G1" s="113"/>
      <c r="H1" s="113"/>
      <c r="I1" s="113"/>
      <c r="J1" s="113"/>
      <c r="K1" s="113"/>
      <c r="L1" s="113"/>
      <c r="M1" s="113"/>
      <c r="N1" s="113"/>
      <c r="O1" s="113"/>
    </row>
    <row r="2" spans="1:16" x14ac:dyDescent="0.2">
      <c r="A2" s="58" t="s">
        <v>883</v>
      </c>
      <c r="B2" t="s">
        <v>56</v>
      </c>
    </row>
    <row r="3" spans="1:16" x14ac:dyDescent="0.2">
      <c r="A3" s="58" t="s">
        <v>884</v>
      </c>
      <c r="B3" t="str">
        <f>IF($B$1="","",_xlfn.XLOOKUP($B$1,Master!$F$2:$F$308,Master!$G$2:$G$308,""))</f>
        <v>tbl-educat-need-improv</v>
      </c>
    </row>
    <row r="4" spans="1:16" x14ac:dyDescent="0.2">
      <c r="A4" s="58" t="s">
        <v>6</v>
      </c>
      <c r="B4" t="str">
        <f>IF($B$1="","",_xlfn.XLOOKUP($B$1,Master!$F$2:$F$308,Master!$H$2:$H$308,""))</f>
        <v>fig-educat-need-improv</v>
      </c>
      <c r="E4" s="13"/>
      <c r="F4" s="16"/>
      <c r="G4" s="16" t="s">
        <v>679</v>
      </c>
      <c r="H4" s="16" t="s">
        <v>679</v>
      </c>
      <c r="I4" s="16" t="s">
        <v>679</v>
      </c>
      <c r="J4" s="16" t="s">
        <v>679</v>
      </c>
      <c r="K4" s="16" t="s">
        <v>679</v>
      </c>
      <c r="L4" s="16" t="s">
        <v>679</v>
      </c>
      <c r="M4" s="16"/>
      <c r="N4" s="16"/>
      <c r="O4" s="16"/>
      <c r="P4" s="16"/>
    </row>
    <row r="5" spans="1:16" x14ac:dyDescent="0.2">
      <c r="A5" s="98" t="s">
        <v>885</v>
      </c>
      <c r="B5" s="97"/>
      <c r="E5" s="99" t="s">
        <v>886</v>
      </c>
      <c r="F5" s="46"/>
      <c r="G5" s="68" t="s">
        <v>1750</v>
      </c>
      <c r="H5" s="68">
        <v>2</v>
      </c>
      <c r="I5" s="68">
        <v>3</v>
      </c>
      <c r="J5" s="68">
        <v>4</v>
      </c>
      <c r="K5" s="68" t="s">
        <v>1751</v>
      </c>
      <c r="L5" s="68" t="s">
        <v>1752</v>
      </c>
      <c r="M5" s="46"/>
      <c r="N5" s="46"/>
      <c r="O5" s="46"/>
    </row>
    <row r="6" spans="1:16" ht="15" customHeight="1" x14ac:dyDescent="0.2">
      <c r="A6" t="s">
        <v>891</v>
      </c>
      <c r="B6" t="b">
        <v>0</v>
      </c>
      <c r="E6" s="97"/>
      <c r="F6" s="71" t="s">
        <v>1782</v>
      </c>
      <c r="G6" s="75">
        <v>2</v>
      </c>
      <c r="H6" s="75">
        <v>5.7</v>
      </c>
      <c r="I6" s="75">
        <v>16.3</v>
      </c>
      <c r="J6" s="75">
        <v>24.7</v>
      </c>
      <c r="K6" s="75">
        <v>40</v>
      </c>
      <c r="L6" s="75">
        <v>11.3</v>
      </c>
      <c r="M6" s="71"/>
      <c r="N6" s="71"/>
    </row>
    <row r="7" spans="1:16" ht="15.75" customHeight="1" x14ac:dyDescent="0.2">
      <c r="E7" s="97"/>
      <c r="F7" s="14" t="s">
        <v>1783</v>
      </c>
      <c r="G7" s="59">
        <v>4.3</v>
      </c>
      <c r="H7" s="59">
        <v>5.7</v>
      </c>
      <c r="I7" s="59">
        <v>19.3</v>
      </c>
      <c r="J7" s="59">
        <v>23.7</v>
      </c>
      <c r="K7" s="59">
        <v>38.700000000000003</v>
      </c>
      <c r="L7" s="59">
        <v>8.3000000000000007</v>
      </c>
      <c r="M7" s="14"/>
      <c r="N7" s="14"/>
    </row>
    <row r="8" spans="1:16" x14ac:dyDescent="0.2">
      <c r="E8" s="97"/>
      <c r="F8" s="14" t="s">
        <v>1784</v>
      </c>
      <c r="G8" s="59">
        <v>5</v>
      </c>
      <c r="H8" s="59">
        <v>6.3</v>
      </c>
      <c r="I8" s="59">
        <v>18.3</v>
      </c>
      <c r="J8" s="59">
        <v>22.3</v>
      </c>
      <c r="K8" s="59">
        <v>40.299999999999997</v>
      </c>
      <c r="L8" s="59">
        <v>7.7</v>
      </c>
      <c r="M8" s="14"/>
      <c r="N8" s="14"/>
    </row>
    <row r="9" spans="1:16" x14ac:dyDescent="0.2">
      <c r="A9" s="98" t="s">
        <v>893</v>
      </c>
      <c r="B9" s="97"/>
      <c r="E9" s="97"/>
      <c r="G9" s="59"/>
      <c r="H9" s="59"/>
      <c r="I9" s="59"/>
      <c r="J9" s="59"/>
      <c r="K9" s="59"/>
      <c r="L9" s="59"/>
      <c r="M9" s="46"/>
      <c r="N9" s="46"/>
      <c r="O9" s="46"/>
    </row>
    <row r="10" spans="1:16" x14ac:dyDescent="0.2">
      <c r="A10" t="s">
        <v>894</v>
      </c>
      <c r="B10" t="s">
        <v>1760</v>
      </c>
      <c r="E10" s="97"/>
      <c r="F10" s="14"/>
      <c r="G10" s="59"/>
      <c r="H10" s="59"/>
      <c r="I10" s="59"/>
      <c r="J10" s="42"/>
      <c r="K10" s="42"/>
      <c r="L10" s="42"/>
      <c r="M10" s="47"/>
      <c r="N10" s="47"/>
      <c r="O10" s="46"/>
    </row>
    <row r="11" spans="1:16" x14ac:dyDescent="0.2">
      <c r="A11" t="s">
        <v>895</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1836</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tbl-congheartfail-mortal-rande</v>
      </c>
    </row>
    <row r="4" spans="1:16" x14ac:dyDescent="0.2">
      <c r="A4" s="58" t="s">
        <v>6</v>
      </c>
      <c r="B4" t="str">
        <f>IF($B$1="","",_xlfn.XLOOKUP($B$1,Master!$F$2:$F$308,Master!$H$2:$H$308,""))</f>
        <v>fig-congheartfail-mortal-rande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F5" s="46" t="s">
        <v>1245</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7"/>
      <c r="F6" s="71" t="s">
        <v>929</v>
      </c>
      <c r="G6" s="75">
        <v>15.2</v>
      </c>
      <c r="H6" s="75">
        <v>19.3</v>
      </c>
      <c r="I6" s="75">
        <v>13.7</v>
      </c>
      <c r="J6" s="75">
        <v>12.3</v>
      </c>
      <c r="K6" s="75">
        <v>24.8</v>
      </c>
      <c r="L6" s="75">
        <v>17.899999999999999</v>
      </c>
      <c r="M6" s="71">
        <v>11.4</v>
      </c>
      <c r="N6" s="71">
        <v>17.8</v>
      </c>
      <c r="O6">
        <v>16.8</v>
      </c>
    </row>
    <row r="7" spans="1:16" ht="15.75" customHeight="1" x14ac:dyDescent="0.2">
      <c r="E7" s="97"/>
      <c r="F7" s="14" t="s">
        <v>1566</v>
      </c>
      <c r="G7" s="59">
        <v>5</v>
      </c>
      <c r="H7" s="59">
        <v>21.2</v>
      </c>
      <c r="I7" s="59">
        <v>13</v>
      </c>
      <c r="J7" s="59">
        <v>11.3</v>
      </c>
      <c r="K7" s="59">
        <v>30.4</v>
      </c>
      <c r="L7" s="59">
        <v>16.3</v>
      </c>
      <c r="M7" s="14">
        <v>14.7</v>
      </c>
      <c r="N7" s="14">
        <v>19.3</v>
      </c>
      <c r="O7">
        <v>17.100000000000001</v>
      </c>
    </row>
    <row r="8" spans="1:16" x14ac:dyDescent="0.2">
      <c r="E8" s="97"/>
      <c r="F8" s="14" t="s">
        <v>1838</v>
      </c>
      <c r="G8" s="59">
        <v>7.2</v>
      </c>
      <c r="H8" s="59">
        <v>9.3000000000000007</v>
      </c>
      <c r="I8" s="59" t="s">
        <v>754</v>
      </c>
      <c r="J8" s="59">
        <v>14.7</v>
      </c>
      <c r="K8" s="59">
        <v>15.2</v>
      </c>
      <c r="L8" s="59" t="s">
        <v>1839</v>
      </c>
      <c r="M8" s="14">
        <v>8</v>
      </c>
      <c r="N8" s="14">
        <v>14.7</v>
      </c>
      <c r="O8">
        <v>13.5</v>
      </c>
    </row>
    <row r="9" spans="1:16" x14ac:dyDescent="0.2">
      <c r="A9" s="98" t="s">
        <v>893</v>
      </c>
      <c r="B9" s="97"/>
      <c r="E9" s="97"/>
      <c r="F9" t="s">
        <v>927</v>
      </c>
      <c r="G9" s="59">
        <v>9.6</v>
      </c>
      <c r="H9" s="59">
        <v>17.600000000000001</v>
      </c>
      <c r="I9" s="59">
        <v>6.4</v>
      </c>
      <c r="J9" s="59">
        <v>14.2</v>
      </c>
      <c r="K9" s="59">
        <v>25.6</v>
      </c>
      <c r="L9" s="59">
        <v>13.6</v>
      </c>
      <c r="M9" s="46" t="s">
        <v>1477</v>
      </c>
      <c r="N9" s="46" t="s">
        <v>1840</v>
      </c>
      <c r="O9" s="46" t="s">
        <v>1841</v>
      </c>
    </row>
    <row r="10" spans="1:16" x14ac:dyDescent="0.2">
      <c r="A10" t="s">
        <v>894</v>
      </c>
      <c r="B10" t="s">
        <v>983</v>
      </c>
      <c r="E10" s="97"/>
      <c r="F10" s="14"/>
      <c r="G10" s="59"/>
      <c r="H10" s="59"/>
      <c r="I10" s="59"/>
      <c r="J10" s="42"/>
      <c r="K10" s="42"/>
      <c r="L10" s="42"/>
      <c r="M10" s="47"/>
      <c r="N10" s="47"/>
      <c r="O10" s="46"/>
    </row>
    <row r="11" spans="1:16" x14ac:dyDescent="0.2">
      <c r="A11" t="s">
        <v>895</v>
      </c>
      <c r="B11" t="s">
        <v>1245</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1846</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tbl-heartattack-mortal-aar</v>
      </c>
    </row>
    <row r="4" spans="1:16" x14ac:dyDescent="0.2">
      <c r="A4" s="58" t="s">
        <v>6</v>
      </c>
      <c r="B4" t="str">
        <f>IF($B$1="","",_xlfn.XLOOKUP($B$1,Master!$F$2:$F$308,Master!$H$2:$H$308,""))</f>
        <v>fig-heartattack-mortal-aar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G5" s="100" t="s">
        <v>1792</v>
      </c>
      <c r="H5" s="100"/>
      <c r="I5" s="100"/>
      <c r="J5" s="100"/>
      <c r="K5" s="100"/>
      <c r="L5" s="100"/>
      <c r="M5" s="100"/>
      <c r="N5" s="100" t="s">
        <v>1793</v>
      </c>
      <c r="O5" s="100"/>
    </row>
    <row r="6" spans="1:16" ht="15" customHeight="1" x14ac:dyDescent="0.2">
      <c r="A6" t="s">
        <v>891</v>
      </c>
      <c r="B6" t="b">
        <v>1</v>
      </c>
      <c r="E6" s="97"/>
      <c r="F6" s="46" t="s">
        <v>973</v>
      </c>
      <c r="G6" s="68" t="s">
        <v>220</v>
      </c>
      <c r="H6" s="68" t="s">
        <v>18</v>
      </c>
      <c r="I6" s="68" t="s">
        <v>537</v>
      </c>
      <c r="J6" s="68" t="s">
        <v>449</v>
      </c>
      <c r="K6" s="68" t="s">
        <v>409</v>
      </c>
      <c r="L6" s="68" t="s">
        <v>421</v>
      </c>
      <c r="M6" s="46" t="s">
        <v>470</v>
      </c>
      <c r="N6" s="46" t="s">
        <v>914</v>
      </c>
      <c r="O6" s="46" t="s">
        <v>915</v>
      </c>
    </row>
    <row r="7" spans="1:16" ht="15.75" customHeight="1" x14ac:dyDescent="0.2">
      <c r="E7" s="97"/>
      <c r="F7" s="71">
        <v>2018</v>
      </c>
      <c r="G7" s="75">
        <v>21.1</v>
      </c>
      <c r="H7" s="75">
        <v>22.3</v>
      </c>
      <c r="I7" s="75">
        <v>16.7</v>
      </c>
      <c r="J7" s="75">
        <v>35.9</v>
      </c>
      <c r="K7" s="75">
        <v>39.9</v>
      </c>
      <c r="L7" s="75">
        <v>20.9</v>
      </c>
      <c r="M7" s="71">
        <v>15.9</v>
      </c>
      <c r="N7" s="71">
        <v>25.9</v>
      </c>
      <c r="O7">
        <v>22.8</v>
      </c>
    </row>
    <row r="8" spans="1:16" x14ac:dyDescent="0.2">
      <c r="E8" s="97"/>
      <c r="F8" s="14">
        <v>2019</v>
      </c>
      <c r="G8" s="59">
        <v>24.7</v>
      </c>
      <c r="H8" s="59">
        <v>23.3</v>
      </c>
      <c r="I8" s="59">
        <v>17.399999999999999</v>
      </c>
      <c r="J8" s="59">
        <v>37.6</v>
      </c>
      <c r="K8" s="59">
        <v>44.4</v>
      </c>
      <c r="L8" s="59">
        <v>19.7</v>
      </c>
      <c r="M8" s="14">
        <v>16.100000000000001</v>
      </c>
      <c r="N8" s="14">
        <v>23.7</v>
      </c>
      <c r="O8">
        <v>21.7</v>
      </c>
    </row>
    <row r="9" spans="1:16" x14ac:dyDescent="0.2">
      <c r="A9" s="98" t="s">
        <v>893</v>
      </c>
      <c r="B9" s="97"/>
      <c r="E9" s="97"/>
      <c r="F9" s="14">
        <v>2020</v>
      </c>
      <c r="G9" s="59">
        <v>27.2</v>
      </c>
      <c r="H9" s="59">
        <v>21.8</v>
      </c>
      <c r="I9" s="59">
        <v>16.7</v>
      </c>
      <c r="J9" s="59">
        <v>36.1</v>
      </c>
      <c r="K9" s="59">
        <v>41.7</v>
      </c>
      <c r="L9" s="59">
        <v>20.3</v>
      </c>
      <c r="M9" s="14">
        <v>15.6</v>
      </c>
      <c r="N9" s="14">
        <v>25.7</v>
      </c>
      <c r="O9">
        <v>22.6</v>
      </c>
    </row>
    <row r="10" spans="1:16" x14ac:dyDescent="0.2">
      <c r="A10" t="s">
        <v>894</v>
      </c>
      <c r="B10" t="s">
        <v>972</v>
      </c>
      <c r="E10" s="97"/>
      <c r="F10">
        <v>2021</v>
      </c>
      <c r="G10" s="59">
        <v>28.7</v>
      </c>
      <c r="H10" s="59">
        <v>20.7</v>
      </c>
      <c r="I10" s="59">
        <v>15.7</v>
      </c>
      <c r="J10" s="59">
        <v>33.200000000000003</v>
      </c>
      <c r="K10" s="59">
        <v>43.7</v>
      </c>
      <c r="L10" s="59">
        <v>19.2</v>
      </c>
      <c r="M10" s="46" t="s">
        <v>1842</v>
      </c>
      <c r="N10" s="46" t="s">
        <v>1843</v>
      </c>
      <c r="O10" s="46" t="s">
        <v>1844</v>
      </c>
    </row>
    <row r="11" spans="1:16" x14ac:dyDescent="0.2">
      <c r="A11" t="s">
        <v>895</v>
      </c>
      <c r="B11" t="s">
        <v>1845</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0</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468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tbl-congheartfail-mortal-aar</v>
      </c>
    </row>
    <row r="4" spans="1:16" x14ac:dyDescent="0.2">
      <c r="A4" s="58" t="s">
        <v>6</v>
      </c>
      <c r="B4" t="str">
        <f>IF($B$1="","",_xlfn.XLOOKUP($B$1,Master!$F$2:$F$308,Master!$H$2:$H$308,""))</f>
        <v>fig-congheartfail-mortal-aar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F5" s="46" t="s">
        <v>973</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7"/>
      <c r="F6" s="71">
        <v>2018</v>
      </c>
      <c r="G6" s="75">
        <v>13.9</v>
      </c>
      <c r="H6" s="75">
        <v>18.100000000000001</v>
      </c>
      <c r="I6" s="75">
        <v>13.9</v>
      </c>
      <c r="J6" s="75">
        <v>13.1</v>
      </c>
      <c r="K6" s="75">
        <v>16.2</v>
      </c>
      <c r="L6" s="75">
        <v>16.399999999999999</v>
      </c>
      <c r="M6" s="71">
        <v>9.4</v>
      </c>
      <c r="N6" s="71">
        <v>15.4</v>
      </c>
      <c r="O6">
        <v>11.1</v>
      </c>
    </row>
    <row r="7" spans="1:16" ht="15.75" customHeight="1" x14ac:dyDescent="0.2">
      <c r="E7" s="97"/>
      <c r="F7" s="14">
        <v>2019</v>
      </c>
      <c r="G7" s="59">
        <v>15.1</v>
      </c>
      <c r="H7" s="59">
        <v>16.3</v>
      </c>
      <c r="I7" s="59">
        <v>13.1</v>
      </c>
      <c r="J7" s="59">
        <v>13.6</v>
      </c>
      <c r="K7" s="59">
        <v>16.2</v>
      </c>
      <c r="L7" s="59">
        <v>14.3</v>
      </c>
      <c r="M7" s="14">
        <v>8.9</v>
      </c>
      <c r="N7" s="14" t="s">
        <v>900</v>
      </c>
      <c r="O7">
        <v>10.8</v>
      </c>
    </row>
    <row r="8" spans="1:16" x14ac:dyDescent="0.2">
      <c r="E8" s="97"/>
      <c r="F8" s="14">
        <v>2020</v>
      </c>
      <c r="G8" s="59">
        <v>15.3</v>
      </c>
      <c r="H8" s="59">
        <v>17.600000000000001</v>
      </c>
      <c r="I8" s="59">
        <v>13</v>
      </c>
      <c r="J8" s="59">
        <v>13.4</v>
      </c>
      <c r="K8" s="59">
        <v>18.899999999999999</v>
      </c>
      <c r="L8" s="59">
        <v>12.3</v>
      </c>
      <c r="M8" s="14">
        <v>8.6999999999999993</v>
      </c>
      <c r="N8" s="14" t="s">
        <v>900</v>
      </c>
      <c r="O8">
        <v>10.1</v>
      </c>
    </row>
    <row r="9" spans="1:16" x14ac:dyDescent="0.2">
      <c r="A9" s="98" t="s">
        <v>893</v>
      </c>
      <c r="B9" s="97"/>
      <c r="E9" s="97"/>
      <c r="F9">
        <v>2021</v>
      </c>
      <c r="G9" s="59">
        <v>15.9</v>
      </c>
      <c r="H9" s="59">
        <v>16.3</v>
      </c>
      <c r="I9" s="59">
        <v>9.5</v>
      </c>
      <c r="J9" s="59">
        <v>13.7</v>
      </c>
      <c r="K9" s="59">
        <v>22.3</v>
      </c>
      <c r="L9" s="59">
        <v>13.8</v>
      </c>
      <c r="M9" s="46" t="s">
        <v>1497</v>
      </c>
      <c r="N9" s="46" t="s">
        <v>1848</v>
      </c>
      <c r="O9" s="46" t="s">
        <v>1849</v>
      </c>
    </row>
    <row r="10" spans="1:16" x14ac:dyDescent="0.2">
      <c r="A10" t="s">
        <v>894</v>
      </c>
      <c r="B10" t="s">
        <v>972</v>
      </c>
      <c r="E10" s="97"/>
      <c r="F10" s="14"/>
      <c r="G10" s="59"/>
      <c r="H10" s="59"/>
      <c r="I10" s="59"/>
      <c r="J10" s="42"/>
      <c r="K10" s="42"/>
      <c r="L10" s="42"/>
      <c r="M10" s="47"/>
      <c r="N10" s="47"/>
      <c r="O10" s="46"/>
    </row>
    <row r="11" spans="1:16" x14ac:dyDescent="0.2">
      <c r="A11" t="s">
        <v>895</v>
      </c>
      <c r="B11" t="s">
        <v>1850</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0</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1858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tbl-adult-poormh-14ormore-percent</v>
      </c>
    </row>
    <row r="4" spans="1:16" x14ac:dyDescent="0.2">
      <c r="A4" s="58" t="s">
        <v>6</v>
      </c>
      <c r="B4" t="str">
        <f>IF($B$1="","",_xlfn.XLOOKUP($B$1,Master!$F$2:$F$308,Master!$H$2:$H$308,""))</f>
        <v>fig-adult-poormh-14ormore-percent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7"/>
      <c r="F6" s="85">
        <v>2016</v>
      </c>
      <c r="G6" s="75">
        <v>13.7</v>
      </c>
      <c r="H6" s="75">
        <v>11.8</v>
      </c>
      <c r="I6" s="75">
        <v>8.5</v>
      </c>
      <c r="J6" s="75">
        <v>8</v>
      </c>
      <c r="K6" s="75">
        <v>14.9</v>
      </c>
      <c r="L6" s="75">
        <v>12.3</v>
      </c>
      <c r="M6" s="71">
        <v>9.1</v>
      </c>
      <c r="N6" s="71">
        <v>10.6</v>
      </c>
      <c r="O6">
        <v>11.2</v>
      </c>
      <c r="P6">
        <v>10.7</v>
      </c>
    </row>
    <row r="7" spans="1:16" ht="15.75" customHeight="1" x14ac:dyDescent="0.2">
      <c r="E7" s="97"/>
      <c r="F7" s="63">
        <v>2018</v>
      </c>
      <c r="G7" s="59">
        <v>11.7</v>
      </c>
      <c r="H7" s="59">
        <v>8.6</v>
      </c>
      <c r="I7" s="59">
        <v>10</v>
      </c>
      <c r="J7" s="59">
        <v>9.1999999999999993</v>
      </c>
      <c r="K7" s="59">
        <v>11.2</v>
      </c>
      <c r="L7" s="59">
        <v>11.6</v>
      </c>
      <c r="M7" s="14">
        <v>8.9</v>
      </c>
      <c r="N7" s="14">
        <v>9.1</v>
      </c>
      <c r="O7">
        <v>11.8</v>
      </c>
      <c r="P7">
        <v>11.2</v>
      </c>
    </row>
    <row r="8" spans="1:16" x14ac:dyDescent="0.2">
      <c r="E8" s="97"/>
      <c r="F8" s="63">
        <v>2021</v>
      </c>
      <c r="G8" s="59">
        <v>10.7</v>
      </c>
      <c r="H8" s="59">
        <v>10.4</v>
      </c>
      <c r="I8" s="59">
        <v>17.399999999999999</v>
      </c>
      <c r="J8" s="59">
        <v>9.4</v>
      </c>
      <c r="K8" s="59">
        <v>16.3</v>
      </c>
      <c r="L8" s="59">
        <v>15.7</v>
      </c>
      <c r="M8" s="14">
        <v>10.4</v>
      </c>
      <c r="N8" s="14">
        <v>10.4</v>
      </c>
      <c r="O8">
        <v>13.2</v>
      </c>
      <c r="P8">
        <v>13.4</v>
      </c>
    </row>
    <row r="9" spans="1:16" x14ac:dyDescent="0.2">
      <c r="A9" s="98" t="s">
        <v>893</v>
      </c>
      <c r="B9" s="97"/>
      <c r="E9" s="97"/>
      <c r="G9" s="59"/>
      <c r="H9" s="59"/>
      <c r="I9" s="59"/>
      <c r="J9" s="59"/>
      <c r="K9" s="59"/>
      <c r="L9" s="59"/>
      <c r="M9" s="46"/>
      <c r="N9" s="46"/>
      <c r="O9" s="46"/>
    </row>
    <row r="10" spans="1:16" x14ac:dyDescent="0.2">
      <c r="A10" t="s">
        <v>894</v>
      </c>
      <c r="B10" t="s">
        <v>983</v>
      </c>
      <c r="E10" s="97"/>
      <c r="F10" s="14"/>
      <c r="G10" s="59"/>
      <c r="H10" s="59"/>
      <c r="I10" s="59"/>
      <c r="J10" s="42"/>
      <c r="K10" s="42"/>
      <c r="L10" s="42"/>
      <c r="M10" s="47"/>
      <c r="N10" s="47"/>
      <c r="O10" s="46"/>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694</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613</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tbl-adult-depressive-do-percent</v>
      </c>
    </row>
    <row r="4" spans="1:16" x14ac:dyDescent="0.2">
      <c r="A4" s="58" t="s">
        <v>6</v>
      </c>
      <c r="B4" t="str">
        <f>IF($B$1="","",_xlfn.XLOOKUP($B$1,Master!$F$2:$F$308,Master!$H$2:$H$308,""))</f>
        <v>fig-adult-depressive-do-percent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7"/>
      <c r="F6" s="85">
        <v>2016</v>
      </c>
      <c r="G6" s="75">
        <v>12.9</v>
      </c>
      <c r="H6" s="75">
        <v>9.4</v>
      </c>
      <c r="I6" s="75">
        <v>8</v>
      </c>
      <c r="J6" s="75">
        <v>8.3000000000000007</v>
      </c>
      <c r="K6" s="75">
        <v>19</v>
      </c>
      <c r="L6" s="75">
        <v>14.5</v>
      </c>
      <c r="M6" s="71">
        <v>10.7</v>
      </c>
      <c r="N6" s="71">
        <v>10.8</v>
      </c>
      <c r="O6">
        <v>13</v>
      </c>
      <c r="P6">
        <v>11.8</v>
      </c>
    </row>
    <row r="7" spans="1:16" ht="15.75" customHeight="1" x14ac:dyDescent="0.2">
      <c r="E7" s="97"/>
      <c r="F7" s="63">
        <v>2018</v>
      </c>
      <c r="G7" s="59">
        <v>16.8</v>
      </c>
      <c r="H7" s="59">
        <v>11.6</v>
      </c>
      <c r="I7" s="59">
        <v>10.4</v>
      </c>
      <c r="J7" s="59">
        <v>12.5</v>
      </c>
      <c r="K7" s="59">
        <v>23.5</v>
      </c>
      <c r="L7" s="59">
        <v>21.4</v>
      </c>
      <c r="M7" s="14">
        <v>13.2</v>
      </c>
      <c r="N7" s="14">
        <v>13.6</v>
      </c>
      <c r="O7">
        <v>16.600000000000001</v>
      </c>
      <c r="P7">
        <v>15.3</v>
      </c>
    </row>
    <row r="8" spans="1:16" x14ac:dyDescent="0.2">
      <c r="E8" s="97"/>
      <c r="F8" s="63">
        <v>2021</v>
      </c>
      <c r="G8" s="59">
        <v>19.5</v>
      </c>
      <c r="H8" s="59">
        <v>16.3</v>
      </c>
      <c r="I8" s="59">
        <v>16.600000000000001</v>
      </c>
      <c r="J8" s="59">
        <v>13.7</v>
      </c>
      <c r="K8" s="59">
        <v>19.7</v>
      </c>
      <c r="L8" s="59">
        <v>24.1</v>
      </c>
      <c r="M8" s="14">
        <v>12.4</v>
      </c>
      <c r="N8" s="14">
        <v>14.2</v>
      </c>
      <c r="O8">
        <v>18.7</v>
      </c>
      <c r="P8">
        <v>17.399999999999999</v>
      </c>
    </row>
    <row r="9" spans="1:16" x14ac:dyDescent="0.2">
      <c r="A9" s="98" t="s">
        <v>893</v>
      </c>
      <c r="B9" s="97"/>
      <c r="E9" s="97"/>
      <c r="G9" s="59"/>
      <c r="H9" s="59"/>
      <c r="I9" s="59"/>
      <c r="J9" s="59"/>
      <c r="K9" s="59"/>
      <c r="L9" s="59"/>
      <c r="M9" s="46"/>
      <c r="N9" s="46"/>
      <c r="O9" s="46"/>
    </row>
    <row r="10" spans="1:16" x14ac:dyDescent="0.2">
      <c r="A10" t="s">
        <v>894</v>
      </c>
      <c r="B10" t="s">
        <v>983</v>
      </c>
      <c r="E10" s="97"/>
      <c r="F10" s="14"/>
      <c r="G10" s="59"/>
      <c r="H10" s="59"/>
      <c r="I10" s="59"/>
      <c r="J10" s="42"/>
      <c r="K10" s="42"/>
      <c r="L10" s="42"/>
      <c r="M10" s="47"/>
      <c r="N10" s="47"/>
      <c r="O10" s="46"/>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694</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617</v>
      </c>
      <c r="C1" s="113"/>
      <c r="D1" s="113"/>
      <c r="E1" s="113"/>
      <c r="F1" s="113"/>
      <c r="G1" s="113"/>
      <c r="H1" s="113"/>
      <c r="I1" s="113"/>
      <c r="J1" s="113"/>
      <c r="K1" s="113"/>
      <c r="L1" s="113"/>
      <c r="M1" s="113"/>
      <c r="N1" s="113"/>
      <c r="O1" s="113"/>
    </row>
    <row r="2" spans="1:16" x14ac:dyDescent="0.2">
      <c r="A2" s="58" t="s">
        <v>883</v>
      </c>
      <c r="B2" t="s">
        <v>12</v>
      </c>
    </row>
    <row r="3" spans="1:16" x14ac:dyDescent="0.2">
      <c r="A3" s="58" t="s">
        <v>884</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8" t="s">
        <v>885</v>
      </c>
      <c r="B5" s="97"/>
      <c r="E5" s="99" t="s">
        <v>886</v>
      </c>
      <c r="F5" s="46" t="s">
        <v>1859</v>
      </c>
      <c r="G5" s="68" t="s">
        <v>1860</v>
      </c>
      <c r="H5" s="68"/>
      <c r="I5" s="68"/>
      <c r="J5" s="68"/>
      <c r="K5" s="68"/>
      <c r="L5" s="68"/>
      <c r="M5" s="46"/>
      <c r="N5" s="46"/>
      <c r="O5" s="46"/>
    </row>
    <row r="6" spans="1:16" ht="15" customHeight="1" x14ac:dyDescent="0.2">
      <c r="A6" t="s">
        <v>891</v>
      </c>
      <c r="B6" t="b">
        <v>0</v>
      </c>
      <c r="E6" s="97"/>
      <c r="F6" s="85" t="s">
        <v>1861</v>
      </c>
      <c r="G6" s="75" t="s">
        <v>1862</v>
      </c>
      <c r="H6" s="75"/>
      <c r="I6" s="75"/>
      <c r="J6" s="75"/>
      <c r="K6" s="75"/>
      <c r="L6" s="75"/>
      <c r="M6" s="71"/>
      <c r="N6" s="71"/>
    </row>
    <row r="7" spans="1:16" ht="15.75" customHeight="1" x14ac:dyDescent="0.2">
      <c r="E7" s="97"/>
      <c r="F7" s="63" t="s">
        <v>1863</v>
      </c>
      <c r="G7" s="59" t="s">
        <v>1862</v>
      </c>
      <c r="H7" s="59"/>
      <c r="I7" s="59"/>
      <c r="J7" s="59"/>
      <c r="K7" s="59"/>
      <c r="L7" s="59"/>
      <c r="M7" s="14"/>
      <c r="N7" s="14"/>
    </row>
    <row r="8" spans="1:16" x14ac:dyDescent="0.2">
      <c r="E8" s="97"/>
      <c r="F8" s="63" t="s">
        <v>1864</v>
      </c>
      <c r="G8" s="59" t="s">
        <v>1865</v>
      </c>
      <c r="H8" s="59"/>
      <c r="I8" s="59"/>
      <c r="J8" s="59"/>
      <c r="K8" s="59"/>
      <c r="L8" s="59"/>
      <c r="M8" s="14"/>
      <c r="N8" s="14"/>
    </row>
    <row r="9" spans="1:16" x14ac:dyDescent="0.2">
      <c r="A9" s="98" t="s">
        <v>893</v>
      </c>
      <c r="B9" s="97"/>
      <c r="E9" s="97"/>
      <c r="G9" s="59"/>
      <c r="H9" s="59"/>
      <c r="I9" s="59"/>
      <c r="J9" s="59"/>
      <c r="K9" s="59"/>
      <c r="L9" s="59"/>
      <c r="M9" s="46"/>
      <c r="N9" s="46"/>
      <c r="O9" s="46"/>
    </row>
    <row r="10" spans="1:16" x14ac:dyDescent="0.2">
      <c r="A10" t="s">
        <v>894</v>
      </c>
      <c r="E10" s="97"/>
      <c r="F10" s="14"/>
      <c r="G10" s="59"/>
      <c r="H10" s="59"/>
      <c r="I10" s="59"/>
      <c r="J10" s="42"/>
      <c r="K10" s="42"/>
      <c r="L10" s="42"/>
      <c r="M10" s="47"/>
      <c r="N10" s="47"/>
      <c r="O10" s="46"/>
    </row>
    <row r="11" spans="1:16" x14ac:dyDescent="0.2">
      <c r="A11" t="s">
        <v>895</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E14" s="97"/>
      <c r="F14" s="68"/>
      <c r="G14" s="68"/>
      <c r="H14" s="68"/>
      <c r="I14" s="46"/>
      <c r="J14" s="47"/>
      <c r="K14" s="47"/>
      <c r="L14" s="47"/>
      <c r="M14" s="47"/>
      <c r="N14" s="47"/>
      <c r="O14" s="46"/>
    </row>
    <row r="15" spans="1:16" x14ac:dyDescent="0.2">
      <c r="A15" t="s">
        <v>901</v>
      </c>
      <c r="E15" s="97"/>
      <c r="G15" s="68"/>
      <c r="H15" s="68"/>
      <c r="I15" s="46"/>
      <c r="J15" s="47"/>
      <c r="K15" s="47"/>
      <c r="L15" s="47"/>
      <c r="M15" s="47"/>
      <c r="N15" s="47"/>
      <c r="O15" s="46"/>
    </row>
    <row r="16" spans="1:16" x14ac:dyDescent="0.2">
      <c r="A16" t="s">
        <v>1146</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622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tbl-adult-currsmoke-percent</v>
      </c>
    </row>
    <row r="4" spans="1:16" x14ac:dyDescent="0.2">
      <c r="A4" s="58" t="s">
        <v>6</v>
      </c>
      <c r="B4" t="str">
        <f>IF($B$1="","",_xlfn.XLOOKUP($B$1,Master!$F$2:$F$308,Master!$H$2:$H$308,""))</f>
        <v>fig-adult-currsmoke-percent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7"/>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7"/>
      <c r="F7" s="63">
        <v>2018</v>
      </c>
      <c r="G7" s="59">
        <v>12.2</v>
      </c>
      <c r="H7" s="59">
        <v>11.7</v>
      </c>
      <c r="I7" s="59">
        <v>9</v>
      </c>
      <c r="J7" s="59">
        <v>7.6</v>
      </c>
      <c r="K7" s="59">
        <v>21.6</v>
      </c>
      <c r="L7" s="59">
        <v>14.7</v>
      </c>
      <c r="M7" s="14">
        <v>7.4</v>
      </c>
      <c r="N7" s="14">
        <v>10.199999999999999</v>
      </c>
      <c r="O7">
        <v>14.7</v>
      </c>
      <c r="P7">
        <v>13.2</v>
      </c>
    </row>
    <row r="8" spans="1:16" x14ac:dyDescent="0.2">
      <c r="E8" s="97"/>
      <c r="F8" s="63">
        <v>2021</v>
      </c>
      <c r="G8" s="59">
        <v>17.399999999999999</v>
      </c>
      <c r="H8" s="59">
        <v>12</v>
      </c>
      <c r="I8" s="59">
        <v>16.7</v>
      </c>
      <c r="J8" s="59">
        <v>14</v>
      </c>
      <c r="K8" s="59">
        <v>13.3</v>
      </c>
      <c r="L8" s="59">
        <v>12.7</v>
      </c>
      <c r="M8" s="14">
        <v>6.3</v>
      </c>
      <c r="N8" s="14">
        <v>11.1</v>
      </c>
      <c r="O8">
        <v>14.1</v>
      </c>
      <c r="P8">
        <v>12.5</v>
      </c>
    </row>
    <row r="9" spans="1:16" x14ac:dyDescent="0.2">
      <c r="A9" s="98" t="s">
        <v>893</v>
      </c>
      <c r="B9" s="97"/>
      <c r="E9" s="97"/>
      <c r="G9" s="59"/>
      <c r="H9" s="59"/>
      <c r="I9" s="59"/>
      <c r="J9" s="59"/>
      <c r="K9" s="59"/>
      <c r="L9" s="59"/>
      <c r="M9" s="46"/>
      <c r="N9" s="46"/>
      <c r="O9" s="46"/>
    </row>
    <row r="10" spans="1:16" x14ac:dyDescent="0.2">
      <c r="A10" t="s">
        <v>894</v>
      </c>
      <c r="B10" t="s">
        <v>983</v>
      </c>
      <c r="E10" s="97"/>
      <c r="F10" s="14"/>
      <c r="G10" s="59"/>
      <c r="H10" s="59"/>
      <c r="I10" s="59"/>
      <c r="J10" s="42"/>
      <c r="K10" s="42"/>
      <c r="L10" s="42"/>
      <c r="M10" s="47"/>
      <c r="N10" s="47"/>
      <c r="O10" s="46"/>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694</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624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tbl-adult-bingedrink-percent</v>
      </c>
    </row>
    <row r="4" spans="1:16" x14ac:dyDescent="0.2">
      <c r="A4" s="58" t="s">
        <v>6</v>
      </c>
      <c r="B4" t="str">
        <f>IF($B$1="","",_xlfn.XLOOKUP($B$1,Master!$F$2:$F$308,Master!$H$2:$H$308,""))</f>
        <v>fig-adult-bingedrink-percent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7"/>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7"/>
      <c r="F7" s="63">
        <v>2018</v>
      </c>
      <c r="G7" s="59">
        <v>20.7</v>
      </c>
      <c r="H7" s="59">
        <v>16.100000000000001</v>
      </c>
      <c r="I7" s="59">
        <v>14.1</v>
      </c>
      <c r="J7" s="59">
        <v>12.6</v>
      </c>
      <c r="K7" s="59">
        <v>22.1</v>
      </c>
      <c r="L7" s="59">
        <v>18.5</v>
      </c>
      <c r="M7" s="14">
        <v>16.7</v>
      </c>
      <c r="N7" s="14">
        <v>16.100000000000001</v>
      </c>
      <c r="O7">
        <v>18.399999999999999</v>
      </c>
      <c r="P7">
        <v>17.5</v>
      </c>
    </row>
    <row r="8" spans="1:16" x14ac:dyDescent="0.2">
      <c r="E8" s="97"/>
      <c r="F8" s="63">
        <v>2021</v>
      </c>
      <c r="G8" s="59">
        <v>15.1</v>
      </c>
      <c r="H8" s="59">
        <v>13.8</v>
      </c>
      <c r="I8" s="59">
        <v>18.7</v>
      </c>
      <c r="J8" s="59">
        <v>12.2</v>
      </c>
      <c r="K8" s="59">
        <v>17.8</v>
      </c>
      <c r="L8" s="59">
        <v>13.9</v>
      </c>
      <c r="M8" s="14">
        <v>13</v>
      </c>
      <c r="N8" s="14">
        <v>13.1</v>
      </c>
      <c r="O8">
        <v>16.100000000000001</v>
      </c>
      <c r="P8" s="14">
        <v>16</v>
      </c>
    </row>
    <row r="9" spans="1:16" x14ac:dyDescent="0.2">
      <c r="A9" s="98" t="s">
        <v>893</v>
      </c>
      <c r="B9" s="97"/>
      <c r="E9" s="97"/>
      <c r="G9" s="59"/>
      <c r="H9" s="59"/>
      <c r="I9" s="59"/>
      <c r="J9" s="59"/>
      <c r="K9" s="59"/>
      <c r="L9" s="59"/>
      <c r="M9" s="46"/>
      <c r="N9" s="46"/>
      <c r="O9" s="46"/>
    </row>
    <row r="10" spans="1:16" x14ac:dyDescent="0.2">
      <c r="A10" t="s">
        <v>894</v>
      </c>
      <c r="B10" t="s">
        <v>983</v>
      </c>
      <c r="E10" s="97"/>
      <c r="F10" s="14"/>
      <c r="G10" s="59"/>
      <c r="H10" s="59"/>
      <c r="I10" s="59"/>
      <c r="J10" s="42"/>
      <c r="K10" s="42"/>
      <c r="L10" s="42"/>
      <c r="M10" s="47"/>
      <c r="N10" s="47"/>
      <c r="O10" s="46"/>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694</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628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tbl-ed-visit-opioid-aar</v>
      </c>
    </row>
    <row r="4" spans="1:16" x14ac:dyDescent="0.2">
      <c r="A4" s="58" t="s">
        <v>6</v>
      </c>
      <c r="B4" t="str">
        <f>IF($B$1="","",_xlfn.XLOOKUP($B$1,Master!$F$2:$F$308,Master!$H$2:$H$308,""))</f>
        <v>fig-ed-visit-opioid-aar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7"/>
      <c r="F6" s="85">
        <v>2019</v>
      </c>
      <c r="G6" s="75">
        <v>98.8</v>
      </c>
      <c r="H6" s="75">
        <v>62.8</v>
      </c>
      <c r="I6" s="75">
        <v>51.6</v>
      </c>
      <c r="J6" s="75">
        <v>29.1</v>
      </c>
      <c r="K6" s="75">
        <v>84.8</v>
      </c>
      <c r="L6" s="75">
        <v>94.1</v>
      </c>
      <c r="M6" s="71">
        <v>35.200000000000003</v>
      </c>
      <c r="N6" s="71">
        <v>53.7</v>
      </c>
      <c r="O6">
        <v>66.7</v>
      </c>
      <c r="P6">
        <v>54.1</v>
      </c>
    </row>
    <row r="7" spans="1:16" ht="15.75" customHeight="1" x14ac:dyDescent="0.2">
      <c r="E7" s="97"/>
      <c r="F7" s="63">
        <v>2020</v>
      </c>
      <c r="G7" s="59">
        <v>88.9</v>
      </c>
      <c r="H7" s="59">
        <v>82.7</v>
      </c>
      <c r="I7" s="59">
        <v>55.7</v>
      </c>
      <c r="J7" s="59">
        <v>38.700000000000003</v>
      </c>
      <c r="K7" s="59">
        <v>154.30000000000001</v>
      </c>
      <c r="L7" s="59">
        <v>127.2</v>
      </c>
      <c r="M7" s="14">
        <v>34.1</v>
      </c>
      <c r="N7" s="14">
        <v>61.8</v>
      </c>
      <c r="O7">
        <v>74.3</v>
      </c>
      <c r="P7">
        <v>61</v>
      </c>
    </row>
    <row r="8" spans="1:16" x14ac:dyDescent="0.2">
      <c r="E8" s="97"/>
      <c r="F8" s="63">
        <v>2021</v>
      </c>
      <c r="G8" s="59">
        <v>83.9</v>
      </c>
      <c r="H8" s="59">
        <v>64</v>
      </c>
      <c r="I8" s="59">
        <v>60.9</v>
      </c>
      <c r="J8" s="59">
        <v>36.1</v>
      </c>
      <c r="K8" s="59">
        <v>136.9</v>
      </c>
      <c r="L8" s="59">
        <v>113.9</v>
      </c>
      <c r="M8" s="14">
        <v>39.4</v>
      </c>
      <c r="N8" s="14">
        <v>58.8</v>
      </c>
      <c r="O8">
        <v>73.099999999999994</v>
      </c>
      <c r="P8" s="14">
        <v>67.2</v>
      </c>
    </row>
    <row r="9" spans="1:16" x14ac:dyDescent="0.2">
      <c r="A9" s="98" t="s">
        <v>893</v>
      </c>
      <c r="B9" s="97"/>
      <c r="E9" s="97"/>
      <c r="F9">
        <v>2022</v>
      </c>
      <c r="G9" s="59">
        <v>77.900000000000006</v>
      </c>
      <c r="H9" s="59">
        <v>64.5</v>
      </c>
      <c r="I9" s="59">
        <v>40.1</v>
      </c>
      <c r="J9" s="59">
        <v>28.4</v>
      </c>
      <c r="K9" s="59">
        <v>123.9</v>
      </c>
      <c r="L9" s="59">
        <v>80.400000000000006</v>
      </c>
      <c r="M9" s="46" t="s">
        <v>1866</v>
      </c>
      <c r="N9" s="46" t="s">
        <v>1867</v>
      </c>
      <c r="O9" s="46" t="s">
        <v>1868</v>
      </c>
      <c r="P9">
        <v>67.099999999999994</v>
      </c>
    </row>
    <row r="10" spans="1:16" x14ac:dyDescent="0.2">
      <c r="A10" t="s">
        <v>894</v>
      </c>
      <c r="B10" t="s">
        <v>972</v>
      </c>
      <c r="E10" s="97"/>
      <c r="F10" s="14"/>
      <c r="G10" s="59"/>
      <c r="H10" s="59"/>
      <c r="I10" s="59"/>
      <c r="J10" s="42"/>
      <c r="K10" s="42"/>
      <c r="L10" s="42"/>
      <c r="M10" s="47"/>
      <c r="N10" s="47"/>
      <c r="O10" s="46"/>
    </row>
    <row r="11" spans="1:16" x14ac:dyDescent="0.2">
      <c r="A11" t="s">
        <v>895</v>
      </c>
      <c r="B11" t="s">
        <v>973</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629</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tbl-hospital-dc-opioid-aar</v>
      </c>
    </row>
    <row r="4" spans="1:16" x14ac:dyDescent="0.2">
      <c r="A4" s="58" t="s">
        <v>6</v>
      </c>
      <c r="B4" t="str">
        <f>IF($B$1="","",_xlfn.XLOOKUP($B$1,Master!$F$2:$F$308,Master!$H$2:$H$308,""))</f>
        <v>fig-hospital-dc-opioid-aar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s="47" t="s">
        <v>887</v>
      </c>
      <c r="G5" s="47" t="s">
        <v>220</v>
      </c>
      <c r="H5" s="47" t="s">
        <v>18</v>
      </c>
      <c r="I5" s="47" t="s">
        <v>537</v>
      </c>
      <c r="J5" s="47" t="s">
        <v>449</v>
      </c>
      <c r="K5" s="47" t="s">
        <v>409</v>
      </c>
      <c r="L5" s="47" t="s">
        <v>421</v>
      </c>
      <c r="M5" s="47" t="s">
        <v>470</v>
      </c>
      <c r="N5" s="47" t="s">
        <v>898</v>
      </c>
      <c r="O5" s="47" t="s">
        <v>914</v>
      </c>
      <c r="P5" s="60" t="s">
        <v>915</v>
      </c>
    </row>
    <row r="6" spans="1:16" ht="15" customHeight="1" x14ac:dyDescent="0.2">
      <c r="A6" t="s">
        <v>891</v>
      </c>
      <c r="B6" t="b">
        <v>0</v>
      </c>
      <c r="E6" s="97"/>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7"/>
      <c r="F7" s="91">
        <v>2020</v>
      </c>
      <c r="G7" s="42">
        <v>17.3</v>
      </c>
      <c r="H7" s="42">
        <v>15</v>
      </c>
      <c r="I7" s="42">
        <v>13.7</v>
      </c>
      <c r="J7" s="42">
        <v>10</v>
      </c>
      <c r="K7" s="42">
        <v>28.1</v>
      </c>
      <c r="L7" s="42">
        <v>16</v>
      </c>
      <c r="M7" s="42">
        <v>10.1</v>
      </c>
      <c r="N7" s="42">
        <v>13</v>
      </c>
      <c r="O7" s="60">
        <v>14.3</v>
      </c>
      <c r="P7" s="60">
        <v>14.9</v>
      </c>
    </row>
    <row r="8" spans="1:16" x14ac:dyDescent="0.2">
      <c r="E8" s="97"/>
      <c r="F8" s="91">
        <v>2021</v>
      </c>
      <c r="G8" s="42">
        <v>17</v>
      </c>
      <c r="H8" s="42">
        <v>11.5</v>
      </c>
      <c r="I8" s="42" t="s">
        <v>1869</v>
      </c>
      <c r="J8" s="42">
        <v>8.5</v>
      </c>
      <c r="K8" s="42">
        <v>22</v>
      </c>
      <c r="L8" s="42">
        <v>19.2</v>
      </c>
      <c r="M8" s="42">
        <v>11.9</v>
      </c>
      <c r="N8" s="42">
        <v>12.9</v>
      </c>
      <c r="O8" s="60">
        <v>13.7</v>
      </c>
      <c r="P8" s="42">
        <v>15.2</v>
      </c>
    </row>
    <row r="9" spans="1:16" x14ac:dyDescent="0.2">
      <c r="A9" s="98" t="s">
        <v>893</v>
      </c>
      <c r="B9" s="97"/>
      <c r="E9" s="97"/>
      <c r="F9" s="60">
        <v>2022</v>
      </c>
      <c r="G9" s="42">
        <v>13.9</v>
      </c>
      <c r="H9" s="42">
        <v>13</v>
      </c>
      <c r="I9" s="42">
        <v>9.9</v>
      </c>
      <c r="J9" s="42">
        <v>9.6</v>
      </c>
      <c r="K9" s="42">
        <v>16.600000000000001</v>
      </c>
      <c r="L9" s="42">
        <v>14.7</v>
      </c>
      <c r="M9" s="47" t="s">
        <v>1481</v>
      </c>
      <c r="N9" s="47" t="s">
        <v>1870</v>
      </c>
      <c r="O9" s="47" t="s">
        <v>1871</v>
      </c>
      <c r="P9" s="60">
        <v>15.8</v>
      </c>
    </row>
    <row r="10" spans="1:16" x14ac:dyDescent="0.2">
      <c r="A10" t="s">
        <v>894</v>
      </c>
      <c r="B10" t="s">
        <v>972</v>
      </c>
      <c r="E10" s="97"/>
      <c r="F10" s="14"/>
      <c r="G10" s="59"/>
      <c r="H10" s="59"/>
      <c r="I10" s="59"/>
      <c r="J10" s="42"/>
      <c r="K10" s="42"/>
      <c r="L10" s="42"/>
      <c r="M10" s="47"/>
      <c r="N10" s="47"/>
      <c r="O10" s="46"/>
    </row>
    <row r="11" spans="1:16" x14ac:dyDescent="0.2">
      <c r="A11" t="s">
        <v>895</v>
      </c>
      <c r="B11" t="s">
        <v>973</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630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tbl-treat-prog-opioid-crude</v>
      </c>
    </row>
    <row r="4" spans="1:16" x14ac:dyDescent="0.2">
      <c r="A4" s="58" t="s">
        <v>6</v>
      </c>
      <c r="B4" t="str">
        <f>IF($B$1="","",_xlfn.XLOOKUP($B$1,Master!$F$2:$F$308,Master!$H$2:$H$308,""))</f>
        <v>fig-treat-prog-opioid-crude</v>
      </c>
      <c r="E4" s="13"/>
      <c r="F4" s="16" t="s">
        <v>664</v>
      </c>
      <c r="G4" s="16" t="s">
        <v>679</v>
      </c>
      <c r="H4" s="16" t="s">
        <v>679</v>
      </c>
      <c r="I4" s="16" t="s">
        <v>679</v>
      </c>
      <c r="J4" s="16" t="s">
        <v>679</v>
      </c>
      <c r="K4" s="16" t="s">
        <v>679</v>
      </c>
      <c r="L4" s="16" t="s">
        <v>679</v>
      </c>
      <c r="M4" s="16" t="s">
        <v>679</v>
      </c>
      <c r="N4" s="16"/>
      <c r="O4" s="16"/>
      <c r="P4" s="16"/>
    </row>
    <row r="5" spans="1:16" x14ac:dyDescent="0.2">
      <c r="A5" s="98" t="s">
        <v>885</v>
      </c>
      <c r="B5" s="97"/>
      <c r="E5" s="99" t="s">
        <v>886</v>
      </c>
      <c r="F5" s="46" t="s">
        <v>973</v>
      </c>
      <c r="G5" s="68" t="s">
        <v>220</v>
      </c>
      <c r="H5" s="68" t="s">
        <v>18</v>
      </c>
      <c r="I5" s="68" t="s">
        <v>537</v>
      </c>
      <c r="J5" s="68" t="s">
        <v>449</v>
      </c>
      <c r="K5" s="68" t="s">
        <v>409</v>
      </c>
      <c r="L5" s="68" t="s">
        <v>421</v>
      </c>
      <c r="M5" s="46" t="s">
        <v>470</v>
      </c>
      <c r="N5" s="46"/>
      <c r="O5" s="46"/>
    </row>
    <row r="6" spans="1:16" ht="15" customHeight="1" x14ac:dyDescent="0.2">
      <c r="A6" t="s">
        <v>891</v>
      </c>
      <c r="B6" t="b">
        <v>0</v>
      </c>
      <c r="E6" s="97"/>
      <c r="F6" s="85">
        <v>2020</v>
      </c>
      <c r="G6" s="75">
        <v>459.9</v>
      </c>
      <c r="H6" s="75">
        <v>405.4</v>
      </c>
      <c r="I6" s="75">
        <v>248.8</v>
      </c>
      <c r="J6" s="75">
        <v>188.9</v>
      </c>
      <c r="K6" s="75">
        <v>693.2</v>
      </c>
      <c r="L6" s="75">
        <v>487.8</v>
      </c>
      <c r="M6" s="71">
        <v>255.1</v>
      </c>
      <c r="N6" s="71"/>
    </row>
    <row r="7" spans="1:16" ht="15.75" customHeight="1" x14ac:dyDescent="0.2">
      <c r="E7" s="97"/>
      <c r="F7" s="63">
        <v>2021</v>
      </c>
      <c r="G7" s="59">
        <v>475</v>
      </c>
      <c r="H7" s="59">
        <v>393.7</v>
      </c>
      <c r="I7" s="59">
        <v>252.1</v>
      </c>
      <c r="J7" s="59">
        <v>197.9</v>
      </c>
      <c r="K7" s="59">
        <v>710.7</v>
      </c>
      <c r="L7" s="59">
        <v>531.20000000000005</v>
      </c>
      <c r="M7" s="14">
        <v>251.9</v>
      </c>
      <c r="N7" s="14"/>
    </row>
    <row r="8" spans="1:16" x14ac:dyDescent="0.2">
      <c r="E8" s="97"/>
      <c r="F8" s="63">
        <v>2022</v>
      </c>
      <c r="G8" s="59">
        <v>460.8</v>
      </c>
      <c r="H8" s="59">
        <v>366.9</v>
      </c>
      <c r="I8" s="59">
        <v>250.1</v>
      </c>
      <c r="J8" s="59">
        <v>188.2</v>
      </c>
      <c r="K8" s="59">
        <v>777.4</v>
      </c>
      <c r="L8" s="59">
        <v>516</v>
      </c>
      <c r="M8" s="14">
        <v>244.4</v>
      </c>
      <c r="N8" s="14"/>
      <c r="P8" s="14"/>
    </row>
    <row r="9" spans="1:16" x14ac:dyDescent="0.2">
      <c r="A9" s="98" t="s">
        <v>893</v>
      </c>
      <c r="B9" s="97"/>
      <c r="E9" s="97"/>
      <c r="F9">
        <v>2023</v>
      </c>
      <c r="G9" s="59">
        <v>447.6</v>
      </c>
      <c r="H9" s="59">
        <v>333.5</v>
      </c>
      <c r="I9" s="59">
        <v>224.5</v>
      </c>
      <c r="J9" s="59">
        <v>190.9</v>
      </c>
      <c r="K9" s="59">
        <v>778.3</v>
      </c>
      <c r="L9" s="59">
        <v>496.4</v>
      </c>
      <c r="M9" s="46" t="s">
        <v>1872</v>
      </c>
      <c r="N9" s="46"/>
      <c r="O9" s="46"/>
    </row>
    <row r="10" spans="1:16" x14ac:dyDescent="0.2">
      <c r="A10" t="s">
        <v>894</v>
      </c>
      <c r="B10" t="s">
        <v>972</v>
      </c>
      <c r="E10" s="97"/>
      <c r="F10" s="14"/>
      <c r="G10" s="59"/>
      <c r="H10" s="59"/>
      <c r="I10" s="59"/>
      <c r="J10" s="42"/>
      <c r="K10" s="42"/>
      <c r="L10" s="42"/>
      <c r="M10" s="47"/>
      <c r="N10" s="47"/>
      <c r="O10" s="46"/>
    </row>
    <row r="11" spans="1:16" x14ac:dyDescent="0.2">
      <c r="A11" t="s">
        <v>895</v>
      </c>
      <c r="B11" t="s">
        <v>973</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625</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tbl-oddeath-anydrug-crude-rate</v>
      </c>
    </row>
    <row r="4" spans="1:16" x14ac:dyDescent="0.2">
      <c r="A4" s="58" t="s">
        <v>6</v>
      </c>
      <c r="B4" t="str">
        <f>IF($B$1="","",_xlfn.XLOOKUP($B$1,Master!$F$2:$F$308,Master!$H$2:$H$308,""))</f>
        <v>fig-oddeath-anydrug-crude-rate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7"/>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7"/>
      <c r="F7" s="63">
        <v>2020</v>
      </c>
      <c r="G7" s="59">
        <v>35.700000000000003</v>
      </c>
      <c r="H7" s="59">
        <v>26.9</v>
      </c>
      <c r="I7" s="59">
        <v>18.2</v>
      </c>
      <c r="J7" s="59">
        <v>12.9</v>
      </c>
      <c r="K7" s="59">
        <v>63.7</v>
      </c>
      <c r="L7" s="59">
        <v>31.4</v>
      </c>
      <c r="M7" s="14">
        <v>13.8</v>
      </c>
      <c r="N7" s="14">
        <v>21.8</v>
      </c>
      <c r="O7">
        <v>22.7</v>
      </c>
      <c r="P7">
        <v>21.5</v>
      </c>
    </row>
    <row r="8" spans="1:16" x14ac:dyDescent="0.2">
      <c r="E8" s="97"/>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8" t="s">
        <v>893</v>
      </c>
      <c r="B9" s="97"/>
      <c r="E9" s="97"/>
      <c r="F9">
        <v>2022</v>
      </c>
      <c r="G9" s="59">
        <v>39.299999999999997</v>
      </c>
      <c r="H9" s="59">
        <v>30.5</v>
      </c>
      <c r="I9" s="59">
        <v>22.4</v>
      </c>
      <c r="J9" s="59">
        <v>12.9</v>
      </c>
      <c r="K9" s="59">
        <v>61.5</v>
      </c>
      <c r="L9" s="59">
        <v>35.700000000000003</v>
      </c>
      <c r="M9" s="46" t="s">
        <v>1873</v>
      </c>
      <c r="N9" s="46" t="s">
        <v>1874</v>
      </c>
      <c r="O9" s="46" t="s">
        <v>1875</v>
      </c>
      <c r="P9">
        <v>27.4</v>
      </c>
    </row>
    <row r="10" spans="1:16" x14ac:dyDescent="0.2">
      <c r="A10" t="s">
        <v>894</v>
      </c>
      <c r="B10" t="s">
        <v>972</v>
      </c>
      <c r="E10" s="97"/>
      <c r="F10" s="14"/>
      <c r="G10" s="59"/>
      <c r="H10" s="59"/>
      <c r="I10" s="59"/>
      <c r="J10" s="42"/>
      <c r="K10" s="42"/>
      <c r="L10" s="42"/>
      <c r="M10" s="47"/>
      <c r="N10" s="47"/>
      <c r="O10" s="46"/>
    </row>
    <row r="11" spans="1:16" x14ac:dyDescent="0.2">
      <c r="A11" t="s">
        <v>895</v>
      </c>
      <c r="B11" t="s">
        <v>1876</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636</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tbl-OD-multiple-opioid-aar</v>
      </c>
    </row>
    <row r="4" spans="1:16" x14ac:dyDescent="0.2">
      <c r="A4" s="58" t="s">
        <v>6</v>
      </c>
      <c r="B4" t="str">
        <f>IF($B$1="","",_xlfn.XLOOKUP($B$1,Master!$F$2:$F$308,Master!$H$2:$H$308,""))</f>
        <v>fig-OD-multiple-opioid-aar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s="46"/>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7"/>
      <c r="F6" s="85" t="s">
        <v>1878</v>
      </c>
      <c r="G6" s="75">
        <v>39.6</v>
      </c>
      <c r="H6" s="75">
        <v>31.1</v>
      </c>
      <c r="I6" s="75">
        <v>19.8</v>
      </c>
      <c r="J6" s="75">
        <v>14.2</v>
      </c>
      <c r="K6" s="75">
        <v>62.5</v>
      </c>
      <c r="L6" s="75">
        <v>34.700000000000003</v>
      </c>
      <c r="M6" s="71">
        <v>15.5</v>
      </c>
      <c r="N6" s="71">
        <v>24.1</v>
      </c>
      <c r="O6">
        <v>27.3</v>
      </c>
      <c r="P6">
        <v>26.3</v>
      </c>
    </row>
    <row r="7" spans="1:16" ht="15.75" customHeight="1" x14ac:dyDescent="0.2">
      <c r="E7" s="97"/>
      <c r="F7" s="63" t="s">
        <v>1879</v>
      </c>
      <c r="G7" s="59">
        <v>3.5</v>
      </c>
      <c r="H7" s="59">
        <v>5.9</v>
      </c>
      <c r="I7" s="59">
        <v>2.2000000000000002</v>
      </c>
      <c r="J7" s="59">
        <v>2.2000000000000002</v>
      </c>
      <c r="K7" s="59">
        <v>10.1</v>
      </c>
      <c r="L7" s="59">
        <v>2.8</v>
      </c>
      <c r="M7" s="14">
        <v>2</v>
      </c>
      <c r="N7" s="14">
        <v>3.1</v>
      </c>
      <c r="O7">
        <v>2</v>
      </c>
      <c r="P7">
        <v>4.2</v>
      </c>
    </row>
    <row r="8" spans="1:16" x14ac:dyDescent="0.2">
      <c r="E8" s="97"/>
      <c r="F8" s="63" t="s">
        <v>1880</v>
      </c>
      <c r="G8" s="59">
        <v>37.200000000000003</v>
      </c>
      <c r="H8" s="59">
        <v>28</v>
      </c>
      <c r="I8" s="59">
        <v>18</v>
      </c>
      <c r="J8" s="59">
        <v>12.6</v>
      </c>
      <c r="K8" s="59">
        <v>58.1</v>
      </c>
      <c r="L8" s="59">
        <v>32.6</v>
      </c>
      <c r="M8" s="14">
        <v>13.8</v>
      </c>
      <c r="N8" s="14">
        <v>22</v>
      </c>
      <c r="O8">
        <v>25.4</v>
      </c>
      <c r="P8" s="14">
        <v>24.8</v>
      </c>
    </row>
    <row r="9" spans="1:16" x14ac:dyDescent="0.2">
      <c r="A9" s="98" t="s">
        <v>893</v>
      </c>
      <c r="B9" s="97"/>
      <c r="E9" s="97"/>
      <c r="G9" s="59"/>
      <c r="H9" s="59"/>
      <c r="I9" s="59"/>
      <c r="J9" s="59"/>
      <c r="K9" s="59"/>
      <c r="L9" s="59"/>
      <c r="M9" s="46"/>
      <c r="N9" s="46"/>
      <c r="O9" s="46"/>
    </row>
    <row r="10" spans="1:16" x14ac:dyDescent="0.2">
      <c r="A10" t="s">
        <v>894</v>
      </c>
      <c r="B10" t="s">
        <v>983</v>
      </c>
      <c r="E10" s="97"/>
      <c r="F10" s="14"/>
      <c r="G10" s="59"/>
      <c r="H10" s="59"/>
      <c r="I10" s="59"/>
      <c r="J10" s="42"/>
      <c r="K10" s="42"/>
      <c r="L10" s="42"/>
      <c r="M10" s="47"/>
      <c r="N10" s="47"/>
      <c r="O10" s="46"/>
    </row>
    <row r="11" spans="1:16" x14ac:dyDescent="0.2">
      <c r="A11" t="s">
        <v>895</v>
      </c>
      <c r="B11" t="s">
        <v>1877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1856</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tbl-18to64-anyop-od-crude</v>
      </c>
    </row>
    <row r="4" spans="1:16" x14ac:dyDescent="0.2">
      <c r="A4" s="58" t="s">
        <v>6</v>
      </c>
      <c r="B4" t="str">
        <f>IF($B$1="","",_xlfn.XLOOKUP($B$1,Master!$F$2:$F$308,Master!$H$2:$H$308,""))</f>
        <v>fig-18to64-anyop-od-crude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s="46" t="s">
        <v>1882</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7"/>
      <c r="F6" s="85" t="s">
        <v>1883</v>
      </c>
      <c r="G6" s="75">
        <v>63.1</v>
      </c>
      <c r="H6" s="75">
        <v>42</v>
      </c>
      <c r="I6" s="75">
        <v>31.9</v>
      </c>
      <c r="J6" s="75">
        <v>21.2</v>
      </c>
      <c r="K6" s="75">
        <v>99.9</v>
      </c>
      <c r="L6" s="75">
        <v>51.6</v>
      </c>
      <c r="M6" s="71">
        <v>24.4</v>
      </c>
      <c r="N6" s="71">
        <v>36.9</v>
      </c>
      <c r="O6">
        <v>42.4</v>
      </c>
      <c r="P6">
        <v>36.700000000000003</v>
      </c>
    </row>
    <row r="7" spans="1:16" ht="15.75" customHeight="1" x14ac:dyDescent="0.2">
      <c r="E7" s="97"/>
      <c r="F7" s="63" t="s">
        <v>1884</v>
      </c>
      <c r="G7" s="59">
        <v>55.4</v>
      </c>
      <c r="H7" s="59">
        <v>51</v>
      </c>
      <c r="I7" s="59">
        <v>34.4</v>
      </c>
      <c r="J7" s="59">
        <v>24.6</v>
      </c>
      <c r="K7" s="59">
        <v>89.3</v>
      </c>
      <c r="L7" s="59">
        <v>53.6</v>
      </c>
      <c r="M7" s="14">
        <v>22.7</v>
      </c>
      <c r="N7" s="14">
        <v>37</v>
      </c>
      <c r="O7">
        <v>39.200000000000003</v>
      </c>
      <c r="P7">
        <v>46.9</v>
      </c>
    </row>
    <row r="8" spans="1:16" x14ac:dyDescent="0.2">
      <c r="E8" s="97"/>
      <c r="F8" s="63"/>
      <c r="G8" s="59"/>
      <c r="H8" s="59"/>
      <c r="I8" s="59"/>
      <c r="J8" s="59"/>
      <c r="K8" s="59"/>
      <c r="L8" s="59"/>
      <c r="M8" s="14"/>
      <c r="N8" s="14"/>
      <c r="P8" s="14"/>
    </row>
    <row r="9" spans="1:16" x14ac:dyDescent="0.2">
      <c r="A9" s="98" t="s">
        <v>893</v>
      </c>
      <c r="B9" s="97"/>
      <c r="E9" s="97"/>
      <c r="G9" s="59"/>
      <c r="H9" s="59"/>
      <c r="I9" s="59"/>
      <c r="J9" s="59"/>
      <c r="K9" s="59"/>
      <c r="L9" s="59"/>
      <c r="M9" s="46"/>
      <c r="N9" s="46"/>
      <c r="O9" s="46"/>
    </row>
    <row r="10" spans="1:16" x14ac:dyDescent="0.2">
      <c r="A10" t="s">
        <v>894</v>
      </c>
      <c r="B10" t="s">
        <v>983</v>
      </c>
      <c r="E10" s="97"/>
      <c r="F10" s="14"/>
      <c r="G10" s="59"/>
      <c r="H10" s="59"/>
      <c r="I10" s="59"/>
      <c r="J10" s="42"/>
      <c r="K10" s="42"/>
      <c r="L10" s="42"/>
      <c r="M10" s="47"/>
      <c r="N10" s="47"/>
      <c r="O10" s="46"/>
    </row>
    <row r="11" spans="1:16" x14ac:dyDescent="0.2">
      <c r="A11" t="s">
        <v>895</v>
      </c>
      <c r="B11" t="s">
        <v>1881</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1857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tbl-18to64-heroin-od-crude</v>
      </c>
    </row>
    <row r="4" spans="1:16" x14ac:dyDescent="0.2">
      <c r="A4" s="58" t="s">
        <v>6</v>
      </c>
      <c r="B4" t="str">
        <f>IF($B$1="","",_xlfn.XLOOKUP($B$1,Master!$F$2:$F$308,Master!$H$2:$H$308,""))</f>
        <v>fig-18to64-heroin-od-crude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s="46" t="s">
        <v>1882</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7"/>
      <c r="F6" s="85" t="s">
        <v>1883</v>
      </c>
      <c r="G6" s="75" t="s">
        <v>1785</v>
      </c>
      <c r="H6" s="75" t="s">
        <v>1885</v>
      </c>
      <c r="I6" s="75" t="s">
        <v>1886</v>
      </c>
      <c r="J6" s="75" t="s">
        <v>1887</v>
      </c>
      <c r="K6" s="75" t="s">
        <v>1888</v>
      </c>
      <c r="L6" s="75" t="s">
        <v>1254</v>
      </c>
      <c r="M6" s="71">
        <v>3.7</v>
      </c>
      <c r="N6" s="71">
        <v>4.4000000000000004</v>
      </c>
      <c r="O6">
        <v>3.1</v>
      </c>
      <c r="P6">
        <v>4.5</v>
      </c>
    </row>
    <row r="7" spans="1:16" ht="15.75" customHeight="1" x14ac:dyDescent="0.2">
      <c r="E7" s="97"/>
      <c r="F7" s="63" t="s">
        <v>1884</v>
      </c>
      <c r="G7" s="59" t="s">
        <v>1889</v>
      </c>
      <c r="H7" s="59">
        <v>10.8</v>
      </c>
      <c r="I7" s="59" t="s">
        <v>1890</v>
      </c>
      <c r="J7" s="59" t="s">
        <v>1891</v>
      </c>
      <c r="K7" s="59" t="s">
        <v>1892</v>
      </c>
      <c r="L7" s="59" t="s">
        <v>1893</v>
      </c>
      <c r="M7" s="14" t="s">
        <v>1802</v>
      </c>
      <c r="N7" s="14">
        <v>5.8</v>
      </c>
      <c r="O7">
        <v>2.9</v>
      </c>
      <c r="P7">
        <v>9.1</v>
      </c>
    </row>
    <row r="8" spans="1:16" x14ac:dyDescent="0.2">
      <c r="E8" s="97"/>
      <c r="F8" s="63"/>
      <c r="G8" s="59"/>
      <c r="H8" s="59"/>
      <c r="I8" s="59"/>
      <c r="J8" s="59"/>
      <c r="K8" s="59"/>
      <c r="L8" s="59"/>
      <c r="M8" s="14"/>
      <c r="N8" s="14"/>
      <c r="P8" s="14"/>
    </row>
    <row r="9" spans="1:16" x14ac:dyDescent="0.2">
      <c r="A9" s="98" t="s">
        <v>893</v>
      </c>
      <c r="B9" s="97"/>
      <c r="E9" s="97"/>
      <c r="G9" s="59"/>
      <c r="H9" s="59"/>
      <c r="I9" s="59"/>
      <c r="J9" s="59"/>
      <c r="K9" s="59"/>
      <c r="L9" s="59"/>
      <c r="M9" s="46"/>
      <c r="N9" s="46"/>
      <c r="O9" s="46"/>
    </row>
    <row r="10" spans="1:16" x14ac:dyDescent="0.2">
      <c r="A10" t="s">
        <v>894</v>
      </c>
      <c r="B10" t="s">
        <v>983</v>
      </c>
      <c r="E10" s="97"/>
      <c r="F10" s="14"/>
      <c r="G10" s="59"/>
      <c r="H10" s="59"/>
      <c r="I10" s="59"/>
      <c r="J10" s="42"/>
      <c r="K10" s="42"/>
      <c r="L10" s="42"/>
      <c r="M10" s="47"/>
      <c r="N10" s="47"/>
      <c r="O10" s="46"/>
    </row>
    <row r="11" spans="1:16" x14ac:dyDescent="0.2">
      <c r="A11" t="s">
        <v>895</v>
      </c>
      <c r="B11" t="s">
        <v>1882</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9" t="s">
        <v>1894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tbl-18to64-opioid-pain-crude</v>
      </c>
    </row>
    <row r="4" spans="1:16" x14ac:dyDescent="0.2">
      <c r="A4" s="58" t="s">
        <v>6</v>
      </c>
      <c r="B4" t="str">
        <f>IF($B$1="","",_xlfn.XLOOKUP($B$1,Master!$F$2:$F$308,Master!$H$2:$H$308,""))</f>
        <v>fig-18to64-opioid-pain-crude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s="46" t="s">
        <v>1882</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7"/>
      <c r="F6" s="85" t="s">
        <v>1883</v>
      </c>
      <c r="G6" s="75">
        <v>63.1</v>
      </c>
      <c r="H6" s="75">
        <v>42</v>
      </c>
      <c r="I6" s="75" t="s">
        <v>1895</v>
      </c>
      <c r="J6" s="75">
        <v>21.2</v>
      </c>
      <c r="K6" s="75">
        <v>99.9</v>
      </c>
      <c r="L6" s="75">
        <v>51.6</v>
      </c>
      <c r="M6" s="71">
        <v>24.4</v>
      </c>
      <c r="N6" s="71">
        <v>36.799999999999997</v>
      </c>
      <c r="O6">
        <v>41.9</v>
      </c>
      <c r="P6">
        <v>36.1</v>
      </c>
    </row>
    <row r="7" spans="1:16" ht="15.75" customHeight="1" x14ac:dyDescent="0.2">
      <c r="E7" s="97"/>
      <c r="F7" s="63" t="s">
        <v>1884</v>
      </c>
      <c r="G7" s="59">
        <v>55.4</v>
      </c>
      <c r="H7" s="59">
        <v>50</v>
      </c>
      <c r="I7" s="59">
        <v>34.4</v>
      </c>
      <c r="J7" s="59">
        <v>24.6</v>
      </c>
      <c r="K7" s="59">
        <v>89.3</v>
      </c>
      <c r="L7" s="59">
        <v>51.6</v>
      </c>
      <c r="M7" s="14">
        <v>22.4</v>
      </c>
      <c r="N7" s="14">
        <v>36.5</v>
      </c>
      <c r="O7">
        <v>38.799999999999997</v>
      </c>
      <c r="P7">
        <v>46.3</v>
      </c>
    </row>
    <row r="8" spans="1:16" x14ac:dyDescent="0.2">
      <c r="E8" s="97"/>
      <c r="F8" s="63"/>
      <c r="G8" s="59"/>
      <c r="H8" s="59"/>
      <c r="I8" s="59"/>
      <c r="J8" s="59"/>
      <c r="K8" s="59"/>
      <c r="L8" s="59"/>
      <c r="M8" s="14"/>
      <c r="N8" s="14"/>
      <c r="P8" s="14"/>
    </row>
    <row r="9" spans="1:16" x14ac:dyDescent="0.2">
      <c r="A9" s="98" t="s">
        <v>893</v>
      </c>
      <c r="B9" s="97"/>
      <c r="E9" s="97"/>
      <c r="G9" s="59"/>
      <c r="H9" s="59"/>
      <c r="I9" s="59"/>
      <c r="J9" s="59"/>
      <c r="K9" s="59"/>
      <c r="L9" s="59"/>
      <c r="M9" s="46"/>
      <c r="N9" s="46"/>
      <c r="O9" s="46"/>
    </row>
    <row r="10" spans="1:16" x14ac:dyDescent="0.2">
      <c r="A10" t="s">
        <v>894</v>
      </c>
      <c r="B10" t="s">
        <v>983</v>
      </c>
      <c r="E10" s="97"/>
      <c r="F10" s="14"/>
      <c r="G10" s="59"/>
      <c r="H10" s="59"/>
      <c r="I10" s="59"/>
      <c r="J10" s="42"/>
      <c r="K10" s="42"/>
      <c r="L10" s="42"/>
      <c r="M10" s="47"/>
      <c r="N10" s="47"/>
      <c r="O10" s="46"/>
    </row>
    <row r="11" spans="1:16" x14ac:dyDescent="0.2">
      <c r="A11" t="s">
        <v>895</v>
      </c>
      <c r="B11" t="s">
        <v>1882</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9" t="s">
        <v>637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tbl-opioid-analgesic-rx-aar</v>
      </c>
    </row>
    <row r="4" spans="1:16" x14ac:dyDescent="0.2">
      <c r="A4" s="58" t="s">
        <v>6</v>
      </c>
      <c r="B4" t="str">
        <f>IF($B$1="","",_xlfn.XLOOKUP($B$1,Master!$F$2:$F$308,Master!$H$2:$H$308,""))</f>
        <v>fig-opioid-analgesic-rx-aar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s="46" t="s">
        <v>973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7"/>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7"/>
      <c r="F7" s="63">
        <v>2021</v>
      </c>
      <c r="G7" s="59">
        <v>319</v>
      </c>
      <c r="H7" s="59">
        <v>292.5</v>
      </c>
      <c r="I7" s="59">
        <v>288.3</v>
      </c>
      <c r="J7" s="59">
        <v>211.3</v>
      </c>
      <c r="K7" s="59">
        <v>432.6</v>
      </c>
      <c r="L7" s="59">
        <v>398.9</v>
      </c>
      <c r="M7" s="14">
        <v>187.9</v>
      </c>
      <c r="N7" s="14">
        <v>253.7</v>
      </c>
      <c r="O7">
        <v>321.2</v>
      </c>
      <c r="P7">
        <v>254.1</v>
      </c>
    </row>
    <row r="8" spans="1:16" x14ac:dyDescent="0.2">
      <c r="E8" s="97"/>
      <c r="F8" s="63">
        <v>2022</v>
      </c>
      <c r="G8" s="59">
        <v>296.2</v>
      </c>
      <c r="H8" s="59">
        <v>269.60000000000002</v>
      </c>
      <c r="I8" s="59">
        <v>261.7</v>
      </c>
      <c r="J8" s="59">
        <v>193.7</v>
      </c>
      <c r="K8" s="59">
        <v>398.5</v>
      </c>
      <c r="L8" s="59">
        <v>364.7</v>
      </c>
      <c r="M8" s="14">
        <v>173.3</v>
      </c>
      <c r="N8" s="14">
        <v>233.8</v>
      </c>
      <c r="O8">
        <v>300.2</v>
      </c>
      <c r="P8" s="14">
        <v>238.1</v>
      </c>
    </row>
    <row r="9" spans="1:16" x14ac:dyDescent="0.2">
      <c r="A9" s="98" t="s">
        <v>893</v>
      </c>
      <c r="B9" s="97"/>
      <c r="E9" s="97"/>
      <c r="F9">
        <v>2023</v>
      </c>
      <c r="G9" s="59">
        <v>270.7</v>
      </c>
      <c r="H9" s="59">
        <v>250.5</v>
      </c>
      <c r="I9" s="59">
        <v>239.3</v>
      </c>
      <c r="J9" s="59">
        <v>179.4</v>
      </c>
      <c r="K9" s="59">
        <v>352.7</v>
      </c>
      <c r="L9" s="59">
        <v>333.4</v>
      </c>
      <c r="M9" s="46" t="s">
        <v>1897</v>
      </c>
      <c r="N9" s="46" t="s">
        <v>1898</v>
      </c>
      <c r="O9" s="46" t="s">
        <v>1899</v>
      </c>
      <c r="P9">
        <v>225.6</v>
      </c>
    </row>
    <row r="10" spans="1:16" x14ac:dyDescent="0.2">
      <c r="A10" t="s">
        <v>894</v>
      </c>
      <c r="B10" t="s">
        <v>972</v>
      </c>
      <c r="E10" s="97"/>
      <c r="F10" s="14"/>
      <c r="G10" s="59"/>
      <c r="H10" s="59"/>
      <c r="I10" s="59"/>
      <c r="J10" s="42"/>
      <c r="K10" s="42"/>
      <c r="L10" s="42"/>
      <c r="M10" s="47"/>
      <c r="N10" s="47"/>
      <c r="O10" s="46"/>
    </row>
    <row r="11" spans="1:16" x14ac:dyDescent="0.2">
      <c r="A11" t="s">
        <v>895</v>
      </c>
      <c r="B11" t="s">
        <v>1896</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701</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9" t="s">
        <v>639</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tbl-at-least-1-bup-aar</v>
      </c>
    </row>
    <row r="4" spans="1:16" x14ac:dyDescent="0.2">
      <c r="A4" s="58" t="s">
        <v>6</v>
      </c>
      <c r="B4" t="str">
        <f>IF($B$1="","",_xlfn.XLOOKUP($B$1,Master!$F$2:$F$308,Master!$H$2:$H$308,""))</f>
        <v>fig-at-least-1-bup-aar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7"/>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7"/>
      <c r="F7" s="63">
        <v>2021</v>
      </c>
      <c r="G7" s="59">
        <v>544.4</v>
      </c>
      <c r="H7" s="59">
        <v>527.6</v>
      </c>
      <c r="I7" s="59">
        <v>501.8</v>
      </c>
      <c r="J7" s="59">
        <v>237.5</v>
      </c>
      <c r="K7" s="59">
        <v>1261.5</v>
      </c>
      <c r="L7" s="59">
        <v>913.7</v>
      </c>
      <c r="M7" s="14">
        <v>183.3</v>
      </c>
      <c r="N7" s="14">
        <v>398.5</v>
      </c>
      <c r="O7">
        <v>637.70000000000005</v>
      </c>
      <c r="P7">
        <v>419.8</v>
      </c>
    </row>
    <row r="8" spans="1:16" x14ac:dyDescent="0.2">
      <c r="E8" s="97"/>
      <c r="F8" s="63">
        <v>2022</v>
      </c>
      <c r="G8" s="59">
        <v>551.20000000000005</v>
      </c>
      <c r="H8" s="59">
        <v>514.20000000000005</v>
      </c>
      <c r="I8" s="59">
        <v>453.4</v>
      </c>
      <c r="J8" s="59">
        <v>234.2</v>
      </c>
      <c r="K8" s="59">
        <v>1303.8</v>
      </c>
      <c r="L8" s="59">
        <v>976.4</v>
      </c>
      <c r="M8" s="14">
        <v>187.8</v>
      </c>
      <c r="N8" s="14">
        <v>403.9</v>
      </c>
      <c r="O8">
        <v>657.2</v>
      </c>
      <c r="P8" s="14">
        <v>433.9</v>
      </c>
    </row>
    <row r="9" spans="1:16" x14ac:dyDescent="0.2">
      <c r="A9" s="98" t="s">
        <v>893</v>
      </c>
      <c r="B9" s="97"/>
      <c r="E9" s="97"/>
      <c r="F9">
        <v>2023</v>
      </c>
      <c r="G9" s="59">
        <v>609.70000000000005</v>
      </c>
      <c r="H9" s="59">
        <v>520.4</v>
      </c>
      <c r="I9" s="59">
        <v>482.1</v>
      </c>
      <c r="J9" s="59">
        <v>217.9</v>
      </c>
      <c r="K9" s="59">
        <v>1529.8</v>
      </c>
      <c r="L9" s="59">
        <v>1048.4000000000001</v>
      </c>
      <c r="M9" s="46" t="s">
        <v>1900</v>
      </c>
      <c r="N9" s="46" t="s">
        <v>1901</v>
      </c>
      <c r="O9" s="46" t="s">
        <v>1902</v>
      </c>
      <c r="P9">
        <v>464</v>
      </c>
    </row>
    <row r="10" spans="1:16" x14ac:dyDescent="0.2">
      <c r="A10" t="s">
        <v>894</v>
      </c>
      <c r="B10" t="s">
        <v>972</v>
      </c>
      <c r="E10" s="97"/>
      <c r="F10" s="14"/>
      <c r="G10" s="59"/>
      <c r="H10" s="59"/>
      <c r="I10" s="59"/>
      <c r="J10" s="42"/>
      <c r="K10" s="42"/>
      <c r="L10" s="42"/>
      <c r="M10" s="47"/>
      <c r="N10" s="47"/>
      <c r="O10" s="46"/>
    </row>
    <row r="11" spans="1:16" x14ac:dyDescent="0.2">
      <c r="A11" t="s">
        <v>895</v>
      </c>
      <c r="B11" t="s">
        <v>973</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19" t="s">
        <v>1903</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tbl-15to19-suicide-mortal-crude</v>
      </c>
    </row>
    <row r="4" spans="1:16" x14ac:dyDescent="0.2">
      <c r="A4" s="58" t="s">
        <v>6</v>
      </c>
      <c r="B4" t="str">
        <f>IF($B$1="","",_xlfn.XLOOKUP($B$1,Master!$F$2:$F$308,Master!$H$2:$H$308,""))</f>
        <v>fig-15to19-suicide-mortal-crude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G5" s="120" t="s">
        <v>1792</v>
      </c>
      <c r="H5" s="120"/>
      <c r="I5" s="120"/>
      <c r="J5" s="120"/>
      <c r="K5" s="120"/>
      <c r="L5" s="120"/>
      <c r="M5" s="120"/>
      <c r="N5" s="120" t="s">
        <v>1793</v>
      </c>
      <c r="O5" s="120"/>
      <c r="P5" s="120"/>
    </row>
    <row r="6" spans="1:16" ht="15" customHeight="1" x14ac:dyDescent="0.2">
      <c r="A6" t="s">
        <v>891</v>
      </c>
      <c r="B6" t="b">
        <v>1</v>
      </c>
      <c r="E6" s="97"/>
      <c r="F6" s="85" t="s">
        <v>887</v>
      </c>
      <c r="G6" s="88" t="s">
        <v>220</v>
      </c>
      <c r="H6" s="88" t="s">
        <v>18</v>
      </c>
      <c r="I6" s="88" t="s">
        <v>537</v>
      </c>
      <c r="J6" s="88" t="s">
        <v>449</v>
      </c>
      <c r="K6" s="88" t="s">
        <v>409</v>
      </c>
      <c r="L6" s="89" t="s">
        <v>421</v>
      </c>
      <c r="M6" s="89" t="s">
        <v>470</v>
      </c>
      <c r="N6" s="60" t="s">
        <v>898</v>
      </c>
      <c r="O6" s="60" t="s">
        <v>914</v>
      </c>
      <c r="P6" s="60" t="s">
        <v>915</v>
      </c>
    </row>
    <row r="7" spans="1:16" ht="15.75" customHeight="1" x14ac:dyDescent="0.2">
      <c r="E7" s="97"/>
      <c r="F7" s="63" t="s">
        <v>888</v>
      </c>
      <c r="G7" s="42">
        <v>13.8</v>
      </c>
      <c r="H7" s="42">
        <v>9</v>
      </c>
      <c r="I7" s="42">
        <v>9.1</v>
      </c>
      <c r="J7" s="42">
        <v>4.5</v>
      </c>
      <c r="K7" s="42">
        <v>14.9</v>
      </c>
      <c r="L7" s="42">
        <v>14.5</v>
      </c>
      <c r="M7" s="42">
        <v>7.6</v>
      </c>
      <c r="N7" s="42">
        <v>8.6</v>
      </c>
      <c r="O7" s="60">
        <v>9.9</v>
      </c>
      <c r="P7" s="60">
        <v>8.3000000000000007</v>
      </c>
    </row>
    <row r="8" spans="1:16" x14ac:dyDescent="0.2">
      <c r="E8" s="97"/>
      <c r="F8" s="63" t="s">
        <v>1904</v>
      </c>
      <c r="G8" s="42" t="s">
        <v>1885</v>
      </c>
      <c r="H8" s="42" t="s">
        <v>1905</v>
      </c>
      <c r="I8" s="42" t="s">
        <v>1906</v>
      </c>
      <c r="J8" s="42" t="s">
        <v>1893</v>
      </c>
      <c r="K8" s="42" t="s">
        <v>1907</v>
      </c>
      <c r="L8" s="42" t="s">
        <v>1908</v>
      </c>
      <c r="M8" s="42" t="s">
        <v>1802</v>
      </c>
      <c r="N8" s="42" t="s">
        <v>1909</v>
      </c>
      <c r="O8" s="60">
        <v>6.7</v>
      </c>
      <c r="P8" s="42">
        <v>5.2</v>
      </c>
    </row>
    <row r="9" spans="1:16" x14ac:dyDescent="0.2">
      <c r="A9" s="98" t="s">
        <v>893</v>
      </c>
      <c r="B9" s="97"/>
      <c r="E9" s="97"/>
      <c r="G9" s="59"/>
      <c r="H9" s="59"/>
      <c r="I9" s="59"/>
      <c r="J9" s="59"/>
      <c r="K9" s="59"/>
      <c r="L9" s="59"/>
      <c r="M9" s="46"/>
      <c r="N9" s="46"/>
      <c r="O9" s="46"/>
    </row>
    <row r="10" spans="1:16" x14ac:dyDescent="0.2">
      <c r="A10" t="s">
        <v>894</v>
      </c>
      <c r="B10" t="s">
        <v>983</v>
      </c>
      <c r="E10" s="97"/>
      <c r="F10" s="14"/>
      <c r="G10" s="59"/>
      <c r="H10" s="59"/>
      <c r="I10" s="59"/>
      <c r="J10" s="42"/>
      <c r="K10" s="42"/>
      <c r="L10" s="42"/>
      <c r="M10" s="47"/>
      <c r="N10" s="47"/>
      <c r="O10" s="46"/>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19" t="s">
        <v>640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tbl-suicide-mortal-aar</v>
      </c>
    </row>
    <row r="4" spans="1:16" x14ac:dyDescent="0.2">
      <c r="A4" s="58" t="s">
        <v>6</v>
      </c>
      <c r="B4" t="str">
        <f>IF($B$1="","",_xlfn.XLOOKUP($B$1,Master!$F$2:$F$308,Master!$H$2:$H$308,""))</f>
        <v>fig-suicide-mortal-aar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G5" s="120" t="s">
        <v>1792</v>
      </c>
      <c r="H5" s="120"/>
      <c r="I5" s="120"/>
      <c r="J5" s="120"/>
      <c r="K5" s="120"/>
      <c r="L5" s="120"/>
      <c r="M5" s="120"/>
      <c r="N5" s="120" t="s">
        <v>1793</v>
      </c>
      <c r="O5" s="120"/>
    </row>
    <row r="6" spans="1:16" ht="15" customHeight="1" x14ac:dyDescent="0.2">
      <c r="A6" t="s">
        <v>891</v>
      </c>
      <c r="B6" t="b">
        <v>1</v>
      </c>
      <c r="E6" s="97"/>
      <c r="F6" s="85" t="s">
        <v>973</v>
      </c>
      <c r="G6" s="75" t="s">
        <v>220</v>
      </c>
      <c r="H6" s="75" t="s">
        <v>18</v>
      </c>
      <c r="I6" s="75" t="s">
        <v>537</v>
      </c>
      <c r="J6" s="75" t="s">
        <v>449</v>
      </c>
      <c r="K6" s="75" t="s">
        <v>409</v>
      </c>
      <c r="L6" s="75" t="s">
        <v>421</v>
      </c>
      <c r="M6" s="71" t="s">
        <v>470</v>
      </c>
      <c r="N6" s="71" t="s">
        <v>914</v>
      </c>
      <c r="O6" t="s">
        <v>915</v>
      </c>
    </row>
    <row r="7" spans="1:16" ht="15.75" customHeight="1" x14ac:dyDescent="0.2">
      <c r="E7" s="97"/>
      <c r="F7" s="63">
        <v>2018</v>
      </c>
      <c r="G7" s="59">
        <v>12.8</v>
      </c>
      <c r="H7" s="59">
        <v>10.1</v>
      </c>
      <c r="I7" s="59">
        <v>6.2</v>
      </c>
      <c r="J7" s="59">
        <v>7.4</v>
      </c>
      <c r="K7" s="59">
        <v>12.2</v>
      </c>
      <c r="L7" s="59">
        <v>13.2</v>
      </c>
      <c r="M7" s="14">
        <v>6.4</v>
      </c>
      <c r="N7" s="14">
        <v>10</v>
      </c>
      <c r="O7">
        <v>8.1999999999999993</v>
      </c>
    </row>
    <row r="8" spans="1:16" x14ac:dyDescent="0.2">
      <c r="E8" s="97"/>
      <c r="F8" s="63">
        <v>2019</v>
      </c>
      <c r="G8" s="59">
        <v>11.9</v>
      </c>
      <c r="H8" s="59">
        <v>10.1</v>
      </c>
      <c r="I8" s="59">
        <v>5.3</v>
      </c>
      <c r="J8" s="59">
        <v>6.4</v>
      </c>
      <c r="K8" s="59">
        <v>12.6</v>
      </c>
      <c r="L8" s="59">
        <v>13.8</v>
      </c>
      <c r="M8" s="14">
        <v>6.7</v>
      </c>
      <c r="N8" s="14">
        <v>10</v>
      </c>
      <c r="O8">
        <v>8.1999999999999993</v>
      </c>
      <c r="P8" s="14"/>
    </row>
    <row r="9" spans="1:16" x14ac:dyDescent="0.2">
      <c r="A9" s="98" t="s">
        <v>893</v>
      </c>
      <c r="B9" s="97"/>
      <c r="E9" s="97"/>
      <c r="F9">
        <v>2020</v>
      </c>
      <c r="G9" s="59">
        <v>12.6</v>
      </c>
      <c r="H9" s="59">
        <v>9.3000000000000007</v>
      </c>
      <c r="I9" s="59">
        <v>4.5999999999999996</v>
      </c>
      <c r="J9" s="59">
        <v>5.6</v>
      </c>
      <c r="K9" s="59">
        <v>14.3</v>
      </c>
      <c r="L9" s="59">
        <v>13</v>
      </c>
      <c r="M9" s="46" t="s">
        <v>1910</v>
      </c>
      <c r="N9" s="46" t="s">
        <v>1911</v>
      </c>
      <c r="O9" s="46" t="s">
        <v>1912</v>
      </c>
    </row>
    <row r="10" spans="1:16" x14ac:dyDescent="0.2">
      <c r="A10" t="s">
        <v>894</v>
      </c>
      <c r="B10" t="s">
        <v>972</v>
      </c>
      <c r="E10" s="97"/>
      <c r="F10" s="14">
        <v>2021</v>
      </c>
      <c r="G10" s="59">
        <v>12.7</v>
      </c>
      <c r="H10" s="59">
        <v>9</v>
      </c>
      <c r="I10" s="59">
        <v>7.3</v>
      </c>
      <c r="J10" s="42">
        <v>4.7</v>
      </c>
      <c r="K10" s="42">
        <v>12.9</v>
      </c>
      <c r="L10" s="42">
        <v>12.5</v>
      </c>
      <c r="M10" s="47" t="s">
        <v>1913</v>
      </c>
      <c r="N10" s="47" t="s">
        <v>1773</v>
      </c>
      <c r="O10" s="46" t="s">
        <v>1912</v>
      </c>
    </row>
    <row r="11" spans="1:16" x14ac:dyDescent="0.2">
      <c r="A11" t="s">
        <v>895</v>
      </c>
      <c r="B11" t="s">
        <v>973</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19" t="s">
        <v>1914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tbl-agop-hosp-0-4</v>
      </c>
    </row>
    <row r="4" spans="1:16" x14ac:dyDescent="0.2">
      <c r="A4" s="58" t="s">
        <v>6</v>
      </c>
      <c r="B4" t="str">
        <f>IF($B$1="","",_xlfn.XLOOKUP($B$1,Master!$F$2:$F$308,Master!$H$2:$H$308,""))</f>
        <v>fig-agop-hosp-0-4</v>
      </c>
      <c r="E4" s="13"/>
      <c r="F4" s="16" t="s">
        <v>671</v>
      </c>
      <c r="G4" s="16" t="s">
        <v>679</v>
      </c>
      <c r="H4" s="16" t="s">
        <v>679</v>
      </c>
      <c r="I4" s="16" t="s">
        <v>679</v>
      </c>
      <c r="J4" s="16" t="s">
        <v>679</v>
      </c>
      <c r="K4" s="16"/>
      <c r="L4" s="16"/>
      <c r="M4" s="16"/>
      <c r="N4" s="16"/>
      <c r="O4" s="16"/>
      <c r="P4" s="16"/>
    </row>
    <row r="5" spans="1:16" x14ac:dyDescent="0.2">
      <c r="A5" s="98" t="s">
        <v>885</v>
      </c>
      <c r="B5" s="97"/>
      <c r="E5" s="99" t="s">
        <v>886</v>
      </c>
      <c r="F5" t="s">
        <v>1917</v>
      </c>
      <c r="G5" t="s">
        <v>1645</v>
      </c>
      <c r="H5" t="s">
        <v>1646</v>
      </c>
      <c r="I5" t="s">
        <v>1647</v>
      </c>
      <c r="J5" t="s">
        <v>1648</v>
      </c>
    </row>
    <row r="6" spans="1:16" ht="15" customHeight="1" x14ac:dyDescent="0.2">
      <c r="A6" t="s">
        <v>891</v>
      </c>
      <c r="B6" t="b">
        <v>0</v>
      </c>
      <c r="E6" s="97"/>
      <c r="F6" t="s">
        <v>915</v>
      </c>
      <c r="G6">
        <v>24.9</v>
      </c>
      <c r="H6">
        <v>7.7</v>
      </c>
      <c r="I6">
        <v>1</v>
      </c>
      <c r="J6">
        <v>13.4</v>
      </c>
    </row>
    <row r="7" spans="1:16" ht="15.75" customHeight="1" x14ac:dyDescent="0.2">
      <c r="E7" s="97"/>
      <c r="F7" t="s">
        <v>914</v>
      </c>
      <c r="G7">
        <v>17.2</v>
      </c>
      <c r="H7">
        <v>5.3</v>
      </c>
      <c r="I7">
        <v>0.8</v>
      </c>
      <c r="J7">
        <v>11.5</v>
      </c>
    </row>
    <row r="8" spans="1:16" x14ac:dyDescent="0.2">
      <c r="E8" s="97"/>
      <c r="F8" t="s">
        <v>898</v>
      </c>
      <c r="G8">
        <v>18.8</v>
      </c>
      <c r="H8">
        <v>6.8</v>
      </c>
      <c r="I8">
        <v>1</v>
      </c>
      <c r="J8">
        <v>15.2</v>
      </c>
      <c r="P8" s="14"/>
    </row>
    <row r="9" spans="1:16" x14ac:dyDescent="0.2">
      <c r="A9" s="98" t="s">
        <v>893</v>
      </c>
      <c r="B9" s="97"/>
      <c r="E9" s="97"/>
    </row>
    <row r="10" spans="1:16" x14ac:dyDescent="0.2">
      <c r="A10" t="s">
        <v>894</v>
      </c>
      <c r="B10" t="s">
        <v>983</v>
      </c>
      <c r="E10" s="97"/>
    </row>
    <row r="11" spans="1:16" x14ac:dyDescent="0.2">
      <c r="A11" t="s">
        <v>895</v>
      </c>
      <c r="B11" t="s">
        <v>1916</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635</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tbl-OD-anyopioid-crude</v>
      </c>
    </row>
    <row r="4" spans="1:16" x14ac:dyDescent="0.2">
      <c r="A4" s="58" t="s">
        <v>6</v>
      </c>
      <c r="B4" t="str">
        <f>IF($B$1="","",_xlfn.XLOOKUP($B$1,Master!$F$2:$F$308,Master!$H$2:$H$308,""))</f>
        <v>fig-OD-anyopioid-crude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7"/>
      <c r="F6">
        <v>2019</v>
      </c>
      <c r="G6">
        <v>22.1</v>
      </c>
      <c r="H6">
        <v>20.7</v>
      </c>
      <c r="I6">
        <v>12.1</v>
      </c>
      <c r="J6">
        <v>14.1</v>
      </c>
      <c r="K6">
        <v>39.799999999999997</v>
      </c>
      <c r="L6">
        <v>17.899999999999999</v>
      </c>
      <c r="M6">
        <v>9.4</v>
      </c>
      <c r="N6">
        <v>15.3</v>
      </c>
      <c r="O6">
        <v>16.100000000000001</v>
      </c>
      <c r="P6">
        <v>15.1</v>
      </c>
    </row>
    <row r="7" spans="1:16" ht="15.75" customHeight="1" x14ac:dyDescent="0.2">
      <c r="E7" s="97"/>
      <c r="F7">
        <v>2020</v>
      </c>
      <c r="G7">
        <v>35.700000000000003</v>
      </c>
      <c r="H7">
        <v>26.9</v>
      </c>
      <c r="I7">
        <v>18.2</v>
      </c>
      <c r="J7">
        <v>12.9</v>
      </c>
      <c r="K7">
        <v>63.7</v>
      </c>
      <c r="L7">
        <v>31.4</v>
      </c>
      <c r="M7">
        <v>13.8</v>
      </c>
      <c r="N7">
        <v>21.8</v>
      </c>
      <c r="O7">
        <v>22.7</v>
      </c>
      <c r="P7">
        <v>21.5</v>
      </c>
    </row>
    <row r="8" spans="1:16" x14ac:dyDescent="0.2">
      <c r="E8" s="97"/>
      <c r="F8">
        <v>2021</v>
      </c>
      <c r="G8">
        <v>29.1</v>
      </c>
      <c r="H8">
        <v>33.799999999999997</v>
      </c>
      <c r="I8">
        <v>20.399999999999999</v>
      </c>
      <c r="J8">
        <v>19.100000000000001</v>
      </c>
      <c r="K8">
        <v>46.4</v>
      </c>
      <c r="L8">
        <v>25.6</v>
      </c>
      <c r="M8">
        <v>15</v>
      </c>
      <c r="N8">
        <v>22.6</v>
      </c>
      <c r="O8">
        <v>25.2</v>
      </c>
      <c r="P8" s="14">
        <v>25.1</v>
      </c>
    </row>
    <row r="9" spans="1:16" x14ac:dyDescent="0.2">
      <c r="A9" s="98" t="s">
        <v>893</v>
      </c>
      <c r="B9" s="97"/>
      <c r="E9" s="97"/>
      <c r="F9">
        <v>2022</v>
      </c>
      <c r="G9">
        <v>39.299999999999997</v>
      </c>
      <c r="H9">
        <v>30.5</v>
      </c>
      <c r="I9">
        <v>22.4</v>
      </c>
      <c r="J9">
        <v>12.9</v>
      </c>
      <c r="K9">
        <v>61.5</v>
      </c>
      <c r="L9">
        <v>35.700000000000003</v>
      </c>
      <c r="M9">
        <v>15.4</v>
      </c>
      <c r="N9">
        <v>24</v>
      </c>
      <c r="O9">
        <v>26.3</v>
      </c>
      <c r="P9">
        <v>27.4</v>
      </c>
    </row>
    <row r="10" spans="1:16" x14ac:dyDescent="0.2">
      <c r="A10" t="s">
        <v>894</v>
      </c>
      <c r="B10" t="s">
        <v>972</v>
      </c>
      <c r="E10" s="97"/>
    </row>
    <row r="11" spans="1:16" x14ac:dyDescent="0.2">
      <c r="A11" t="s">
        <v>895</v>
      </c>
      <c r="B11" t="s">
        <v>973</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1918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tbl-poison-control-calls</v>
      </c>
    </row>
    <row r="4" spans="1:16" x14ac:dyDescent="0.2">
      <c r="A4" s="58" t="s">
        <v>6</v>
      </c>
      <c r="B4" t="str">
        <f>IF($B$1="","",_xlfn.XLOOKUP($B$1,Master!$F$2:$F$308,Master!$H$2:$H$308,""))</f>
        <v>fig-poison-control-calls</v>
      </c>
      <c r="E4" s="13"/>
      <c r="F4" s="16" t="s">
        <v>664</v>
      </c>
      <c r="G4" s="16" t="s">
        <v>679</v>
      </c>
      <c r="H4" s="16" t="s">
        <v>679</v>
      </c>
      <c r="I4" s="16" t="s">
        <v>679</v>
      </c>
      <c r="J4" s="16" t="s">
        <v>679</v>
      </c>
      <c r="K4" s="16" t="s">
        <v>679</v>
      </c>
      <c r="L4" s="16" t="s">
        <v>679</v>
      </c>
      <c r="M4" s="16" t="s">
        <v>679</v>
      </c>
      <c r="N4" s="16"/>
      <c r="O4" s="16"/>
      <c r="P4" s="16"/>
    </row>
    <row r="5" spans="1:16" x14ac:dyDescent="0.2">
      <c r="A5" s="98" t="s">
        <v>885</v>
      </c>
      <c r="B5" s="97"/>
      <c r="E5" s="99" t="s">
        <v>886</v>
      </c>
      <c r="F5" t="s">
        <v>887</v>
      </c>
      <c r="G5" t="s">
        <v>220</v>
      </c>
      <c r="H5" t="s">
        <v>18</v>
      </c>
      <c r="I5" t="s">
        <v>537</v>
      </c>
      <c r="J5" t="s">
        <v>449</v>
      </c>
      <c r="K5" t="s">
        <v>409</v>
      </c>
      <c r="L5" t="s">
        <v>421</v>
      </c>
      <c r="M5" t="s">
        <v>470</v>
      </c>
    </row>
    <row r="6" spans="1:16" ht="15" customHeight="1" x14ac:dyDescent="0.2">
      <c r="A6" t="s">
        <v>891</v>
      </c>
      <c r="B6" t="b">
        <v>0</v>
      </c>
      <c r="E6" s="97"/>
      <c r="F6">
        <v>2020</v>
      </c>
      <c r="G6">
        <v>541</v>
      </c>
      <c r="H6">
        <v>604</v>
      </c>
      <c r="I6">
        <v>237</v>
      </c>
      <c r="J6">
        <v>431</v>
      </c>
      <c r="K6">
        <v>583</v>
      </c>
      <c r="L6">
        <v>609</v>
      </c>
      <c r="M6">
        <v>497</v>
      </c>
    </row>
    <row r="7" spans="1:16" ht="15.75" customHeight="1" x14ac:dyDescent="0.2">
      <c r="E7" s="97"/>
      <c r="F7">
        <v>2021</v>
      </c>
      <c r="G7">
        <v>421</v>
      </c>
      <c r="H7">
        <v>593</v>
      </c>
      <c r="I7">
        <v>220</v>
      </c>
      <c r="J7">
        <v>456</v>
      </c>
      <c r="K7">
        <v>589</v>
      </c>
      <c r="L7">
        <v>494</v>
      </c>
      <c r="M7">
        <v>441</v>
      </c>
    </row>
    <row r="8" spans="1:16" x14ac:dyDescent="0.2">
      <c r="E8" s="97"/>
      <c r="F8">
        <v>2022</v>
      </c>
      <c r="G8">
        <v>436</v>
      </c>
      <c r="H8">
        <v>613</v>
      </c>
      <c r="I8">
        <v>222</v>
      </c>
      <c r="J8">
        <v>470</v>
      </c>
      <c r="K8">
        <v>542</v>
      </c>
      <c r="L8">
        <v>446</v>
      </c>
      <c r="M8">
        <v>408</v>
      </c>
      <c r="P8" s="14"/>
    </row>
    <row r="9" spans="1:16" x14ac:dyDescent="0.2">
      <c r="A9" s="98" t="s">
        <v>893</v>
      </c>
      <c r="B9" s="97"/>
      <c r="E9" s="97"/>
      <c r="F9">
        <v>2023</v>
      </c>
      <c r="G9">
        <v>443</v>
      </c>
      <c r="H9">
        <v>573</v>
      </c>
      <c r="I9">
        <v>230</v>
      </c>
      <c r="J9">
        <v>399</v>
      </c>
      <c r="K9">
        <v>642</v>
      </c>
      <c r="L9">
        <v>444</v>
      </c>
      <c r="M9">
        <v>404</v>
      </c>
    </row>
    <row r="10" spans="1:16" x14ac:dyDescent="0.2">
      <c r="A10" t="s">
        <v>894</v>
      </c>
      <c r="B10" t="s">
        <v>983</v>
      </c>
      <c r="E10" s="97"/>
      <c r="F10">
        <v>2024</v>
      </c>
      <c r="G10">
        <v>464</v>
      </c>
      <c r="H10">
        <v>570</v>
      </c>
      <c r="I10">
        <v>226</v>
      </c>
      <c r="J10">
        <v>366</v>
      </c>
      <c r="K10">
        <v>636</v>
      </c>
      <c r="L10">
        <v>530</v>
      </c>
      <c r="M10">
        <v>388</v>
      </c>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M34" sqref="M34"/>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644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G5" s="100" t="s">
        <v>1792</v>
      </c>
      <c r="H5" s="100"/>
      <c r="I5" s="100"/>
      <c r="J5" s="100"/>
      <c r="K5" s="100"/>
      <c r="L5" s="100"/>
      <c r="M5" s="100"/>
      <c r="N5" s="100" t="s">
        <v>1793</v>
      </c>
      <c r="O5" s="100"/>
    </row>
    <row r="6" spans="1:16" ht="15" customHeight="1" x14ac:dyDescent="0.2">
      <c r="A6" t="s">
        <v>891</v>
      </c>
      <c r="B6" t="b">
        <v>1</v>
      </c>
      <c r="E6" s="97"/>
      <c r="F6" t="s">
        <v>887</v>
      </c>
      <c r="G6" t="s">
        <v>220</v>
      </c>
      <c r="H6" t="s">
        <v>18</v>
      </c>
      <c r="I6" t="s">
        <v>537</v>
      </c>
      <c r="J6" t="s">
        <v>449</v>
      </c>
      <c r="K6" t="s">
        <v>409</v>
      </c>
      <c r="L6" t="s">
        <v>421</v>
      </c>
      <c r="M6" t="s">
        <v>470</v>
      </c>
      <c r="N6" t="s">
        <v>914</v>
      </c>
      <c r="O6" t="s">
        <v>915</v>
      </c>
    </row>
    <row r="7" spans="1:16" ht="15.75" customHeight="1" x14ac:dyDescent="0.2">
      <c r="E7" s="97"/>
      <c r="F7">
        <v>2018</v>
      </c>
      <c r="G7">
        <v>49</v>
      </c>
      <c r="H7">
        <v>49</v>
      </c>
      <c r="I7">
        <v>38</v>
      </c>
      <c r="J7">
        <v>32</v>
      </c>
      <c r="K7">
        <v>75</v>
      </c>
      <c r="L7">
        <v>50</v>
      </c>
      <c r="M7">
        <v>27</v>
      </c>
      <c r="N7">
        <v>41</v>
      </c>
      <c r="O7">
        <v>34</v>
      </c>
    </row>
    <row r="8" spans="1:16" x14ac:dyDescent="0.2">
      <c r="E8" s="97"/>
      <c r="F8">
        <v>2019</v>
      </c>
      <c r="G8">
        <v>52</v>
      </c>
      <c r="H8">
        <v>49</v>
      </c>
      <c r="I8">
        <v>34</v>
      </c>
      <c r="J8">
        <v>36</v>
      </c>
      <c r="K8">
        <v>82</v>
      </c>
      <c r="L8">
        <v>57</v>
      </c>
      <c r="M8">
        <v>28</v>
      </c>
      <c r="N8">
        <v>40</v>
      </c>
      <c r="O8">
        <v>34</v>
      </c>
      <c r="P8" s="14"/>
    </row>
    <row r="9" spans="1:16" x14ac:dyDescent="0.2">
      <c r="A9" s="98" t="s">
        <v>893</v>
      </c>
      <c r="B9" s="97"/>
      <c r="E9" s="97"/>
      <c r="F9">
        <v>2020</v>
      </c>
      <c r="G9">
        <v>52</v>
      </c>
      <c r="H9">
        <v>50</v>
      </c>
      <c r="I9">
        <v>36</v>
      </c>
      <c r="J9">
        <v>39</v>
      </c>
      <c r="K9">
        <v>85</v>
      </c>
      <c r="L9">
        <v>59</v>
      </c>
      <c r="M9">
        <v>30</v>
      </c>
      <c r="N9">
        <v>47</v>
      </c>
      <c r="O9">
        <v>41</v>
      </c>
    </row>
    <row r="10" spans="1:16" x14ac:dyDescent="0.2">
      <c r="A10" t="s">
        <v>894</v>
      </c>
      <c r="B10" t="s">
        <v>972</v>
      </c>
      <c r="E10" s="97"/>
      <c r="F10">
        <v>2021</v>
      </c>
      <c r="G10">
        <v>59</v>
      </c>
      <c r="H10">
        <v>56</v>
      </c>
      <c r="I10">
        <v>41</v>
      </c>
      <c r="J10">
        <v>38</v>
      </c>
      <c r="K10">
        <v>92</v>
      </c>
      <c r="L10">
        <v>64</v>
      </c>
      <c r="M10">
        <v>32</v>
      </c>
      <c r="N10">
        <v>52</v>
      </c>
      <c r="O10">
        <v>47</v>
      </c>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0</v>
      </c>
      <c r="E15" s="97"/>
      <c r="G15" s="68"/>
      <c r="H15" s="68"/>
      <c r="I15" s="46"/>
      <c r="J15" s="47"/>
      <c r="K15" s="47"/>
      <c r="L15" s="47"/>
      <c r="M15" s="47"/>
      <c r="N15" s="47"/>
      <c r="O15" s="46"/>
    </row>
    <row r="16" spans="1:16" x14ac:dyDescent="0.2">
      <c r="A16" t="s">
        <v>1146</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1919</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tbl-child-under5-poison-control</v>
      </c>
    </row>
    <row r="4" spans="1:16" x14ac:dyDescent="0.2">
      <c r="A4" s="58" t="s">
        <v>6</v>
      </c>
      <c r="B4" t="str">
        <f>IF($B$1="","",_xlfn.XLOOKUP($B$1,Master!$F$2:$F$308,Master!$H$2:$H$308,""))</f>
        <v>fig-child-under5-poison-control</v>
      </c>
      <c r="E4" s="13"/>
      <c r="F4" s="16" t="s">
        <v>664</v>
      </c>
      <c r="G4" s="16" t="s">
        <v>679</v>
      </c>
      <c r="H4" s="16" t="s">
        <v>679</v>
      </c>
      <c r="I4" s="16" t="s">
        <v>679</v>
      </c>
      <c r="J4" s="16" t="s">
        <v>679</v>
      </c>
      <c r="K4" s="16" t="s">
        <v>679</v>
      </c>
      <c r="L4" s="16" t="s">
        <v>679</v>
      </c>
      <c r="M4" s="16" t="s">
        <v>679</v>
      </c>
      <c r="N4" s="16"/>
      <c r="O4" s="16"/>
      <c r="P4" s="16"/>
    </row>
    <row r="5" spans="1:16" x14ac:dyDescent="0.2">
      <c r="A5" s="98" t="s">
        <v>885</v>
      </c>
      <c r="B5" s="97"/>
      <c r="E5" s="99" t="s">
        <v>886</v>
      </c>
      <c r="F5" t="s">
        <v>887</v>
      </c>
      <c r="G5" t="s">
        <v>220</v>
      </c>
      <c r="H5" t="s">
        <v>18</v>
      </c>
      <c r="I5" t="s">
        <v>537</v>
      </c>
      <c r="J5" t="s">
        <v>449</v>
      </c>
      <c r="K5" t="s">
        <v>409</v>
      </c>
      <c r="L5" t="s">
        <v>421</v>
      </c>
      <c r="M5" t="s">
        <v>470</v>
      </c>
    </row>
    <row r="6" spans="1:16" ht="15" customHeight="1" x14ac:dyDescent="0.2">
      <c r="A6" t="s">
        <v>891</v>
      </c>
      <c r="B6" t="b">
        <v>1</v>
      </c>
      <c r="E6" s="97"/>
      <c r="F6">
        <v>2020</v>
      </c>
      <c r="G6">
        <v>29.7</v>
      </c>
      <c r="H6">
        <v>30.9</v>
      </c>
      <c r="I6">
        <v>20.100000000000001</v>
      </c>
      <c r="J6">
        <v>32.700000000000003</v>
      </c>
      <c r="K6">
        <v>34.6</v>
      </c>
      <c r="L6">
        <v>31.1</v>
      </c>
      <c r="M6">
        <v>34.6</v>
      </c>
    </row>
    <row r="7" spans="1:16" ht="15.75" customHeight="1" x14ac:dyDescent="0.2">
      <c r="E7" s="97"/>
      <c r="F7">
        <v>2021</v>
      </c>
      <c r="G7">
        <v>30.9</v>
      </c>
      <c r="H7">
        <v>33.4</v>
      </c>
      <c r="I7">
        <v>26.4</v>
      </c>
      <c r="J7">
        <v>36.1</v>
      </c>
      <c r="K7">
        <v>30.4</v>
      </c>
      <c r="L7">
        <v>30.2</v>
      </c>
      <c r="M7">
        <v>34.200000000000003</v>
      </c>
    </row>
    <row r="8" spans="1:16" x14ac:dyDescent="0.2">
      <c r="E8" s="97"/>
      <c r="F8">
        <v>2022</v>
      </c>
      <c r="G8">
        <v>31.9</v>
      </c>
      <c r="H8">
        <v>35.799999999999997</v>
      </c>
      <c r="I8">
        <v>26.7</v>
      </c>
      <c r="J8">
        <v>36.799999999999997</v>
      </c>
      <c r="K8">
        <v>34</v>
      </c>
      <c r="L8">
        <v>30.3</v>
      </c>
      <c r="M8">
        <v>33.799999999999997</v>
      </c>
      <c r="P8" s="14"/>
    </row>
    <row r="9" spans="1:16" x14ac:dyDescent="0.2">
      <c r="A9" s="98" t="s">
        <v>893</v>
      </c>
      <c r="B9" s="97"/>
      <c r="E9" s="97"/>
      <c r="F9">
        <v>2023</v>
      </c>
      <c r="G9">
        <v>32.6</v>
      </c>
      <c r="H9">
        <v>40.5</v>
      </c>
      <c r="I9">
        <v>26.7</v>
      </c>
      <c r="J9">
        <v>41.3</v>
      </c>
      <c r="K9">
        <v>32.700000000000003</v>
      </c>
      <c r="L9">
        <v>28.8</v>
      </c>
      <c r="M9">
        <v>33.799999999999997</v>
      </c>
    </row>
    <row r="10" spans="1:16" x14ac:dyDescent="0.2">
      <c r="A10" t="s">
        <v>894</v>
      </c>
      <c r="B10" t="s">
        <v>983</v>
      </c>
      <c r="E10" s="97"/>
      <c r="F10">
        <v>2024</v>
      </c>
      <c r="G10">
        <v>30.6</v>
      </c>
      <c r="H10">
        <v>38.5</v>
      </c>
      <c r="I10">
        <v>28.5</v>
      </c>
      <c r="J10">
        <v>38.4</v>
      </c>
      <c r="K10">
        <v>30.8</v>
      </c>
      <c r="L10">
        <v>29</v>
      </c>
      <c r="M10">
        <v>31.6</v>
      </c>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694</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5" sqref="B15"/>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647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664</v>
      </c>
      <c r="G4" s="16" t="s">
        <v>679</v>
      </c>
      <c r="H4" s="16" t="s">
        <v>679</v>
      </c>
      <c r="I4" s="16" t="s">
        <v>679</v>
      </c>
      <c r="J4" s="16" t="s">
        <v>679</v>
      </c>
      <c r="K4" s="16" t="s">
        <v>679</v>
      </c>
      <c r="L4" s="16" t="s">
        <v>679</v>
      </c>
      <c r="M4" s="16" t="s">
        <v>679</v>
      </c>
      <c r="N4" s="16"/>
      <c r="O4" s="16"/>
      <c r="P4" s="16"/>
    </row>
    <row r="5" spans="1:16" x14ac:dyDescent="0.2">
      <c r="A5" s="98" t="s">
        <v>885</v>
      </c>
      <c r="B5" s="97"/>
      <c r="E5" s="99" t="s">
        <v>886</v>
      </c>
      <c r="F5" t="s">
        <v>887</v>
      </c>
      <c r="G5" t="s">
        <v>220</v>
      </c>
      <c r="H5" t="s">
        <v>18</v>
      </c>
      <c r="I5" t="s">
        <v>537</v>
      </c>
      <c r="J5" t="s">
        <v>449</v>
      </c>
      <c r="K5" t="s">
        <v>409</v>
      </c>
      <c r="L5" t="s">
        <v>421</v>
      </c>
      <c r="M5" t="s">
        <v>470</v>
      </c>
    </row>
    <row r="6" spans="1:16" ht="15" customHeight="1" x14ac:dyDescent="0.2">
      <c r="A6" t="s">
        <v>891</v>
      </c>
      <c r="B6" t="b">
        <v>1</v>
      </c>
      <c r="E6" s="97"/>
      <c r="F6">
        <v>2020</v>
      </c>
      <c r="G6">
        <v>1.4</v>
      </c>
      <c r="H6">
        <v>5.8</v>
      </c>
      <c r="I6">
        <v>2</v>
      </c>
      <c r="J6">
        <v>2.2000000000000002</v>
      </c>
      <c r="K6">
        <v>0</v>
      </c>
      <c r="L6">
        <v>1.7</v>
      </c>
      <c r="M6">
        <v>5.5</v>
      </c>
    </row>
    <row r="7" spans="1:16" ht="15.75" customHeight="1" x14ac:dyDescent="0.2">
      <c r="E7" s="97"/>
      <c r="F7">
        <v>2021</v>
      </c>
      <c r="G7">
        <v>3</v>
      </c>
      <c r="H7">
        <v>5.3</v>
      </c>
      <c r="I7">
        <v>2</v>
      </c>
      <c r="J7">
        <v>1.8</v>
      </c>
      <c r="K7">
        <v>10.199999999999999</v>
      </c>
      <c r="L7">
        <v>3.3</v>
      </c>
      <c r="M7">
        <v>7.1</v>
      </c>
    </row>
    <row r="8" spans="1:16" x14ac:dyDescent="0.2">
      <c r="E8" s="97"/>
      <c r="F8">
        <v>2022</v>
      </c>
      <c r="G8">
        <v>5.0999999999999996</v>
      </c>
      <c r="H8">
        <v>7.7</v>
      </c>
      <c r="I8">
        <v>3.1</v>
      </c>
      <c r="J8">
        <v>3.6</v>
      </c>
      <c r="K8">
        <v>7.6</v>
      </c>
      <c r="L8">
        <v>2.7</v>
      </c>
      <c r="M8">
        <v>6.4</v>
      </c>
      <c r="P8" s="14"/>
    </row>
    <row r="9" spans="1:16" x14ac:dyDescent="0.2">
      <c r="A9" s="98" t="s">
        <v>893</v>
      </c>
      <c r="B9" s="97"/>
      <c r="E9" s="97"/>
      <c r="F9">
        <v>2023</v>
      </c>
      <c r="G9">
        <v>5</v>
      </c>
      <c r="H9">
        <v>5.7</v>
      </c>
      <c r="I9">
        <v>3.1</v>
      </c>
      <c r="J9">
        <v>2.4</v>
      </c>
      <c r="K9">
        <v>8.8000000000000007</v>
      </c>
      <c r="L9">
        <v>1.1000000000000001</v>
      </c>
      <c r="M9">
        <v>6.7</v>
      </c>
    </row>
    <row r="10" spans="1:16" x14ac:dyDescent="0.2">
      <c r="A10" t="s">
        <v>894</v>
      </c>
      <c r="B10" t="s">
        <v>983</v>
      </c>
      <c r="E10" s="97"/>
      <c r="F10">
        <v>2024</v>
      </c>
      <c r="G10">
        <v>5.7</v>
      </c>
      <c r="H10">
        <v>6.7</v>
      </c>
      <c r="I10">
        <v>2</v>
      </c>
      <c r="J10">
        <v>1.8</v>
      </c>
      <c r="K10">
        <v>8.8000000000000007</v>
      </c>
      <c r="L10">
        <v>3.3</v>
      </c>
      <c r="M10">
        <v>5.9</v>
      </c>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432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tbl-clrd-mortal-aar</v>
      </c>
    </row>
    <row r="4" spans="1:16" x14ac:dyDescent="0.2">
      <c r="A4" s="58" t="s">
        <v>6</v>
      </c>
      <c r="B4" t="str">
        <f>IF($B$1="","",_xlfn.XLOOKUP($B$1,Master!$F$2:$F$308,Master!$H$2:$H$308,""))</f>
        <v>fig-clrd-mortal-aar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1</v>
      </c>
      <c r="E6" s="97"/>
      <c r="F6" t="s">
        <v>1642</v>
      </c>
      <c r="G6">
        <v>23.7</v>
      </c>
      <c r="H6">
        <v>32.1</v>
      </c>
      <c r="I6">
        <v>20.7</v>
      </c>
      <c r="J6">
        <v>20.100000000000001</v>
      </c>
      <c r="K6">
        <v>43.5</v>
      </c>
      <c r="L6">
        <v>32.1</v>
      </c>
      <c r="M6">
        <v>17.3</v>
      </c>
      <c r="N6">
        <v>22.8</v>
      </c>
      <c r="O6">
        <v>29.3</v>
      </c>
      <c r="P6">
        <v>23.7</v>
      </c>
    </row>
    <row r="7" spans="1:16" ht="15.75" customHeight="1" x14ac:dyDescent="0.2">
      <c r="E7" s="97"/>
    </row>
    <row r="8" spans="1:16" x14ac:dyDescent="0.2">
      <c r="E8" s="97"/>
      <c r="P8" s="14"/>
    </row>
    <row r="9" spans="1:16" x14ac:dyDescent="0.2">
      <c r="A9" s="98" t="s">
        <v>893</v>
      </c>
      <c r="B9" s="97"/>
      <c r="E9" s="97"/>
    </row>
    <row r="10" spans="1:16" x14ac:dyDescent="0.2">
      <c r="A10" t="s">
        <v>894</v>
      </c>
      <c r="B10" t="s">
        <v>1002</v>
      </c>
      <c r="E10" s="97"/>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436</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tbl-clrd-mortal-rande-aar</v>
      </c>
    </row>
    <row r="4" spans="1:16" x14ac:dyDescent="0.2">
      <c r="A4" s="58" t="s">
        <v>6</v>
      </c>
      <c r="B4" t="str">
        <f>IF($B$1="","",_xlfn.XLOOKUP($B$1,Master!$F$2:$F$308,Master!$H$2:$H$308,""))</f>
        <v>fig-clrd-mortal-rande-aar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F5" t="s">
        <v>1245</v>
      </c>
      <c r="G5" t="s">
        <v>220</v>
      </c>
      <c r="H5" t="s">
        <v>18</v>
      </c>
      <c r="I5" t="s">
        <v>537</v>
      </c>
      <c r="J5" t="s">
        <v>449</v>
      </c>
      <c r="K5" t="s">
        <v>409</v>
      </c>
      <c r="L5" t="s">
        <v>421</v>
      </c>
      <c r="M5" t="s">
        <v>470</v>
      </c>
      <c r="N5" t="s">
        <v>914</v>
      </c>
      <c r="O5" t="s">
        <v>915</v>
      </c>
    </row>
    <row r="6" spans="1:16" ht="15" customHeight="1" x14ac:dyDescent="0.2">
      <c r="A6" t="s">
        <v>891</v>
      </c>
      <c r="B6" t="b">
        <v>1</v>
      </c>
      <c r="E6" s="97"/>
      <c r="F6" t="s">
        <v>929</v>
      </c>
      <c r="G6">
        <v>25.3</v>
      </c>
      <c r="H6">
        <v>36.299999999999997</v>
      </c>
      <c r="I6">
        <v>22.2</v>
      </c>
      <c r="J6">
        <v>23.3</v>
      </c>
      <c r="K6">
        <v>45.3</v>
      </c>
      <c r="L6">
        <v>32.9</v>
      </c>
      <c r="M6">
        <v>18.3</v>
      </c>
      <c r="N6">
        <v>31.5</v>
      </c>
      <c r="O6">
        <v>27.8</v>
      </c>
    </row>
    <row r="7" spans="1:16" ht="15.75" customHeight="1" x14ac:dyDescent="0.2">
      <c r="E7" s="97"/>
      <c r="F7" t="s">
        <v>1566</v>
      </c>
      <c r="G7">
        <v>17.8</v>
      </c>
      <c r="H7">
        <v>21.4</v>
      </c>
      <c r="I7" t="s">
        <v>1930</v>
      </c>
      <c r="J7">
        <v>12.4</v>
      </c>
      <c r="K7" t="s">
        <v>1931</v>
      </c>
      <c r="L7">
        <v>40.700000000000003</v>
      </c>
      <c r="M7">
        <v>18.899999999999999</v>
      </c>
      <c r="N7">
        <v>22.8</v>
      </c>
      <c r="O7">
        <v>18.2</v>
      </c>
    </row>
    <row r="8" spans="1:16" x14ac:dyDescent="0.2">
      <c r="E8" s="97"/>
      <c r="F8" t="s">
        <v>1567</v>
      </c>
      <c r="G8" t="s">
        <v>1886</v>
      </c>
      <c r="H8" t="s">
        <v>1932</v>
      </c>
      <c r="I8" t="s">
        <v>1930</v>
      </c>
      <c r="J8" t="s">
        <v>1933</v>
      </c>
      <c r="K8" t="s">
        <v>1930</v>
      </c>
      <c r="L8" t="s">
        <v>1930</v>
      </c>
      <c r="M8">
        <v>5.3</v>
      </c>
      <c r="N8">
        <v>6</v>
      </c>
      <c r="O8">
        <v>7.5</v>
      </c>
      <c r="P8" s="14"/>
    </row>
    <row r="9" spans="1:16" x14ac:dyDescent="0.2">
      <c r="A9" s="98" t="s">
        <v>893</v>
      </c>
      <c r="B9" s="97"/>
      <c r="E9" s="97"/>
      <c r="F9" t="s">
        <v>927</v>
      </c>
      <c r="G9">
        <v>14.8</v>
      </c>
      <c r="H9">
        <v>12.5</v>
      </c>
      <c r="I9" t="s">
        <v>1934</v>
      </c>
      <c r="J9" t="s">
        <v>1935</v>
      </c>
      <c r="K9" t="s">
        <v>1936</v>
      </c>
      <c r="L9" t="s">
        <v>1937</v>
      </c>
      <c r="M9">
        <v>10.199999999999999</v>
      </c>
      <c r="N9">
        <v>11.4</v>
      </c>
      <c r="O9">
        <v>13</v>
      </c>
    </row>
    <row r="10" spans="1:16" x14ac:dyDescent="0.2">
      <c r="A10" t="s">
        <v>894</v>
      </c>
      <c r="B10" t="s">
        <v>983</v>
      </c>
      <c r="E10" s="97"/>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1938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tbl-cardiovasdz-hospi-aar</v>
      </c>
    </row>
    <row r="4" spans="1:16" x14ac:dyDescent="0.2">
      <c r="A4" s="58" t="s">
        <v>6</v>
      </c>
      <c r="B4" t="str">
        <f>IF($B$1="","",_xlfn.XLOOKUP($B$1,Master!$F$2:$F$308,Master!$H$2:$H$308,""))</f>
        <v>fig-cardiovasdz-hospi-aar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G5" t="s">
        <v>220</v>
      </c>
      <c r="H5" t="s">
        <v>18</v>
      </c>
      <c r="I5" t="s">
        <v>537</v>
      </c>
      <c r="J5" t="s">
        <v>449</v>
      </c>
      <c r="K5" t="s">
        <v>409</v>
      </c>
      <c r="L5" t="s">
        <v>421</v>
      </c>
      <c r="M5" t="s">
        <v>470</v>
      </c>
      <c r="N5" t="s">
        <v>898</v>
      </c>
      <c r="O5" t="s">
        <v>915</v>
      </c>
    </row>
    <row r="6" spans="1:16" ht="15" customHeight="1" x14ac:dyDescent="0.2">
      <c r="A6" t="s">
        <v>891</v>
      </c>
      <c r="B6" t="b">
        <v>0</v>
      </c>
      <c r="E6" s="97"/>
      <c r="F6" t="s">
        <v>1939</v>
      </c>
      <c r="G6">
        <v>102.3</v>
      </c>
      <c r="H6">
        <v>116.1</v>
      </c>
      <c r="I6">
        <v>76.900000000000006</v>
      </c>
      <c r="J6">
        <v>81.099999999999994</v>
      </c>
      <c r="K6">
        <v>129.9</v>
      </c>
      <c r="L6">
        <v>109.6</v>
      </c>
      <c r="M6">
        <v>90.9</v>
      </c>
      <c r="N6">
        <v>99.3</v>
      </c>
      <c r="O6">
        <v>111.2</v>
      </c>
    </row>
    <row r="7" spans="1:16" ht="15.75" customHeight="1" x14ac:dyDescent="0.2">
      <c r="E7" s="97"/>
    </row>
    <row r="8" spans="1:16" x14ac:dyDescent="0.2">
      <c r="E8" s="97"/>
      <c r="P8" s="14"/>
    </row>
    <row r="9" spans="1:16" x14ac:dyDescent="0.2">
      <c r="A9" s="98" t="s">
        <v>893</v>
      </c>
      <c r="B9" s="97"/>
      <c r="E9" s="97"/>
    </row>
    <row r="10" spans="1:16" x14ac:dyDescent="0.2">
      <c r="A10" t="s">
        <v>894</v>
      </c>
      <c r="B10" t="s">
        <v>1002</v>
      </c>
      <c r="E10" s="97"/>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708</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1940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tbl-adult-highbp-mddx-percent</v>
      </c>
    </row>
    <row r="4" spans="1:16" x14ac:dyDescent="0.2">
      <c r="A4" s="58" t="s">
        <v>6</v>
      </c>
      <c r="B4" t="str">
        <f>IF($B$1="","",_xlfn.XLOOKUP($B$1,Master!$F$2:$F$308,Master!$H$2:$H$308,""))</f>
        <v>fig-adult-highbp-mddx-percent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G5" t="s">
        <v>220</v>
      </c>
      <c r="H5" t="s">
        <v>18</v>
      </c>
      <c r="I5" t="s">
        <v>537</v>
      </c>
      <c r="J5" t="s">
        <v>449</v>
      </c>
      <c r="K5" t="s">
        <v>409</v>
      </c>
      <c r="L5" t="s">
        <v>421</v>
      </c>
      <c r="M5" t="s">
        <v>470</v>
      </c>
      <c r="N5" t="s">
        <v>898</v>
      </c>
      <c r="O5" t="s">
        <v>914</v>
      </c>
      <c r="P5" t="s">
        <v>915</v>
      </c>
    </row>
    <row r="6" spans="1:16" ht="15" customHeight="1" x14ac:dyDescent="0.2">
      <c r="A6" t="s">
        <v>891</v>
      </c>
      <c r="B6" t="b">
        <v>0</v>
      </c>
      <c r="E6" s="97"/>
      <c r="F6">
        <v>2016</v>
      </c>
      <c r="G6">
        <v>27.5</v>
      </c>
      <c r="H6">
        <v>30.4</v>
      </c>
      <c r="I6">
        <v>21.1</v>
      </c>
      <c r="J6">
        <v>28.1</v>
      </c>
      <c r="K6">
        <v>31.7</v>
      </c>
      <c r="L6">
        <v>29.4</v>
      </c>
      <c r="M6">
        <v>24.2</v>
      </c>
      <c r="N6">
        <v>26.7</v>
      </c>
      <c r="O6">
        <v>29.4</v>
      </c>
      <c r="P6">
        <v>28.9</v>
      </c>
    </row>
    <row r="7" spans="1:16" ht="15.75" customHeight="1" x14ac:dyDescent="0.2">
      <c r="E7" s="97"/>
      <c r="F7">
        <v>2021</v>
      </c>
      <c r="G7">
        <v>28.2</v>
      </c>
      <c r="H7">
        <v>29.1</v>
      </c>
      <c r="I7">
        <v>27.9</v>
      </c>
      <c r="J7">
        <v>26</v>
      </c>
      <c r="K7">
        <v>22.3</v>
      </c>
      <c r="L7">
        <v>27.8</v>
      </c>
      <c r="M7">
        <v>22.9</v>
      </c>
      <c r="N7">
        <v>25.9</v>
      </c>
      <c r="O7">
        <v>27.6</v>
      </c>
      <c r="P7">
        <v>27.6</v>
      </c>
    </row>
    <row r="8" spans="1:16" x14ac:dyDescent="0.2">
      <c r="E8" s="97"/>
      <c r="P8" s="14"/>
    </row>
    <row r="9" spans="1:16" x14ac:dyDescent="0.2">
      <c r="A9" s="98" t="s">
        <v>893</v>
      </c>
      <c r="B9" s="97"/>
      <c r="E9" s="97"/>
    </row>
    <row r="10" spans="1:16" x14ac:dyDescent="0.2">
      <c r="A10" t="s">
        <v>894</v>
      </c>
      <c r="B10" t="s">
        <v>983</v>
      </c>
      <c r="E10" s="97"/>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694</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455</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tbl-cerebrovasdz-hospital-aar</v>
      </c>
    </row>
    <row r="4" spans="1:16" x14ac:dyDescent="0.2">
      <c r="A4" s="58" t="s">
        <v>6</v>
      </c>
      <c r="B4" t="str">
        <f>IF($B$1="","",_xlfn.XLOOKUP($B$1,Master!$F$2:$F$308,Master!$H$2:$H$308,""))</f>
        <v>fig-cerebrovasdz-hospital-aar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G5" t="s">
        <v>220</v>
      </c>
      <c r="H5" t="s">
        <v>18</v>
      </c>
      <c r="I5" t="s">
        <v>537</v>
      </c>
      <c r="J5" t="s">
        <v>449</v>
      </c>
      <c r="K5" t="s">
        <v>409</v>
      </c>
      <c r="L5" t="s">
        <v>421</v>
      </c>
      <c r="M5" t="s">
        <v>470</v>
      </c>
      <c r="N5" t="s">
        <v>898</v>
      </c>
      <c r="O5" t="s">
        <v>914</v>
      </c>
    </row>
    <row r="6" spans="1:16" ht="15" customHeight="1" x14ac:dyDescent="0.2">
      <c r="A6" t="s">
        <v>891</v>
      </c>
      <c r="B6" t="b">
        <v>0</v>
      </c>
      <c r="E6" s="97"/>
      <c r="F6" t="s">
        <v>1939</v>
      </c>
      <c r="G6">
        <v>18.7</v>
      </c>
      <c r="H6">
        <v>21.9</v>
      </c>
      <c r="I6">
        <v>14.7</v>
      </c>
      <c r="J6">
        <v>17.7</v>
      </c>
      <c r="K6">
        <v>23.6</v>
      </c>
      <c r="L6">
        <v>19.399999999999999</v>
      </c>
      <c r="M6">
        <v>17.8</v>
      </c>
      <c r="N6">
        <v>18.7</v>
      </c>
      <c r="O6">
        <v>19.899999999999999</v>
      </c>
    </row>
    <row r="7" spans="1:16" ht="15.75" customHeight="1" x14ac:dyDescent="0.2">
      <c r="E7" s="97"/>
    </row>
    <row r="8" spans="1:16" x14ac:dyDescent="0.2">
      <c r="E8" s="97"/>
      <c r="P8" s="14"/>
    </row>
    <row r="9" spans="1:16" x14ac:dyDescent="0.2">
      <c r="A9" s="98" t="s">
        <v>893</v>
      </c>
      <c r="B9" s="97"/>
      <c r="E9" s="97"/>
    </row>
    <row r="10" spans="1:16" x14ac:dyDescent="0.2">
      <c r="A10" t="s">
        <v>894</v>
      </c>
      <c r="B10" t="s">
        <v>1002</v>
      </c>
      <c r="E10" s="97"/>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708</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election activeCell="F30" sqref="F3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458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tbl-cerebrovasdz-hospital-rande-aar</v>
      </c>
    </row>
    <row r="4" spans="1:16" x14ac:dyDescent="0.2">
      <c r="A4" s="58" t="s">
        <v>6</v>
      </c>
      <c r="B4" t="str">
        <f>IF($B$1="","",_xlfn.XLOOKUP($B$1,Master!$F$2:$F$308,Master!$H$2:$H$308,""))</f>
        <v>fig-cerebrovasdz-hospital-rande-aar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F5" t="s">
        <v>1245</v>
      </c>
      <c r="G5" t="s">
        <v>220</v>
      </c>
      <c r="H5" t="s">
        <v>18</v>
      </c>
      <c r="I5" t="s">
        <v>537</v>
      </c>
      <c r="J5" t="s">
        <v>449</v>
      </c>
      <c r="K5" t="s">
        <v>409</v>
      </c>
      <c r="L5" t="s">
        <v>421</v>
      </c>
      <c r="M5" t="s">
        <v>470</v>
      </c>
      <c r="N5" t="s">
        <v>914</v>
      </c>
      <c r="O5" t="s">
        <v>915</v>
      </c>
    </row>
    <row r="6" spans="1:16" ht="15" customHeight="1" x14ac:dyDescent="0.2">
      <c r="A6" t="s">
        <v>891</v>
      </c>
      <c r="B6" t="b">
        <v>0</v>
      </c>
      <c r="E6" s="97"/>
      <c r="F6" t="s">
        <v>929</v>
      </c>
      <c r="G6">
        <v>15.7</v>
      </c>
      <c r="H6">
        <v>17.600000000000001</v>
      </c>
      <c r="I6">
        <v>12.8</v>
      </c>
      <c r="J6">
        <v>12.6</v>
      </c>
      <c r="K6">
        <v>20.8</v>
      </c>
      <c r="L6">
        <v>17.3</v>
      </c>
      <c r="M6">
        <v>11.8</v>
      </c>
      <c r="N6">
        <v>16.7</v>
      </c>
      <c r="O6">
        <v>15.4</v>
      </c>
    </row>
    <row r="7" spans="1:16" ht="15.75" customHeight="1" x14ac:dyDescent="0.2">
      <c r="E7" s="97"/>
      <c r="F7" t="s">
        <v>1566</v>
      </c>
      <c r="G7">
        <v>12.8</v>
      </c>
      <c r="H7">
        <v>29.4</v>
      </c>
      <c r="I7" t="s">
        <v>1942</v>
      </c>
      <c r="J7">
        <v>21.1</v>
      </c>
      <c r="K7">
        <v>36.5</v>
      </c>
      <c r="L7">
        <v>20.399999999999999</v>
      </c>
      <c r="M7">
        <v>27.8</v>
      </c>
      <c r="N7">
        <v>33.1</v>
      </c>
      <c r="O7">
        <v>27</v>
      </c>
    </row>
    <row r="8" spans="1:16" x14ac:dyDescent="0.2">
      <c r="E8" s="97"/>
      <c r="F8" t="s">
        <v>1838</v>
      </c>
      <c r="G8">
        <v>5</v>
      </c>
      <c r="H8">
        <v>16</v>
      </c>
      <c r="I8">
        <v>13.6</v>
      </c>
      <c r="J8">
        <v>6.9</v>
      </c>
      <c r="K8" t="s">
        <v>1943</v>
      </c>
      <c r="L8" t="s">
        <v>1944</v>
      </c>
      <c r="M8">
        <v>7.7</v>
      </c>
      <c r="N8">
        <v>11.2</v>
      </c>
      <c r="O8">
        <v>11.2</v>
      </c>
      <c r="P8" s="14"/>
    </row>
    <row r="9" spans="1:16" x14ac:dyDescent="0.2">
      <c r="A9" s="98" t="s">
        <v>893</v>
      </c>
      <c r="B9" s="97"/>
      <c r="E9" s="97"/>
      <c r="F9" t="s">
        <v>927</v>
      </c>
      <c r="G9">
        <v>9.1</v>
      </c>
      <c r="H9">
        <v>15.4</v>
      </c>
      <c r="I9">
        <v>11</v>
      </c>
      <c r="J9">
        <v>15.1</v>
      </c>
      <c r="K9">
        <v>12.8</v>
      </c>
      <c r="L9">
        <v>11.2</v>
      </c>
      <c r="M9">
        <v>10.5</v>
      </c>
      <c r="N9">
        <v>15.4</v>
      </c>
      <c r="O9">
        <v>16.399999999999999</v>
      </c>
    </row>
    <row r="10" spans="1:16" x14ac:dyDescent="0.2">
      <c r="A10" t="s">
        <v>894</v>
      </c>
      <c r="B10" t="s">
        <v>983</v>
      </c>
      <c r="E10" s="97"/>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708</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460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tbl-cerebrovasdz-mortal-aar</v>
      </c>
    </row>
    <row r="4" spans="1:16" x14ac:dyDescent="0.2">
      <c r="A4" s="58" t="s">
        <v>6</v>
      </c>
      <c r="B4" t="str">
        <f>IF($B$1="","",_xlfn.XLOOKUP($B$1,Master!$F$2:$F$308,Master!$H$2:$H$308,""))</f>
        <v>fig-cerebrovasdz-mortal-aar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G5" s="100" t="s">
        <v>1636</v>
      </c>
      <c r="H5" s="100"/>
      <c r="I5" s="100"/>
      <c r="J5" s="100"/>
      <c r="K5" s="100"/>
      <c r="L5" s="100"/>
      <c r="M5" s="100"/>
      <c r="N5" s="100" t="s">
        <v>1945</v>
      </c>
      <c r="O5" s="100"/>
    </row>
    <row r="6" spans="1:16" ht="15" customHeight="1" x14ac:dyDescent="0.2">
      <c r="A6" t="s">
        <v>891</v>
      </c>
      <c r="B6" t="b">
        <v>1</v>
      </c>
      <c r="E6" s="97"/>
      <c r="F6" t="s">
        <v>887</v>
      </c>
      <c r="G6" t="s">
        <v>220</v>
      </c>
      <c r="H6" t="s">
        <v>18</v>
      </c>
      <c r="I6" t="s">
        <v>537</v>
      </c>
      <c r="J6" t="s">
        <v>449</v>
      </c>
      <c r="K6" t="s">
        <v>409</v>
      </c>
      <c r="L6" t="s">
        <v>421</v>
      </c>
      <c r="M6" t="s">
        <v>470</v>
      </c>
      <c r="N6" t="s">
        <v>914</v>
      </c>
      <c r="O6" t="s">
        <v>915</v>
      </c>
    </row>
    <row r="7" spans="1:16" ht="15.75" customHeight="1" x14ac:dyDescent="0.2">
      <c r="E7" s="97"/>
      <c r="F7">
        <v>2018</v>
      </c>
      <c r="G7">
        <v>22.8</v>
      </c>
      <c r="H7">
        <v>25</v>
      </c>
      <c r="I7">
        <v>20.100000000000001</v>
      </c>
      <c r="J7">
        <v>24.3</v>
      </c>
      <c r="K7">
        <v>26.2</v>
      </c>
      <c r="L7">
        <v>26.1</v>
      </c>
      <c r="M7">
        <v>21.6</v>
      </c>
      <c r="N7">
        <v>27.3</v>
      </c>
      <c r="O7">
        <v>24.1</v>
      </c>
    </row>
    <row r="8" spans="1:16" x14ac:dyDescent="0.2">
      <c r="E8" s="97"/>
      <c r="F8">
        <v>2019</v>
      </c>
      <c r="G8">
        <v>22.1</v>
      </c>
      <c r="H8">
        <v>25.7</v>
      </c>
      <c r="I8">
        <v>19.399999999999999</v>
      </c>
      <c r="J8">
        <v>22.1</v>
      </c>
      <c r="K8">
        <v>24.9</v>
      </c>
      <c r="L8">
        <v>24.2</v>
      </c>
      <c r="M8">
        <v>21.6</v>
      </c>
      <c r="N8">
        <v>27</v>
      </c>
      <c r="O8">
        <v>23.9</v>
      </c>
      <c r="P8" s="14"/>
    </row>
    <row r="9" spans="1:16" x14ac:dyDescent="0.2">
      <c r="A9" s="98" t="s">
        <v>893</v>
      </c>
      <c r="B9" s="97"/>
      <c r="E9" s="97"/>
      <c r="F9">
        <v>2020</v>
      </c>
      <c r="G9">
        <v>22.7</v>
      </c>
      <c r="H9">
        <v>25.1</v>
      </c>
      <c r="I9">
        <v>21.3</v>
      </c>
      <c r="J9">
        <v>24.3</v>
      </c>
      <c r="K9">
        <v>23.6</v>
      </c>
      <c r="L9">
        <v>25.1</v>
      </c>
      <c r="M9">
        <v>20.8</v>
      </c>
      <c r="N9">
        <v>26.7</v>
      </c>
      <c r="O9">
        <v>25.1</v>
      </c>
    </row>
    <row r="10" spans="1:16" x14ac:dyDescent="0.2">
      <c r="A10" t="s">
        <v>894</v>
      </c>
      <c r="B10" t="s">
        <v>972</v>
      </c>
      <c r="E10" s="97"/>
      <c r="F10">
        <v>2021</v>
      </c>
      <c r="G10">
        <v>21.8</v>
      </c>
      <c r="H10">
        <v>26</v>
      </c>
      <c r="I10">
        <v>21.4</v>
      </c>
      <c r="J10">
        <v>23.1</v>
      </c>
      <c r="K10">
        <v>23.5</v>
      </c>
      <c r="L10">
        <v>25.3</v>
      </c>
      <c r="M10">
        <v>22.2</v>
      </c>
      <c r="N10">
        <v>28.7</v>
      </c>
      <c r="O10">
        <v>25.7</v>
      </c>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462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tbl-cerebrovasdz-mortal-rande-aar</v>
      </c>
    </row>
    <row r="4" spans="1:16" x14ac:dyDescent="0.2">
      <c r="A4" s="58" t="s">
        <v>6</v>
      </c>
      <c r="B4" t="str">
        <f>IF($B$1="","",_xlfn.XLOOKUP($B$1,Master!$F$2:$F$308,Master!$H$2:$H$308,""))</f>
        <v>fig-cerebrovasdz-mortal-rande-aar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G5" s="100" t="s">
        <v>1636</v>
      </c>
      <c r="H5" s="100"/>
      <c r="I5" s="100"/>
      <c r="J5" s="100"/>
      <c r="K5" s="100"/>
      <c r="L5" s="100"/>
      <c r="M5" s="100"/>
      <c r="N5" s="100" t="s">
        <v>1945</v>
      </c>
      <c r="O5" s="100"/>
    </row>
    <row r="6" spans="1:16" ht="15" customHeight="1" x14ac:dyDescent="0.2">
      <c r="A6" t="s">
        <v>891</v>
      </c>
      <c r="B6" t="b">
        <v>1</v>
      </c>
      <c r="E6" s="97"/>
      <c r="F6" t="s">
        <v>887</v>
      </c>
      <c r="G6" t="s">
        <v>220</v>
      </c>
      <c r="H6" t="s">
        <v>18</v>
      </c>
      <c r="I6" t="s">
        <v>537</v>
      </c>
      <c r="J6" t="s">
        <v>449</v>
      </c>
      <c r="K6" t="s">
        <v>409</v>
      </c>
      <c r="L6" t="s">
        <v>421</v>
      </c>
      <c r="M6" t="s">
        <v>470</v>
      </c>
      <c r="N6" t="s">
        <v>914</v>
      </c>
      <c r="O6" t="s">
        <v>915</v>
      </c>
    </row>
    <row r="7" spans="1:16" ht="15.75" customHeight="1" x14ac:dyDescent="0.2">
      <c r="E7" s="97"/>
      <c r="F7">
        <v>2018</v>
      </c>
      <c r="G7">
        <v>22.8</v>
      </c>
      <c r="H7">
        <v>25</v>
      </c>
      <c r="I7">
        <v>20.100000000000001</v>
      </c>
      <c r="J7">
        <v>24.3</v>
      </c>
      <c r="K7">
        <v>26.2</v>
      </c>
      <c r="L7">
        <v>26.1</v>
      </c>
      <c r="M7">
        <v>21.6</v>
      </c>
      <c r="N7">
        <v>27.3</v>
      </c>
      <c r="O7">
        <v>24.1</v>
      </c>
    </row>
    <row r="8" spans="1:16" x14ac:dyDescent="0.2">
      <c r="E8" s="97"/>
      <c r="F8">
        <v>2019</v>
      </c>
      <c r="G8">
        <v>22.1</v>
      </c>
      <c r="H8">
        <v>25.7</v>
      </c>
      <c r="I8">
        <v>19.399999999999999</v>
      </c>
      <c r="J8">
        <v>22.1</v>
      </c>
      <c r="K8">
        <v>24.9</v>
      </c>
      <c r="L8">
        <v>24.2</v>
      </c>
      <c r="M8">
        <v>21.6</v>
      </c>
      <c r="N8">
        <v>27</v>
      </c>
      <c r="O8">
        <v>23.9</v>
      </c>
      <c r="P8" s="14"/>
    </row>
    <row r="9" spans="1:16" x14ac:dyDescent="0.2">
      <c r="A9" s="98" t="s">
        <v>893</v>
      </c>
      <c r="B9" s="97"/>
      <c r="E9" s="97"/>
      <c r="F9">
        <v>2020</v>
      </c>
      <c r="G9">
        <v>22.7</v>
      </c>
      <c r="H9">
        <v>25.1</v>
      </c>
      <c r="I9">
        <v>21.3</v>
      </c>
      <c r="J9">
        <v>24.3</v>
      </c>
      <c r="K9">
        <v>23.6</v>
      </c>
      <c r="L9">
        <v>25.1</v>
      </c>
      <c r="M9">
        <v>20.8</v>
      </c>
      <c r="N9">
        <v>26.7</v>
      </c>
      <c r="O9">
        <v>25.1</v>
      </c>
    </row>
    <row r="10" spans="1:16" x14ac:dyDescent="0.2">
      <c r="A10" t="s">
        <v>894</v>
      </c>
      <c r="B10" t="s">
        <v>972</v>
      </c>
      <c r="E10" s="97"/>
      <c r="F10">
        <v>2021</v>
      </c>
      <c r="G10">
        <v>21.8</v>
      </c>
      <c r="H10">
        <v>26</v>
      </c>
      <c r="I10">
        <v>21.4</v>
      </c>
      <c r="J10">
        <v>23.1</v>
      </c>
      <c r="K10">
        <v>23.5</v>
      </c>
      <c r="L10">
        <v>25.3</v>
      </c>
      <c r="M10">
        <v>22.2</v>
      </c>
      <c r="N10">
        <v>28.7</v>
      </c>
      <c r="O10">
        <v>25.7</v>
      </c>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EC9F-862B-6640-B5CB-2FCA6B1649CD}">
  <dimension ref="A1:P57"/>
  <sheetViews>
    <sheetView workbookViewId="0">
      <selection activeCell="F13" sqref="F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130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tbl-language-proficiency</v>
      </c>
    </row>
    <row r="4" spans="1:16" x14ac:dyDescent="0.2">
      <c r="A4" s="58" t="s">
        <v>6</v>
      </c>
      <c r="B4" t="str">
        <f>IF($B$1="","",_xlfn.XLOOKUP($B$1,Master!$F$2:$F$308,Master!$H$2:$H$308,""))</f>
        <v>fig-language-proficiency</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7"/>
      <c r="E5" s="99" t="s">
        <v>886</v>
      </c>
      <c r="F5" t="s">
        <v>887</v>
      </c>
      <c r="G5" t="s">
        <v>220</v>
      </c>
      <c r="H5" t="s">
        <v>18</v>
      </c>
      <c r="I5" t="s">
        <v>537</v>
      </c>
      <c r="J5" t="s">
        <v>449</v>
      </c>
      <c r="K5" t="s">
        <v>409</v>
      </c>
      <c r="L5" t="s">
        <v>421</v>
      </c>
      <c r="M5" t="s">
        <v>470</v>
      </c>
      <c r="N5" t="s">
        <v>915</v>
      </c>
    </row>
    <row r="6" spans="1:16" ht="15" customHeight="1" x14ac:dyDescent="0.2">
      <c r="A6" t="s">
        <v>891</v>
      </c>
      <c r="B6" t="b">
        <v>0</v>
      </c>
      <c r="E6" s="97"/>
      <c r="F6">
        <v>2021</v>
      </c>
      <c r="G6">
        <v>4.7</v>
      </c>
      <c r="H6">
        <v>10.6</v>
      </c>
      <c r="I6">
        <v>5.3</v>
      </c>
      <c r="J6">
        <v>18.600000000000001</v>
      </c>
      <c r="K6">
        <v>5.9</v>
      </c>
      <c r="L6">
        <v>2.9</v>
      </c>
      <c r="M6">
        <v>12.7</v>
      </c>
      <c r="N6">
        <v>13.1</v>
      </c>
    </row>
    <row r="7" spans="1:16" ht="15.75" customHeight="1" x14ac:dyDescent="0.2">
      <c r="E7" s="97"/>
      <c r="F7">
        <v>2022</v>
      </c>
      <c r="G7">
        <v>4.8</v>
      </c>
      <c r="H7">
        <v>11.3</v>
      </c>
      <c r="I7">
        <v>5.6</v>
      </c>
      <c r="J7">
        <v>18.8</v>
      </c>
      <c r="K7">
        <v>7.3</v>
      </c>
      <c r="L7">
        <v>3</v>
      </c>
      <c r="M7">
        <v>12.2</v>
      </c>
      <c r="N7">
        <v>13.1</v>
      </c>
    </row>
    <row r="8" spans="1:16" x14ac:dyDescent="0.2">
      <c r="E8" s="97"/>
      <c r="F8">
        <v>2023</v>
      </c>
      <c r="G8">
        <v>5.4</v>
      </c>
      <c r="H8">
        <v>12.2</v>
      </c>
      <c r="I8">
        <v>6</v>
      </c>
      <c r="J8">
        <v>20</v>
      </c>
      <c r="K8">
        <v>8</v>
      </c>
      <c r="L8">
        <v>3.4</v>
      </c>
      <c r="M8">
        <v>12.4</v>
      </c>
      <c r="N8">
        <v>13.3</v>
      </c>
      <c r="P8" s="14"/>
    </row>
    <row r="9" spans="1:16" x14ac:dyDescent="0.2">
      <c r="A9" s="98" t="s">
        <v>893</v>
      </c>
      <c r="B9" s="97"/>
      <c r="E9" s="97"/>
    </row>
    <row r="10" spans="1:16" x14ac:dyDescent="0.2">
      <c r="A10" t="s">
        <v>894</v>
      </c>
      <c r="B10" t="s">
        <v>983</v>
      </c>
      <c r="E10" s="97"/>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694</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C0DF2B35-EDBC-834D-A4C9-C0389925A493}">
      <formula1>"True,False"</formula1>
    </dataValidation>
    <dataValidation type="list" allowBlank="1" showInputMessage="1" showErrorMessage="1" sqref="B2" xr:uid="{77A7B477-D742-834B-B293-391AD8DCA789}">
      <formula1>"Table,Figure,Both"</formula1>
    </dataValidation>
    <dataValidation type="list" allowBlank="1" showInputMessage="1" showErrorMessage="1" sqref="B10" xr:uid="{CD89C359-80D2-FB41-8B42-F5207CF638A5}">
      <formula1>"Line,Clustered Bar,Stacked Bar,Bar,Horizontal Stacked Bar"</formula1>
    </dataValidation>
    <dataValidation type="list" allowBlank="1" showInputMessage="1" showErrorMessage="1" sqref="P4" xr:uid="{83364352-9981-024A-9C91-310EA23217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CCC12F-9C5A-A448-8D1E-F32C82E971DC}">
          <x14:formula1>
            <xm:f>Dropdowns!$A$1:$A$8</xm:f>
          </x14:formula1>
          <xm:sqref>F4:O4</xm:sqref>
        </x14:dataValidation>
        <x14:dataValidation type="list" allowBlank="1" showInputMessage="1" showErrorMessage="1" xr:uid="{CA80C681-ACF0-9E49-AB66-28FDE7ECAB47}">
          <x14:formula1>
            <xm:f>Master!$F$2:$F$401</xm:f>
          </x14:formula1>
          <xm:sqref>B1:O1</xm:sqref>
        </x14:dataValidation>
      </x14:dataValidations>
    </ext>
  </extLs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EAAC9-1496-7C4D-85CE-C60BE5A75FAA}">
  <dimension ref="A1:P57"/>
  <sheetViews>
    <sheetView workbookViewId="0">
      <selection activeCell="L23" sqref="L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1560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tbl-heartattack-hospital-aar</v>
      </c>
    </row>
    <row r="4" spans="1:16" x14ac:dyDescent="0.2">
      <c r="A4" s="58" t="s">
        <v>6</v>
      </c>
      <c r="B4" t="str">
        <f>IF($B$1="","",_xlfn.XLOOKUP($B$1,Master!$F$2:$F$308,Master!$H$2:$H$308,""))</f>
        <v>fig-heartattack-hospital-aar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7"/>
      <c r="F6">
        <v>2021</v>
      </c>
      <c r="G6">
        <v>10.9</v>
      </c>
      <c r="H6">
        <v>14.4</v>
      </c>
      <c r="I6">
        <v>7.9</v>
      </c>
      <c r="J6">
        <v>8.6</v>
      </c>
      <c r="K6">
        <v>20</v>
      </c>
      <c r="L6">
        <v>12</v>
      </c>
      <c r="M6">
        <v>8.6999999999999993</v>
      </c>
      <c r="N6">
        <v>10.4</v>
      </c>
      <c r="O6">
        <v>12</v>
      </c>
      <c r="P6">
        <v>10.9</v>
      </c>
    </row>
    <row r="7" spans="1:16" ht="15.75" customHeight="1" x14ac:dyDescent="0.2">
      <c r="E7" s="97"/>
    </row>
    <row r="8" spans="1:16" x14ac:dyDescent="0.2">
      <c r="E8" s="97"/>
      <c r="P8" s="14"/>
    </row>
    <row r="9" spans="1:16" x14ac:dyDescent="0.2">
      <c r="A9" s="98" t="s">
        <v>893</v>
      </c>
      <c r="B9" s="97"/>
      <c r="E9" s="97"/>
    </row>
    <row r="10" spans="1:16" x14ac:dyDescent="0.2">
      <c r="A10" t="s">
        <v>894</v>
      </c>
      <c r="B10" t="s">
        <v>1002</v>
      </c>
      <c r="E10" s="97"/>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694</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F6A1D1E0-0E53-BF4F-9D9A-D944AD65D892}">
      <formula1>"integer, number, percent1"</formula1>
    </dataValidation>
    <dataValidation type="list" allowBlank="1" showInputMessage="1" showErrorMessage="1" sqref="B10" xr:uid="{C865975B-9156-E94D-A9C8-E481D623CACF}">
      <formula1>"Line,Clustered Bar,Stacked Bar,Bar,Horizontal Stacked Bar"</formula1>
    </dataValidation>
    <dataValidation type="list" allowBlank="1" showInputMessage="1" showErrorMessage="1" sqref="B2" xr:uid="{8DFD2671-D58F-854E-81BF-5E72177643CD}">
      <formula1>"Table,Figure,Both"</formula1>
    </dataValidation>
    <dataValidation type="list" allowBlank="1" showInputMessage="1" showErrorMessage="1" sqref="B6 B15:B16" xr:uid="{3138ECDC-CA7E-AD49-AD17-3A509D161D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5073D30-8BA5-1444-9CBB-9AF381CE2BCB}">
          <x14:formula1>
            <xm:f>Master!$F$2:$F$401</xm:f>
          </x14:formula1>
          <xm:sqref>B1:O1</xm:sqref>
        </x14:dataValidation>
        <x14:dataValidation type="list" allowBlank="1" showInputMessage="1" showErrorMessage="1" xr:uid="{CD940325-DAA4-0647-BFF1-C61EDC969704}">
          <x14:formula1>
            <xm:f>Dropdowns!$A$1:$A$8</xm:f>
          </x14:formula1>
          <xm:sqref>F4:O4</xm:sqref>
        </x14:dataValidation>
      </x14:dataValidations>
    </ext>
  </extLs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090B5-45D0-7549-9E65-8205D2931B97}">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476</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tbl-dm-hospital-rande-aar</v>
      </c>
    </row>
    <row r="4" spans="1:16" x14ac:dyDescent="0.2">
      <c r="A4" s="58" t="s">
        <v>6</v>
      </c>
      <c r="B4" t="str">
        <f>IF($B$1="","",_xlfn.XLOOKUP($B$1,Master!$F$2:$F$308,Master!$H$2:$H$308,""))</f>
        <v>fig-dm-hospital-rande-aar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F5" t="s">
        <v>1245</v>
      </c>
      <c r="G5" t="s">
        <v>220</v>
      </c>
      <c r="H5" t="s">
        <v>18</v>
      </c>
      <c r="I5" t="s">
        <v>537</v>
      </c>
      <c r="J5" t="s">
        <v>449</v>
      </c>
      <c r="K5" t="s">
        <v>409</v>
      </c>
      <c r="L5" t="s">
        <v>421</v>
      </c>
      <c r="M5" t="s">
        <v>470</v>
      </c>
      <c r="N5" t="s">
        <v>914</v>
      </c>
      <c r="O5" t="s">
        <v>915</v>
      </c>
    </row>
    <row r="6" spans="1:16" ht="15" customHeight="1" x14ac:dyDescent="0.2">
      <c r="A6" t="s">
        <v>891</v>
      </c>
      <c r="B6" t="b">
        <v>0</v>
      </c>
      <c r="E6" s="97"/>
      <c r="F6" t="s">
        <v>929</v>
      </c>
      <c r="G6">
        <v>140.6</v>
      </c>
      <c r="H6">
        <v>157.19999999999999</v>
      </c>
      <c r="I6">
        <v>105.3</v>
      </c>
      <c r="J6">
        <v>113.7</v>
      </c>
      <c r="K6">
        <v>188.1</v>
      </c>
      <c r="L6">
        <v>149.69999999999999</v>
      </c>
      <c r="M6">
        <v>87.6</v>
      </c>
      <c r="N6">
        <v>145.5</v>
      </c>
      <c r="O6">
        <v>136.30000000000001</v>
      </c>
    </row>
    <row r="7" spans="1:16" ht="15.75" customHeight="1" x14ac:dyDescent="0.2">
      <c r="E7" s="97"/>
      <c r="F7" t="s">
        <v>1566</v>
      </c>
      <c r="G7">
        <v>122.9</v>
      </c>
      <c r="H7">
        <v>298.3</v>
      </c>
      <c r="I7">
        <v>67.8</v>
      </c>
      <c r="J7">
        <v>251.3</v>
      </c>
      <c r="K7">
        <v>372.4</v>
      </c>
      <c r="L7">
        <v>251.8</v>
      </c>
      <c r="M7">
        <v>272.2</v>
      </c>
      <c r="N7">
        <v>334.5</v>
      </c>
      <c r="O7">
        <v>295.3</v>
      </c>
    </row>
    <row r="8" spans="1:16" x14ac:dyDescent="0.2">
      <c r="E8" s="97"/>
      <c r="F8" t="s">
        <v>1838</v>
      </c>
      <c r="G8">
        <v>59.5</v>
      </c>
      <c r="H8">
        <v>91.1</v>
      </c>
      <c r="I8">
        <v>49.4</v>
      </c>
      <c r="J8">
        <v>87.3</v>
      </c>
      <c r="K8">
        <v>93.6</v>
      </c>
      <c r="L8">
        <v>79.7</v>
      </c>
      <c r="M8">
        <v>66.5</v>
      </c>
      <c r="N8">
        <v>112</v>
      </c>
      <c r="O8">
        <v>110.2</v>
      </c>
      <c r="P8" s="14"/>
    </row>
    <row r="9" spans="1:16" x14ac:dyDescent="0.2">
      <c r="A9" s="98" t="s">
        <v>893</v>
      </c>
      <c r="B9" s="97"/>
      <c r="E9" s="97"/>
      <c r="F9" t="s">
        <v>927</v>
      </c>
      <c r="G9">
        <v>127.6</v>
      </c>
      <c r="H9">
        <v>185.6</v>
      </c>
      <c r="I9">
        <v>87.2</v>
      </c>
      <c r="J9">
        <v>176.8</v>
      </c>
      <c r="K9">
        <v>207.2</v>
      </c>
      <c r="L9">
        <v>172.9</v>
      </c>
      <c r="M9">
        <v>118.6</v>
      </c>
      <c r="N9">
        <v>183.9</v>
      </c>
      <c r="O9">
        <v>233.8</v>
      </c>
    </row>
    <row r="10" spans="1:16" x14ac:dyDescent="0.2">
      <c r="A10" t="s">
        <v>894</v>
      </c>
      <c r="B10" t="s">
        <v>983</v>
      </c>
      <c r="E10" s="97"/>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694</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F34BA997-0D34-DB45-87D3-326016B4FACB}">
      <formula1>"True,False"</formula1>
    </dataValidation>
    <dataValidation type="list" allowBlank="1" showInputMessage="1" showErrorMessage="1" sqref="B2" xr:uid="{F5990C1A-72FD-7B4C-9B6B-58E33286CFA4}">
      <formula1>"Table,Figure,Both"</formula1>
    </dataValidation>
    <dataValidation type="list" allowBlank="1" showInputMessage="1" showErrorMessage="1" sqref="B10" xr:uid="{2616793A-3856-B24C-87A4-EB8E1A657823}">
      <formula1>"Line,Clustered Bar,Stacked Bar,Bar,Horizontal Stacked Bar"</formula1>
    </dataValidation>
    <dataValidation type="list" allowBlank="1" showInputMessage="1" showErrorMessage="1" sqref="P4" xr:uid="{7A04AA22-B7FE-EE44-AD2D-03D34DD383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4C92FF7-6AEE-7F4A-AC4B-11187B7E4C5F}">
          <x14:formula1>
            <xm:f>Dropdowns!$A$1:$A$8</xm:f>
          </x14:formula1>
          <xm:sqref>F4:O4</xm:sqref>
        </x14:dataValidation>
        <x14:dataValidation type="list" allowBlank="1" showInputMessage="1" showErrorMessage="1" xr:uid="{1A05B576-E9A2-BE47-BBED-59F8A6E9A187}">
          <x14:formula1>
            <xm:f>Master!$F$2:$F$401</xm:f>
          </x14:formula1>
          <xm:sqref>B1:O1</xm:sqref>
        </x14:dataValidation>
      </x14:dataValidations>
    </ext>
  </extLs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070FF-4186-2648-8A49-7DB0C80E9A4F}">
  <dimension ref="A1:P57"/>
  <sheetViews>
    <sheetView workbookViewId="0">
      <selection activeCell="H16" sqref="H1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473</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t="s">
        <v>1953</v>
      </c>
      <c r="G5" t="s">
        <v>220</v>
      </c>
      <c r="H5" t="s">
        <v>18</v>
      </c>
      <c r="I5" t="s">
        <v>537</v>
      </c>
      <c r="J5" t="s">
        <v>449</v>
      </c>
      <c r="K5" t="s">
        <v>409</v>
      </c>
      <c r="L5" t="s">
        <v>421</v>
      </c>
      <c r="M5" t="s">
        <v>470</v>
      </c>
      <c r="N5" t="s">
        <v>898</v>
      </c>
      <c r="O5" t="s">
        <v>914</v>
      </c>
      <c r="P5" t="s">
        <v>915</v>
      </c>
    </row>
    <row r="6" spans="1:16" ht="15" customHeight="1" x14ac:dyDescent="0.2">
      <c r="A6" t="s">
        <v>891</v>
      </c>
      <c r="B6" t="b">
        <v>0</v>
      </c>
      <c r="E6" s="97"/>
      <c r="F6" t="s">
        <v>1954</v>
      </c>
      <c r="G6">
        <v>12.7</v>
      </c>
      <c r="H6">
        <v>12.4</v>
      </c>
      <c r="I6">
        <v>6.7</v>
      </c>
      <c r="J6">
        <v>12.6</v>
      </c>
      <c r="K6">
        <v>13.3</v>
      </c>
      <c r="L6">
        <v>6</v>
      </c>
      <c r="M6">
        <v>10.7</v>
      </c>
      <c r="N6">
        <v>10.6</v>
      </c>
      <c r="O6">
        <v>10.1</v>
      </c>
      <c r="P6">
        <v>11.4</v>
      </c>
    </row>
    <row r="7" spans="1:16" ht="15.75" customHeight="1" x14ac:dyDescent="0.2">
      <c r="E7" s="97"/>
      <c r="F7" t="s">
        <v>1052</v>
      </c>
      <c r="G7">
        <v>9.1</v>
      </c>
      <c r="H7">
        <v>7.3</v>
      </c>
      <c r="I7">
        <v>4.7</v>
      </c>
      <c r="J7">
        <v>9.4</v>
      </c>
      <c r="K7">
        <v>7.9</v>
      </c>
      <c r="L7">
        <v>11.4</v>
      </c>
      <c r="M7">
        <v>8.6</v>
      </c>
      <c r="N7">
        <v>9</v>
      </c>
      <c r="O7">
        <v>9.4</v>
      </c>
      <c r="P7">
        <v>10.199999999999999</v>
      </c>
    </row>
    <row r="8" spans="1:16" x14ac:dyDescent="0.2">
      <c r="E8" s="97"/>
      <c r="P8" s="14"/>
    </row>
    <row r="9" spans="1:16" x14ac:dyDescent="0.2">
      <c r="A9" s="98" t="s">
        <v>893</v>
      </c>
      <c r="B9" s="97"/>
      <c r="E9" s="97"/>
    </row>
    <row r="10" spans="1:16" x14ac:dyDescent="0.2">
      <c r="A10" t="s">
        <v>894</v>
      </c>
      <c r="B10" t="s">
        <v>983</v>
      </c>
      <c r="E10" s="97"/>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694</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DB406A7D-C640-EB46-879C-84FBE8583942}">
      <formula1>"integer, number, percent1"</formula1>
    </dataValidation>
    <dataValidation type="list" allowBlank="1" showInputMessage="1" showErrorMessage="1" sqref="B10" xr:uid="{3FEE846E-DD27-DE44-B4AE-0259B28BC5AE}">
      <formula1>"Line,Clustered Bar,Stacked Bar,Bar,Horizontal Stacked Bar"</formula1>
    </dataValidation>
    <dataValidation type="list" allowBlank="1" showInputMessage="1" showErrorMessage="1" sqref="B2" xr:uid="{18E63754-C87C-4740-A9C7-C677221AC76F}">
      <formula1>"Table,Figure,Both"</formula1>
    </dataValidation>
    <dataValidation type="list" allowBlank="1" showInputMessage="1" showErrorMessage="1" sqref="B6 B15:B16" xr:uid="{F65237B4-759F-D243-9C14-8FFBA167C94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FDE996-02B4-014C-BC43-F5411E440CE0}">
          <x14:formula1>
            <xm:f>Master!$F$2:$F$401</xm:f>
          </x14:formula1>
          <xm:sqref>B1:O1</xm:sqref>
        </x14:dataValidation>
        <x14:dataValidation type="list" allowBlank="1" showInputMessage="1" showErrorMessage="1" xr:uid="{B624B60F-B1E1-C542-8A50-C212CC56CE6C}">
          <x14:formula1>
            <xm:f>Dropdowns!$A$1:$A$8</xm:f>
          </x14:formula1>
          <xm:sqref>F4:O4</xm:sqref>
        </x14:dataValidation>
      </x14:dataValidations>
    </ext>
  </extLs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1DFC6-D3CF-AC42-BAFA-B6AA210FAE1C}">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473</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F5" t="s">
        <v>887</v>
      </c>
      <c r="G5" t="s">
        <v>220</v>
      </c>
      <c r="H5" t="s">
        <v>18</v>
      </c>
      <c r="I5" t="s">
        <v>537</v>
      </c>
      <c r="J5" t="s">
        <v>449</v>
      </c>
      <c r="K5" t="s">
        <v>409</v>
      </c>
      <c r="L5" t="s">
        <v>421</v>
      </c>
      <c r="M5" t="s">
        <v>470</v>
      </c>
      <c r="N5" t="s">
        <v>914</v>
      </c>
      <c r="O5" t="s">
        <v>915</v>
      </c>
    </row>
    <row r="6" spans="1:16" ht="15" customHeight="1" x14ac:dyDescent="0.2">
      <c r="A6" t="s">
        <v>891</v>
      </c>
      <c r="B6" t="b">
        <v>0</v>
      </c>
      <c r="E6" s="97"/>
      <c r="F6">
        <v>2021</v>
      </c>
      <c r="G6">
        <v>168.5</v>
      </c>
      <c r="H6">
        <v>195.4</v>
      </c>
      <c r="I6">
        <v>115.1</v>
      </c>
      <c r="J6">
        <v>158.1</v>
      </c>
      <c r="K6">
        <v>213.3</v>
      </c>
      <c r="L6">
        <v>170.5</v>
      </c>
      <c r="M6">
        <v>157.30000000000001</v>
      </c>
      <c r="N6">
        <v>165.5</v>
      </c>
      <c r="O6">
        <v>176.6</v>
      </c>
    </row>
    <row r="7" spans="1:16" ht="15.75" customHeight="1" x14ac:dyDescent="0.2">
      <c r="E7" s="97"/>
    </row>
    <row r="8" spans="1:16" x14ac:dyDescent="0.2">
      <c r="E8" s="97"/>
      <c r="P8" s="14"/>
    </row>
    <row r="9" spans="1:16" x14ac:dyDescent="0.2">
      <c r="A9" s="98" t="s">
        <v>893</v>
      </c>
      <c r="B9" s="97"/>
      <c r="E9" s="97"/>
    </row>
    <row r="10" spans="1:16" x14ac:dyDescent="0.2">
      <c r="A10" t="s">
        <v>894</v>
      </c>
      <c r="B10" t="s">
        <v>1002</v>
      </c>
      <c r="E10" s="97"/>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694</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FAD8FD5B-5272-5F41-88AF-7EA306E6C465}">
      <formula1>"True,False"</formula1>
    </dataValidation>
    <dataValidation type="list" allowBlank="1" showInputMessage="1" showErrorMessage="1" sqref="B2" xr:uid="{D236DA11-AE5D-1440-953E-EDE3B9EDCE48}">
      <formula1>"Table,Figure,Both"</formula1>
    </dataValidation>
    <dataValidation type="list" allowBlank="1" showInputMessage="1" showErrorMessage="1" sqref="B10" xr:uid="{F44D1AAB-2419-6B4D-8111-26F6FC19864D}">
      <formula1>"Line,Clustered Bar,Stacked Bar,Bar,Horizontal Stacked Bar"</formula1>
    </dataValidation>
    <dataValidation type="list" allowBlank="1" showInputMessage="1" showErrorMessage="1" sqref="P4" xr:uid="{BF8CAC3A-3608-904D-82D3-56B2318F78C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EF9DFBE-BB7F-054C-A492-C072B7103A27}">
          <x14:formula1>
            <xm:f>Dropdowns!$A$1:$A$8</xm:f>
          </x14:formula1>
          <xm:sqref>F4:O4</xm:sqref>
        </x14:dataValidation>
        <x14:dataValidation type="list" allowBlank="1" showInputMessage="1" showErrorMessage="1" xr:uid="{7EE1C50A-5AA9-4341-886C-9E6552CB64AE}">
          <x14:formula1>
            <xm:f>Master!$F$2:$F$401</xm:f>
          </x14:formula1>
          <xm:sqref>B1:O1</xm:sqref>
        </x14:dataValidation>
      </x14:dataValidations>
    </ext>
  </extLs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AB2A4-883D-DF47-BE59-9DEED040F769}">
  <dimension ref="A1:P57"/>
  <sheetViews>
    <sheetView workbookViewId="0">
      <selection activeCell="K23" sqref="K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477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tbl-highbs-dm-percent</v>
      </c>
    </row>
    <row r="4" spans="1:16" x14ac:dyDescent="0.2">
      <c r="A4" s="58" t="s">
        <v>6</v>
      </c>
      <c r="B4" t="str">
        <f>IF($B$1="","",_xlfn.XLOOKUP($B$1,Master!$F$2:$F$308,Master!$H$2:$H$308,""))</f>
        <v>fig-highbs-dm-percent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7"/>
      <c r="F6" t="s">
        <v>1955</v>
      </c>
      <c r="G6">
        <v>56.4</v>
      </c>
      <c r="H6">
        <v>57.7</v>
      </c>
      <c r="I6">
        <v>59.3</v>
      </c>
      <c r="J6">
        <v>59.5</v>
      </c>
      <c r="K6">
        <v>55.5</v>
      </c>
      <c r="L6">
        <v>51.8</v>
      </c>
      <c r="M6">
        <v>57.8</v>
      </c>
      <c r="N6">
        <v>57.4</v>
      </c>
      <c r="O6">
        <v>57.2</v>
      </c>
      <c r="P6">
        <v>59.1</v>
      </c>
    </row>
    <row r="7" spans="1:16" ht="15.75" customHeight="1" x14ac:dyDescent="0.2">
      <c r="E7" s="97"/>
      <c r="F7">
        <v>2016</v>
      </c>
      <c r="G7">
        <v>60.8</v>
      </c>
      <c r="H7">
        <v>59.5</v>
      </c>
      <c r="I7">
        <v>55.9</v>
      </c>
      <c r="J7">
        <v>57.9</v>
      </c>
      <c r="K7">
        <v>61.8</v>
      </c>
      <c r="L7">
        <v>55.3</v>
      </c>
      <c r="M7">
        <v>55.2</v>
      </c>
      <c r="N7">
        <v>57.4</v>
      </c>
      <c r="O7">
        <v>56.8</v>
      </c>
      <c r="P7">
        <v>57.9</v>
      </c>
    </row>
    <row r="8" spans="1:16" x14ac:dyDescent="0.2">
      <c r="E8" s="97"/>
      <c r="F8">
        <v>2018</v>
      </c>
      <c r="G8">
        <v>48.1</v>
      </c>
      <c r="H8">
        <v>50.7</v>
      </c>
      <c r="I8">
        <v>50</v>
      </c>
      <c r="J8">
        <v>53.2</v>
      </c>
      <c r="K8">
        <v>55.6</v>
      </c>
      <c r="L8">
        <v>45.4</v>
      </c>
      <c r="M8">
        <v>51.1</v>
      </c>
      <c r="N8">
        <v>50.2</v>
      </c>
      <c r="O8">
        <v>48</v>
      </c>
      <c r="P8" s="14">
        <v>51</v>
      </c>
    </row>
    <row r="9" spans="1:16" x14ac:dyDescent="0.2">
      <c r="A9" s="98" t="s">
        <v>893</v>
      </c>
      <c r="B9" s="97"/>
      <c r="E9" s="97"/>
      <c r="F9">
        <v>2021</v>
      </c>
      <c r="G9">
        <v>47.7</v>
      </c>
      <c r="H9">
        <v>55.3</v>
      </c>
      <c r="I9">
        <v>57.7</v>
      </c>
      <c r="J9">
        <v>45.4</v>
      </c>
      <c r="K9">
        <v>53.9</v>
      </c>
      <c r="L9">
        <v>47</v>
      </c>
      <c r="M9">
        <v>51.3</v>
      </c>
      <c r="N9">
        <v>49.7</v>
      </c>
      <c r="O9">
        <v>49.2</v>
      </c>
      <c r="P9">
        <v>50.2</v>
      </c>
    </row>
    <row r="10" spans="1:16" x14ac:dyDescent="0.2">
      <c r="A10" t="s">
        <v>894</v>
      </c>
      <c r="B10" t="s">
        <v>972</v>
      </c>
      <c r="E10" s="97"/>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694</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4BFAF307-92E5-E040-BB08-102817E2BF75}">
      <formula1>"integer, number, percent1"</formula1>
    </dataValidation>
    <dataValidation type="list" allowBlank="1" showInputMessage="1" showErrorMessage="1" sqref="B10" xr:uid="{CBC99EFC-BC57-AB45-A0EE-47E522EEEF21}">
      <formula1>"Line,Clustered Bar,Stacked Bar,Bar,Horizontal Stacked Bar"</formula1>
    </dataValidation>
    <dataValidation type="list" allowBlank="1" showInputMessage="1" showErrorMessage="1" sqref="B2" xr:uid="{FBD3F38A-8D4E-884F-A61B-B1B63CEA2AC9}">
      <formula1>"Table,Figure,Both"</formula1>
    </dataValidation>
    <dataValidation type="list" allowBlank="1" showInputMessage="1" showErrorMessage="1" sqref="B6 B15:B16" xr:uid="{FE1D7AA9-52B0-074A-BA79-2FA459A57B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EC03E8-459C-8141-B8D7-AEBE820EDB15}">
          <x14:formula1>
            <xm:f>Master!$F$2:$F$401</xm:f>
          </x14:formula1>
          <xm:sqref>B1:O1</xm:sqref>
        </x14:dataValidation>
        <x14:dataValidation type="list" allowBlank="1" showInputMessage="1" showErrorMessage="1" xr:uid="{F7A632C9-8CB7-7E48-B12B-B8947F044F5C}">
          <x14:formula1>
            <xm:f>Dropdowns!$A$1:$A$8</xm:f>
          </x14:formula1>
          <xm:sqref>F4:O4</xm:sqref>
        </x14:dataValidation>
      </x14:dataValidations>
    </ext>
  </extLs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99CC4-1DE1-2346-A19D-8D73D4C39766}">
  <dimension ref="A1:P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478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tbl-dm-mortal-aar</v>
      </c>
    </row>
    <row r="4" spans="1:16" x14ac:dyDescent="0.2">
      <c r="A4" s="58" t="s">
        <v>6</v>
      </c>
      <c r="B4" t="str">
        <f>IF($B$1="","",_xlfn.XLOOKUP($B$1,Master!$F$2:$F$308,Master!$H$2:$H$308,""))</f>
        <v>fig-dm-mortal-aar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F5" t="s">
        <v>887</v>
      </c>
      <c r="G5" t="s">
        <v>220</v>
      </c>
      <c r="H5" t="s">
        <v>18</v>
      </c>
      <c r="I5" t="s">
        <v>537</v>
      </c>
      <c r="J5" t="s">
        <v>449</v>
      </c>
      <c r="K5" t="s">
        <v>409</v>
      </c>
      <c r="L5" t="s">
        <v>421</v>
      </c>
      <c r="M5" t="s">
        <v>470</v>
      </c>
      <c r="N5" t="s">
        <v>914</v>
      </c>
      <c r="O5" t="s">
        <v>915</v>
      </c>
    </row>
    <row r="6" spans="1:16" ht="15" customHeight="1" x14ac:dyDescent="0.2">
      <c r="A6" t="s">
        <v>891</v>
      </c>
      <c r="B6" t="b">
        <v>0</v>
      </c>
      <c r="E6" s="97"/>
      <c r="F6">
        <v>2018</v>
      </c>
      <c r="G6">
        <v>13.4</v>
      </c>
      <c r="H6">
        <v>16.2</v>
      </c>
      <c r="I6">
        <v>9.1999999999999993</v>
      </c>
      <c r="J6">
        <v>12.4</v>
      </c>
      <c r="K6">
        <v>21.6</v>
      </c>
      <c r="L6">
        <v>15</v>
      </c>
      <c r="M6">
        <v>11.2</v>
      </c>
      <c r="N6">
        <v>16.600000000000001</v>
      </c>
      <c r="O6">
        <v>18</v>
      </c>
    </row>
    <row r="7" spans="1:16" ht="15.75" customHeight="1" x14ac:dyDescent="0.2">
      <c r="E7" s="97"/>
      <c r="F7">
        <v>2019</v>
      </c>
      <c r="G7">
        <v>13.9</v>
      </c>
      <c r="H7">
        <v>17.399999999999999</v>
      </c>
      <c r="I7">
        <v>13.9</v>
      </c>
      <c r="J7">
        <v>13.1</v>
      </c>
      <c r="K7">
        <v>20.9</v>
      </c>
      <c r="L7">
        <v>15.7</v>
      </c>
      <c r="M7">
        <v>13.2</v>
      </c>
      <c r="N7" t="s">
        <v>900</v>
      </c>
      <c r="O7">
        <v>18.100000000000001</v>
      </c>
    </row>
    <row r="8" spans="1:16" x14ac:dyDescent="0.2">
      <c r="E8" s="97"/>
      <c r="F8">
        <v>2020</v>
      </c>
      <c r="G8">
        <v>13.9</v>
      </c>
      <c r="H8">
        <v>17.899999999999999</v>
      </c>
      <c r="I8">
        <v>17.2</v>
      </c>
      <c r="J8">
        <v>13</v>
      </c>
      <c r="K8">
        <v>23.3</v>
      </c>
      <c r="L8">
        <v>16</v>
      </c>
      <c r="M8">
        <v>13.6</v>
      </c>
      <c r="N8" t="s">
        <v>900</v>
      </c>
      <c r="O8">
        <v>21.6</v>
      </c>
      <c r="P8" s="14"/>
    </row>
    <row r="9" spans="1:16" x14ac:dyDescent="0.2">
      <c r="A9" s="98" t="s">
        <v>893</v>
      </c>
      <c r="B9" s="97"/>
      <c r="E9" s="97"/>
      <c r="F9">
        <v>2021</v>
      </c>
      <c r="G9">
        <v>14</v>
      </c>
      <c r="H9">
        <v>18.399999999999999</v>
      </c>
      <c r="I9">
        <v>18.600000000000001</v>
      </c>
      <c r="J9">
        <v>15.2</v>
      </c>
      <c r="K9">
        <v>25.5</v>
      </c>
      <c r="L9">
        <v>15.9</v>
      </c>
      <c r="M9">
        <v>13.5</v>
      </c>
      <c r="N9">
        <v>19.899999999999999</v>
      </c>
      <c r="O9">
        <v>18.7</v>
      </c>
    </row>
    <row r="10" spans="1:16" x14ac:dyDescent="0.2">
      <c r="A10" t="s">
        <v>894</v>
      </c>
      <c r="B10" t="s">
        <v>972</v>
      </c>
      <c r="E10" s="97"/>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1DCCFCBC-CB75-D745-B39C-3B8314F4A631}">
      <formula1>"True,False"</formula1>
    </dataValidation>
    <dataValidation type="list" allowBlank="1" showInputMessage="1" showErrorMessage="1" sqref="B2" xr:uid="{432617F8-F874-AA40-B2CE-BBF5978F9F1B}">
      <formula1>"Table,Figure,Both"</formula1>
    </dataValidation>
    <dataValidation type="list" allowBlank="1" showInputMessage="1" showErrorMessage="1" sqref="B10" xr:uid="{3F2C52D1-D8EF-134A-8984-BED408C927F7}">
      <formula1>"Line,Clustered Bar,Stacked Bar,Bar,Horizontal Stacked Bar"</formula1>
    </dataValidation>
    <dataValidation type="list" allowBlank="1" showInputMessage="1" showErrorMessage="1" sqref="P4" xr:uid="{4A8BD701-EDF1-0945-B360-1AD7C1B7868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E0C4F3E-F048-D740-A351-F8973F11C447}">
          <x14:formula1>
            <xm:f>Dropdowns!$A$1:$A$8</xm:f>
          </x14:formula1>
          <xm:sqref>F4:O4</xm:sqref>
        </x14:dataValidation>
        <x14:dataValidation type="list" allowBlank="1" showInputMessage="1" showErrorMessage="1" xr:uid="{38F05AE6-47B0-5646-957C-480D8528442C}">
          <x14:formula1>
            <xm:f>Master!$F$2:$F$401</xm:f>
          </x14:formula1>
          <xm:sqref>B1:O1</xm:sqref>
        </x14:dataValidation>
      </x14:dataValidations>
    </ext>
  </extLs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C21D0-6AD4-FA48-97E8-80AAF3DF51C0}">
  <dimension ref="A1:P57"/>
  <sheetViews>
    <sheetView topLeftCell="B1"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480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tbl-dm-mortal-rande-aar</v>
      </c>
    </row>
    <row r="4" spans="1:16" x14ac:dyDescent="0.2">
      <c r="A4" s="58" t="s">
        <v>6</v>
      </c>
      <c r="B4" t="str">
        <f>IF($B$1="","",_xlfn.XLOOKUP($B$1,Master!$F$2:$F$308,Master!$H$2:$H$308,""))</f>
        <v>fig-dm-mortal-rande-aar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F5" t="s">
        <v>1245</v>
      </c>
      <c r="G5" t="s">
        <v>220</v>
      </c>
      <c r="H5" t="s">
        <v>18</v>
      </c>
      <c r="I5" t="s">
        <v>537</v>
      </c>
      <c r="J5" t="s">
        <v>449</v>
      </c>
      <c r="K5" t="s">
        <v>409</v>
      </c>
      <c r="L5" t="s">
        <v>421</v>
      </c>
      <c r="M5" t="s">
        <v>470</v>
      </c>
      <c r="N5" t="s">
        <v>914</v>
      </c>
      <c r="O5" t="s">
        <v>915</v>
      </c>
    </row>
    <row r="6" spans="1:16" ht="15" customHeight="1" x14ac:dyDescent="0.2">
      <c r="A6" t="s">
        <v>891</v>
      </c>
      <c r="B6" t="b">
        <v>0</v>
      </c>
      <c r="E6" s="97"/>
      <c r="F6" t="s">
        <v>929</v>
      </c>
      <c r="G6">
        <v>12</v>
      </c>
      <c r="H6">
        <v>16.600000000000001</v>
      </c>
      <c r="I6">
        <v>18.600000000000001</v>
      </c>
      <c r="J6">
        <v>11.6</v>
      </c>
      <c r="K6">
        <v>23.7</v>
      </c>
      <c r="L6">
        <v>14.9</v>
      </c>
      <c r="M6">
        <v>9.8000000000000007</v>
      </c>
      <c r="N6">
        <v>18.5</v>
      </c>
      <c r="O6">
        <v>16.7</v>
      </c>
    </row>
    <row r="7" spans="1:16" ht="15.75" customHeight="1" x14ac:dyDescent="0.2">
      <c r="E7" s="97"/>
      <c r="F7" t="s">
        <v>1566</v>
      </c>
      <c r="G7">
        <v>40.799999999999997</v>
      </c>
      <c r="H7">
        <v>33.299999999999997</v>
      </c>
      <c r="I7" t="s">
        <v>1956</v>
      </c>
      <c r="J7">
        <v>29.4</v>
      </c>
      <c r="K7">
        <v>74.8</v>
      </c>
      <c r="L7" t="s">
        <v>1957</v>
      </c>
      <c r="M7">
        <v>30.7</v>
      </c>
      <c r="N7">
        <v>38.700000000000003</v>
      </c>
      <c r="O7">
        <v>33.6</v>
      </c>
    </row>
    <row r="8" spans="1:16" x14ac:dyDescent="0.2">
      <c r="E8" s="97"/>
      <c r="F8" t="s">
        <v>1838</v>
      </c>
      <c r="G8" t="s">
        <v>1958</v>
      </c>
      <c r="H8" t="s">
        <v>1932</v>
      </c>
      <c r="I8" t="s">
        <v>1959</v>
      </c>
      <c r="J8">
        <v>17.8</v>
      </c>
      <c r="K8" t="s">
        <v>1960</v>
      </c>
      <c r="L8" t="s">
        <v>1961</v>
      </c>
      <c r="M8">
        <v>8.1999999999999993</v>
      </c>
      <c r="N8">
        <v>16.5</v>
      </c>
      <c r="O8">
        <v>13.7</v>
      </c>
      <c r="P8" s="14"/>
    </row>
    <row r="9" spans="1:16" x14ac:dyDescent="0.2">
      <c r="A9" s="98" t="s">
        <v>893</v>
      </c>
      <c r="B9" s="97"/>
      <c r="E9" s="97"/>
      <c r="F9" t="s">
        <v>927</v>
      </c>
      <c r="G9">
        <v>4</v>
      </c>
      <c r="H9">
        <v>25.6</v>
      </c>
      <c r="I9" t="s">
        <v>1962</v>
      </c>
      <c r="J9">
        <v>11.8</v>
      </c>
      <c r="K9" t="s">
        <v>1963</v>
      </c>
      <c r="L9" t="s">
        <v>1963</v>
      </c>
      <c r="M9">
        <v>16.5</v>
      </c>
      <c r="N9">
        <v>17.600000000000001</v>
      </c>
      <c r="O9">
        <v>19.399999999999999</v>
      </c>
    </row>
    <row r="10" spans="1:16" x14ac:dyDescent="0.2">
      <c r="A10" t="s">
        <v>894</v>
      </c>
      <c r="B10" t="s">
        <v>972</v>
      </c>
      <c r="E10" s="97"/>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085F5EE6-6C57-9E47-8A6A-E14A9C6510B4}">
      <formula1>"integer, number, percent1"</formula1>
    </dataValidation>
    <dataValidation type="list" allowBlank="1" showInputMessage="1" showErrorMessage="1" sqref="B10" xr:uid="{B38B2237-0333-2A4B-BAEA-8A9C274502E4}">
      <formula1>"Line,Clustered Bar,Stacked Bar,Bar,Horizontal Stacked Bar"</formula1>
    </dataValidation>
    <dataValidation type="list" allowBlank="1" showInputMessage="1" showErrorMessage="1" sqref="B2" xr:uid="{19135EB2-044F-0849-AC2D-A4CB228CB5C6}">
      <formula1>"Table,Figure,Both"</formula1>
    </dataValidation>
    <dataValidation type="list" allowBlank="1" showInputMessage="1" showErrorMessage="1" sqref="B6 B15:B16" xr:uid="{146776EB-388B-F741-9AC0-027C2B2992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7A1AF-40B7-E945-B210-CF52FFE0E3CC}">
          <x14:formula1>
            <xm:f>Master!$F$2:$F$401</xm:f>
          </x14:formula1>
          <xm:sqref>B1:O1</xm:sqref>
        </x14:dataValidation>
        <x14:dataValidation type="list" allowBlank="1" showInputMessage="1" showErrorMessage="1" xr:uid="{70D1EF51-BF7C-D649-ADE9-AEC1E30D1230}">
          <x14:formula1>
            <xm:f>Dropdowns!$A$1:$A$8</xm:f>
          </x14:formula1>
          <xm:sqref>F4:O4</xm:sqref>
        </x14:dataValidation>
      </x14:dataValidations>
    </ext>
  </extLs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E6CDB-CCB8-6E48-9B3E-75B657DC2010}">
  <dimension ref="A1:P57"/>
  <sheetViews>
    <sheetView workbookViewId="0">
      <selection activeCell="L24" sqref="L24"/>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481</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tbl-adult-oando-percent</v>
      </c>
    </row>
    <row r="4" spans="1:16" x14ac:dyDescent="0.2">
      <c r="A4" s="58" t="s">
        <v>6</v>
      </c>
      <c r="B4" t="str">
        <f>IF($B$1="","",_xlfn.XLOOKUP($B$1,Master!$F$2:$F$308,Master!$H$2:$H$308,""))</f>
        <v>fig-adult-oando-percent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F5" t="s">
        <v>887</v>
      </c>
      <c r="G5" t="s">
        <v>220</v>
      </c>
      <c r="H5" t="s">
        <v>18</v>
      </c>
      <c r="I5" t="s">
        <v>537</v>
      </c>
      <c r="J5" t="s">
        <v>449</v>
      </c>
      <c r="K5" t="s">
        <v>409</v>
      </c>
      <c r="L5" t="s">
        <v>421</v>
      </c>
      <c r="M5" t="s">
        <v>470</v>
      </c>
      <c r="N5" t="s">
        <v>914</v>
      </c>
      <c r="O5" t="s">
        <v>915</v>
      </c>
    </row>
    <row r="6" spans="1:16" ht="15" customHeight="1" x14ac:dyDescent="0.2">
      <c r="A6" t="s">
        <v>891</v>
      </c>
      <c r="B6" t="b">
        <v>0</v>
      </c>
      <c r="E6" s="97"/>
      <c r="F6" t="s">
        <v>1964</v>
      </c>
      <c r="G6">
        <v>63.7</v>
      </c>
      <c r="H6">
        <v>67.599999999999994</v>
      </c>
      <c r="I6">
        <v>59</v>
      </c>
      <c r="J6">
        <v>64.2</v>
      </c>
      <c r="K6">
        <v>63</v>
      </c>
      <c r="L6">
        <v>59.9</v>
      </c>
      <c r="M6">
        <v>58.2</v>
      </c>
      <c r="N6">
        <v>62.3</v>
      </c>
      <c r="O6">
        <v>62.3</v>
      </c>
    </row>
    <row r="7" spans="1:16" ht="15.75" customHeight="1" x14ac:dyDescent="0.2">
      <c r="E7" s="97"/>
      <c r="F7">
        <v>2016</v>
      </c>
      <c r="G7">
        <v>61.2</v>
      </c>
      <c r="H7">
        <v>69.599999999999994</v>
      </c>
      <c r="I7">
        <v>52.5</v>
      </c>
      <c r="J7">
        <v>55.6</v>
      </c>
      <c r="K7">
        <v>64.599999999999994</v>
      </c>
      <c r="L7">
        <v>64.400000000000006</v>
      </c>
      <c r="M7">
        <v>56.2</v>
      </c>
      <c r="N7">
        <v>63.6</v>
      </c>
      <c r="O7">
        <v>63.6</v>
      </c>
    </row>
    <row r="8" spans="1:16" x14ac:dyDescent="0.2">
      <c r="E8" s="97"/>
      <c r="F8">
        <v>2018</v>
      </c>
      <c r="G8">
        <v>61.6</v>
      </c>
      <c r="H8">
        <v>64.7</v>
      </c>
      <c r="I8">
        <v>63.7</v>
      </c>
      <c r="J8">
        <v>59.4</v>
      </c>
      <c r="K8">
        <v>69.900000000000006</v>
      </c>
      <c r="L8">
        <v>63.2</v>
      </c>
      <c r="M8">
        <v>59.7</v>
      </c>
      <c r="N8">
        <v>64.400000000000006</v>
      </c>
      <c r="O8">
        <v>64.400000000000006</v>
      </c>
      <c r="P8" s="14"/>
    </row>
    <row r="9" spans="1:16" x14ac:dyDescent="0.2">
      <c r="A9" s="98" t="s">
        <v>893</v>
      </c>
      <c r="B9" s="97"/>
      <c r="E9" s="97"/>
      <c r="F9">
        <v>2021</v>
      </c>
      <c r="G9">
        <v>67.099999999999994</v>
      </c>
      <c r="H9">
        <v>75.099999999999994</v>
      </c>
      <c r="I9">
        <v>65.099999999999994</v>
      </c>
      <c r="J9">
        <v>62.5</v>
      </c>
      <c r="K9">
        <v>64.900000000000006</v>
      </c>
      <c r="L9">
        <v>62.5</v>
      </c>
      <c r="M9">
        <v>59.4</v>
      </c>
      <c r="N9">
        <v>66.7</v>
      </c>
      <c r="O9">
        <v>66.7</v>
      </c>
    </row>
    <row r="10" spans="1:16" x14ac:dyDescent="0.2">
      <c r="A10" t="s">
        <v>894</v>
      </c>
      <c r="B10" t="s">
        <v>972</v>
      </c>
      <c r="E10" s="97"/>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694</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12AB19B6-9320-7943-8954-F853F4C5EA42}">
      <formula1>"True,False"</formula1>
    </dataValidation>
    <dataValidation type="list" allowBlank="1" showInputMessage="1" showErrorMessage="1" sqref="B2" xr:uid="{EA3593B8-63E6-4B45-84BA-3FFA573CBB65}">
      <formula1>"Table,Figure,Both"</formula1>
    </dataValidation>
    <dataValidation type="list" allowBlank="1" showInputMessage="1" showErrorMessage="1" sqref="B10" xr:uid="{3AF3712E-F080-A449-837E-2CCB75C2858B}">
      <formula1>"Line,Clustered Bar,Stacked Bar,Bar,Horizontal Stacked Bar"</formula1>
    </dataValidation>
    <dataValidation type="list" allowBlank="1" showInputMessage="1" showErrorMessage="1" sqref="P4" xr:uid="{5866F6AE-242B-2041-A931-DE6ECC0CC1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631987-9CE3-3B48-B378-5930FC109D2F}">
          <x14:formula1>
            <xm:f>Dropdowns!$A$1:$A$8</xm:f>
          </x14:formula1>
          <xm:sqref>F4:O4</xm:sqref>
        </x14:dataValidation>
        <x14:dataValidation type="list" allowBlank="1" showInputMessage="1" showErrorMessage="1" xr:uid="{4564C111-A868-6849-ADD3-DDE042590247}">
          <x14:formula1>
            <xm:f>Master!$F$2:$F$401</xm:f>
          </x14:formula1>
          <xm:sqref>B1:O1</xm:sqref>
        </x14:dataValidation>
      </x14:dataValidations>
    </ext>
  </extLs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149F3-100C-EE48-A47E-DB527AAD1261}">
  <dimension ref="A1:P57"/>
  <sheetViews>
    <sheetView workbookViewId="0">
      <selection activeCell="L19" sqref="L19"/>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483</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tbl-adult-obese-percent</v>
      </c>
    </row>
    <row r="4" spans="1:16" x14ac:dyDescent="0.2">
      <c r="A4" s="58" t="s">
        <v>6</v>
      </c>
      <c r="B4" t="str">
        <f>IF($B$1="","",_xlfn.XLOOKUP($B$1,Master!$F$2:$F$308,Master!$H$2:$H$308,""))</f>
        <v>fig-adult-obese-percent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F5" t="s">
        <v>887</v>
      </c>
      <c r="G5" t="s">
        <v>220</v>
      </c>
      <c r="H5" t="s">
        <v>18</v>
      </c>
      <c r="I5" t="s">
        <v>537</v>
      </c>
      <c r="J5" t="s">
        <v>449</v>
      </c>
      <c r="K5" t="s">
        <v>409</v>
      </c>
      <c r="L5" t="s">
        <v>421</v>
      </c>
      <c r="M5" t="s">
        <v>470</v>
      </c>
      <c r="N5" t="s">
        <v>914</v>
      </c>
      <c r="O5" t="s">
        <v>915</v>
      </c>
    </row>
    <row r="6" spans="1:16" ht="15" customHeight="1" x14ac:dyDescent="0.2">
      <c r="A6" t="s">
        <v>891</v>
      </c>
      <c r="B6" t="b">
        <v>0</v>
      </c>
      <c r="E6" s="97"/>
      <c r="F6" t="s">
        <v>1964</v>
      </c>
      <c r="G6">
        <v>25.5</v>
      </c>
      <c r="H6">
        <v>32.5</v>
      </c>
      <c r="I6">
        <v>20.5</v>
      </c>
      <c r="J6">
        <v>23.1</v>
      </c>
      <c r="K6">
        <v>27.7</v>
      </c>
      <c r="L6">
        <v>26.4</v>
      </c>
      <c r="M6">
        <v>21</v>
      </c>
      <c r="N6" t="s">
        <v>900</v>
      </c>
      <c r="O6">
        <v>27.4</v>
      </c>
    </row>
    <row r="7" spans="1:16" ht="15.75" customHeight="1" x14ac:dyDescent="0.2">
      <c r="E7" s="97"/>
      <c r="F7">
        <v>2016</v>
      </c>
      <c r="G7">
        <v>27</v>
      </c>
      <c r="H7">
        <v>29.7</v>
      </c>
      <c r="I7">
        <v>19.2</v>
      </c>
      <c r="J7">
        <v>20.7</v>
      </c>
      <c r="K7">
        <v>32.9</v>
      </c>
      <c r="L7">
        <v>31.8</v>
      </c>
      <c r="M7">
        <v>17.7</v>
      </c>
      <c r="N7">
        <v>23.1</v>
      </c>
      <c r="O7">
        <v>27.5</v>
      </c>
    </row>
    <row r="8" spans="1:16" x14ac:dyDescent="0.2">
      <c r="E8" s="97"/>
      <c r="F8">
        <v>2018</v>
      </c>
      <c r="G8">
        <v>27.4</v>
      </c>
      <c r="H8">
        <v>24.3</v>
      </c>
      <c r="I8">
        <v>27.8</v>
      </c>
      <c r="J8">
        <v>27</v>
      </c>
      <c r="K8">
        <v>38.9</v>
      </c>
      <c r="L8">
        <v>28</v>
      </c>
      <c r="M8">
        <v>24.1</v>
      </c>
      <c r="N8">
        <v>25.3</v>
      </c>
      <c r="O8">
        <v>29.7</v>
      </c>
      <c r="P8" s="14"/>
    </row>
    <row r="9" spans="1:16" x14ac:dyDescent="0.2">
      <c r="A9" s="98" t="s">
        <v>893</v>
      </c>
      <c r="B9" s="97"/>
      <c r="E9" s="97"/>
      <c r="F9">
        <v>2021</v>
      </c>
      <c r="G9">
        <v>31.4</v>
      </c>
      <c r="H9">
        <v>38.5</v>
      </c>
      <c r="I9">
        <v>31.6</v>
      </c>
      <c r="J9">
        <v>23.1</v>
      </c>
      <c r="K9">
        <v>33.299999999999997</v>
      </c>
      <c r="L9">
        <v>32.299999999999997</v>
      </c>
      <c r="M9">
        <v>26.5</v>
      </c>
      <c r="N9">
        <v>29.8</v>
      </c>
      <c r="O9">
        <v>32.1</v>
      </c>
    </row>
    <row r="10" spans="1:16" x14ac:dyDescent="0.2">
      <c r="A10" t="s">
        <v>894</v>
      </c>
      <c r="B10" t="s">
        <v>972</v>
      </c>
      <c r="E10" s="97"/>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694</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AC307063-2C42-424F-9AD7-2E4247A4EA29}">
      <formula1>"integer, number, percent1"</formula1>
    </dataValidation>
    <dataValidation type="list" allowBlank="1" showInputMessage="1" showErrorMessage="1" sqref="B10" xr:uid="{E7B447B8-A790-BA45-BE4C-8721BD8742A8}">
      <formula1>"Line,Clustered Bar,Stacked Bar,Bar,Horizontal Stacked Bar"</formula1>
    </dataValidation>
    <dataValidation type="list" allowBlank="1" showInputMessage="1" showErrorMessage="1" sqref="B2" xr:uid="{FC70DA13-D968-D541-9A59-97C267343A43}">
      <formula1>"Table,Figure,Both"</formula1>
    </dataValidation>
    <dataValidation type="list" allowBlank="1" showInputMessage="1" showErrorMessage="1" sqref="B6 B15:B16" xr:uid="{DDF93A85-86A4-544D-BEB3-4DBA04395E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E3932-5B64-734D-92A1-436B46A7381D}">
          <x14:formula1>
            <xm:f>Master!$F$2:$F$401</xm:f>
          </x14:formula1>
          <xm:sqref>B1:O1</xm:sqref>
        </x14:dataValidation>
        <x14:dataValidation type="list" allowBlank="1" showInputMessage="1" showErrorMessage="1" xr:uid="{0EDBDCE4-9BEF-3244-B0A5-CA746AF7FD3E}">
          <x14:formula1>
            <xm:f>Dropdowns!$A$1:$A$8</xm:f>
          </x14:formula1>
          <xm:sqref>F4:O4</xm:sqref>
        </x14:dataValidation>
      </x14:dataValidations>
    </ext>
  </extLs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79FE-7F9E-C54B-90D8-49A09677EC37}">
  <dimension ref="A1:P57"/>
  <sheetViews>
    <sheetView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484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tbl-child-oando-percent</v>
      </c>
    </row>
    <row r="4" spans="1:16" x14ac:dyDescent="0.2">
      <c r="A4" s="58" t="s">
        <v>6</v>
      </c>
      <c r="B4" t="str">
        <f>IF($B$1="","",_xlfn.XLOOKUP($B$1,Master!$F$2:$F$308,Master!$H$2:$H$308,""))</f>
        <v>fig-child-oando-percent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7"/>
      <c r="E5" s="99" t="s">
        <v>886</v>
      </c>
      <c r="F5" t="s">
        <v>887</v>
      </c>
      <c r="G5" t="s">
        <v>220</v>
      </c>
      <c r="H5" t="s">
        <v>18</v>
      </c>
      <c r="I5" t="s">
        <v>537</v>
      </c>
      <c r="J5" t="s">
        <v>449</v>
      </c>
      <c r="K5" t="s">
        <v>409</v>
      </c>
      <c r="L5" t="s">
        <v>421</v>
      </c>
      <c r="M5" t="s">
        <v>470</v>
      </c>
      <c r="N5" t="s">
        <v>914</v>
      </c>
    </row>
    <row r="6" spans="1:16" ht="15" customHeight="1" x14ac:dyDescent="0.2">
      <c r="A6" t="s">
        <v>891</v>
      </c>
      <c r="B6" t="b">
        <v>0</v>
      </c>
      <c r="E6" s="97"/>
      <c r="F6" t="s">
        <v>1965</v>
      </c>
      <c r="G6">
        <v>33.799999999999997</v>
      </c>
      <c r="H6">
        <v>33</v>
      </c>
      <c r="I6">
        <v>31.4</v>
      </c>
      <c r="J6">
        <v>34.200000000000003</v>
      </c>
      <c r="K6">
        <v>39</v>
      </c>
      <c r="L6">
        <v>37</v>
      </c>
      <c r="M6">
        <v>27.8</v>
      </c>
      <c r="N6">
        <v>33.9</v>
      </c>
    </row>
    <row r="7" spans="1:16" ht="15.75" customHeight="1" x14ac:dyDescent="0.2">
      <c r="E7" s="97"/>
      <c r="F7" t="s">
        <v>1966</v>
      </c>
      <c r="G7">
        <v>33.5</v>
      </c>
      <c r="H7">
        <v>36.200000000000003</v>
      </c>
      <c r="I7">
        <v>32.1</v>
      </c>
      <c r="J7">
        <v>33.9</v>
      </c>
      <c r="K7">
        <v>37.700000000000003</v>
      </c>
      <c r="L7">
        <v>37</v>
      </c>
      <c r="M7">
        <v>28.6</v>
      </c>
      <c r="N7">
        <v>33.700000000000003</v>
      </c>
    </row>
    <row r="8" spans="1:16" x14ac:dyDescent="0.2">
      <c r="E8" s="97"/>
      <c r="F8" t="s">
        <v>1632</v>
      </c>
      <c r="G8">
        <v>35.5</v>
      </c>
      <c r="H8">
        <v>35.200000000000003</v>
      </c>
      <c r="I8">
        <v>32.9</v>
      </c>
      <c r="J8">
        <v>34</v>
      </c>
      <c r="K8">
        <v>41.2</v>
      </c>
      <c r="L8">
        <v>38.200000000000003</v>
      </c>
      <c r="M8">
        <v>31</v>
      </c>
      <c r="N8">
        <v>34.799999999999997</v>
      </c>
      <c r="P8" s="14"/>
    </row>
    <row r="9" spans="1:16" x14ac:dyDescent="0.2">
      <c r="A9" s="98" t="s">
        <v>893</v>
      </c>
      <c r="B9" s="97"/>
      <c r="E9" s="97"/>
      <c r="F9" t="s">
        <v>1967</v>
      </c>
      <c r="G9">
        <v>35.700000000000003</v>
      </c>
      <c r="H9">
        <v>38.700000000000003</v>
      </c>
      <c r="I9">
        <v>34.700000000000003</v>
      </c>
      <c r="J9">
        <v>36.1</v>
      </c>
      <c r="K9">
        <v>41.6</v>
      </c>
      <c r="L9">
        <v>40.4</v>
      </c>
      <c r="M9">
        <v>29.6</v>
      </c>
      <c r="N9" t="s">
        <v>900</v>
      </c>
    </row>
    <row r="10" spans="1:16" x14ac:dyDescent="0.2">
      <c r="A10" t="s">
        <v>894</v>
      </c>
      <c r="B10" t="s">
        <v>983</v>
      </c>
      <c r="E10" s="97"/>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694</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F8B1E307-F2DE-9649-AA7D-CCD46ED93C8D}">
      <formula1>"True,False"</formula1>
    </dataValidation>
    <dataValidation type="list" allowBlank="1" showInputMessage="1" showErrorMessage="1" sqref="B2" xr:uid="{236874C9-D600-C749-A224-AF5C1344AF93}">
      <formula1>"Table,Figure,Both"</formula1>
    </dataValidation>
    <dataValidation type="list" allowBlank="1" showInputMessage="1" showErrorMessage="1" sqref="B10" xr:uid="{3BEFEC5C-2AE4-B24D-B3CD-F09D99B1EB18}">
      <formula1>"Line,Clustered Bar,Stacked Bar,Bar,Horizontal Stacked Bar"</formula1>
    </dataValidation>
    <dataValidation type="list" allowBlank="1" showInputMessage="1" showErrorMessage="1" sqref="P4" xr:uid="{F3250A74-148A-1D4C-9808-9DCE729AEDE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F1E303D-5BD3-DD4D-ADC9-4DFB4DC76D44}">
          <x14:formula1>
            <xm:f>Dropdowns!$A$1:$A$8</xm:f>
          </x14:formula1>
          <xm:sqref>F4:O4</xm:sqref>
        </x14:dataValidation>
        <x14:dataValidation type="list" allowBlank="1" showInputMessage="1" showErrorMessage="1" xr:uid="{7DD7F1B5-C304-9648-8A1E-B8F654C7BB72}">
          <x14:formula1>
            <xm:f>Master!$F$2:$F$401</xm:f>
          </x14:formula1>
          <xm:sqref>B1:O1</xm:sqref>
        </x14:dataValidation>
      </x14:dataValidations>
    </ext>
  </extLs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1135D-46E6-AD4D-BAEA-E84434C686E3}">
  <dimension ref="A1:P57"/>
  <sheetViews>
    <sheetView workbookViewId="0">
      <selection activeCell="Q19" sqref="Q19"/>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488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7"/>
      <c r="E5" s="99"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7"/>
      <c r="F6" t="s">
        <v>1405</v>
      </c>
      <c r="G6">
        <v>4.5999999999999996</v>
      </c>
      <c r="H6">
        <v>4</v>
      </c>
      <c r="I6">
        <v>3</v>
      </c>
      <c r="J6">
        <v>3</v>
      </c>
      <c r="K6">
        <v>2.9</v>
      </c>
      <c r="L6">
        <v>5.0999999999999996</v>
      </c>
      <c r="M6">
        <v>3.4</v>
      </c>
      <c r="N6">
        <v>3.7</v>
      </c>
      <c r="O6">
        <v>3.8</v>
      </c>
      <c r="P6">
        <v>3.9</v>
      </c>
    </row>
    <row r="7" spans="1:16" ht="15.75" customHeight="1" x14ac:dyDescent="0.2">
      <c r="E7" s="97"/>
    </row>
    <row r="8" spans="1:16" x14ac:dyDescent="0.2">
      <c r="E8" s="97"/>
      <c r="P8" s="14"/>
    </row>
    <row r="9" spans="1:16" x14ac:dyDescent="0.2">
      <c r="A9" s="98" t="s">
        <v>893</v>
      </c>
      <c r="B9" s="97"/>
      <c r="E9" s="97"/>
    </row>
    <row r="10" spans="1:16" x14ac:dyDescent="0.2">
      <c r="A10" t="s">
        <v>894</v>
      </c>
      <c r="B10" t="s">
        <v>1002</v>
      </c>
      <c r="E10" s="97"/>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708</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6D8E214B-F4AA-1C44-A7F4-642F5028A7FB}">
      <formula1>"integer, number, percent1"</formula1>
    </dataValidation>
    <dataValidation type="list" allowBlank="1" showInputMessage="1" showErrorMessage="1" sqref="B10" xr:uid="{BB7FCAE9-1FC3-A846-85EE-7D26D1D00A81}">
      <formula1>"Line,Clustered Bar,Stacked Bar,Bar,Horizontal Stacked Bar"</formula1>
    </dataValidation>
    <dataValidation type="list" allowBlank="1" showInputMessage="1" showErrorMessage="1" sqref="B2" xr:uid="{8D2B8E06-87E9-8940-ACA7-A3E36EEAE58B}">
      <formula1>"Table,Figure,Both"</formula1>
    </dataValidation>
    <dataValidation type="list" allowBlank="1" showInputMessage="1" showErrorMessage="1" sqref="B6 B15:B16" xr:uid="{9CC53744-7928-1847-A16F-226DC9AFAA5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91A89094-016E-CE4E-9C5F-3F8C08883838}">
          <x14:formula1>
            <xm:f>Master!$F$2:$F$401</xm:f>
          </x14:formula1>
          <xm:sqref>B1:O1</xm:sqref>
        </x14:dataValidation>
        <x14:dataValidation type="list" allowBlank="1" showInputMessage="1" showErrorMessage="1" xr:uid="{60D621E3-181F-3647-9177-E34BACCDD826}">
          <x14:formula1>
            <xm:f>Dropdowns!$A$1:$A$8</xm:f>
          </x14:formula1>
          <xm:sqref>F4:O4</xm:sqref>
        </x14:dataValidation>
      </x14:dataValidations>
    </ext>
  </extLs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93414-76EC-794B-B0FB-9FD9A367D509}">
  <dimension ref="A1:P57"/>
  <sheetViews>
    <sheetView workbookViewId="0">
      <selection activeCell="J20" sqref="J2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488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7"/>
      <c r="E5" s="99" t="s">
        <v>886</v>
      </c>
      <c r="G5" s="100" t="s">
        <v>1792</v>
      </c>
      <c r="H5" s="100"/>
      <c r="I5" s="100"/>
      <c r="J5" s="100"/>
      <c r="K5" s="100"/>
      <c r="L5" s="100"/>
      <c r="M5" s="100"/>
      <c r="N5" t="s">
        <v>1793</v>
      </c>
    </row>
    <row r="6" spans="1:16" ht="15" customHeight="1" x14ac:dyDescent="0.2">
      <c r="A6" t="s">
        <v>891</v>
      </c>
      <c r="B6" t="b">
        <v>1</v>
      </c>
      <c r="E6" s="97"/>
      <c r="F6" t="s">
        <v>887</v>
      </c>
      <c r="G6" t="s">
        <v>220</v>
      </c>
      <c r="H6" t="s">
        <v>18</v>
      </c>
      <c r="I6" t="s">
        <v>537</v>
      </c>
      <c r="J6" t="s">
        <v>449</v>
      </c>
      <c r="K6" t="s">
        <v>409</v>
      </c>
      <c r="L6" t="s">
        <v>421</v>
      </c>
      <c r="M6" t="s">
        <v>470</v>
      </c>
      <c r="N6" t="s">
        <v>915</v>
      </c>
    </row>
    <row r="7" spans="1:16" ht="15.75" customHeight="1" x14ac:dyDescent="0.2">
      <c r="E7" s="97"/>
      <c r="F7">
        <v>2014</v>
      </c>
      <c r="G7">
        <v>6.9</v>
      </c>
      <c r="H7">
        <v>6.6</v>
      </c>
      <c r="I7">
        <v>7</v>
      </c>
      <c r="J7">
        <v>5.5</v>
      </c>
      <c r="K7">
        <v>8.4</v>
      </c>
      <c r="L7">
        <v>6</v>
      </c>
      <c r="M7">
        <v>4.5999999999999996</v>
      </c>
      <c r="N7">
        <v>6.7</v>
      </c>
    </row>
    <row r="8" spans="1:16" x14ac:dyDescent="0.2">
      <c r="E8" s="97"/>
      <c r="F8">
        <v>2015</v>
      </c>
      <c r="G8">
        <v>6.1</v>
      </c>
      <c r="H8">
        <v>6</v>
      </c>
      <c r="I8">
        <v>8.3000000000000007</v>
      </c>
      <c r="J8">
        <v>5.8</v>
      </c>
      <c r="K8">
        <v>9.1999999999999993</v>
      </c>
      <c r="L8">
        <v>8.1999999999999993</v>
      </c>
      <c r="M8">
        <v>4.5999999999999996</v>
      </c>
      <c r="N8">
        <v>6.7</v>
      </c>
      <c r="P8" s="14"/>
    </row>
    <row r="9" spans="1:16" x14ac:dyDescent="0.2">
      <c r="A9" s="98" t="s">
        <v>893</v>
      </c>
      <c r="B9" s="97"/>
      <c r="E9" s="97"/>
      <c r="F9">
        <v>2016</v>
      </c>
      <c r="G9">
        <v>5.8</v>
      </c>
      <c r="H9">
        <v>6.4</v>
      </c>
      <c r="I9">
        <v>8.3000000000000007</v>
      </c>
      <c r="J9">
        <v>6.4</v>
      </c>
      <c r="K9">
        <v>7.2</v>
      </c>
      <c r="L9">
        <v>8.1999999999999993</v>
      </c>
      <c r="M9">
        <v>5.4</v>
      </c>
      <c r="N9">
        <v>6.9</v>
      </c>
    </row>
    <row r="10" spans="1:16" x14ac:dyDescent="0.2">
      <c r="A10" t="s">
        <v>894</v>
      </c>
      <c r="B10" t="s">
        <v>972</v>
      </c>
      <c r="E10" s="97"/>
      <c r="F10">
        <v>2017</v>
      </c>
      <c r="G10">
        <v>5.4</v>
      </c>
      <c r="H10">
        <v>7.1</v>
      </c>
      <c r="I10">
        <v>5.8</v>
      </c>
      <c r="J10">
        <v>5.2</v>
      </c>
      <c r="K10">
        <v>7.1</v>
      </c>
      <c r="L10">
        <v>8.5</v>
      </c>
      <c r="M10">
        <v>5.7</v>
      </c>
      <c r="N10">
        <v>7</v>
      </c>
    </row>
    <row r="11" spans="1:16" x14ac:dyDescent="0.2">
      <c r="A11" t="s">
        <v>895</v>
      </c>
      <c r="B11" t="s">
        <v>887</v>
      </c>
      <c r="E11" s="97"/>
      <c r="F11" s="46" t="s">
        <v>1968</v>
      </c>
      <c r="G11" s="59">
        <v>4.9000000000000004</v>
      </c>
      <c r="H11" s="59">
        <v>7.5</v>
      </c>
      <c r="I11" s="59">
        <v>4.8</v>
      </c>
      <c r="J11" s="42">
        <v>4.7</v>
      </c>
      <c r="K11" s="42">
        <v>6.9</v>
      </c>
      <c r="L11" s="42">
        <v>7.3</v>
      </c>
      <c r="M11" s="47" t="s">
        <v>1969</v>
      </c>
      <c r="N11" s="47" t="s">
        <v>1480</v>
      </c>
      <c r="O11" s="46"/>
    </row>
    <row r="12" spans="1:16" x14ac:dyDescent="0.2">
      <c r="A12" t="s">
        <v>896</v>
      </c>
      <c r="E12" s="97"/>
      <c r="F12" s="74" t="s">
        <v>1970</v>
      </c>
      <c r="G12" s="42">
        <v>6.3</v>
      </c>
      <c r="H12" s="42">
        <v>7.3</v>
      </c>
      <c r="I12" s="59">
        <v>5.3</v>
      </c>
      <c r="J12" s="59">
        <v>4.3</v>
      </c>
      <c r="K12" s="59">
        <v>6.7</v>
      </c>
      <c r="L12" s="59">
        <v>7.5</v>
      </c>
      <c r="M12" s="46" t="s">
        <v>1971</v>
      </c>
      <c r="N12" s="46" t="s">
        <v>1480</v>
      </c>
      <c r="O12" s="46"/>
    </row>
    <row r="13" spans="1:16" x14ac:dyDescent="0.2">
      <c r="A13" t="s">
        <v>897</v>
      </c>
      <c r="E13" s="97"/>
      <c r="F13" s="47" t="s">
        <v>1972</v>
      </c>
      <c r="G13" s="47" t="s">
        <v>1478</v>
      </c>
      <c r="H13" s="47" t="s">
        <v>1973</v>
      </c>
      <c r="I13" s="46" t="s">
        <v>1477</v>
      </c>
      <c r="J13" s="46" t="s">
        <v>1974</v>
      </c>
      <c r="K13" s="46" t="s">
        <v>1975</v>
      </c>
      <c r="L13" s="46" t="s">
        <v>1480</v>
      </c>
      <c r="M13" s="46" t="s">
        <v>1777</v>
      </c>
      <c r="N13" s="46" t="s">
        <v>1481</v>
      </c>
      <c r="O13" s="46"/>
    </row>
    <row r="14" spans="1:16" x14ac:dyDescent="0.2">
      <c r="A14" t="s">
        <v>899</v>
      </c>
      <c r="B14" t="s">
        <v>715</v>
      </c>
      <c r="E14" s="97"/>
      <c r="F14" s="68" t="s">
        <v>1142</v>
      </c>
      <c r="G14" s="68" t="s">
        <v>1482</v>
      </c>
      <c r="H14" s="68" t="s">
        <v>1477</v>
      </c>
      <c r="I14" s="46" t="s">
        <v>1477</v>
      </c>
      <c r="J14" s="47" t="s">
        <v>1976</v>
      </c>
      <c r="K14" s="47" t="s">
        <v>1977</v>
      </c>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7">
    <mergeCell ref="B1:O1"/>
    <mergeCell ref="A5:B5"/>
    <mergeCell ref="E5:E57"/>
    <mergeCell ref="A9:B9"/>
    <mergeCell ref="A18:B18"/>
    <mergeCell ref="A27:B27"/>
    <mergeCell ref="G5:M5"/>
  </mergeCells>
  <dataValidations count="4">
    <dataValidation type="list" allowBlank="1" showInputMessage="1" showErrorMessage="1" sqref="B6 B15:B16" xr:uid="{A36167E2-F5C7-EE41-A1CF-F3CDA26642D8}">
      <formula1>"True,False"</formula1>
    </dataValidation>
    <dataValidation type="list" allowBlank="1" showInputMessage="1" showErrorMessage="1" sqref="B2" xr:uid="{3AC22705-0D56-9A47-AE7A-976E5D549A38}">
      <formula1>"Table,Figure,Both"</formula1>
    </dataValidation>
    <dataValidation type="list" allowBlank="1" showInputMessage="1" showErrorMessage="1" sqref="B10" xr:uid="{9864E99A-0FE5-EF44-992F-E307A95DDA78}">
      <formula1>"Line,Clustered Bar,Stacked Bar,Bar,Horizontal Stacked Bar"</formula1>
    </dataValidation>
    <dataValidation type="list" allowBlank="1" showInputMessage="1" showErrorMessage="1" sqref="P4" xr:uid="{8F364CBF-544D-A147-926E-68BFBCC857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92F547-81B5-174D-93FD-24AF4EDDA0FE}">
          <x14:formula1>
            <xm:f>Dropdowns!$A$1:$A$8</xm:f>
          </x14:formula1>
          <xm:sqref>F4:O4</xm:sqref>
        </x14:dataValidation>
        <x14:dataValidation type="list" allowBlank="1" showInputMessage="1" showErrorMessage="1" xr:uid="{C751C837-F4FD-BA49-AA99-E7A1912D1FD6}">
          <x14:formula1>
            <xm:f>Master!$F$2:$F$401</xm:f>
          </x14:formula1>
          <xm:sqref>B1:O1</xm:sqref>
        </x14:dataValidation>
      </x14:dataValidations>
    </ext>
  </extLs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BA66E-F340-BC41-A1C8-CD42C98670D6}">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491</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tbl-allca-incident-mortal-aar</v>
      </c>
    </row>
    <row r="4" spans="1:16" x14ac:dyDescent="0.2">
      <c r="A4" s="58" t="s">
        <v>6</v>
      </c>
      <c r="B4" t="str">
        <f>IF($B$1="","",_xlfn.XLOOKUP($B$1,Master!$F$2:$F$308,Master!$H$2:$H$308,""))</f>
        <v>fig-allca-incident-mortal-aar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G5" t="s">
        <v>220</v>
      </c>
      <c r="H5" t="s">
        <v>18</v>
      </c>
      <c r="I5" t="s">
        <v>537</v>
      </c>
      <c r="J5" t="s">
        <v>449</v>
      </c>
      <c r="K5" t="s">
        <v>409</v>
      </c>
      <c r="L5" t="s">
        <v>421</v>
      </c>
      <c r="M5" t="s">
        <v>470</v>
      </c>
      <c r="N5" t="s">
        <v>898</v>
      </c>
      <c r="O5" t="s">
        <v>915</v>
      </c>
    </row>
    <row r="6" spans="1:16" ht="15" customHeight="1" x14ac:dyDescent="0.2">
      <c r="A6" t="s">
        <v>891</v>
      </c>
      <c r="B6" t="b">
        <v>0</v>
      </c>
      <c r="E6" s="97"/>
      <c r="F6" t="s">
        <v>1982</v>
      </c>
      <c r="G6">
        <v>458.2</v>
      </c>
      <c r="H6">
        <v>462.4</v>
      </c>
      <c r="I6">
        <v>483.6</v>
      </c>
      <c r="J6">
        <v>453.2</v>
      </c>
      <c r="K6">
        <v>438.4</v>
      </c>
      <c r="L6">
        <v>454.1</v>
      </c>
      <c r="M6">
        <v>444.7</v>
      </c>
      <c r="N6">
        <v>452.4</v>
      </c>
      <c r="O6">
        <v>458.2</v>
      </c>
    </row>
    <row r="7" spans="1:16" ht="15.75" customHeight="1" x14ac:dyDescent="0.2">
      <c r="E7" s="97"/>
      <c r="F7" t="s">
        <v>1845</v>
      </c>
      <c r="G7">
        <v>132.19999999999999</v>
      </c>
      <c r="H7">
        <v>156.4</v>
      </c>
      <c r="I7">
        <v>117.4</v>
      </c>
      <c r="J7">
        <v>101.6</v>
      </c>
      <c r="K7">
        <v>142.30000000000001</v>
      </c>
      <c r="L7">
        <v>138.30000000000001</v>
      </c>
      <c r="M7">
        <v>104.5</v>
      </c>
      <c r="N7">
        <v>119.9</v>
      </c>
      <c r="O7">
        <v>124.8</v>
      </c>
    </row>
    <row r="8" spans="1:16" x14ac:dyDescent="0.2">
      <c r="E8" s="97"/>
      <c r="P8" s="14"/>
    </row>
    <row r="9" spans="1:16" x14ac:dyDescent="0.2">
      <c r="A9" s="98" t="s">
        <v>893</v>
      </c>
      <c r="B9" s="97"/>
      <c r="E9" s="97"/>
    </row>
    <row r="10" spans="1:16" x14ac:dyDescent="0.2">
      <c r="A10" t="s">
        <v>894</v>
      </c>
      <c r="B10" t="s">
        <v>983</v>
      </c>
      <c r="E10" s="97"/>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B698C5FE-992F-1B47-BDB7-FC780010D7CD}">
      <formula1>"integer, number, percent1"</formula1>
    </dataValidation>
    <dataValidation type="list" allowBlank="1" showInputMessage="1" showErrorMessage="1" sqref="B10" xr:uid="{3ACEC427-0A34-BB4C-8B5C-D22ECB6B8B45}">
      <formula1>"Line,Clustered Bar,Stacked Bar,Bar,Horizontal Stacked Bar"</formula1>
    </dataValidation>
    <dataValidation type="list" allowBlank="1" showInputMessage="1" showErrorMessage="1" sqref="B2" xr:uid="{19DE0DAF-512A-DC4A-9F93-591CB1552345}">
      <formula1>"Table,Figure,Both"</formula1>
    </dataValidation>
    <dataValidation type="list" allowBlank="1" showInputMessage="1" showErrorMessage="1" sqref="B6 B15:B16" xr:uid="{57E74CDF-B1A8-E74D-A4A7-874A7F0FE8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85E14A5-B431-2847-9A5D-A021CD266086}">
          <x14:formula1>
            <xm:f>Master!$F$2:$F$401</xm:f>
          </x14:formula1>
          <xm:sqref>B1:O1</xm:sqref>
        </x14:dataValidation>
        <x14:dataValidation type="list" allowBlank="1" showInputMessage="1" showErrorMessage="1" xr:uid="{D9E1AA7E-AFCD-6448-B0A8-BA83572C8C94}">
          <x14:formula1>
            <xm:f>Dropdowns!$A$1:$A$8</xm:f>
          </x14:formula1>
          <xm:sqref>F4:O4</xm:sqref>
        </x14:dataValidation>
      </x14:dataValidations>
    </ext>
  </extLs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67B5C-52CF-F74B-B3C0-B2CE814EF729}">
  <dimension ref="A1:P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495</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tbl-allca-incident-mortal-sex-aar</v>
      </c>
    </row>
    <row r="4" spans="1:16" x14ac:dyDescent="0.2">
      <c r="A4" s="58" t="s">
        <v>6</v>
      </c>
      <c r="B4" t="str">
        <f>IF($B$1="","",_xlfn.XLOOKUP($B$1,Master!$F$2:$F$308,Master!$H$2:$H$308,""))</f>
        <v>fig-allca-incident-mortal-sex-aar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G5" t="s">
        <v>220</v>
      </c>
      <c r="H5" t="s">
        <v>18</v>
      </c>
      <c r="I5" t="s">
        <v>537</v>
      </c>
      <c r="J5" t="s">
        <v>449</v>
      </c>
      <c r="K5" t="s">
        <v>409</v>
      </c>
      <c r="L5" t="s">
        <v>421</v>
      </c>
      <c r="M5" t="s">
        <v>470</v>
      </c>
      <c r="N5" t="s">
        <v>915</v>
      </c>
      <c r="O5" t="s">
        <v>914</v>
      </c>
    </row>
    <row r="6" spans="1:16" ht="15" customHeight="1" x14ac:dyDescent="0.2">
      <c r="A6" t="s">
        <v>891</v>
      </c>
      <c r="B6" t="b">
        <v>0</v>
      </c>
      <c r="E6" s="97"/>
      <c r="F6" t="s">
        <v>1978</v>
      </c>
      <c r="G6">
        <v>505</v>
      </c>
      <c r="H6">
        <v>505.8</v>
      </c>
      <c r="I6">
        <v>507.1</v>
      </c>
      <c r="J6">
        <v>502.8</v>
      </c>
      <c r="K6">
        <v>470.6</v>
      </c>
      <c r="L6">
        <v>481.5</v>
      </c>
      <c r="M6">
        <v>490.4</v>
      </c>
      <c r="N6">
        <v>506.1</v>
      </c>
      <c r="O6">
        <v>541.29999999999995</v>
      </c>
    </row>
    <row r="7" spans="1:16" ht="15.75" customHeight="1" x14ac:dyDescent="0.2">
      <c r="E7" s="97"/>
      <c r="F7" t="s">
        <v>1979</v>
      </c>
      <c r="G7">
        <v>445.6</v>
      </c>
      <c r="H7">
        <v>447.5</v>
      </c>
      <c r="I7">
        <v>493.6</v>
      </c>
      <c r="J7">
        <v>442.2</v>
      </c>
      <c r="K7">
        <v>433.4</v>
      </c>
      <c r="L7">
        <v>442.6</v>
      </c>
      <c r="M7">
        <v>440.2</v>
      </c>
      <c r="N7">
        <v>442</v>
      </c>
      <c r="O7">
        <v>471.2</v>
      </c>
    </row>
    <row r="8" spans="1:16" x14ac:dyDescent="0.2">
      <c r="E8" s="97"/>
      <c r="F8" t="s">
        <v>1980</v>
      </c>
      <c r="G8">
        <v>154.9</v>
      </c>
      <c r="H8">
        <v>186.5</v>
      </c>
      <c r="I8">
        <v>135.19999999999999</v>
      </c>
      <c r="J8">
        <v>116.1</v>
      </c>
      <c r="K8">
        <v>152.4</v>
      </c>
      <c r="L8">
        <v>163.30000000000001</v>
      </c>
      <c r="M8">
        <v>120.7</v>
      </c>
      <c r="N8">
        <v>146.69999999999999</v>
      </c>
      <c r="O8">
        <v>160.1</v>
      </c>
      <c r="P8" s="14"/>
    </row>
    <row r="9" spans="1:16" x14ac:dyDescent="0.2">
      <c r="A9" s="98" t="s">
        <v>893</v>
      </c>
      <c r="B9" s="97"/>
      <c r="E9" s="97"/>
      <c r="F9" t="s">
        <v>1981</v>
      </c>
      <c r="G9">
        <v>119.1</v>
      </c>
      <c r="H9">
        <v>155.5</v>
      </c>
      <c r="I9">
        <v>103.3</v>
      </c>
      <c r="J9">
        <v>96.2</v>
      </c>
      <c r="K9">
        <v>135</v>
      </c>
      <c r="L9">
        <v>123.7</v>
      </c>
      <c r="M9">
        <v>94.8</v>
      </c>
      <c r="N9">
        <v>112.8</v>
      </c>
      <c r="O9">
        <v>123.7</v>
      </c>
    </row>
    <row r="10" spans="1:16" x14ac:dyDescent="0.2">
      <c r="A10" t="s">
        <v>894</v>
      </c>
      <c r="B10" t="s">
        <v>983</v>
      </c>
      <c r="E10" s="97"/>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69143651-CBAC-024A-9F0A-96A4A8CFE788}">
      <formula1>"True,False"</formula1>
    </dataValidation>
    <dataValidation type="list" allowBlank="1" showInputMessage="1" showErrorMessage="1" sqref="B2" xr:uid="{2114D30F-CE30-CA47-A4A0-FBA862157221}">
      <formula1>"Table,Figure,Both"</formula1>
    </dataValidation>
    <dataValidation type="list" allowBlank="1" showInputMessage="1" showErrorMessage="1" sqref="B10" xr:uid="{061AF235-B775-684E-B5BE-4FDE1D993AE7}">
      <formula1>"Line,Clustered Bar,Stacked Bar,Bar,Horizontal Stacked Bar"</formula1>
    </dataValidation>
    <dataValidation type="list" allowBlank="1" showInputMessage="1" showErrorMessage="1" sqref="P4" xr:uid="{638C001F-879E-0B41-8ED5-37E4F4601E6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CE96F6-99A7-8A43-9B3F-53EAADBE327E}">
          <x14:formula1>
            <xm:f>Dropdowns!$A$1:$A$8</xm:f>
          </x14:formula1>
          <xm:sqref>F4:O4</xm:sqref>
        </x14:dataValidation>
        <x14:dataValidation type="list" allowBlank="1" showInputMessage="1" showErrorMessage="1" xr:uid="{EAA09585-0798-9640-9048-75AAB2038EB9}">
          <x14:formula1>
            <xm:f>Master!$F$2:$F$401</xm:f>
          </x14:formula1>
          <xm:sqref>B1:O1</xm:sqref>
        </x14:dataValidation>
      </x14:dataValidations>
    </ext>
  </extLs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EE031-18B8-D842-89A6-B3C44BF3BA33}">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497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tbl-colonrectca-incident-mortal-aar</v>
      </c>
    </row>
    <row r="4" spans="1:16" x14ac:dyDescent="0.2">
      <c r="A4" s="58" t="s">
        <v>6</v>
      </c>
      <c r="B4" t="str">
        <f>IF($B$1="","",_xlfn.XLOOKUP($B$1,Master!$F$2:$F$308,Master!$H$2:$H$308,""))</f>
        <v>fig-colonrectca-incident-mortal-aar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G5" t="s">
        <v>220</v>
      </c>
      <c r="H5" t="s">
        <v>18</v>
      </c>
      <c r="I5" t="s">
        <v>537</v>
      </c>
      <c r="J5" t="s">
        <v>449</v>
      </c>
      <c r="K5" t="s">
        <v>409</v>
      </c>
      <c r="L5" t="s">
        <v>421</v>
      </c>
      <c r="M5" t="s">
        <v>470</v>
      </c>
      <c r="N5" t="s">
        <v>898</v>
      </c>
      <c r="O5" t="s">
        <v>915</v>
      </c>
    </row>
    <row r="6" spans="1:16" ht="15" customHeight="1" x14ac:dyDescent="0.2">
      <c r="A6" t="s">
        <v>891</v>
      </c>
      <c r="B6" t="b">
        <v>0</v>
      </c>
      <c r="E6" s="97"/>
      <c r="F6" t="s">
        <v>1982</v>
      </c>
      <c r="G6">
        <v>33.5</v>
      </c>
      <c r="H6">
        <v>35</v>
      </c>
      <c r="I6">
        <v>28.7</v>
      </c>
      <c r="J6">
        <v>36</v>
      </c>
      <c r="K6">
        <v>37.299999999999997</v>
      </c>
      <c r="L6">
        <v>37.200000000000003</v>
      </c>
      <c r="M6">
        <v>30.6</v>
      </c>
      <c r="N6">
        <v>33.1</v>
      </c>
      <c r="O6">
        <v>35</v>
      </c>
    </row>
    <row r="7" spans="1:16" ht="15.75" customHeight="1" x14ac:dyDescent="0.2">
      <c r="E7" s="97"/>
      <c r="F7" t="s">
        <v>1845</v>
      </c>
      <c r="G7">
        <v>9.3000000000000007</v>
      </c>
      <c r="H7">
        <v>13.6</v>
      </c>
      <c r="I7">
        <v>9.6999999999999993</v>
      </c>
      <c r="J7">
        <v>9.3000000000000007</v>
      </c>
      <c r="K7">
        <v>13.4</v>
      </c>
      <c r="L7">
        <v>12.7</v>
      </c>
      <c r="M7">
        <v>8.8000000000000007</v>
      </c>
      <c r="N7">
        <v>10.1</v>
      </c>
      <c r="O7">
        <v>10.8</v>
      </c>
    </row>
    <row r="8" spans="1:16" x14ac:dyDescent="0.2">
      <c r="E8" s="97"/>
      <c r="P8" s="14"/>
    </row>
    <row r="9" spans="1:16" x14ac:dyDescent="0.2">
      <c r="A9" s="98" t="s">
        <v>893</v>
      </c>
      <c r="B9" s="97"/>
      <c r="E9" s="97"/>
    </row>
    <row r="10" spans="1:16" x14ac:dyDescent="0.2">
      <c r="A10" t="s">
        <v>894</v>
      </c>
      <c r="B10" t="s">
        <v>983</v>
      </c>
      <c r="E10" s="97"/>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07B88C5B-DC8B-C043-AC20-8B2287D36B42}">
      <formula1>"integer, number, percent1"</formula1>
    </dataValidation>
    <dataValidation type="list" allowBlank="1" showInputMessage="1" showErrorMessage="1" sqref="B10" xr:uid="{696D7FB8-B8A7-BB47-BB0C-DBB53B6D053D}">
      <formula1>"Line,Clustered Bar,Stacked Bar,Bar,Horizontal Stacked Bar"</formula1>
    </dataValidation>
    <dataValidation type="list" allowBlank="1" showInputMessage="1" showErrorMessage="1" sqref="B2" xr:uid="{63B161FF-7301-9748-AF95-A9675C44E157}">
      <formula1>"Table,Figure,Both"</formula1>
    </dataValidation>
    <dataValidation type="list" allowBlank="1" showInputMessage="1" showErrorMessage="1" sqref="B6 B15:B16" xr:uid="{1617AC8F-3018-CF47-9F0B-80015928F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A5982C-D6F7-C94B-AB9D-C3EEBF1EE17E}">
          <x14:formula1>
            <xm:f>Master!$F$2:$F$401</xm:f>
          </x14:formula1>
          <xm:sqref>B1:O1</xm:sqref>
        </x14:dataValidation>
        <x14:dataValidation type="list" allowBlank="1" showInputMessage="1" showErrorMessage="1" xr:uid="{9D611A26-9009-A14C-9A23-BBAE33845D24}">
          <x14:formula1>
            <xm:f>Dropdowns!$A$1:$A$8</xm:f>
          </x14:formula1>
          <xm:sqref>F4:O4</xm:sqref>
        </x14:dataValidation>
      </x14:dataValidations>
    </ext>
  </extLs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9467-C8F8-D245-8B39-5EB6E76D87F2}">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498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tbl-colonrectca-incident-mortal-sex-aar</v>
      </c>
    </row>
    <row r="4" spans="1:16" x14ac:dyDescent="0.2">
      <c r="A4" s="58" t="s">
        <v>6</v>
      </c>
      <c r="B4" t="str">
        <f>IF($B$1="","",_xlfn.XLOOKUP($B$1,Master!$F$2:$F$308,Master!$H$2:$H$308,""))</f>
        <v>fig-colonrectca-incident-mortal-sex-aar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7"/>
      <c r="E5" s="99" t="s">
        <v>886</v>
      </c>
      <c r="G5" t="s">
        <v>220</v>
      </c>
      <c r="H5" t="s">
        <v>18</v>
      </c>
      <c r="I5" t="s">
        <v>537</v>
      </c>
      <c r="J5" t="s">
        <v>449</v>
      </c>
      <c r="K5" t="s">
        <v>409</v>
      </c>
      <c r="L5" t="s">
        <v>421</v>
      </c>
      <c r="M5" t="s">
        <v>470</v>
      </c>
      <c r="N5" t="s">
        <v>914</v>
      </c>
      <c r="O5" t="s">
        <v>915</v>
      </c>
    </row>
    <row r="6" spans="1:16" ht="15" customHeight="1" x14ac:dyDescent="0.2">
      <c r="A6" t="s">
        <v>891</v>
      </c>
      <c r="B6" t="b">
        <v>0</v>
      </c>
      <c r="E6" s="97"/>
      <c r="F6" t="s">
        <v>1978</v>
      </c>
      <c r="G6">
        <v>39.6</v>
      </c>
      <c r="H6">
        <v>40.700000000000003</v>
      </c>
      <c r="I6">
        <v>27.3</v>
      </c>
      <c r="J6">
        <v>41</v>
      </c>
      <c r="K6">
        <v>47.3</v>
      </c>
      <c r="L6">
        <v>41.3</v>
      </c>
      <c r="M6">
        <v>35.799999999999997</v>
      </c>
      <c r="N6">
        <v>41.4</v>
      </c>
      <c r="O6">
        <v>40.700000000000003</v>
      </c>
    </row>
    <row r="7" spans="1:16" ht="15.75" customHeight="1" x14ac:dyDescent="0.2">
      <c r="E7" s="97"/>
      <c r="F7" t="s">
        <v>1979</v>
      </c>
      <c r="G7">
        <v>30.3</v>
      </c>
      <c r="H7">
        <v>31.8</v>
      </c>
      <c r="I7">
        <v>29.9</v>
      </c>
      <c r="J7">
        <v>33.299999999999997</v>
      </c>
      <c r="K7">
        <v>28.7</v>
      </c>
      <c r="L7">
        <v>31.7</v>
      </c>
      <c r="M7">
        <v>30.1</v>
      </c>
      <c r="N7">
        <v>32.799999999999997</v>
      </c>
      <c r="O7">
        <v>31.6</v>
      </c>
    </row>
    <row r="8" spans="1:16" x14ac:dyDescent="0.2">
      <c r="E8" s="97"/>
      <c r="F8" t="s">
        <v>1980</v>
      </c>
      <c r="G8">
        <v>10.3</v>
      </c>
      <c r="H8">
        <v>17.399999999999999</v>
      </c>
      <c r="I8">
        <v>10.3</v>
      </c>
      <c r="J8">
        <v>10.199999999999999</v>
      </c>
      <c r="K8">
        <v>12.3</v>
      </c>
      <c r="L8">
        <v>14.9</v>
      </c>
      <c r="M8">
        <v>10.3</v>
      </c>
      <c r="N8">
        <v>13.4</v>
      </c>
      <c r="O8">
        <v>12.9</v>
      </c>
      <c r="P8" s="14"/>
    </row>
    <row r="9" spans="1:16" x14ac:dyDescent="0.2">
      <c r="A9" s="98" t="s">
        <v>893</v>
      </c>
      <c r="B9" s="97"/>
      <c r="E9" s="97"/>
      <c r="F9" t="s">
        <v>1981</v>
      </c>
      <c r="G9">
        <v>7.5</v>
      </c>
      <c r="H9">
        <v>12.7</v>
      </c>
      <c r="I9">
        <v>7.6</v>
      </c>
      <c r="J9">
        <v>8.8000000000000007</v>
      </c>
      <c r="K9">
        <v>9.8000000000000007</v>
      </c>
      <c r="L9">
        <v>11</v>
      </c>
      <c r="M9">
        <v>7.5</v>
      </c>
      <c r="N9">
        <v>9.8000000000000007</v>
      </c>
      <c r="O9">
        <v>9.3000000000000007</v>
      </c>
    </row>
    <row r="10" spans="1:16" x14ac:dyDescent="0.2">
      <c r="A10" t="s">
        <v>894</v>
      </c>
      <c r="B10" t="s">
        <v>983</v>
      </c>
      <c r="E10" s="97"/>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4F3D20D0-0F64-1345-889B-687F410C5037}">
      <formula1>"True,False"</formula1>
    </dataValidation>
    <dataValidation type="list" allowBlank="1" showInputMessage="1" showErrorMessage="1" sqref="B2" xr:uid="{AAF7A86A-4AFC-5E41-9A14-B8379B3B1FBC}">
      <formula1>"Table,Figure,Both"</formula1>
    </dataValidation>
    <dataValidation type="list" allowBlank="1" showInputMessage="1" showErrorMessage="1" sqref="B10" xr:uid="{51CBAF66-D0A2-9B4B-AAAB-7BAF657E0E24}">
      <formula1>"Line,Clustered Bar,Stacked Bar,Bar,Horizontal Stacked Bar"</formula1>
    </dataValidation>
    <dataValidation type="list" allowBlank="1" showInputMessage="1" showErrorMessage="1" sqref="P4" xr:uid="{13EBD980-2968-834D-9A78-9B29F9A37C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EF9B496-D379-B944-89D4-4CAB6880CD20}">
          <x14:formula1>
            <xm:f>Dropdowns!$A$1:$A$8</xm:f>
          </x14:formula1>
          <xm:sqref>F4:O4</xm:sqref>
        </x14:dataValidation>
        <x14:dataValidation type="list" allowBlank="1" showInputMessage="1" showErrorMessage="1" xr:uid="{AA2084C8-809D-A842-B77E-90DAF1886902}">
          <x14:formula1>
            <xm:f>Master!$F$2:$F$401</xm:f>
          </x14:formula1>
          <xm:sqref>B1:O1</xm:sqref>
        </x14:dataValidation>
      </x14:dataValidations>
    </ext>
  </extLst>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104D1-2426-A943-88B9-2D369C58C9DE}">
  <dimension ref="A1:P57"/>
  <sheetViews>
    <sheetView workbookViewId="0">
      <selection activeCell="N25" sqref="N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499</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tbl-colorectalca-incidence-rande-aar</v>
      </c>
    </row>
    <row r="4" spans="1:16" x14ac:dyDescent="0.2">
      <c r="A4" s="58" t="s">
        <v>6</v>
      </c>
      <c r="B4" t="str">
        <f>IF($B$1="","",_xlfn.XLOOKUP($B$1,Master!$F$2:$F$308,Master!$H$2:$H$308,""))</f>
        <v>fig-colorectalca-incidence-rande-aar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7"/>
      <c r="E5" s="99" t="s">
        <v>886</v>
      </c>
      <c r="F5" t="s">
        <v>1245</v>
      </c>
      <c r="G5" t="s">
        <v>220</v>
      </c>
      <c r="H5" t="s">
        <v>18</v>
      </c>
      <c r="I5" t="s">
        <v>537</v>
      </c>
      <c r="J5" t="s">
        <v>449</v>
      </c>
      <c r="K5" t="s">
        <v>409</v>
      </c>
      <c r="L5" t="s">
        <v>421</v>
      </c>
      <c r="M5" t="s">
        <v>470</v>
      </c>
      <c r="N5" t="s">
        <v>915</v>
      </c>
    </row>
    <row r="6" spans="1:16" ht="15" customHeight="1" x14ac:dyDescent="0.2">
      <c r="A6" t="s">
        <v>891</v>
      </c>
      <c r="B6" t="b">
        <v>0</v>
      </c>
      <c r="E6" s="97"/>
      <c r="F6" t="s">
        <v>929</v>
      </c>
      <c r="G6">
        <v>35.1</v>
      </c>
      <c r="H6">
        <v>37.799999999999997</v>
      </c>
      <c r="I6">
        <v>29.7</v>
      </c>
      <c r="J6">
        <v>37.5</v>
      </c>
      <c r="K6">
        <v>39.200000000000003</v>
      </c>
      <c r="L6">
        <v>39.5</v>
      </c>
      <c r="M6">
        <v>31.9</v>
      </c>
      <c r="N6">
        <v>36.4</v>
      </c>
    </row>
    <row r="7" spans="1:16" ht="15.75" customHeight="1" x14ac:dyDescent="0.2">
      <c r="E7" s="97"/>
      <c r="F7" t="s">
        <v>1566</v>
      </c>
      <c r="G7">
        <v>30.5</v>
      </c>
      <c r="H7">
        <v>22.2</v>
      </c>
      <c r="I7">
        <v>0</v>
      </c>
      <c r="J7">
        <v>31.1</v>
      </c>
      <c r="K7" t="s">
        <v>754</v>
      </c>
      <c r="L7" t="s">
        <v>754</v>
      </c>
      <c r="M7">
        <v>30.9</v>
      </c>
      <c r="N7">
        <v>36.5</v>
      </c>
    </row>
    <row r="8" spans="1:16" x14ac:dyDescent="0.2">
      <c r="E8" s="97"/>
      <c r="F8" t="s">
        <v>1567</v>
      </c>
      <c r="G8" t="s">
        <v>754</v>
      </c>
      <c r="H8" t="s">
        <v>754</v>
      </c>
      <c r="I8" t="s">
        <v>754</v>
      </c>
      <c r="J8">
        <v>23.7</v>
      </c>
      <c r="K8" t="s">
        <v>754</v>
      </c>
      <c r="L8" t="s">
        <v>754</v>
      </c>
      <c r="M8">
        <v>23.4</v>
      </c>
      <c r="N8">
        <v>28.2</v>
      </c>
      <c r="P8" s="14"/>
    </row>
    <row r="9" spans="1:16" x14ac:dyDescent="0.2">
      <c r="A9" s="98" t="s">
        <v>893</v>
      </c>
      <c r="B9" s="97"/>
      <c r="E9" s="97"/>
      <c r="F9" t="s">
        <v>927</v>
      </c>
      <c r="G9">
        <v>24.6</v>
      </c>
      <c r="H9">
        <v>29</v>
      </c>
      <c r="I9" t="s">
        <v>754</v>
      </c>
      <c r="J9">
        <v>38.5</v>
      </c>
      <c r="K9" t="s">
        <v>754</v>
      </c>
      <c r="L9" t="s">
        <v>754</v>
      </c>
      <c r="M9">
        <v>27.6</v>
      </c>
      <c r="N9">
        <v>29.3</v>
      </c>
    </row>
    <row r="10" spans="1:16" x14ac:dyDescent="0.2">
      <c r="A10" t="s">
        <v>894</v>
      </c>
      <c r="B10" t="s">
        <v>983</v>
      </c>
      <c r="E10" s="97"/>
    </row>
    <row r="11" spans="1:16" x14ac:dyDescent="0.2">
      <c r="A11" t="s">
        <v>895</v>
      </c>
      <c r="B11" t="s">
        <v>887</v>
      </c>
      <c r="E11" s="97"/>
      <c r="F11" s="46"/>
      <c r="G11" s="59"/>
      <c r="H11" s="59"/>
      <c r="I11" s="59"/>
      <c r="J11" s="42"/>
      <c r="K11" s="42"/>
      <c r="L11" s="42"/>
      <c r="M11" s="47"/>
      <c r="N11" s="47"/>
      <c r="O11" s="46"/>
    </row>
    <row r="12" spans="1:16" x14ac:dyDescent="0.2">
      <c r="A12" t="s">
        <v>896</v>
      </c>
      <c r="E12" s="97"/>
      <c r="F12" s="74"/>
      <c r="G12" s="42"/>
      <c r="H12" s="42"/>
      <c r="I12" s="59"/>
      <c r="J12" s="59"/>
      <c r="K12" s="59"/>
      <c r="L12" s="59"/>
      <c r="M12" s="46"/>
      <c r="N12" s="46"/>
      <c r="O12" s="46"/>
    </row>
    <row r="13" spans="1:16" x14ac:dyDescent="0.2">
      <c r="A13" t="s">
        <v>897</v>
      </c>
      <c r="E13" s="97"/>
      <c r="F13" s="47"/>
      <c r="G13" s="47"/>
      <c r="H13" s="47"/>
      <c r="I13" s="46"/>
      <c r="J13" s="46"/>
      <c r="K13" s="46"/>
      <c r="L13" s="46"/>
      <c r="M13" s="46"/>
      <c r="N13" s="46"/>
      <c r="O13" s="46"/>
    </row>
    <row r="14" spans="1:16" x14ac:dyDescent="0.2">
      <c r="A14" t="s">
        <v>899</v>
      </c>
      <c r="B14" t="s">
        <v>715</v>
      </c>
      <c r="E14" s="97"/>
      <c r="F14" s="68"/>
      <c r="G14" s="68"/>
      <c r="H14" s="68"/>
      <c r="I14" s="46"/>
      <c r="J14" s="47"/>
      <c r="K14" s="47"/>
      <c r="L14" s="47"/>
      <c r="M14" s="47"/>
      <c r="N14" s="47"/>
      <c r="O14" s="46"/>
    </row>
    <row r="15" spans="1:16" x14ac:dyDescent="0.2">
      <c r="A15" t="s">
        <v>901</v>
      </c>
      <c r="B15" t="b">
        <v>1</v>
      </c>
      <c r="E15" s="97"/>
      <c r="G15" s="68"/>
      <c r="H15" s="68"/>
      <c r="I15" s="46"/>
      <c r="J15" s="47"/>
      <c r="K15" s="47"/>
      <c r="L15" s="47"/>
      <c r="M15" s="47"/>
      <c r="N15" s="47"/>
      <c r="O15" s="46"/>
    </row>
    <row r="16" spans="1:16"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8DA2812B-2DA3-AD45-A178-95B6647D2550}">
      <formula1>"integer, number, percent1"</formula1>
    </dataValidation>
    <dataValidation type="list" allowBlank="1" showInputMessage="1" showErrorMessage="1" sqref="B10" xr:uid="{2A628586-8E37-4447-B033-2EB99C446CF8}">
      <formula1>"Line,Clustered Bar,Stacked Bar,Bar,Horizontal Stacked Bar"</formula1>
    </dataValidation>
    <dataValidation type="list" allowBlank="1" showInputMessage="1" showErrorMessage="1" sqref="B2" xr:uid="{07921ACD-0F2E-2B42-9DC9-0F8BF2B23B9F}">
      <formula1>"Table,Figure,Both"</formula1>
    </dataValidation>
    <dataValidation type="list" allowBlank="1" showInputMessage="1" showErrorMessage="1" sqref="B6 B15:B16" xr:uid="{184A58C9-6B2A-1744-AF56-35667DE43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606352-75B3-8440-A50D-2A2F1F1EE53A}">
          <x14:formula1>
            <xm:f>Master!$F$2:$F$401</xm:f>
          </x14:formula1>
          <xm:sqref>B1:O1</xm:sqref>
        </x14:dataValidation>
        <x14:dataValidation type="list" allowBlank="1" showInputMessage="1" showErrorMessage="1" xr:uid="{6250C508-6677-D846-83A7-38396B5CC47D}">
          <x14:formula1>
            <xm:f>Dropdowns!$A$1:$A$8</xm:f>
          </x14:formula1>
          <xm:sqref>F4:O4</xm:sqref>
        </x14:dataValidation>
      </x14:dataValidations>
    </ext>
  </extLst>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336E1-5B1F-4D0A-90AD-924462B1BC9D}">
  <dimension ref="A1:Q57"/>
  <sheetViews>
    <sheetView workbookViewId="0">
      <selection activeCell="K15" sqref="K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501</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tbl-adult-50to64-colorectalca-screening-percent</v>
      </c>
    </row>
    <row r="4" spans="1:17" x14ac:dyDescent="0.2">
      <c r="A4" s="58" t="s">
        <v>6</v>
      </c>
      <c r="B4" t="str">
        <f>IF($B$1="","",_xlfn.XLOOKUP($B$1,Master!$F$2:$F$308,Master!$H$2:$H$308,""))</f>
        <v>fig-adult-50to64-colorectalca-screening-percent</v>
      </c>
      <c r="E4" s="13"/>
      <c r="F4" s="16" t="s">
        <v>664</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7"/>
      <c r="E5" s="99" t="s">
        <v>886</v>
      </c>
      <c r="F5" t="s">
        <v>887</v>
      </c>
      <c r="G5" t="s">
        <v>220</v>
      </c>
      <c r="H5" t="s">
        <v>18</v>
      </c>
      <c r="I5" t="s">
        <v>537</v>
      </c>
      <c r="J5" t="s">
        <v>449</v>
      </c>
      <c r="K5" t="s">
        <v>409</v>
      </c>
      <c r="L5" t="s">
        <v>421</v>
      </c>
      <c r="M5" t="s">
        <v>470</v>
      </c>
      <c r="N5" t="s">
        <v>898</v>
      </c>
      <c r="O5" t="s">
        <v>914</v>
      </c>
      <c r="P5" t="s">
        <v>915</v>
      </c>
      <c r="Q5" t="s">
        <v>1983</v>
      </c>
    </row>
    <row r="6" spans="1:17" ht="15" customHeight="1" x14ac:dyDescent="0.2">
      <c r="A6" t="s">
        <v>891</v>
      </c>
      <c r="B6" t="b">
        <v>0</v>
      </c>
      <c r="E6" s="97"/>
      <c r="F6">
        <v>2016</v>
      </c>
      <c r="G6">
        <v>62.2</v>
      </c>
      <c r="H6">
        <v>68.8</v>
      </c>
      <c r="I6">
        <v>64.7</v>
      </c>
      <c r="J6">
        <v>61.9</v>
      </c>
      <c r="K6">
        <v>48.1</v>
      </c>
      <c r="L6">
        <v>60.2</v>
      </c>
      <c r="M6">
        <v>63.7</v>
      </c>
      <c r="N6">
        <v>63.3</v>
      </c>
      <c r="O6">
        <v>63.7</v>
      </c>
      <c r="P6">
        <v>63.1</v>
      </c>
      <c r="Q6">
        <v>66.3</v>
      </c>
    </row>
    <row r="7" spans="1:17" ht="15.75" customHeight="1" x14ac:dyDescent="0.2">
      <c r="E7" s="97"/>
      <c r="F7">
        <v>2018</v>
      </c>
      <c r="G7">
        <v>60.6</v>
      </c>
      <c r="H7">
        <v>61.7</v>
      </c>
      <c r="I7">
        <v>86.3</v>
      </c>
      <c r="J7">
        <v>62.3</v>
      </c>
      <c r="K7">
        <v>58.8</v>
      </c>
      <c r="L7">
        <v>68.8</v>
      </c>
      <c r="M7">
        <v>70</v>
      </c>
      <c r="N7">
        <v>64.099999999999994</v>
      </c>
      <c r="O7">
        <v>66.5</v>
      </c>
      <c r="P7">
        <v>65.400000000000006</v>
      </c>
      <c r="Q7">
        <v>66.3</v>
      </c>
    </row>
    <row r="8" spans="1:17" x14ac:dyDescent="0.2">
      <c r="E8" s="97"/>
      <c r="P8" s="14"/>
    </row>
    <row r="9" spans="1:17" x14ac:dyDescent="0.2">
      <c r="A9" s="98" t="s">
        <v>893</v>
      </c>
      <c r="B9" s="97"/>
      <c r="E9" s="97"/>
    </row>
    <row r="10" spans="1:17" x14ac:dyDescent="0.2">
      <c r="A10" t="s">
        <v>894</v>
      </c>
      <c r="B10" t="s">
        <v>983</v>
      </c>
      <c r="E10" s="97"/>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694</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218BAC3D-68CA-4715-B64F-190BD98BBFB7}">
      <formula1>"True,False"</formula1>
    </dataValidation>
    <dataValidation type="list" allowBlank="1" showInputMessage="1" showErrorMessage="1" sqref="B2" xr:uid="{667D7A09-FC7D-4E6D-88BE-1EDB5B0BE9DE}">
      <formula1>"Table,Figure,Both"</formula1>
    </dataValidation>
    <dataValidation type="list" allowBlank="1" showInputMessage="1" showErrorMessage="1" sqref="B10" xr:uid="{D37D6F0F-913A-44AA-BD58-D62DADCEDA91}">
      <formula1>"Line,Clustered Bar,Stacked Bar,Bar,Horizontal Stacked Bar"</formula1>
    </dataValidation>
    <dataValidation type="list" allowBlank="1" showInputMessage="1" showErrorMessage="1" sqref="P4:Q4" xr:uid="{B4655675-260C-43DB-9E5F-ABA0508E663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6657FCE-1CBA-4FAD-B418-891263386C98}">
          <x14:formula1>
            <xm:f>Dropdowns!$A$1:$A$8</xm:f>
          </x14:formula1>
          <xm:sqref>F4:O4</xm:sqref>
        </x14:dataValidation>
        <x14:dataValidation type="list" allowBlank="1" showInputMessage="1" showErrorMessage="1" xr:uid="{56698C59-0618-42AA-A354-F77F28462B40}">
          <x14:formula1>
            <xm:f>Master!$F$2:$F$401</xm:f>
          </x14:formula1>
          <xm:sqref>B1:O1</xm:sqref>
        </x14:dataValidation>
      </x14:dataValidations>
    </ext>
  </extLst>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54632-2CCA-4A37-9D47-4C0B9DAE3741}">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506</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tbl-lungbronchca-incident-mortal-aar</v>
      </c>
    </row>
    <row r="4" spans="1:17" x14ac:dyDescent="0.2">
      <c r="A4" s="58" t="s">
        <v>6</v>
      </c>
      <c r="B4" t="str">
        <f>IF($B$1="","",_xlfn.XLOOKUP($B$1,Master!$F$2:$F$308,Master!$H$2:$H$308,""))</f>
        <v>fig-lungbronchca-incident-mortal-aar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G5" t="s">
        <v>220</v>
      </c>
      <c r="H5" t="s">
        <v>18</v>
      </c>
      <c r="I5" t="s">
        <v>537</v>
      </c>
      <c r="J5" t="s">
        <v>449</v>
      </c>
      <c r="K5" t="s">
        <v>409</v>
      </c>
      <c r="L5" t="s">
        <v>421</v>
      </c>
      <c r="M5" t="s">
        <v>470</v>
      </c>
      <c r="N5" t="s">
        <v>914</v>
      </c>
      <c r="O5" t="s">
        <v>915</v>
      </c>
    </row>
    <row r="6" spans="1:17" ht="15" customHeight="1" x14ac:dyDescent="0.2">
      <c r="A6" t="s">
        <v>891</v>
      </c>
      <c r="B6" t="b">
        <v>0</v>
      </c>
      <c r="E6" s="97"/>
      <c r="F6" t="s">
        <v>1982</v>
      </c>
      <c r="G6">
        <v>56.5</v>
      </c>
      <c r="H6">
        <v>59.9</v>
      </c>
      <c r="I6">
        <v>57.6</v>
      </c>
      <c r="J6">
        <v>44.9</v>
      </c>
      <c r="K6">
        <v>62.9</v>
      </c>
      <c r="L6">
        <v>55.1</v>
      </c>
      <c r="M6">
        <v>42</v>
      </c>
      <c r="N6">
        <v>59.9</v>
      </c>
      <c r="O6">
        <v>52.4</v>
      </c>
    </row>
    <row r="7" spans="1:17" ht="15.75" customHeight="1" x14ac:dyDescent="0.2">
      <c r="E7" s="97"/>
      <c r="F7" t="s">
        <v>1845</v>
      </c>
      <c r="G7">
        <v>29.1</v>
      </c>
      <c r="H7">
        <v>37.9</v>
      </c>
      <c r="I7">
        <v>27.7</v>
      </c>
      <c r="J7">
        <v>21.7</v>
      </c>
      <c r="K7">
        <v>35.6</v>
      </c>
      <c r="L7">
        <v>32.6</v>
      </c>
      <c r="M7">
        <v>18.8</v>
      </c>
      <c r="N7">
        <v>31.3</v>
      </c>
      <c r="O7">
        <v>26.5</v>
      </c>
    </row>
    <row r="8" spans="1:17" x14ac:dyDescent="0.2">
      <c r="E8" s="97"/>
      <c r="P8" s="14"/>
    </row>
    <row r="9" spans="1:17" x14ac:dyDescent="0.2">
      <c r="A9" s="98" t="s">
        <v>893</v>
      </c>
      <c r="B9" s="97"/>
      <c r="E9" s="97"/>
    </row>
    <row r="10" spans="1:17" x14ac:dyDescent="0.2">
      <c r="A10" t="s">
        <v>894</v>
      </c>
      <c r="B10" t="s">
        <v>983</v>
      </c>
      <c r="E10" s="97"/>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715</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Q4" xr:uid="{FBB6DC3E-9875-4FD5-93C1-29A0AD4D76C6}">
      <formula1>"integer, number, percent1"</formula1>
    </dataValidation>
    <dataValidation type="list" allowBlank="1" showInputMessage="1" showErrorMessage="1" sqref="B10" xr:uid="{B548E570-91DF-412B-804C-5B60C131931C}">
      <formula1>"Line,Clustered Bar,Stacked Bar,Bar,Horizontal Stacked Bar"</formula1>
    </dataValidation>
    <dataValidation type="list" allowBlank="1" showInputMessage="1" showErrorMessage="1" sqref="B2" xr:uid="{0701E132-AEC3-41B5-8692-81616B8998F1}">
      <formula1>"Table,Figure,Both"</formula1>
    </dataValidation>
    <dataValidation type="list" allowBlank="1" showInputMessage="1" showErrorMessage="1" sqref="B6 B15:B16" xr:uid="{1C145068-B53F-4E2F-A322-8272D6C3200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D6A44B5-C9DA-469A-9A68-251F699478B2}">
          <x14:formula1>
            <xm:f>Master!$F$2:$F$401</xm:f>
          </x14:formula1>
          <xm:sqref>B1:O1</xm:sqref>
        </x14:dataValidation>
        <x14:dataValidation type="list" allowBlank="1" showInputMessage="1" showErrorMessage="1" xr:uid="{C1038F44-F1F5-4FBF-B004-7B99BD37E71E}">
          <x14:formula1>
            <xm:f>Dropdowns!$A$1:$A$8</xm:f>
          </x14:formula1>
          <xm:sqref>F4:O4</xm:sqref>
        </x14:dataValidation>
      </x14:dataValidations>
    </ext>
  </extLst>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CD0F7-FF43-4162-BBB7-269D73759425}">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508</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tbl-lungbronchca-incident-mortal-sex-aar</v>
      </c>
    </row>
    <row r="4" spans="1:17" x14ac:dyDescent="0.2">
      <c r="A4" s="58" t="s">
        <v>6</v>
      </c>
      <c r="B4" t="str">
        <f>IF($B$1="","",_xlfn.XLOOKUP($B$1,Master!$F$2:$F$308,Master!$H$2:$H$308,""))</f>
        <v>fig-lungbronchca-incident-mortal-sex-aar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G5" t="s">
        <v>220</v>
      </c>
      <c r="H5" t="s">
        <v>18</v>
      </c>
      <c r="I5" t="s">
        <v>537</v>
      </c>
      <c r="J5" t="s">
        <v>449</v>
      </c>
      <c r="K5" t="s">
        <v>409</v>
      </c>
      <c r="L5" t="s">
        <v>421</v>
      </c>
      <c r="M5" t="s">
        <v>470</v>
      </c>
      <c r="N5" t="s">
        <v>914</v>
      </c>
      <c r="O5" t="s">
        <v>915</v>
      </c>
    </row>
    <row r="6" spans="1:17" ht="15" customHeight="1" x14ac:dyDescent="0.2">
      <c r="A6" t="s">
        <v>891</v>
      </c>
      <c r="B6" t="b">
        <v>0</v>
      </c>
      <c r="E6" s="97"/>
      <c r="F6" t="s">
        <v>1984</v>
      </c>
      <c r="G6">
        <v>56.2</v>
      </c>
      <c r="H6">
        <v>63</v>
      </c>
      <c r="I6">
        <v>55.9</v>
      </c>
      <c r="J6">
        <v>45.2</v>
      </c>
      <c r="K6">
        <v>56.9</v>
      </c>
      <c r="L6">
        <v>57.8</v>
      </c>
      <c r="M6">
        <v>43</v>
      </c>
      <c r="N6">
        <v>62.2</v>
      </c>
      <c r="O6">
        <v>56.5</v>
      </c>
    </row>
    <row r="7" spans="1:17" ht="15.75" customHeight="1" x14ac:dyDescent="0.2">
      <c r="E7" s="97"/>
      <c r="F7" t="s">
        <v>1985</v>
      </c>
      <c r="G7">
        <v>56.8</v>
      </c>
      <c r="H7">
        <v>58.2</v>
      </c>
      <c r="I7">
        <v>59.5</v>
      </c>
      <c r="J7">
        <v>45.3</v>
      </c>
      <c r="K7">
        <v>69.2</v>
      </c>
      <c r="L7">
        <v>52.9</v>
      </c>
      <c r="M7">
        <v>41.6</v>
      </c>
      <c r="N7">
        <v>58.6</v>
      </c>
      <c r="O7">
        <v>49.6</v>
      </c>
    </row>
    <row r="8" spans="1:17" x14ac:dyDescent="0.2">
      <c r="E8" s="97"/>
      <c r="F8" t="s">
        <v>1986</v>
      </c>
      <c r="G8">
        <v>31.6</v>
      </c>
      <c r="H8">
        <v>42.9</v>
      </c>
      <c r="I8">
        <v>31</v>
      </c>
      <c r="J8">
        <v>25.1</v>
      </c>
      <c r="K8">
        <v>35.700000000000003</v>
      </c>
      <c r="L8">
        <v>38.799999999999997</v>
      </c>
      <c r="M8">
        <v>21.5</v>
      </c>
      <c r="N8">
        <v>35.5</v>
      </c>
      <c r="O8">
        <v>31.3</v>
      </c>
      <c r="P8" s="14"/>
    </row>
    <row r="9" spans="1:17" x14ac:dyDescent="0.2">
      <c r="A9" s="98" t="s">
        <v>893</v>
      </c>
      <c r="B9" s="97"/>
      <c r="E9" s="97"/>
      <c r="F9" t="s">
        <v>1987</v>
      </c>
      <c r="G9">
        <v>27.3</v>
      </c>
      <c r="H9">
        <v>34.5</v>
      </c>
      <c r="I9">
        <v>25.2</v>
      </c>
      <c r="J9">
        <v>19.2</v>
      </c>
      <c r="K9">
        <v>35.700000000000003</v>
      </c>
      <c r="L9">
        <v>26.9</v>
      </c>
      <c r="M9">
        <v>16.8</v>
      </c>
      <c r="N9">
        <v>28.2</v>
      </c>
      <c r="O9">
        <v>23.1</v>
      </c>
    </row>
    <row r="10" spans="1:17" x14ac:dyDescent="0.2">
      <c r="A10" t="s">
        <v>894</v>
      </c>
      <c r="B10" t="s">
        <v>983</v>
      </c>
      <c r="E10" s="97"/>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715</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017695A9-6C51-4582-8142-722039930A54}">
      <formula1>"True,False"</formula1>
    </dataValidation>
    <dataValidation type="list" allowBlank="1" showInputMessage="1" showErrorMessage="1" sqref="B2" xr:uid="{984DC35D-3E08-43F7-B24F-800A67748899}">
      <formula1>"Table,Figure,Both"</formula1>
    </dataValidation>
    <dataValidation type="list" allowBlank="1" showInputMessage="1" showErrorMessage="1" sqref="B10" xr:uid="{99BF5BFB-E01E-4467-BCFA-652D8A04098C}">
      <formula1>"Line,Clustered Bar,Stacked Bar,Bar,Horizontal Stacked Bar"</formula1>
    </dataValidation>
    <dataValidation type="list" allowBlank="1" showInputMessage="1" showErrorMessage="1" sqref="P4:Q4" xr:uid="{E129E4E7-185D-4F51-9858-0D2007F9DC0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5F4EEAF-6983-40DF-B557-F2A24A903FFF}">
          <x14:formula1>
            <xm:f>Dropdowns!$A$1:$A$8</xm:f>
          </x14:formula1>
          <xm:sqref>F4:O4</xm:sqref>
        </x14:dataValidation>
        <x14:dataValidation type="list" allowBlank="1" showInputMessage="1" showErrorMessage="1" xr:uid="{32FC646D-62AB-48A5-84D7-D22802E17F65}">
          <x14:formula1>
            <xm:f>Master!$F$2:$F$401</xm:f>
          </x14:formula1>
          <xm:sqref>B1:O1</xm:sqref>
        </x14:dataValidation>
      </x14:dataValidations>
    </ext>
  </extLst>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491A-46DC-4390-9C5E-8BF57B275FC4}">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509</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tbl-lungca-incidence-rande-aar</v>
      </c>
    </row>
    <row r="4" spans="1:17" x14ac:dyDescent="0.2">
      <c r="A4" s="58" t="s">
        <v>6</v>
      </c>
      <c r="B4" t="str">
        <f>IF($B$1="","",_xlfn.XLOOKUP($B$1,Master!$F$2:$F$308,Master!$H$2:$H$308,""))</f>
        <v>fig-lungca-incidence-rande-aar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F5" t="s">
        <v>1245</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7"/>
      <c r="F6" t="s">
        <v>929</v>
      </c>
      <c r="G6" s="55">
        <v>59.3</v>
      </c>
      <c r="H6" s="55">
        <v>65.900000000000006</v>
      </c>
      <c r="I6" s="55">
        <v>60.3</v>
      </c>
      <c r="J6" s="55">
        <v>51.6</v>
      </c>
      <c r="K6" s="55">
        <v>63.1</v>
      </c>
      <c r="L6" s="55">
        <v>58.5</v>
      </c>
      <c r="M6" s="55">
        <v>44</v>
      </c>
      <c r="N6" s="55">
        <v>61.6</v>
      </c>
      <c r="O6" s="55">
        <v>58.1</v>
      </c>
    </row>
    <row r="7" spans="1:17" ht="15.75" customHeight="1" x14ac:dyDescent="0.2">
      <c r="E7" s="97"/>
      <c r="F7" t="s">
        <v>1566</v>
      </c>
      <c r="G7" s="55">
        <v>67.099999999999994</v>
      </c>
      <c r="H7" s="55">
        <v>40.700000000000003</v>
      </c>
      <c r="I7" s="55" t="s">
        <v>754</v>
      </c>
      <c r="J7" s="55">
        <v>30.2</v>
      </c>
      <c r="K7" s="55" t="s">
        <v>754</v>
      </c>
      <c r="L7" s="55">
        <v>61.7</v>
      </c>
      <c r="M7" s="55">
        <v>35.799999999999997</v>
      </c>
      <c r="N7" s="55">
        <v>53.4</v>
      </c>
      <c r="O7" s="55">
        <v>42.2</v>
      </c>
    </row>
    <row r="8" spans="1:17" x14ac:dyDescent="0.2">
      <c r="E8" s="97"/>
      <c r="F8" t="s">
        <v>1838</v>
      </c>
      <c r="G8" s="55" t="s">
        <v>754</v>
      </c>
      <c r="H8" s="55" t="s">
        <v>754</v>
      </c>
      <c r="I8" s="55" t="s">
        <v>754</v>
      </c>
      <c r="J8" s="55">
        <v>28.2</v>
      </c>
      <c r="K8" s="55">
        <v>0</v>
      </c>
      <c r="L8" s="55" t="s">
        <v>754</v>
      </c>
      <c r="M8" s="55">
        <v>27</v>
      </c>
      <c r="N8" s="55">
        <v>31.5</v>
      </c>
      <c r="O8" s="55">
        <v>41.6</v>
      </c>
      <c r="P8" s="14"/>
    </row>
    <row r="9" spans="1:17" x14ac:dyDescent="0.2">
      <c r="A9" s="98" t="s">
        <v>893</v>
      </c>
      <c r="B9" s="97"/>
      <c r="E9" s="97"/>
      <c r="F9" t="s">
        <v>927</v>
      </c>
      <c r="G9" s="55">
        <v>31.3</v>
      </c>
      <c r="H9" s="55">
        <v>37.299999999999997</v>
      </c>
      <c r="I9" s="55" t="s">
        <v>754</v>
      </c>
      <c r="J9" s="55">
        <v>31.4</v>
      </c>
      <c r="K9" s="55" t="s">
        <v>754</v>
      </c>
      <c r="L9" s="55" t="s">
        <v>754</v>
      </c>
      <c r="M9" s="55">
        <v>27.5</v>
      </c>
      <c r="N9" s="55">
        <v>32.799999999999997</v>
      </c>
      <c r="O9" s="55">
        <v>28</v>
      </c>
    </row>
    <row r="10" spans="1:17" x14ac:dyDescent="0.2">
      <c r="A10" t="s">
        <v>894</v>
      </c>
      <c r="B10" t="s">
        <v>983</v>
      </c>
      <c r="E10" s="97"/>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715</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Q4" xr:uid="{09A34F01-0DE7-4FD4-BA51-A87AED0A150A}">
      <formula1>"integer, number, percent1"</formula1>
    </dataValidation>
    <dataValidation type="list" allowBlank="1" showInputMessage="1" showErrorMessage="1" sqref="B10" xr:uid="{F26F2B78-72D2-499E-A217-D647DF66E236}">
      <formula1>"Line,Clustered Bar,Stacked Bar,Bar,Horizontal Stacked Bar"</formula1>
    </dataValidation>
    <dataValidation type="list" allowBlank="1" showInputMessage="1" showErrorMessage="1" sqref="B2" xr:uid="{83957EAC-98EC-487C-80C3-F903C25989A0}">
      <formula1>"Table,Figure,Both"</formula1>
    </dataValidation>
    <dataValidation type="list" allowBlank="1" showInputMessage="1" showErrorMessage="1" sqref="B6 B15:B16" xr:uid="{8A8400C2-5032-4664-B227-CEDBB82C267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0F58B33-A390-4140-BA78-62CB13E974D4}">
          <x14:formula1>
            <xm:f>Master!$F$2:$F$401</xm:f>
          </x14:formula1>
          <xm:sqref>B1:O1</xm:sqref>
        </x14:dataValidation>
        <x14:dataValidation type="list" allowBlank="1" showInputMessage="1" showErrorMessage="1" xr:uid="{BA6BFAA4-3DCA-4190-B09B-172DDE48239D}">
          <x14:formula1>
            <xm:f>Dropdowns!$A$1:$A$8</xm:f>
          </x14:formula1>
          <xm:sqref>F4:O4</xm:sqref>
        </x14:dataValidation>
      </x14:dataValidations>
    </ext>
  </extLst>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685EB-0BB2-4EDF-B8A2-0DE37835F5B7}">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510</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tbl-male-prostateca-incidence-mortal-aar</v>
      </c>
    </row>
    <row r="4" spans="1:17" x14ac:dyDescent="0.2">
      <c r="A4" s="58" t="s">
        <v>6</v>
      </c>
      <c r="B4" t="str">
        <f>IF($B$1="","",_xlfn.XLOOKUP($B$1,Master!$F$2:$F$308,Master!$H$2:$H$308,""))</f>
        <v>fig-male-prostateca-incidence-mortal-aar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7"/>
      <c r="F6" t="s">
        <v>1982</v>
      </c>
      <c r="G6" s="55">
        <v>139.80000000000001</v>
      </c>
      <c r="H6" s="55">
        <v>126.9</v>
      </c>
      <c r="I6" s="55">
        <v>124.5</v>
      </c>
      <c r="J6" s="55">
        <v>137.9</v>
      </c>
      <c r="K6" s="55">
        <v>93.4</v>
      </c>
      <c r="L6" s="55">
        <v>115.5</v>
      </c>
      <c r="M6" s="55">
        <v>141.30000000000001</v>
      </c>
      <c r="N6" s="55">
        <v>140.19999999999999</v>
      </c>
      <c r="O6" s="55">
        <v>135.5</v>
      </c>
    </row>
    <row r="7" spans="1:17" ht="15.75" customHeight="1" x14ac:dyDescent="0.2">
      <c r="E7" s="97"/>
      <c r="F7" t="s">
        <v>1845</v>
      </c>
      <c r="G7" s="55">
        <v>18</v>
      </c>
      <c r="H7" s="55">
        <v>18.2</v>
      </c>
      <c r="I7" s="55">
        <v>10.4</v>
      </c>
      <c r="J7" s="55">
        <v>10.9</v>
      </c>
      <c r="K7" s="55">
        <v>12.4</v>
      </c>
      <c r="L7" s="55">
        <v>16.3</v>
      </c>
      <c r="M7" s="55">
        <v>12.7</v>
      </c>
      <c r="N7" s="55">
        <v>15.9</v>
      </c>
      <c r="O7" s="55">
        <v>15.5</v>
      </c>
    </row>
    <row r="8" spans="1:17" x14ac:dyDescent="0.2">
      <c r="E8" s="97"/>
      <c r="G8" s="55"/>
      <c r="H8" s="55"/>
      <c r="I8" s="55"/>
      <c r="J8" s="55"/>
      <c r="K8" s="55"/>
      <c r="L8" s="55"/>
      <c r="M8" s="55"/>
      <c r="N8" s="55"/>
      <c r="O8" s="55"/>
      <c r="P8" s="14"/>
    </row>
    <row r="9" spans="1:17" x14ac:dyDescent="0.2">
      <c r="A9" s="98" t="s">
        <v>893</v>
      </c>
      <c r="B9" s="97"/>
      <c r="E9" s="97"/>
      <c r="G9" s="55"/>
      <c r="H9" s="55"/>
      <c r="I9" s="55"/>
      <c r="J9" s="55"/>
      <c r="K9" s="55"/>
      <c r="L9" s="55"/>
      <c r="M9" s="55"/>
      <c r="N9" s="55"/>
      <c r="O9" s="55"/>
    </row>
    <row r="10" spans="1:17" x14ac:dyDescent="0.2">
      <c r="A10" t="s">
        <v>894</v>
      </c>
      <c r="B10" t="s">
        <v>983</v>
      </c>
      <c r="E10" s="97"/>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715</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1679A741-D963-49EE-8A5D-BDC87DD8F0D4}">
      <formula1>"True,False"</formula1>
    </dataValidation>
    <dataValidation type="list" allowBlank="1" showInputMessage="1" showErrorMessage="1" sqref="B2" xr:uid="{3F3EDD87-1705-4DEB-AE0C-C109136EAF43}">
      <formula1>"Table,Figure,Both"</formula1>
    </dataValidation>
    <dataValidation type="list" allowBlank="1" showInputMessage="1" showErrorMessage="1" sqref="B10" xr:uid="{2DEE85D7-D1AF-40D9-8A9C-5162AB61A7D6}">
      <formula1>"Line,Clustered Bar,Stacked Bar,Bar,Horizontal Stacked Bar"</formula1>
    </dataValidation>
    <dataValidation type="list" allowBlank="1" showInputMessage="1" showErrorMessage="1" sqref="P4:Q4" xr:uid="{6364C91A-F6E4-4EA8-9DE4-C4AC91FDB8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823F14-DC0D-48BE-B7F8-A9BDC3D518FF}">
          <x14:formula1>
            <xm:f>Dropdowns!$A$1:$A$8</xm:f>
          </x14:formula1>
          <xm:sqref>F4:O4</xm:sqref>
        </x14:dataValidation>
        <x14:dataValidation type="list" allowBlank="1" showInputMessage="1" showErrorMessage="1" xr:uid="{7F1D3785-CD97-4F14-8438-9F158933417A}">
          <x14:formula1>
            <xm:f>Master!$F$2:$F$401</xm:f>
          </x14:formula1>
          <xm:sqref>B1:O1</xm:sqref>
        </x14:dataValidation>
      </x14:dataValidations>
    </ext>
  </extLst>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8AE9E-F642-441F-8772-188CE47D32E9}">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512</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7"/>
      <c r="F6" t="s">
        <v>1982</v>
      </c>
      <c r="G6" s="55">
        <v>135.1</v>
      </c>
      <c r="H6" s="55">
        <v>129.6</v>
      </c>
      <c r="I6" s="55">
        <v>160.69999999999999</v>
      </c>
      <c r="J6" s="55">
        <v>134.30000000000001</v>
      </c>
      <c r="K6" s="55">
        <v>114.3</v>
      </c>
      <c r="L6" s="55">
        <v>133.6</v>
      </c>
      <c r="M6" s="55">
        <v>144.69999999999999</v>
      </c>
      <c r="N6" s="55">
        <v>141.19999999999999</v>
      </c>
      <c r="O6" s="55">
        <v>135.5</v>
      </c>
    </row>
    <row r="7" spans="1:17" ht="15.75" customHeight="1" x14ac:dyDescent="0.2">
      <c r="E7" s="97"/>
      <c r="F7" t="s">
        <v>1845</v>
      </c>
      <c r="G7" s="55">
        <v>21.5</v>
      </c>
      <c r="H7" s="55">
        <v>23.5</v>
      </c>
      <c r="I7" s="55">
        <v>12</v>
      </c>
      <c r="J7" s="55">
        <v>16.2</v>
      </c>
      <c r="K7" s="55">
        <v>20</v>
      </c>
      <c r="L7" s="55">
        <v>20.7</v>
      </c>
      <c r="M7" s="55">
        <v>15.3</v>
      </c>
      <c r="N7" s="55">
        <v>17.7</v>
      </c>
      <c r="O7" s="55">
        <v>17</v>
      </c>
    </row>
    <row r="8" spans="1:17" x14ac:dyDescent="0.2">
      <c r="E8" s="97"/>
      <c r="G8" s="55"/>
      <c r="H8" s="55"/>
      <c r="I8" s="55"/>
      <c r="J8" s="55"/>
      <c r="K8" s="55"/>
      <c r="L8" s="55"/>
      <c r="M8" s="55"/>
      <c r="N8" s="55"/>
      <c r="O8" s="55"/>
      <c r="P8" s="14"/>
    </row>
    <row r="9" spans="1:17" x14ac:dyDescent="0.2">
      <c r="A9" s="98" t="s">
        <v>893</v>
      </c>
      <c r="B9" s="97"/>
      <c r="E9" s="97"/>
      <c r="G9" s="55"/>
      <c r="H9" s="55"/>
      <c r="I9" s="55"/>
      <c r="J9" s="55"/>
      <c r="K9" s="55"/>
      <c r="L9" s="55"/>
      <c r="M9" s="55"/>
      <c r="N9" s="55"/>
      <c r="O9" s="55"/>
    </row>
    <row r="10" spans="1:17" x14ac:dyDescent="0.2">
      <c r="A10" t="s">
        <v>894</v>
      </c>
      <c r="B10" t="s">
        <v>983</v>
      </c>
      <c r="E10" s="97"/>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715</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Q4" xr:uid="{C1C66200-E4B5-444B-A92B-E47E7DF0148D}">
      <formula1>"integer, number, percent1"</formula1>
    </dataValidation>
    <dataValidation type="list" allowBlank="1" showInputMessage="1" showErrorMessage="1" sqref="B10" xr:uid="{00D68B5B-1805-48A2-8031-27E15CAD61FB}">
      <formula1>"Line,Clustered Bar,Stacked Bar,Bar,Horizontal Stacked Bar"</formula1>
    </dataValidation>
    <dataValidation type="list" allowBlank="1" showInputMessage="1" showErrorMessage="1" sqref="B2" xr:uid="{37B49B37-751A-4295-8D99-56CB2BE7EEE9}">
      <formula1>"Table,Figure,Both"</formula1>
    </dataValidation>
    <dataValidation type="list" allowBlank="1" showInputMessage="1" showErrorMessage="1" sqref="B6 B15:B16" xr:uid="{B9789332-7EC1-4BA6-94ED-E38EBBF9849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645C44C-261A-4096-86E2-D75A04DAB53C}">
          <x14:formula1>
            <xm:f>Master!$F$2:$F$401</xm:f>
          </x14:formula1>
          <xm:sqref>B1:O1</xm:sqref>
        </x14:dataValidation>
        <x14:dataValidation type="list" allowBlank="1" showInputMessage="1" showErrorMessage="1" xr:uid="{AA18302B-9A87-414F-81E0-9C157FD3BF89}">
          <x14:formula1>
            <xm:f>Dropdowns!$A$1:$A$8</xm:f>
          </x14:formula1>
          <xm:sqref>F4:O4</xm:sqref>
        </x14:dataValidation>
      </x14:dataValidations>
    </ext>
  </extLst>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770BD-4A5B-488D-A549-8A627F1F1282}">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512</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F5" t="s">
        <v>887</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7"/>
      <c r="F6" t="s">
        <v>1964</v>
      </c>
      <c r="G6" s="55">
        <v>83.7</v>
      </c>
      <c r="H6" s="55">
        <v>76.8</v>
      </c>
      <c r="I6" s="55">
        <v>77.7</v>
      </c>
      <c r="J6" s="55">
        <v>81.7</v>
      </c>
      <c r="K6" s="55">
        <v>68.599999999999994</v>
      </c>
      <c r="L6" s="55">
        <v>66</v>
      </c>
      <c r="M6" s="55">
        <v>84.5</v>
      </c>
      <c r="N6" s="55">
        <v>80.400000000000006</v>
      </c>
      <c r="O6" s="55">
        <v>80.900000000000006</v>
      </c>
    </row>
    <row r="7" spans="1:17" ht="15.75" customHeight="1" x14ac:dyDescent="0.2">
      <c r="E7" s="97"/>
      <c r="F7">
        <v>2016</v>
      </c>
      <c r="G7" s="55">
        <v>87.2</v>
      </c>
      <c r="H7" s="55">
        <v>74.5</v>
      </c>
      <c r="I7" s="55">
        <v>69.5</v>
      </c>
      <c r="J7" s="55">
        <v>72</v>
      </c>
      <c r="K7" s="55">
        <v>64</v>
      </c>
      <c r="L7" s="55">
        <v>72.3</v>
      </c>
      <c r="M7" s="55">
        <v>84.8</v>
      </c>
      <c r="N7" s="55">
        <v>79.2</v>
      </c>
      <c r="O7" s="55">
        <v>79.7</v>
      </c>
    </row>
    <row r="8" spans="1:17" x14ac:dyDescent="0.2">
      <c r="E8" s="97"/>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7"/>
      <c r="E9" s="97"/>
      <c r="F9">
        <v>2021</v>
      </c>
      <c r="G9" s="55">
        <v>88.5</v>
      </c>
      <c r="H9" s="55">
        <v>73.3</v>
      </c>
      <c r="I9" s="55">
        <v>80.2</v>
      </c>
      <c r="J9" s="55">
        <v>72.7</v>
      </c>
      <c r="K9" s="55">
        <v>52.2</v>
      </c>
      <c r="L9" s="55">
        <v>77.099999999999994</v>
      </c>
      <c r="M9" s="55">
        <v>77.3</v>
      </c>
      <c r="N9" s="55">
        <v>78.8</v>
      </c>
      <c r="O9" s="55">
        <v>78.2</v>
      </c>
    </row>
    <row r="10" spans="1:17" x14ac:dyDescent="0.2">
      <c r="A10" t="s">
        <v>894</v>
      </c>
      <c r="B10" t="s">
        <v>972</v>
      </c>
      <c r="E10" s="97"/>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694</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8A50A6FB-178C-48F9-876B-F51D9C2E8171}">
      <formula1>"True,False"</formula1>
    </dataValidation>
    <dataValidation type="list" allowBlank="1" showInputMessage="1" showErrorMessage="1" sqref="B2" xr:uid="{05D813B1-A7EB-4072-AEC4-465B3CB8E35D}">
      <formula1>"Table,Figure,Both"</formula1>
    </dataValidation>
    <dataValidation type="list" allowBlank="1" showInputMessage="1" showErrorMessage="1" sqref="B10" xr:uid="{D277F164-C501-4DA1-ADAD-998FD1DDC67D}">
      <formula1>"Line,Clustered Bar,Stacked Bar,Bar,Horizontal Stacked Bar"</formula1>
    </dataValidation>
    <dataValidation type="list" allowBlank="1" showInputMessage="1" showErrorMessage="1" sqref="P4:Q4" xr:uid="{052708DD-5402-4E2F-A281-FC4F9EA8A5A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A3908D-A761-448D-A41C-D7B948A77D30}">
          <x14:formula1>
            <xm:f>Dropdowns!$A$1:$A$8</xm:f>
          </x14:formula1>
          <xm:sqref>F4:O4</xm:sqref>
        </x14:dataValidation>
        <x14:dataValidation type="list" allowBlank="1" showInputMessage="1" showErrorMessage="1" xr:uid="{7202A05E-8B34-4C7D-9792-A6506E66B750}">
          <x14:formula1>
            <xm:f>Master!$F$2:$F$401</xm:f>
          </x14:formula1>
          <xm:sqref>B1:O1</xm:sqref>
        </x14:dataValidation>
      </x14:dataValidations>
    </ext>
  </extLst>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FF8E7-F6CD-4058-ADD3-5788A3E35244}">
  <dimension ref="A1:Q57"/>
  <sheetViews>
    <sheetView workbookViewId="0">
      <selection activeCell="J21" sqref="J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514</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G5" t="s">
        <v>220</v>
      </c>
      <c r="H5" t="s">
        <v>18</v>
      </c>
      <c r="I5" t="s">
        <v>537</v>
      </c>
      <c r="J5" s="55" t="s">
        <v>449</v>
      </c>
      <c r="K5" s="55" t="s">
        <v>409</v>
      </c>
      <c r="L5" s="55" t="s">
        <v>421</v>
      </c>
      <c r="M5" s="55" t="s">
        <v>470</v>
      </c>
      <c r="N5" s="55" t="s">
        <v>914</v>
      </c>
      <c r="O5" s="55" t="s">
        <v>915</v>
      </c>
    </row>
    <row r="6" spans="1:17" ht="15" customHeight="1" x14ac:dyDescent="0.2">
      <c r="A6" t="s">
        <v>891</v>
      </c>
      <c r="B6" t="b">
        <v>0</v>
      </c>
      <c r="E6" s="97"/>
      <c r="F6" t="s">
        <v>1982</v>
      </c>
      <c r="G6" s="55">
        <v>6.1</v>
      </c>
      <c r="H6" s="55">
        <v>7.5</v>
      </c>
      <c r="I6" s="55" t="s">
        <v>754</v>
      </c>
      <c r="J6" s="55">
        <v>7.5</v>
      </c>
      <c r="K6" s="55">
        <v>14</v>
      </c>
      <c r="L6" s="55">
        <v>8.6999999999999993</v>
      </c>
      <c r="M6" s="55">
        <v>5.9</v>
      </c>
      <c r="N6" s="55">
        <v>6.9</v>
      </c>
      <c r="O6" s="55">
        <v>6.4</v>
      </c>
    </row>
    <row r="7" spans="1:17" ht="15.75" customHeight="1" x14ac:dyDescent="0.2">
      <c r="E7" s="97"/>
      <c r="F7" t="s">
        <v>1845</v>
      </c>
      <c r="G7" s="55" t="s">
        <v>754</v>
      </c>
      <c r="H7" s="55">
        <v>2.7</v>
      </c>
      <c r="I7" s="55" t="s">
        <v>754</v>
      </c>
      <c r="J7" s="55" t="s">
        <v>754</v>
      </c>
      <c r="K7" s="55" t="s">
        <v>754</v>
      </c>
      <c r="L7" s="55" t="s">
        <v>754</v>
      </c>
      <c r="M7" s="55">
        <v>1.1000000000000001</v>
      </c>
      <c r="N7" s="55">
        <v>1.7</v>
      </c>
      <c r="O7" s="55">
        <v>1.6</v>
      </c>
    </row>
    <row r="8" spans="1:17" x14ac:dyDescent="0.2">
      <c r="E8" s="97"/>
      <c r="G8" s="55"/>
      <c r="H8" s="55"/>
      <c r="I8" s="55"/>
      <c r="J8" s="55"/>
      <c r="K8" s="55"/>
      <c r="L8" s="55"/>
      <c r="M8" s="55"/>
      <c r="N8" s="55"/>
      <c r="O8" s="55"/>
      <c r="P8" s="14"/>
    </row>
    <row r="9" spans="1:17" x14ac:dyDescent="0.2">
      <c r="A9" s="98" t="s">
        <v>893</v>
      </c>
      <c r="B9" s="97"/>
      <c r="E9" s="97"/>
      <c r="G9" s="55"/>
      <c r="H9" s="55"/>
      <c r="I9" s="55"/>
      <c r="J9" s="55"/>
      <c r="K9" s="55"/>
      <c r="L9" s="55"/>
      <c r="M9" s="55"/>
      <c r="N9" s="55"/>
      <c r="O9" s="55"/>
    </row>
    <row r="10" spans="1:17" x14ac:dyDescent="0.2">
      <c r="A10" t="s">
        <v>894</v>
      </c>
      <c r="B10" t="s">
        <v>983</v>
      </c>
      <c r="E10" s="97"/>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715</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Q4" xr:uid="{C9CABE2F-FAFE-439E-A1FF-90710A67B541}">
      <formula1>"integer, number, percent1"</formula1>
    </dataValidation>
    <dataValidation type="list" allowBlank="1" showInputMessage="1" showErrorMessage="1" sqref="B10" xr:uid="{3694B375-61AD-4A2D-A9BD-C20B34D25215}">
      <formula1>"Line,Clustered Bar,Stacked Bar,Bar,Horizontal Stacked Bar"</formula1>
    </dataValidation>
    <dataValidation type="list" allowBlank="1" showInputMessage="1" showErrorMessage="1" sqref="B2" xr:uid="{AD0C271F-9083-4A1E-9387-154BFE4414B0}">
      <formula1>"Table,Figure,Both"</formula1>
    </dataValidation>
    <dataValidation type="list" allowBlank="1" showInputMessage="1" showErrorMessage="1" sqref="B6 B15:B16" xr:uid="{EA2E4F4F-BAB7-47AF-91DC-073BA4C355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1AEC2D6-989B-445F-97B9-17E50B551422}">
          <x14:formula1>
            <xm:f>Master!$F$2:$F$401</xm:f>
          </x14:formula1>
          <xm:sqref>B1:O1</xm:sqref>
        </x14:dataValidation>
        <x14:dataValidation type="list" allowBlank="1" showInputMessage="1" showErrorMessage="1" xr:uid="{B8CD27AA-9021-4EBA-8DD3-6637D52DBEC4}">
          <x14:formula1>
            <xm:f>Dropdowns!$A$1:$A$8</xm:f>
          </x14:formula1>
          <xm:sqref>F4:O4</xm:sqref>
        </x14:dataValidation>
      </x14:dataValidations>
    </ext>
  </extLst>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C25AD-DA61-4857-BF7F-C4133E0153CB}">
  <dimension ref="A1:Q57"/>
  <sheetViews>
    <sheetView workbookViewId="0">
      <selection activeCell="A14" sqref="A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514</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F5" t="s">
        <v>887</v>
      </c>
      <c r="G5" t="s">
        <v>220</v>
      </c>
      <c r="H5" t="s">
        <v>18</v>
      </c>
      <c r="I5" t="s">
        <v>537</v>
      </c>
      <c r="J5" s="55" t="s">
        <v>449</v>
      </c>
      <c r="K5" s="55" t="s">
        <v>409</v>
      </c>
      <c r="L5" s="55" t="s">
        <v>421</v>
      </c>
      <c r="M5" s="55" t="s">
        <v>470</v>
      </c>
      <c r="N5" s="55" t="s">
        <v>898</v>
      </c>
      <c r="O5" s="55" t="s">
        <v>915</v>
      </c>
    </row>
    <row r="6" spans="1:17" ht="15" customHeight="1" x14ac:dyDescent="0.2">
      <c r="A6" t="s">
        <v>891</v>
      </c>
      <c r="B6" t="b">
        <v>0</v>
      </c>
      <c r="E6" s="97"/>
      <c r="F6">
        <v>2018</v>
      </c>
      <c r="G6" s="55">
        <v>90.6</v>
      </c>
      <c r="H6" s="55">
        <v>88.8</v>
      </c>
      <c r="I6" s="55">
        <v>96.2</v>
      </c>
      <c r="J6" s="55">
        <v>80.599999999999994</v>
      </c>
      <c r="K6" s="55">
        <v>81.7</v>
      </c>
      <c r="L6" s="55">
        <v>86.1</v>
      </c>
      <c r="M6" s="55">
        <v>87.8</v>
      </c>
      <c r="N6" s="55">
        <v>86.5</v>
      </c>
      <c r="O6" s="55">
        <v>84.7</v>
      </c>
    </row>
    <row r="7" spans="1:17" ht="15.75" customHeight="1" x14ac:dyDescent="0.2">
      <c r="E7" s="97"/>
      <c r="G7" s="55"/>
      <c r="H7" s="55"/>
      <c r="I7" s="55"/>
      <c r="J7" s="55"/>
      <c r="K7" s="55"/>
      <c r="L7" s="55"/>
      <c r="M7" s="55"/>
      <c r="N7" s="55"/>
      <c r="O7" s="55"/>
    </row>
    <row r="8" spans="1:17" x14ac:dyDescent="0.2">
      <c r="E8" s="97"/>
      <c r="G8" s="55"/>
      <c r="H8" s="55"/>
      <c r="I8" s="55"/>
      <c r="J8" s="55"/>
      <c r="K8" s="55"/>
      <c r="L8" s="55"/>
      <c r="M8" s="55"/>
      <c r="N8" s="55"/>
      <c r="O8" s="55"/>
      <c r="P8" s="14"/>
    </row>
    <row r="9" spans="1:17" x14ac:dyDescent="0.2">
      <c r="A9" s="98" t="s">
        <v>893</v>
      </c>
      <c r="B9" s="97"/>
      <c r="E9" s="97"/>
      <c r="G9" s="55"/>
      <c r="H9" s="55"/>
      <c r="I9" s="55"/>
      <c r="J9" s="55"/>
      <c r="K9" s="55"/>
      <c r="L9" s="55"/>
      <c r="M9" s="55"/>
      <c r="N9" s="55"/>
      <c r="O9" s="55"/>
    </row>
    <row r="10" spans="1:17" x14ac:dyDescent="0.2">
      <c r="A10" t="s">
        <v>894</v>
      </c>
      <c r="B10" t="s">
        <v>1002</v>
      </c>
      <c r="E10" s="97"/>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694</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B2E2F967-4C1A-4B06-9EBC-97401BE086DB}">
      <formula1>"True,False"</formula1>
    </dataValidation>
    <dataValidation type="list" allowBlank="1" showInputMessage="1" showErrorMessage="1" sqref="B2" xr:uid="{A20AB35E-65DD-4852-A6D6-DFFE39F297C9}">
      <formula1>"Table,Figure,Both"</formula1>
    </dataValidation>
    <dataValidation type="list" allowBlank="1" showInputMessage="1" showErrorMessage="1" sqref="B10" xr:uid="{234A491F-DD63-45EA-91C5-C012948C5096}">
      <formula1>"Line,Clustered Bar,Stacked Bar,Bar,Horizontal Stacked Bar"</formula1>
    </dataValidation>
    <dataValidation type="list" allowBlank="1" showInputMessage="1" showErrorMessage="1" sqref="P4:Q4" xr:uid="{4512165C-6C2E-4102-BF3B-9E6EDD901E6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B3D0E0-0185-4E12-AD2B-891A6831A712}">
          <x14:formula1>
            <xm:f>Dropdowns!$A$1:$A$8</xm:f>
          </x14:formula1>
          <xm:sqref>F4:O4</xm:sqref>
        </x14:dataValidation>
        <x14:dataValidation type="list" allowBlank="1" showInputMessage="1" showErrorMessage="1" xr:uid="{F3B87F20-FBC6-437C-AAA4-D0F00D2FBA07}">
          <x14:formula1>
            <xm:f>Master!$F$2:$F$401</xm:f>
          </x14:formula1>
          <xm:sqref>B1:O1</xm:sqref>
        </x14:dataValidation>
      </x14:dataValidations>
    </ext>
  </extLst>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67D9D-49B3-429C-996B-DCD82E3AB07C}">
  <dimension ref="A1:Q57"/>
  <sheetViews>
    <sheetView workbookViewId="0">
      <selection activeCell="C15" sqref="C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518</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tbl-24to35mo-child-vaccine-series-percent</v>
      </c>
    </row>
    <row r="4" spans="1:17" x14ac:dyDescent="0.2">
      <c r="A4" s="58" t="s">
        <v>6</v>
      </c>
      <c r="B4" t="str">
        <f>IF($B$1="","",_xlfn.XLOOKUP($B$1,Master!$F$2:$F$308,Master!$H$2:$H$308,""))</f>
        <v>fig-24to35mo-child-vaccine-series-percent</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7"/>
      <c r="E5" s="99" t="s">
        <v>886</v>
      </c>
      <c r="F5" t="s">
        <v>887</v>
      </c>
      <c r="G5" t="s">
        <v>220</v>
      </c>
      <c r="H5" t="s">
        <v>18</v>
      </c>
      <c r="I5" t="s">
        <v>537</v>
      </c>
      <c r="J5" s="55" t="s">
        <v>449</v>
      </c>
      <c r="K5" s="55" t="s">
        <v>409</v>
      </c>
      <c r="L5" s="55" t="s">
        <v>421</v>
      </c>
      <c r="M5" s="55" t="s">
        <v>470</v>
      </c>
      <c r="N5" s="55" t="s">
        <v>914</v>
      </c>
      <c r="O5" s="55" t="s">
        <v>915</v>
      </c>
      <c r="P5" t="s">
        <v>1983</v>
      </c>
    </row>
    <row r="6" spans="1:17" ht="15" customHeight="1" x14ac:dyDescent="0.2">
      <c r="A6" t="s">
        <v>891</v>
      </c>
      <c r="B6" t="b">
        <v>0</v>
      </c>
      <c r="E6" s="97"/>
      <c r="F6">
        <v>2019</v>
      </c>
      <c r="G6" s="55">
        <v>62.2</v>
      </c>
      <c r="H6" s="55">
        <v>43.1</v>
      </c>
      <c r="I6" s="55">
        <v>59.2</v>
      </c>
      <c r="J6" s="55">
        <v>37.4</v>
      </c>
      <c r="K6" s="55">
        <v>48.6</v>
      </c>
      <c r="L6" s="55">
        <v>57.4</v>
      </c>
      <c r="M6" s="55">
        <v>51.6</v>
      </c>
      <c r="N6" s="55">
        <v>60.1</v>
      </c>
      <c r="O6" s="55">
        <v>56.7</v>
      </c>
      <c r="P6">
        <v>62.3</v>
      </c>
    </row>
    <row r="7" spans="1:17" ht="15.75" customHeight="1" x14ac:dyDescent="0.2">
      <c r="E7" s="97"/>
      <c r="F7">
        <v>2020</v>
      </c>
      <c r="G7" s="55">
        <v>60</v>
      </c>
      <c r="H7" s="55">
        <v>41.8</v>
      </c>
      <c r="I7" s="55">
        <v>58.4</v>
      </c>
      <c r="J7" s="55">
        <v>35.799999999999997</v>
      </c>
      <c r="K7" s="55">
        <v>44.2</v>
      </c>
      <c r="L7" s="55">
        <v>58</v>
      </c>
      <c r="M7" s="55">
        <v>51.1</v>
      </c>
      <c r="N7" s="55">
        <v>60</v>
      </c>
      <c r="O7" s="55">
        <v>56.4</v>
      </c>
      <c r="P7">
        <v>62.3</v>
      </c>
    </row>
    <row r="8" spans="1:17" x14ac:dyDescent="0.2">
      <c r="E8" s="97"/>
      <c r="F8">
        <v>2021</v>
      </c>
      <c r="G8" s="55">
        <v>60.5</v>
      </c>
      <c r="H8" s="55">
        <v>39.200000000000003</v>
      </c>
      <c r="I8" s="55">
        <v>59.8</v>
      </c>
      <c r="J8" s="55">
        <v>34.6</v>
      </c>
      <c r="K8" s="55">
        <v>42.5</v>
      </c>
      <c r="L8" s="55">
        <v>56.9</v>
      </c>
      <c r="M8" s="55">
        <v>52.6</v>
      </c>
      <c r="N8" s="55">
        <v>60.1</v>
      </c>
      <c r="O8" s="55">
        <v>55.6</v>
      </c>
      <c r="P8" s="14">
        <v>62.3</v>
      </c>
    </row>
    <row r="9" spans="1:17" x14ac:dyDescent="0.2">
      <c r="A9" s="98" t="s">
        <v>893</v>
      </c>
      <c r="B9" s="97"/>
      <c r="E9" s="97"/>
      <c r="F9">
        <v>2022</v>
      </c>
      <c r="G9" s="55">
        <v>58.9</v>
      </c>
      <c r="H9" s="55">
        <v>40.4</v>
      </c>
      <c r="I9" s="55">
        <v>63.7</v>
      </c>
      <c r="J9" s="55">
        <v>35.200000000000003</v>
      </c>
      <c r="K9" s="55">
        <v>42.5</v>
      </c>
      <c r="L9" s="55">
        <v>55.6</v>
      </c>
      <c r="M9" s="55">
        <v>54.8</v>
      </c>
      <c r="N9" s="55">
        <v>59.4</v>
      </c>
      <c r="O9" s="55">
        <v>55.8</v>
      </c>
      <c r="P9">
        <v>62.3</v>
      </c>
    </row>
    <row r="10" spans="1:17" x14ac:dyDescent="0.2">
      <c r="A10" t="s">
        <v>894</v>
      </c>
      <c r="B10" t="s">
        <v>972</v>
      </c>
      <c r="E10" s="97"/>
      <c r="F10">
        <v>2023</v>
      </c>
      <c r="G10">
        <v>62.2</v>
      </c>
      <c r="H10">
        <v>39</v>
      </c>
      <c r="I10">
        <v>64.8</v>
      </c>
      <c r="J10">
        <v>32.200000000000003</v>
      </c>
      <c r="K10">
        <v>45.6</v>
      </c>
      <c r="L10">
        <v>58.2</v>
      </c>
      <c r="M10">
        <v>53.5</v>
      </c>
      <c r="N10">
        <v>59.1</v>
      </c>
      <c r="O10">
        <v>56.9</v>
      </c>
      <c r="P10">
        <v>62.3</v>
      </c>
    </row>
    <row r="11" spans="1:17" x14ac:dyDescent="0.2">
      <c r="A11" t="s">
        <v>895</v>
      </c>
      <c r="B11" t="s">
        <v>887</v>
      </c>
      <c r="E11" s="97"/>
      <c r="F11" s="46" t="s">
        <v>1988</v>
      </c>
      <c r="G11" s="59">
        <v>65.2</v>
      </c>
      <c r="H11" s="59">
        <v>44.1</v>
      </c>
      <c r="I11" s="59">
        <v>66.2</v>
      </c>
      <c r="J11" s="42">
        <v>36.799999999999997</v>
      </c>
      <c r="K11" s="42">
        <v>48.1</v>
      </c>
      <c r="L11" s="42">
        <v>64</v>
      </c>
      <c r="M11" s="47" t="s">
        <v>1989</v>
      </c>
      <c r="N11" s="47" t="s">
        <v>1990</v>
      </c>
      <c r="O11" s="46" t="s">
        <v>1492</v>
      </c>
      <c r="P11">
        <v>62.3</v>
      </c>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694</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Q4" xr:uid="{BC781897-9741-4A5B-83AD-908D2119792B}">
      <formula1>"integer, number, percent1"</formula1>
    </dataValidation>
    <dataValidation type="list" allowBlank="1" showInputMessage="1" showErrorMessage="1" sqref="B10" xr:uid="{34ABAE09-083F-4F97-9E08-43CA1684CEB6}">
      <formula1>"Line,Clustered Bar,Stacked Bar,Bar,Horizontal Stacked Bar"</formula1>
    </dataValidation>
    <dataValidation type="list" allowBlank="1" showInputMessage="1" showErrorMessage="1" sqref="B2" xr:uid="{335779FE-13FE-4F5A-9FE8-B67B45BB9344}">
      <formula1>"Table,Figure,Both"</formula1>
    </dataValidation>
    <dataValidation type="list" allowBlank="1" showInputMessage="1" showErrorMessage="1" sqref="B6 B15:B16" xr:uid="{6AC65FDE-2E50-4C2B-9206-820DDADEBFC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5E82E4-1B8E-42CA-BCC0-C6092483CF76}">
          <x14:formula1>
            <xm:f>Master!$F$2:$F$401</xm:f>
          </x14:formula1>
          <xm:sqref>B1:O1</xm:sqref>
        </x14:dataValidation>
        <x14:dataValidation type="list" allowBlank="1" showInputMessage="1" showErrorMessage="1" xr:uid="{544D0BF6-6DD3-4603-A3E8-DC2BF1DFE317}">
          <x14:formula1>
            <xm:f>Dropdowns!$A$1:$A$8</xm:f>
          </x14:formula1>
          <xm:sqref>F4:O4</xm:sqref>
        </x14:dataValidation>
      </x14:dataValidations>
    </ext>
  </extLst>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5416C-D6ED-4FD5-93CE-E9D8079D27FA}">
  <dimension ref="A1:Q57"/>
  <sheetViews>
    <sheetView workbookViewId="0">
      <selection activeCell="F35" sqref="F3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1854</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tbl-covid-mort-aar</v>
      </c>
    </row>
    <row r="4" spans="1:17" x14ac:dyDescent="0.2">
      <c r="A4" s="58" t="s">
        <v>6</v>
      </c>
      <c r="B4" t="str">
        <f>IF($B$1="","",_xlfn.XLOOKUP($B$1,Master!$F$2:$F$308,Master!$H$2:$H$308,""))</f>
        <v>fig-covid-mort-aar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7"/>
      <c r="E5" s="99" t="s">
        <v>886</v>
      </c>
      <c r="F5" t="s">
        <v>887</v>
      </c>
      <c r="G5" t="s">
        <v>220</v>
      </c>
      <c r="H5" t="s">
        <v>18</v>
      </c>
      <c r="I5" t="s">
        <v>537</v>
      </c>
      <c r="J5" s="55" t="s">
        <v>449</v>
      </c>
      <c r="K5" s="55" t="s">
        <v>409</v>
      </c>
      <c r="L5" s="55" t="s">
        <v>421</v>
      </c>
      <c r="M5" s="55" t="s">
        <v>470</v>
      </c>
      <c r="N5" s="55" t="s">
        <v>898</v>
      </c>
      <c r="O5" s="55" t="s">
        <v>914</v>
      </c>
      <c r="P5" t="s">
        <v>915</v>
      </c>
    </row>
    <row r="6" spans="1:17" ht="15" customHeight="1" x14ac:dyDescent="0.2">
      <c r="A6" t="s">
        <v>891</v>
      </c>
      <c r="B6" t="b">
        <v>0</v>
      </c>
      <c r="E6" s="97"/>
      <c r="F6">
        <v>2020</v>
      </c>
      <c r="G6" s="55">
        <v>63.1</v>
      </c>
      <c r="H6" s="55">
        <v>142</v>
      </c>
      <c r="I6" s="55">
        <v>95.7</v>
      </c>
      <c r="J6" s="55">
        <v>204.4</v>
      </c>
      <c r="K6" s="55">
        <v>62.2</v>
      </c>
      <c r="L6" s="55">
        <v>58.4</v>
      </c>
      <c r="M6" s="55">
        <v>143</v>
      </c>
      <c r="N6" s="55">
        <v>128.1</v>
      </c>
      <c r="O6" s="55">
        <v>92.7</v>
      </c>
      <c r="P6">
        <v>144.4</v>
      </c>
    </row>
    <row r="7" spans="1:17" ht="15.75" customHeight="1" x14ac:dyDescent="0.2">
      <c r="E7" s="97"/>
      <c r="F7">
        <v>2021</v>
      </c>
      <c r="G7" s="55">
        <v>83</v>
      </c>
      <c r="H7" s="55">
        <v>90.5</v>
      </c>
      <c r="I7" s="55">
        <v>41.6</v>
      </c>
      <c r="J7" s="55">
        <v>67.400000000000006</v>
      </c>
      <c r="K7" s="55">
        <v>83.4</v>
      </c>
      <c r="L7" s="55">
        <v>77.5</v>
      </c>
      <c r="M7" s="55">
        <v>68.400000000000006</v>
      </c>
      <c r="N7" s="55">
        <v>73.5</v>
      </c>
      <c r="O7" s="55">
        <v>86</v>
      </c>
      <c r="P7">
        <v>84.1</v>
      </c>
    </row>
    <row r="8" spans="1:17" x14ac:dyDescent="0.2">
      <c r="E8" s="97"/>
      <c r="F8">
        <v>2022</v>
      </c>
      <c r="G8" s="55">
        <v>42.8</v>
      </c>
      <c r="H8" s="55">
        <v>53.2</v>
      </c>
      <c r="I8" s="55">
        <v>28.9</v>
      </c>
      <c r="J8" s="55">
        <v>45.5</v>
      </c>
      <c r="K8" s="55">
        <v>60</v>
      </c>
      <c r="L8" s="55">
        <v>34</v>
      </c>
      <c r="M8" s="55">
        <v>35.5</v>
      </c>
      <c r="N8" s="55">
        <v>40.799999999999997</v>
      </c>
      <c r="O8" s="55">
        <v>42.3</v>
      </c>
      <c r="P8" s="14">
        <v>42.6</v>
      </c>
    </row>
    <row r="9" spans="1:17" x14ac:dyDescent="0.2">
      <c r="A9" s="98" t="s">
        <v>893</v>
      </c>
      <c r="B9" s="97"/>
      <c r="E9" s="97"/>
      <c r="G9" s="55"/>
      <c r="H9" s="55"/>
      <c r="I9" s="55"/>
      <c r="J9" s="55"/>
      <c r="K9" s="55"/>
      <c r="L9" s="55"/>
      <c r="M9" s="55"/>
      <c r="N9" s="55"/>
      <c r="O9" s="55"/>
    </row>
    <row r="10" spans="1:17" x14ac:dyDescent="0.2">
      <c r="A10" t="s">
        <v>894</v>
      </c>
      <c r="B10" t="s">
        <v>972</v>
      </c>
      <c r="E10" s="97"/>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715</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43C6F97A-E60B-4F10-9332-BAD3606863FB}">
      <formula1>"True,False"</formula1>
    </dataValidation>
    <dataValidation type="list" allowBlank="1" showInputMessage="1" showErrorMessage="1" sqref="B2" xr:uid="{D18A3BF9-C3B7-4F78-917B-34AEF4BBFFE3}">
      <formula1>"Table,Figure,Both"</formula1>
    </dataValidation>
    <dataValidation type="list" allowBlank="1" showInputMessage="1" showErrorMessage="1" sqref="B10" xr:uid="{C300E8DD-5C2B-45EF-AAAC-B48B042BECA9}">
      <formula1>"Line,Clustered Bar,Stacked Bar,Bar,Horizontal Stacked Bar"</formula1>
    </dataValidation>
    <dataValidation type="list" allowBlank="1" showInputMessage="1" showErrorMessage="1" sqref="P4:Q4" xr:uid="{9B4D0F87-3622-4FEF-AA4F-5C8673D1BB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00E68C0-8075-4393-9423-2FDCDDE1BC9D}">
          <x14:formula1>
            <xm:f>Dropdowns!$A$1:$A$8</xm:f>
          </x14:formula1>
          <xm:sqref>F4:O4</xm:sqref>
        </x14:dataValidation>
        <x14:dataValidation type="list" allowBlank="1" showInputMessage="1" showErrorMessage="1" xr:uid="{5D9633EA-F85F-4C3E-80FC-D72F135AE9E6}">
          <x14:formula1>
            <xm:f>Master!$F$2:$F$401</xm:f>
          </x14:formula1>
          <xm:sqref>B1:O1</xm:sqref>
        </x14:dataValidation>
      </x14:dataValidations>
    </ext>
  </extLst>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74D39-30C5-4CC9-A3E5-11CEC863B8BB}">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530</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
      </c>
    </row>
    <row r="4" spans="1:17" x14ac:dyDescent="0.2">
      <c r="A4" s="58" t="s">
        <v>6</v>
      </c>
      <c r="B4" t="str">
        <f>IF($B$1="","",_xlfn.XLOOKUP($B$1,Master!$F$2:$F$308,Master!$H$2:$H$308,""))</f>
        <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7"/>
      <c r="E5" s="99" t="s">
        <v>886</v>
      </c>
      <c r="F5" t="s">
        <v>887</v>
      </c>
      <c r="G5" t="s">
        <v>220</v>
      </c>
      <c r="H5" t="s">
        <v>18</v>
      </c>
      <c r="I5" t="s">
        <v>537</v>
      </c>
      <c r="J5" s="55" t="s">
        <v>449</v>
      </c>
      <c r="K5" s="55" t="s">
        <v>409</v>
      </c>
      <c r="L5" s="55" t="s">
        <v>421</v>
      </c>
      <c r="M5" s="55" t="s">
        <v>470</v>
      </c>
      <c r="N5" s="55" t="s">
        <v>914</v>
      </c>
      <c r="O5" s="55" t="s">
        <v>915</v>
      </c>
      <c r="P5" t="s">
        <v>1983</v>
      </c>
    </row>
    <row r="6" spans="1:17" ht="15" customHeight="1" x14ac:dyDescent="0.2">
      <c r="A6" t="s">
        <v>891</v>
      </c>
      <c r="B6" t="b">
        <v>0</v>
      </c>
      <c r="E6" s="97"/>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7"/>
      <c r="F7">
        <v>2020</v>
      </c>
      <c r="G7" s="55">
        <v>16.899999999999999</v>
      </c>
      <c r="H7" s="55">
        <v>20.2</v>
      </c>
      <c r="I7" s="55">
        <v>19.600000000000001</v>
      </c>
      <c r="J7" s="55">
        <v>15.7</v>
      </c>
      <c r="K7" s="55">
        <v>19.3</v>
      </c>
      <c r="L7" s="55">
        <v>15.7</v>
      </c>
      <c r="M7" s="55">
        <v>19.3</v>
      </c>
      <c r="N7" s="55">
        <v>24.1</v>
      </c>
      <c r="O7" s="55">
        <v>25.2</v>
      </c>
      <c r="P7">
        <v>28.7</v>
      </c>
    </row>
    <row r="8" spans="1:17" x14ac:dyDescent="0.2">
      <c r="E8" s="97"/>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7"/>
      <c r="E9" s="97"/>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972</v>
      </c>
      <c r="E10" s="97"/>
      <c r="F10">
        <v>2023</v>
      </c>
      <c r="G10">
        <v>15.2</v>
      </c>
      <c r="H10">
        <v>15.2</v>
      </c>
      <c r="I10">
        <v>15.9</v>
      </c>
      <c r="J10">
        <v>15</v>
      </c>
      <c r="K10">
        <v>20.3</v>
      </c>
      <c r="L10">
        <v>16.100000000000001</v>
      </c>
      <c r="M10">
        <v>22.1</v>
      </c>
      <c r="N10">
        <v>24.5</v>
      </c>
      <c r="O10">
        <v>25.6</v>
      </c>
      <c r="P10">
        <v>28.7</v>
      </c>
    </row>
    <row r="11" spans="1:17" x14ac:dyDescent="0.2">
      <c r="A11" t="s">
        <v>895</v>
      </c>
      <c r="B11" t="s">
        <v>887</v>
      </c>
      <c r="E11" s="97"/>
      <c r="F11" s="46" t="s">
        <v>1988</v>
      </c>
      <c r="G11" s="59">
        <v>16.100000000000001</v>
      </c>
      <c r="H11" s="59">
        <v>18.7</v>
      </c>
      <c r="I11" s="59">
        <v>14.5</v>
      </c>
      <c r="J11" s="42">
        <v>16.100000000000001</v>
      </c>
      <c r="K11" s="42">
        <v>19.8</v>
      </c>
      <c r="L11" s="42">
        <v>14.5</v>
      </c>
      <c r="M11" s="47" t="s">
        <v>1519</v>
      </c>
      <c r="N11" s="47" t="s">
        <v>1991</v>
      </c>
      <c r="O11" s="46" t="s">
        <v>1992</v>
      </c>
      <c r="P11">
        <v>28.7</v>
      </c>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694</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Q4" xr:uid="{FF8C9994-51F0-4646-A94F-D2C1ADD81D90}">
      <formula1>"integer, number, percent1"</formula1>
    </dataValidation>
    <dataValidation type="list" allowBlank="1" showInputMessage="1" showErrorMessage="1" sqref="B10" xr:uid="{13CA69D9-E04E-48ED-97CD-C884519AE361}">
      <formula1>"Line,Clustered Bar,Stacked Bar,Bar,Horizontal Stacked Bar"</formula1>
    </dataValidation>
    <dataValidation type="list" allowBlank="1" showInputMessage="1" showErrorMessage="1" sqref="B2" xr:uid="{13EA3689-644B-4AE5-810E-B32E41B5D799}">
      <formula1>"Table,Figure,Both"</formula1>
    </dataValidation>
    <dataValidation type="list" allowBlank="1" showInputMessage="1" showErrorMessage="1" sqref="B6 B15:B16" xr:uid="{CA5185D3-8EB6-493A-83FE-3F8478B93B8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84872F7-4C76-4F37-927D-ACB7DE43E25F}">
          <x14:formula1>
            <xm:f>Master!$F$2:$F$401</xm:f>
          </x14:formula1>
          <xm:sqref>B1:O1</xm:sqref>
        </x14:dataValidation>
        <x14:dataValidation type="list" allowBlank="1" showInputMessage="1" showErrorMessage="1" xr:uid="{E021886F-DEAB-46B0-9D94-5A8D557AF61C}">
          <x14:formula1>
            <xm:f>Dropdowns!$A$1:$A$8</xm:f>
          </x14:formula1>
          <xm:sqref>F4:O4</xm:sqref>
        </x14:dataValidation>
      </x14:dataValidations>
    </ext>
  </extLst>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CF7F6-962D-4FD2-B502-C3E76EFFEC7B}">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531</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tbl-adult-flu-immi-lastyear-percent</v>
      </c>
    </row>
    <row r="4" spans="1:17" x14ac:dyDescent="0.2">
      <c r="A4" s="58" t="s">
        <v>6</v>
      </c>
      <c r="B4" t="str">
        <f>IF($B$1="","",_xlfn.XLOOKUP($B$1,Master!$F$2:$F$308,Master!$H$2:$H$308,""))</f>
        <v>fig-adult-flu-immi-lastyear-percent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F5" t="s">
        <v>887</v>
      </c>
      <c r="G5" t="s">
        <v>220</v>
      </c>
      <c r="H5" t="s">
        <v>18</v>
      </c>
      <c r="I5" t="s">
        <v>537</v>
      </c>
      <c r="J5" s="55" t="s">
        <v>449</v>
      </c>
      <c r="K5" s="55" t="s">
        <v>409</v>
      </c>
      <c r="L5" s="55" t="s">
        <v>421</v>
      </c>
      <c r="M5" s="55" t="s">
        <v>470</v>
      </c>
      <c r="N5" s="55" t="s">
        <v>914</v>
      </c>
      <c r="O5" s="55" t="s">
        <v>915</v>
      </c>
    </row>
    <row r="6" spans="1:17" ht="15" customHeight="1" x14ac:dyDescent="0.2">
      <c r="A6" t="s">
        <v>891</v>
      </c>
      <c r="B6" t="b">
        <v>0</v>
      </c>
      <c r="E6" s="97"/>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7"/>
      <c r="F7">
        <v>2018</v>
      </c>
      <c r="G7" s="55">
        <v>22.4</v>
      </c>
      <c r="H7" s="55">
        <v>27.4</v>
      </c>
      <c r="I7" s="55">
        <v>28.9</v>
      </c>
      <c r="J7" s="55">
        <v>27.9</v>
      </c>
      <c r="K7" s="55">
        <v>27.8</v>
      </c>
      <c r="L7" s="55">
        <v>23.2</v>
      </c>
      <c r="M7" s="55">
        <v>29.5</v>
      </c>
      <c r="N7" s="55">
        <v>25.9</v>
      </c>
      <c r="O7" s="55">
        <v>26.9</v>
      </c>
    </row>
    <row r="8" spans="1:17" x14ac:dyDescent="0.2">
      <c r="E8" s="97"/>
      <c r="F8">
        <v>2021</v>
      </c>
      <c r="G8" s="55">
        <v>41.1</v>
      </c>
      <c r="H8" s="55">
        <v>40.700000000000003</v>
      </c>
      <c r="I8" s="55">
        <v>43.8</v>
      </c>
      <c r="J8" s="55">
        <v>42.9</v>
      </c>
      <c r="K8" s="55">
        <v>28.2</v>
      </c>
      <c r="L8" s="55">
        <v>44.5</v>
      </c>
      <c r="M8" s="55">
        <v>45.5</v>
      </c>
      <c r="N8" s="55">
        <v>44.7</v>
      </c>
      <c r="O8" s="55">
        <v>44.5</v>
      </c>
      <c r="P8" s="14"/>
    </row>
    <row r="9" spans="1:17" x14ac:dyDescent="0.2">
      <c r="A9" s="98" t="s">
        <v>893</v>
      </c>
      <c r="B9" s="97"/>
      <c r="E9" s="97"/>
      <c r="G9" s="55"/>
      <c r="H9" s="55"/>
      <c r="I9" s="55"/>
      <c r="J9" s="55"/>
      <c r="K9" s="55"/>
      <c r="L9" s="55"/>
      <c r="M9" s="55"/>
      <c r="N9" s="55"/>
      <c r="O9" s="55"/>
    </row>
    <row r="10" spans="1:17" x14ac:dyDescent="0.2">
      <c r="A10" t="s">
        <v>894</v>
      </c>
      <c r="B10" t="s">
        <v>972</v>
      </c>
      <c r="E10" s="97"/>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694</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1E3C05B4-1452-4CB5-9F7D-F5C7202F7C6D}">
      <formula1>"True,False"</formula1>
    </dataValidation>
    <dataValidation type="list" allowBlank="1" showInputMessage="1" showErrorMessage="1" sqref="B2" xr:uid="{BDF7461F-0F78-40D2-9B65-A7754E178847}">
      <formula1>"Table,Figure,Both"</formula1>
    </dataValidation>
    <dataValidation type="list" allowBlank="1" showInputMessage="1" showErrorMessage="1" sqref="B10" xr:uid="{69C6B4B8-940F-4ABA-9357-73E71B8859DF}">
      <formula1>"Line,Clustered Bar,Stacked Bar,Bar,Horizontal Stacked Bar"</formula1>
    </dataValidation>
    <dataValidation type="list" allowBlank="1" showInputMessage="1" showErrorMessage="1" sqref="P4:Q4" xr:uid="{4435FFD0-58BA-45A9-ACF6-DB526446AB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863D9A8-C2DF-4A61-8FAE-840CE7684E4E}">
          <x14:formula1>
            <xm:f>Dropdowns!$A$1:$A$8</xm:f>
          </x14:formula1>
          <xm:sqref>F4:O4</xm:sqref>
        </x14:dataValidation>
        <x14:dataValidation type="list" allowBlank="1" showInputMessage="1" showErrorMessage="1" xr:uid="{EFE887C7-C916-4151-8DBA-077423B388E7}">
          <x14:formula1>
            <xm:f>Master!$F$2:$F$401</xm:f>
          </x14:formula1>
          <xm:sqref>B1:O1</xm:sqref>
        </x14:dataValidation>
      </x14:dataValidations>
    </ext>
  </extLst>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EC44A-C10B-4410-9F31-004EE2EC22AB}">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532</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tbl-65+-flu-immi-percent</v>
      </c>
    </row>
    <row r="4" spans="1:17" x14ac:dyDescent="0.2">
      <c r="A4" s="58" t="s">
        <v>6</v>
      </c>
      <c r="B4" t="str">
        <f>IF($B$1="","",_xlfn.XLOOKUP($B$1,Master!$F$2:$F$308,Master!$H$2:$H$308,""))</f>
        <v>fig-65+-flu-immi-percent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F5" t="s">
        <v>887</v>
      </c>
      <c r="G5" t="s">
        <v>220</v>
      </c>
      <c r="H5" t="s">
        <v>18</v>
      </c>
      <c r="I5" t="s">
        <v>537</v>
      </c>
      <c r="J5" s="55" t="s">
        <v>449</v>
      </c>
      <c r="K5" s="55" t="s">
        <v>409</v>
      </c>
      <c r="L5" s="55" t="s">
        <v>421</v>
      </c>
      <c r="M5" s="55" t="s">
        <v>470</v>
      </c>
      <c r="N5" s="55" t="s">
        <v>914</v>
      </c>
      <c r="O5" s="55" t="s">
        <v>915</v>
      </c>
    </row>
    <row r="6" spans="1:17" ht="15" customHeight="1" x14ac:dyDescent="0.2">
      <c r="A6" t="s">
        <v>891</v>
      </c>
      <c r="B6" t="b">
        <v>0</v>
      </c>
      <c r="E6" s="97"/>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7"/>
      <c r="F7">
        <v>2018</v>
      </c>
      <c r="G7" s="55">
        <v>22.4</v>
      </c>
      <c r="H7" s="55">
        <v>27.4</v>
      </c>
      <c r="I7" s="55">
        <v>28.9</v>
      </c>
      <c r="J7" s="55">
        <v>27.9</v>
      </c>
      <c r="K7" s="55">
        <v>27.8</v>
      </c>
      <c r="L7" s="55">
        <v>23.2</v>
      </c>
      <c r="M7" s="55">
        <v>29.5</v>
      </c>
      <c r="N7" s="55">
        <v>25.9</v>
      </c>
      <c r="O7" s="55">
        <v>26.9</v>
      </c>
    </row>
    <row r="8" spans="1:17" x14ac:dyDescent="0.2">
      <c r="E8" s="97"/>
      <c r="F8">
        <v>2021</v>
      </c>
      <c r="G8" s="55">
        <v>41.1</v>
      </c>
      <c r="H8" s="55">
        <v>40.700000000000003</v>
      </c>
      <c r="I8" s="55">
        <v>43.8</v>
      </c>
      <c r="J8" s="55">
        <v>42.9</v>
      </c>
      <c r="K8" s="55">
        <v>28.2</v>
      </c>
      <c r="L8" s="55">
        <v>44.5</v>
      </c>
      <c r="M8" s="55">
        <v>45.5</v>
      </c>
      <c r="N8" s="55">
        <v>44.7</v>
      </c>
      <c r="O8" s="55">
        <v>44.5</v>
      </c>
      <c r="P8" s="14"/>
    </row>
    <row r="9" spans="1:17" x14ac:dyDescent="0.2">
      <c r="A9" s="98" t="s">
        <v>893</v>
      </c>
      <c r="B9" s="97"/>
      <c r="E9" s="97"/>
      <c r="G9" s="55"/>
      <c r="H9" s="55"/>
      <c r="I9" s="55"/>
      <c r="J9" s="55"/>
      <c r="K9" s="55"/>
      <c r="L9" s="55"/>
      <c r="M9" s="55"/>
      <c r="N9" s="55"/>
      <c r="O9" s="55"/>
    </row>
    <row r="10" spans="1:17" x14ac:dyDescent="0.2">
      <c r="A10" t="s">
        <v>894</v>
      </c>
      <c r="B10" t="s">
        <v>972</v>
      </c>
      <c r="E10" s="97"/>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694</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Q4" xr:uid="{661858F7-2BDB-4906-BAE4-304B4F424548}">
      <formula1>"integer, number, percent1"</formula1>
    </dataValidation>
    <dataValidation type="list" allowBlank="1" showInputMessage="1" showErrorMessage="1" sqref="B10" xr:uid="{08E3F355-0751-4AB8-8CDC-F1993839E751}">
      <formula1>"Line,Clustered Bar,Stacked Bar,Bar,Horizontal Stacked Bar"</formula1>
    </dataValidation>
    <dataValidation type="list" allowBlank="1" showInputMessage="1" showErrorMessage="1" sqref="B2" xr:uid="{B55A469D-CC47-424E-B336-C1ED7D68610F}">
      <formula1>"Table,Figure,Both"</formula1>
    </dataValidation>
    <dataValidation type="list" allowBlank="1" showInputMessage="1" showErrorMessage="1" sqref="B6 B15:B16" xr:uid="{66C2B392-29B3-41B4-B04D-3904E740B00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49239C-A923-436E-B54F-4CEF29824C29}">
          <x14:formula1>
            <xm:f>Master!$F$2:$F$401</xm:f>
          </x14:formula1>
          <xm:sqref>B1:O1</xm:sqref>
        </x14:dataValidation>
        <x14:dataValidation type="list" allowBlank="1" showInputMessage="1" showErrorMessage="1" xr:uid="{BAE5452D-5FF2-4C33-B935-9ACCA0BFDAA5}">
          <x14:formula1>
            <xm:f>Dropdowns!$A$1:$A$8</xm:f>
          </x14:formula1>
          <xm:sqref>F4:O4</xm:sqref>
        </x14:dataValidation>
      </x14:dataValidations>
    </ext>
  </extLst>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28B73-9A4D-43B1-952D-03C6B57496B2}">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533</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tbl-65+-pneumo-immi-percent</v>
      </c>
    </row>
    <row r="4" spans="1:17" x14ac:dyDescent="0.2">
      <c r="A4" s="58" t="s">
        <v>6</v>
      </c>
      <c r="B4" t="str">
        <f>IF($B$1="","",_xlfn.XLOOKUP($B$1,Master!$F$2:$F$308,Master!$H$2:$H$308,""))</f>
        <v>fig-65+-pneumo-immi-percent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F5" t="s">
        <v>887</v>
      </c>
      <c r="G5" t="s">
        <v>220</v>
      </c>
      <c r="H5" t="s">
        <v>18</v>
      </c>
      <c r="I5" t="s">
        <v>537</v>
      </c>
      <c r="J5" s="55" t="s">
        <v>449</v>
      </c>
      <c r="K5" s="55" t="s">
        <v>409</v>
      </c>
      <c r="L5" s="55" t="s">
        <v>421</v>
      </c>
      <c r="M5" s="55" t="s">
        <v>470</v>
      </c>
      <c r="N5" s="55" t="s">
        <v>914</v>
      </c>
      <c r="O5" s="55" t="s">
        <v>915</v>
      </c>
    </row>
    <row r="6" spans="1:17" ht="15" customHeight="1" x14ac:dyDescent="0.2">
      <c r="A6" t="s">
        <v>891</v>
      </c>
      <c r="B6" t="b">
        <v>0</v>
      </c>
      <c r="E6" s="97"/>
      <c r="F6">
        <v>2016</v>
      </c>
      <c r="G6" s="55" t="s">
        <v>1993</v>
      </c>
      <c r="H6" s="55">
        <v>74.8</v>
      </c>
      <c r="I6" s="55">
        <v>71.099999999999994</v>
      </c>
      <c r="J6" s="55" t="s">
        <v>1994</v>
      </c>
      <c r="K6" s="55" t="s">
        <v>1994</v>
      </c>
      <c r="L6" s="55">
        <v>60.7</v>
      </c>
      <c r="M6" s="55">
        <v>72.7</v>
      </c>
      <c r="N6" s="55">
        <v>73.8</v>
      </c>
      <c r="O6" s="55">
        <v>69.3</v>
      </c>
    </row>
    <row r="7" spans="1:17" ht="15.75" customHeight="1" x14ac:dyDescent="0.2">
      <c r="E7" s="97"/>
      <c r="F7">
        <v>2018</v>
      </c>
      <c r="G7" s="55">
        <v>75</v>
      </c>
      <c r="H7" s="55" t="s">
        <v>1995</v>
      </c>
      <c r="I7" s="55" t="s">
        <v>1996</v>
      </c>
      <c r="J7" s="55" t="s">
        <v>1996</v>
      </c>
      <c r="K7" s="55" t="s">
        <v>1997</v>
      </c>
      <c r="L7" s="55" t="s">
        <v>1998</v>
      </c>
      <c r="M7" s="55">
        <v>69.2</v>
      </c>
      <c r="N7" s="55">
        <v>69.400000000000006</v>
      </c>
      <c r="O7" s="55">
        <v>64</v>
      </c>
    </row>
    <row r="8" spans="1:17" x14ac:dyDescent="0.2">
      <c r="E8" s="97"/>
      <c r="F8">
        <v>2021</v>
      </c>
      <c r="G8" s="55">
        <v>65</v>
      </c>
      <c r="H8" s="55">
        <v>67</v>
      </c>
      <c r="I8" s="55">
        <v>75.7</v>
      </c>
      <c r="J8" s="55" t="s">
        <v>1999</v>
      </c>
      <c r="K8" s="55" t="s">
        <v>2000</v>
      </c>
      <c r="L8" s="55" t="s">
        <v>2001</v>
      </c>
      <c r="M8" s="55">
        <v>65</v>
      </c>
      <c r="N8" s="55">
        <v>70.099999999999994</v>
      </c>
      <c r="O8" s="55">
        <v>65.599999999999994</v>
      </c>
      <c r="P8" s="14"/>
    </row>
    <row r="9" spans="1:17" x14ac:dyDescent="0.2">
      <c r="A9" s="98" t="s">
        <v>893</v>
      </c>
      <c r="B9" s="97"/>
      <c r="E9" s="97"/>
      <c r="G9" s="55"/>
      <c r="H9" s="55"/>
      <c r="I9" s="55"/>
      <c r="J9" s="55"/>
      <c r="K9" s="55"/>
      <c r="L9" s="55"/>
      <c r="M9" s="55"/>
      <c r="N9" s="55"/>
      <c r="O9" s="55"/>
    </row>
    <row r="10" spans="1:17" x14ac:dyDescent="0.2">
      <c r="A10" t="s">
        <v>894</v>
      </c>
      <c r="B10" t="s">
        <v>972</v>
      </c>
      <c r="E10" s="97"/>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694</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30931F97-DD3D-481A-9D84-3C150D16CD97}">
      <formula1>"True,False"</formula1>
    </dataValidation>
    <dataValidation type="list" allowBlank="1" showInputMessage="1" showErrorMessage="1" sqref="B2" xr:uid="{19DA8111-A21C-414A-AC46-B31D98AA402B}">
      <formula1>"Table,Figure,Both"</formula1>
    </dataValidation>
    <dataValidation type="list" allowBlank="1" showInputMessage="1" showErrorMessage="1" sqref="B10" xr:uid="{EF0D5402-1DF2-4F15-9C7B-613CAD7CEE4A}">
      <formula1>"Line,Clustered Bar,Stacked Bar,Bar,Horizontal Stacked Bar"</formula1>
    </dataValidation>
    <dataValidation type="list" allowBlank="1" showInputMessage="1" showErrorMessage="1" sqref="P4:Q4" xr:uid="{336D8640-FECC-444D-B31A-D58FF204D36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C75756-4F08-4C6C-A6C7-B3B2A178302D}">
          <x14:formula1>
            <xm:f>Dropdowns!$A$1:$A$8</xm:f>
          </x14:formula1>
          <xm:sqref>F4:O4</xm:sqref>
        </x14:dataValidation>
        <x14:dataValidation type="list" allowBlank="1" showInputMessage="1" showErrorMessage="1" xr:uid="{F8C4EF49-C333-4ACA-BAF7-9C6A316B74CF}">
          <x14:formula1>
            <xm:f>Master!$F$2:$F$401</xm:f>
          </x14:formula1>
          <xm:sqref>B1:O1</xm:sqref>
        </x14:dataValidation>
      </x14:dataValidations>
    </ext>
  </extLst>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CA756-3ACE-4455-8853-B90F1EA9D7A6}">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535</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tbl-hiv-incident-aar</v>
      </c>
    </row>
    <row r="4" spans="1:17" x14ac:dyDescent="0.2">
      <c r="A4" s="58" t="s">
        <v>6</v>
      </c>
      <c r="B4" t="str">
        <f>IF($B$1="","",_xlfn.XLOOKUP($B$1,Master!$F$2:$F$308,Master!$H$2:$H$308,""))</f>
        <v>fig-hiv-incident-aar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G5" s="100" t="s">
        <v>1792</v>
      </c>
      <c r="H5" s="100"/>
      <c r="I5" s="100"/>
      <c r="J5" s="100"/>
      <c r="K5" s="100"/>
      <c r="L5" s="100"/>
      <c r="M5" s="100"/>
      <c r="N5" s="100" t="s">
        <v>1793</v>
      </c>
      <c r="O5" s="100"/>
    </row>
    <row r="6" spans="1:17" ht="15" customHeight="1" x14ac:dyDescent="0.2">
      <c r="A6" t="s">
        <v>891</v>
      </c>
      <c r="B6" t="b">
        <v>1</v>
      </c>
      <c r="E6" s="97"/>
      <c r="F6" t="s">
        <v>1123</v>
      </c>
      <c r="G6" s="55" t="s">
        <v>220</v>
      </c>
      <c r="H6" s="55" t="s">
        <v>18</v>
      </c>
      <c r="I6" s="55" t="s">
        <v>537</v>
      </c>
      <c r="J6" s="55" t="s">
        <v>449</v>
      </c>
      <c r="K6" s="55" t="s">
        <v>409</v>
      </c>
      <c r="L6" s="55" t="s">
        <v>421</v>
      </c>
      <c r="M6" s="55" t="s">
        <v>470</v>
      </c>
      <c r="N6" s="55" t="s">
        <v>914</v>
      </c>
      <c r="O6" s="55" t="s">
        <v>915</v>
      </c>
    </row>
    <row r="7" spans="1:17" ht="15.75" customHeight="1" x14ac:dyDescent="0.2">
      <c r="E7" s="97"/>
      <c r="F7">
        <v>2014</v>
      </c>
      <c r="G7" s="55">
        <v>7.7</v>
      </c>
      <c r="H7" s="55">
        <v>3.9</v>
      </c>
      <c r="I7" s="55" t="s">
        <v>2002</v>
      </c>
      <c r="J7" s="55">
        <v>8.1999999999999993</v>
      </c>
      <c r="K7" s="55">
        <v>9.4</v>
      </c>
      <c r="L7" s="55">
        <v>5.5</v>
      </c>
      <c r="M7" s="55">
        <v>11.8</v>
      </c>
      <c r="N7" s="55">
        <v>7.8</v>
      </c>
      <c r="O7" s="55">
        <v>18</v>
      </c>
    </row>
    <row r="8" spans="1:17" x14ac:dyDescent="0.2">
      <c r="E8" s="97"/>
      <c r="F8">
        <v>2015</v>
      </c>
      <c r="G8" s="55">
        <v>7.7</v>
      </c>
      <c r="H8" s="55">
        <v>5.3</v>
      </c>
      <c r="I8" s="55" t="s">
        <v>2003</v>
      </c>
      <c r="J8" s="55">
        <v>7.9</v>
      </c>
      <c r="K8" s="55">
        <v>9.8000000000000007</v>
      </c>
      <c r="L8" s="55">
        <v>5.0999999999999996</v>
      </c>
      <c r="M8" s="55">
        <v>11.9</v>
      </c>
      <c r="N8" s="55">
        <v>6.8</v>
      </c>
      <c r="O8" s="55">
        <v>16.899999999999999</v>
      </c>
      <c r="P8" s="14"/>
    </row>
    <row r="9" spans="1:17" x14ac:dyDescent="0.2">
      <c r="A9" s="98" t="s">
        <v>893</v>
      </c>
      <c r="B9" s="97"/>
      <c r="E9" s="97"/>
      <c r="F9">
        <v>2016</v>
      </c>
      <c r="G9" s="55">
        <v>6.2</v>
      </c>
      <c r="H9" s="55">
        <v>6.8</v>
      </c>
      <c r="I9" s="55" t="s">
        <v>2004</v>
      </c>
      <c r="J9" s="55">
        <v>7.1</v>
      </c>
      <c r="K9" s="55">
        <v>6.7</v>
      </c>
      <c r="L9" s="55">
        <v>4.4000000000000004</v>
      </c>
      <c r="M9" s="55">
        <v>11.7</v>
      </c>
      <c r="N9" s="55">
        <v>7</v>
      </c>
      <c r="O9" s="55">
        <v>15.7</v>
      </c>
    </row>
    <row r="10" spans="1:17" x14ac:dyDescent="0.2">
      <c r="A10" t="s">
        <v>894</v>
      </c>
      <c r="B10" t="s">
        <v>972</v>
      </c>
      <c r="E10" s="97"/>
      <c r="F10">
        <v>2017</v>
      </c>
      <c r="G10">
        <v>5.8</v>
      </c>
      <c r="H10">
        <v>8.4</v>
      </c>
      <c r="I10" t="s">
        <v>2005</v>
      </c>
      <c r="J10">
        <v>8.3000000000000007</v>
      </c>
      <c r="K10">
        <v>5.6</v>
      </c>
      <c r="L10">
        <v>5.7</v>
      </c>
      <c r="M10">
        <v>10.9</v>
      </c>
      <c r="N10">
        <v>6.8</v>
      </c>
      <c r="O10">
        <v>15.5</v>
      </c>
    </row>
    <row r="11" spans="1:17" x14ac:dyDescent="0.2">
      <c r="A11" t="s">
        <v>895</v>
      </c>
      <c r="B11" t="s">
        <v>887</v>
      </c>
      <c r="E11" s="97"/>
      <c r="F11" s="46" t="s">
        <v>1968</v>
      </c>
      <c r="G11" s="59">
        <v>5.4</v>
      </c>
      <c r="H11" s="59">
        <v>8.1</v>
      </c>
      <c r="I11" s="59">
        <v>3.5</v>
      </c>
      <c r="J11" s="42">
        <v>8.4</v>
      </c>
      <c r="K11" s="42">
        <v>5.2</v>
      </c>
      <c r="L11" s="42">
        <v>5.7</v>
      </c>
      <c r="M11" s="47" t="s">
        <v>2006</v>
      </c>
      <c r="N11" s="47" t="s">
        <v>1777</v>
      </c>
      <c r="O11" s="46" t="s">
        <v>1779</v>
      </c>
    </row>
    <row r="12" spans="1:17" x14ac:dyDescent="0.2">
      <c r="A12" t="s">
        <v>896</v>
      </c>
      <c r="E12" s="97"/>
      <c r="F12" s="74" t="s">
        <v>1970</v>
      </c>
      <c r="G12" s="42">
        <v>5.0999999999999996</v>
      </c>
      <c r="H12" s="42">
        <v>6</v>
      </c>
      <c r="I12" s="59">
        <v>3.5</v>
      </c>
      <c r="J12" s="59">
        <v>7.4</v>
      </c>
      <c r="K12" s="59">
        <v>5.2</v>
      </c>
      <c r="L12" s="59">
        <v>5.5</v>
      </c>
      <c r="M12" s="46" t="s">
        <v>1481</v>
      </c>
      <c r="N12" s="46" t="s">
        <v>2007</v>
      </c>
      <c r="O12" s="46" t="s">
        <v>2008</v>
      </c>
    </row>
    <row r="13" spans="1:17" x14ac:dyDescent="0.2">
      <c r="A13" t="s">
        <v>897</v>
      </c>
      <c r="E13" s="97"/>
      <c r="F13" s="47" t="s">
        <v>1972</v>
      </c>
      <c r="G13" s="47" t="s">
        <v>2009</v>
      </c>
      <c r="H13" s="47" t="s">
        <v>1777</v>
      </c>
      <c r="I13" s="46" t="s">
        <v>2010</v>
      </c>
      <c r="J13" s="46" t="s">
        <v>2011</v>
      </c>
      <c r="K13" s="46" t="s">
        <v>2012</v>
      </c>
      <c r="L13" s="46" t="s">
        <v>1515</v>
      </c>
      <c r="M13" s="46" t="s">
        <v>2013</v>
      </c>
      <c r="N13" s="46" t="s">
        <v>2014</v>
      </c>
      <c r="O13" s="46" t="s">
        <v>2015</v>
      </c>
    </row>
    <row r="14" spans="1:17" x14ac:dyDescent="0.2">
      <c r="A14" t="s">
        <v>899</v>
      </c>
      <c r="B14" t="s">
        <v>715</v>
      </c>
      <c r="E14" s="97"/>
      <c r="F14" s="68" t="s">
        <v>1142</v>
      </c>
      <c r="G14" s="68" t="s">
        <v>2016</v>
      </c>
      <c r="H14" s="68" t="s">
        <v>2017</v>
      </c>
      <c r="I14" s="46" t="s">
        <v>1890</v>
      </c>
      <c r="J14" s="47" t="s">
        <v>1976</v>
      </c>
      <c r="K14" s="47" t="s">
        <v>2018</v>
      </c>
      <c r="L14" s="47" t="s">
        <v>2019</v>
      </c>
      <c r="M14" s="47" t="s">
        <v>2020</v>
      </c>
      <c r="N14" s="47" t="s">
        <v>1520</v>
      </c>
      <c r="O14" s="46" t="s">
        <v>2021</v>
      </c>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Q4" xr:uid="{DE383DEA-7CD0-4B8E-8589-96C89C2FEC78}">
      <formula1>"integer, number, percent1"</formula1>
    </dataValidation>
    <dataValidation type="list" allowBlank="1" showInputMessage="1" showErrorMessage="1" sqref="B10" xr:uid="{5CBE03E1-4D1B-45D1-927E-680670746C83}">
      <formula1>"Line,Clustered Bar,Stacked Bar,Bar,Horizontal Stacked Bar"</formula1>
    </dataValidation>
    <dataValidation type="list" allowBlank="1" showInputMessage="1" showErrorMessage="1" sqref="B2" xr:uid="{EED0B3C4-7838-44D3-B775-367F8FD29D55}">
      <formula1>"Table,Figure,Both"</formula1>
    </dataValidation>
    <dataValidation type="list" allowBlank="1" showInputMessage="1" showErrorMessage="1" sqref="B6 B15:B16" xr:uid="{55AE757E-7C08-43B3-8C28-82BA0E0A609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52A86D5-51A2-4312-B1B9-196D970A962F}">
          <x14:formula1>
            <xm:f>Master!$F$2:$F$401</xm:f>
          </x14:formula1>
          <xm:sqref>B1:O1</xm:sqref>
        </x14:dataValidation>
        <x14:dataValidation type="list" allowBlank="1" showInputMessage="1" showErrorMessage="1" xr:uid="{290C00D1-B8E8-4D02-BDED-263BEF00E364}">
          <x14:formula1>
            <xm:f>Dropdowns!$A$1:$A$8</xm:f>
          </x14:formula1>
          <xm:sqref>F4:O4</xm:sqref>
        </x14:dataValidation>
      </x14:dataValidations>
    </ext>
  </extLst>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0C5D2-EA44-45BE-A573-7E38D1710BAC}">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543</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tbl-gono-incident-aar</v>
      </c>
    </row>
    <row r="4" spans="1:17" x14ac:dyDescent="0.2">
      <c r="A4" s="58" t="s">
        <v>6</v>
      </c>
      <c r="B4" t="str">
        <f>IF($B$1="","",_xlfn.XLOOKUP($B$1,Master!$F$2:$F$308,Master!$H$2:$H$308,""))</f>
        <v>fig-gono-incident-aar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F5" t="s">
        <v>887</v>
      </c>
      <c r="G5" t="s">
        <v>220</v>
      </c>
      <c r="H5" t="s">
        <v>18</v>
      </c>
      <c r="I5" t="s">
        <v>537</v>
      </c>
      <c r="J5" t="s">
        <v>449</v>
      </c>
      <c r="K5" t="s">
        <v>409</v>
      </c>
      <c r="L5" t="s">
        <v>421</v>
      </c>
      <c r="M5" t="s">
        <v>470</v>
      </c>
      <c r="N5" t="s">
        <v>898</v>
      </c>
      <c r="O5" t="s">
        <v>914</v>
      </c>
    </row>
    <row r="6" spans="1:17" ht="15" customHeight="1" x14ac:dyDescent="0.2">
      <c r="A6" t="s">
        <v>891</v>
      </c>
      <c r="B6" t="b">
        <v>1</v>
      </c>
      <c r="E6" s="97"/>
      <c r="F6">
        <v>2017</v>
      </c>
      <c r="G6" s="55">
        <v>74</v>
      </c>
      <c r="H6" s="55">
        <v>80</v>
      </c>
      <c r="I6" s="55">
        <v>29</v>
      </c>
      <c r="J6" s="55">
        <v>41</v>
      </c>
      <c r="K6" s="55">
        <v>113</v>
      </c>
      <c r="L6" s="55">
        <v>75</v>
      </c>
      <c r="M6" s="55">
        <v>76</v>
      </c>
      <c r="N6" s="55">
        <v>71</v>
      </c>
      <c r="O6" s="55">
        <v>101.2</v>
      </c>
    </row>
    <row r="7" spans="1:17" ht="15.75" customHeight="1" x14ac:dyDescent="0.2">
      <c r="E7" s="97"/>
      <c r="F7">
        <v>2018</v>
      </c>
      <c r="G7" s="55">
        <v>63</v>
      </c>
      <c r="H7" s="55">
        <v>66</v>
      </c>
      <c r="I7" s="55">
        <v>25</v>
      </c>
      <c r="J7" s="55">
        <v>38</v>
      </c>
      <c r="K7" s="55">
        <v>52</v>
      </c>
      <c r="L7" s="55">
        <v>60</v>
      </c>
      <c r="M7" s="55">
        <v>87</v>
      </c>
      <c r="N7" s="55">
        <v>68</v>
      </c>
      <c r="O7" s="55">
        <v>107</v>
      </c>
    </row>
    <row r="8" spans="1:17" x14ac:dyDescent="0.2">
      <c r="E8" s="97"/>
      <c r="F8">
        <v>2019</v>
      </c>
      <c r="G8" s="55">
        <v>75</v>
      </c>
      <c r="H8" s="55">
        <v>77</v>
      </c>
      <c r="I8" s="55">
        <v>36</v>
      </c>
      <c r="J8" s="55">
        <v>47</v>
      </c>
      <c r="K8" s="55">
        <v>69</v>
      </c>
      <c r="L8" s="55">
        <v>71</v>
      </c>
      <c r="M8" s="55">
        <v>105</v>
      </c>
      <c r="N8" s="55">
        <v>81</v>
      </c>
      <c r="O8" s="55">
        <v>114.9</v>
      </c>
      <c r="P8" s="14"/>
    </row>
    <row r="9" spans="1:17" x14ac:dyDescent="0.2">
      <c r="A9" s="98" t="s">
        <v>893</v>
      </c>
      <c r="B9" s="97"/>
      <c r="E9" s="97"/>
      <c r="F9">
        <v>2020</v>
      </c>
      <c r="G9" s="55">
        <v>109</v>
      </c>
      <c r="H9" s="55">
        <v>109</v>
      </c>
      <c r="I9" s="55">
        <v>35</v>
      </c>
      <c r="J9" s="55">
        <v>38</v>
      </c>
      <c r="K9" s="55">
        <v>161</v>
      </c>
      <c r="L9" s="55">
        <v>93</v>
      </c>
      <c r="M9" s="55">
        <v>119</v>
      </c>
      <c r="N9" s="55">
        <v>101</v>
      </c>
      <c r="O9" s="55">
        <v>168.8</v>
      </c>
    </row>
    <row r="10" spans="1:17" x14ac:dyDescent="0.2">
      <c r="A10" t="s">
        <v>894</v>
      </c>
      <c r="B10" t="s">
        <v>972</v>
      </c>
      <c r="E10" s="97"/>
      <c r="F10">
        <v>2021</v>
      </c>
      <c r="G10">
        <v>83</v>
      </c>
      <c r="H10">
        <v>87</v>
      </c>
      <c r="I10">
        <v>40</v>
      </c>
      <c r="J10">
        <v>63</v>
      </c>
      <c r="K10">
        <v>99</v>
      </c>
      <c r="L10">
        <v>89</v>
      </c>
      <c r="M10">
        <v>113</v>
      </c>
      <c r="N10">
        <v>92</v>
      </c>
      <c r="O10">
        <v>141.6</v>
      </c>
    </row>
    <row r="11" spans="1:17" x14ac:dyDescent="0.2">
      <c r="A11" t="s">
        <v>895</v>
      </c>
      <c r="B11" t="s">
        <v>887</v>
      </c>
      <c r="E11" s="97"/>
      <c r="F11" s="46" t="s">
        <v>1143</v>
      </c>
      <c r="G11" s="59">
        <v>103</v>
      </c>
      <c r="H11" s="59">
        <v>74</v>
      </c>
      <c r="I11" s="59">
        <v>38</v>
      </c>
      <c r="J11" s="42">
        <v>57</v>
      </c>
      <c r="K11" s="42">
        <v>63</v>
      </c>
      <c r="L11" s="42">
        <v>81</v>
      </c>
      <c r="M11" s="47" t="s">
        <v>1664</v>
      </c>
      <c r="N11" s="47" t="s">
        <v>2022</v>
      </c>
      <c r="O11" s="46" t="s">
        <v>2023</v>
      </c>
    </row>
    <row r="12" spans="1:17" x14ac:dyDescent="0.2">
      <c r="A12" t="s">
        <v>896</v>
      </c>
      <c r="E12" s="97"/>
      <c r="F12" s="74" t="s">
        <v>1144</v>
      </c>
      <c r="G12" s="42">
        <v>147</v>
      </c>
      <c r="H12" s="42">
        <v>94</v>
      </c>
      <c r="I12" s="59">
        <v>41</v>
      </c>
      <c r="J12" s="59">
        <v>74</v>
      </c>
      <c r="K12" s="59">
        <v>85</v>
      </c>
      <c r="L12" s="59">
        <v>80</v>
      </c>
      <c r="M12" s="46" t="s">
        <v>2024</v>
      </c>
      <c r="N12" s="46" t="s">
        <v>2025</v>
      </c>
      <c r="O12" s="46" t="s">
        <v>2026</v>
      </c>
    </row>
    <row r="13" spans="1:17" x14ac:dyDescent="0.2">
      <c r="A13" t="s">
        <v>897</v>
      </c>
      <c r="E13" s="97"/>
      <c r="F13" s="47"/>
      <c r="G13" s="47"/>
      <c r="H13" s="47"/>
      <c r="I13" s="46"/>
      <c r="J13" s="46"/>
      <c r="K13" s="46"/>
      <c r="L13" s="46"/>
      <c r="M13" s="46"/>
      <c r="N13" s="46"/>
      <c r="O13" s="46"/>
    </row>
    <row r="14" spans="1:17" x14ac:dyDescent="0.2">
      <c r="A14" t="s">
        <v>899</v>
      </c>
      <c r="B14" t="s">
        <v>715</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8A0C95FF-F28D-4D9C-AF2A-418C1230B858}">
      <formula1>"True,False"</formula1>
    </dataValidation>
    <dataValidation type="list" allowBlank="1" showInputMessage="1" showErrorMessage="1" sqref="B2" xr:uid="{4F62874F-CE32-4427-9E6E-B0BD7EAA7C72}">
      <formula1>"Table,Figure,Both"</formula1>
    </dataValidation>
    <dataValidation type="list" allowBlank="1" showInputMessage="1" showErrorMessage="1" sqref="B10" xr:uid="{AD20B2C9-94C8-4DA5-BB06-6C81C028883F}">
      <formula1>"Line,Clustered Bar,Stacked Bar,Bar,Horizontal Stacked Bar"</formula1>
    </dataValidation>
    <dataValidation type="list" allowBlank="1" showInputMessage="1" showErrorMessage="1" sqref="P4:Q4" xr:uid="{58D56785-3BD0-46FF-8FDA-5F0FF8C064B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43B6CAF-75DE-4A14-880B-72DC282AA1C8}">
          <x14:formula1>
            <xm:f>Dropdowns!$A$1:$A$8</xm:f>
          </x14:formula1>
          <xm:sqref>F4:O4</xm:sqref>
        </x14:dataValidation>
        <x14:dataValidation type="list" allowBlank="1" showInputMessage="1" showErrorMessage="1" xr:uid="{49C4611B-3F9D-4D88-93FD-944D1A604E8E}">
          <x14:formula1>
            <xm:f>Master!$F$2:$F$401</xm:f>
          </x14:formula1>
          <xm:sqref>B1:O1</xm:sqref>
        </x14:dataValidation>
      </x14:dataValidations>
    </ext>
  </extLst>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8D12D-71DA-4AD1-A933-13F88C25F28A}">
  <dimension ref="A1:Q57"/>
  <sheetViews>
    <sheetView workbookViewId="0">
      <selection activeCell="K32" sqref="K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555</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tbl-chlamy-incident-aar</v>
      </c>
    </row>
    <row r="4" spans="1:17" x14ac:dyDescent="0.2">
      <c r="A4" s="58" t="s">
        <v>6</v>
      </c>
      <c r="B4" t="str">
        <f>IF($B$1="","",_xlfn.XLOOKUP($B$1,Master!$F$2:$F$308,Master!$H$2:$H$308,""))</f>
        <v>fig-chlamy-incident-aar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F5" t="s">
        <v>887</v>
      </c>
      <c r="G5" t="s">
        <v>220</v>
      </c>
      <c r="H5" t="s">
        <v>18</v>
      </c>
      <c r="I5" t="s">
        <v>537</v>
      </c>
      <c r="J5" t="s">
        <v>449</v>
      </c>
      <c r="K5" t="s">
        <v>409</v>
      </c>
      <c r="L5" t="s">
        <v>421</v>
      </c>
      <c r="M5" t="s">
        <v>470</v>
      </c>
      <c r="N5" t="s">
        <v>898</v>
      </c>
      <c r="O5" t="s">
        <v>914</v>
      </c>
    </row>
    <row r="6" spans="1:17" ht="15" customHeight="1" x14ac:dyDescent="0.2">
      <c r="A6" t="s">
        <v>891</v>
      </c>
      <c r="B6" t="b">
        <v>1</v>
      </c>
      <c r="E6" s="97"/>
      <c r="F6">
        <v>2017</v>
      </c>
      <c r="G6" s="55">
        <v>360</v>
      </c>
      <c r="H6" s="55">
        <v>402</v>
      </c>
      <c r="I6" s="55">
        <v>209</v>
      </c>
      <c r="J6" s="55">
        <v>307</v>
      </c>
      <c r="K6" s="55">
        <v>417</v>
      </c>
      <c r="L6" s="55">
        <v>345</v>
      </c>
      <c r="M6" s="55">
        <v>428</v>
      </c>
      <c r="N6" s="55">
        <v>382</v>
      </c>
      <c r="O6" s="55">
        <v>421</v>
      </c>
    </row>
    <row r="7" spans="1:17" ht="15.75" customHeight="1" x14ac:dyDescent="0.2">
      <c r="E7" s="97"/>
      <c r="F7">
        <v>2018</v>
      </c>
      <c r="G7" s="55">
        <v>395</v>
      </c>
      <c r="H7" s="55">
        <v>402</v>
      </c>
      <c r="I7" s="55">
        <v>207</v>
      </c>
      <c r="J7" s="55">
        <v>358</v>
      </c>
      <c r="K7" s="55">
        <v>418</v>
      </c>
      <c r="L7" s="55">
        <v>367</v>
      </c>
      <c r="M7" s="55">
        <v>440</v>
      </c>
      <c r="N7" s="55">
        <v>401</v>
      </c>
      <c r="O7" s="55">
        <v>444</v>
      </c>
    </row>
    <row r="8" spans="1:17" x14ac:dyDescent="0.2">
      <c r="E8" s="97"/>
      <c r="F8">
        <v>2019</v>
      </c>
      <c r="G8" s="55">
        <v>401</v>
      </c>
      <c r="H8" s="55">
        <v>450</v>
      </c>
      <c r="I8" s="55">
        <v>243</v>
      </c>
      <c r="J8" s="55">
        <v>384</v>
      </c>
      <c r="K8" s="55">
        <v>435</v>
      </c>
      <c r="L8" s="55">
        <v>380</v>
      </c>
      <c r="M8" s="55">
        <v>491</v>
      </c>
      <c r="N8" s="55">
        <v>437</v>
      </c>
      <c r="O8" s="55">
        <v>458</v>
      </c>
      <c r="P8" s="14"/>
    </row>
    <row r="9" spans="1:17" x14ac:dyDescent="0.2">
      <c r="A9" s="98" t="s">
        <v>893</v>
      </c>
      <c r="B9" s="97"/>
      <c r="E9" s="97"/>
      <c r="F9">
        <v>2020</v>
      </c>
      <c r="G9" s="55">
        <v>313</v>
      </c>
      <c r="H9" s="55">
        <v>373</v>
      </c>
      <c r="I9" s="55">
        <v>163</v>
      </c>
      <c r="J9" s="55">
        <v>311</v>
      </c>
      <c r="K9" s="55">
        <v>328</v>
      </c>
      <c r="L9" s="55">
        <v>301</v>
      </c>
      <c r="M9" s="55">
        <v>349</v>
      </c>
      <c r="N9" s="55">
        <v>331</v>
      </c>
      <c r="O9" s="55">
        <v>394</v>
      </c>
    </row>
    <row r="10" spans="1:17" x14ac:dyDescent="0.2">
      <c r="A10" t="s">
        <v>894</v>
      </c>
      <c r="B10" t="s">
        <v>972</v>
      </c>
      <c r="E10" s="97"/>
      <c r="F10">
        <v>2021</v>
      </c>
      <c r="G10">
        <v>308</v>
      </c>
      <c r="H10">
        <v>361</v>
      </c>
      <c r="I10">
        <v>204</v>
      </c>
      <c r="J10">
        <v>323</v>
      </c>
      <c r="K10">
        <v>292</v>
      </c>
      <c r="L10">
        <v>240</v>
      </c>
      <c r="M10">
        <v>397</v>
      </c>
      <c r="N10">
        <v>346</v>
      </c>
      <c r="O10">
        <v>370</v>
      </c>
    </row>
    <row r="11" spans="1:17" x14ac:dyDescent="0.2">
      <c r="A11" t="s">
        <v>895</v>
      </c>
      <c r="B11" t="s">
        <v>887</v>
      </c>
      <c r="E11" s="97"/>
      <c r="F11" s="46" t="s">
        <v>1143</v>
      </c>
      <c r="G11" s="59">
        <v>334</v>
      </c>
      <c r="H11" s="59">
        <v>340</v>
      </c>
      <c r="I11" s="59">
        <v>210</v>
      </c>
      <c r="J11" s="42">
        <v>305</v>
      </c>
      <c r="K11" s="42">
        <v>305</v>
      </c>
      <c r="L11" s="42">
        <v>284</v>
      </c>
      <c r="M11" s="47" t="s">
        <v>2027</v>
      </c>
      <c r="N11" s="47" t="s">
        <v>2028</v>
      </c>
      <c r="O11" s="46" t="s">
        <v>2029</v>
      </c>
    </row>
    <row r="12" spans="1:17" x14ac:dyDescent="0.2">
      <c r="A12" t="s">
        <v>896</v>
      </c>
      <c r="E12" s="97"/>
      <c r="F12" s="74" t="s">
        <v>1144</v>
      </c>
      <c r="G12" s="42">
        <v>374</v>
      </c>
      <c r="H12" s="42">
        <v>375</v>
      </c>
      <c r="I12" s="59">
        <v>237</v>
      </c>
      <c r="J12" s="59">
        <v>330</v>
      </c>
      <c r="K12" s="59">
        <v>346</v>
      </c>
      <c r="L12" s="59">
        <v>334</v>
      </c>
      <c r="M12" s="46" t="s">
        <v>2030</v>
      </c>
      <c r="N12" s="46" t="s">
        <v>2031</v>
      </c>
      <c r="O12" s="46" t="s">
        <v>2032</v>
      </c>
    </row>
    <row r="13" spans="1:17" x14ac:dyDescent="0.2">
      <c r="A13" t="s">
        <v>897</v>
      </c>
      <c r="E13" s="97"/>
      <c r="F13" s="47"/>
      <c r="G13" s="47"/>
      <c r="H13" s="47"/>
      <c r="I13" s="46"/>
      <c r="J13" s="46"/>
      <c r="K13" s="46"/>
      <c r="L13" s="46"/>
      <c r="M13" s="46"/>
      <c r="N13" s="46"/>
      <c r="O13" s="46"/>
    </row>
    <row r="14" spans="1:17" x14ac:dyDescent="0.2">
      <c r="A14" t="s">
        <v>899</v>
      </c>
      <c r="B14" t="s">
        <v>715</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Q4" xr:uid="{650E150D-3696-4892-9E8D-6759997F0F2B}">
      <formula1>"integer, number, percent1"</formula1>
    </dataValidation>
    <dataValidation type="list" allowBlank="1" showInputMessage="1" showErrorMessage="1" sqref="B10" xr:uid="{011E1719-7811-46FB-AB56-0862C4CFD1C5}">
      <formula1>"Line,Clustered Bar,Stacked Bar,Bar,Horizontal Stacked Bar"</formula1>
    </dataValidation>
    <dataValidation type="list" allowBlank="1" showInputMessage="1" showErrorMessage="1" sqref="B2" xr:uid="{A4CC4CD2-BD2C-46EB-B194-203E52A6561E}">
      <formula1>"Table,Figure,Both"</formula1>
    </dataValidation>
    <dataValidation type="list" allowBlank="1" showInputMessage="1" showErrorMessage="1" sqref="B6 B15:B16" xr:uid="{3274090C-13FA-4B5A-86B4-3E7B6FE473F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99FF4BB-D53F-4926-81F0-3E8D13EDE182}">
          <x14:formula1>
            <xm:f>Master!$F$2:$F$401</xm:f>
          </x14:formula1>
          <xm:sqref>B1:O1</xm:sqref>
        </x14:dataValidation>
        <x14:dataValidation type="list" allowBlank="1" showInputMessage="1" showErrorMessage="1" xr:uid="{4B5F2977-0BF2-461E-A87F-4A3B94D77068}">
          <x14:formula1>
            <xm:f>Dropdowns!$A$1:$A$8</xm:f>
          </x14:formula1>
          <xm:sqref>F4:O4</xm:sqref>
        </x14:dataValidation>
      </x14:dataValidations>
    </ext>
  </extLst>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4D197-E74D-470E-997D-D3069DE64887}">
  <dimension ref="A1:Q57"/>
  <sheetViews>
    <sheetView workbookViewId="0">
      <selection activeCell="I17" sqref="I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556</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tbl-syph-early-aar</v>
      </c>
    </row>
    <row r="4" spans="1:17" x14ac:dyDescent="0.2">
      <c r="A4" s="58" t="s">
        <v>6</v>
      </c>
      <c r="B4" t="str">
        <f>IF($B$1="","",_xlfn.XLOOKUP($B$1,Master!$F$2:$F$308,Master!$H$2:$H$308,""))</f>
        <v>fig-syph-early-aar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F5" s="55" t="s">
        <v>887</v>
      </c>
      <c r="G5" s="55" t="s">
        <v>220</v>
      </c>
      <c r="H5" s="55" t="s">
        <v>18</v>
      </c>
      <c r="I5" s="55" t="s">
        <v>537</v>
      </c>
      <c r="J5" s="55" t="s">
        <v>449</v>
      </c>
      <c r="K5" s="55" t="s">
        <v>409</v>
      </c>
      <c r="L5" s="55" t="s">
        <v>421</v>
      </c>
      <c r="M5" s="55" t="s">
        <v>470</v>
      </c>
      <c r="N5" s="55" t="s">
        <v>2033</v>
      </c>
      <c r="O5" s="55" t="s">
        <v>914</v>
      </c>
    </row>
    <row r="6" spans="1:17" ht="15" customHeight="1" x14ac:dyDescent="0.2">
      <c r="A6" t="s">
        <v>891</v>
      </c>
      <c r="B6" t="b">
        <v>1</v>
      </c>
      <c r="E6" s="97"/>
      <c r="F6" s="55">
        <v>2017</v>
      </c>
      <c r="G6" s="55">
        <v>22</v>
      </c>
      <c r="H6" s="55">
        <v>14</v>
      </c>
      <c r="I6" s="55">
        <v>11</v>
      </c>
      <c r="J6" s="55">
        <v>10</v>
      </c>
      <c r="K6" s="55">
        <v>13</v>
      </c>
      <c r="L6" s="55">
        <v>8</v>
      </c>
      <c r="M6" s="55">
        <v>16</v>
      </c>
      <c r="N6" s="55">
        <v>15</v>
      </c>
      <c r="O6" s="55">
        <v>10</v>
      </c>
    </row>
    <row r="7" spans="1:17" ht="15.75" customHeight="1" x14ac:dyDescent="0.2">
      <c r="E7" s="97"/>
      <c r="F7" s="55">
        <v>2018</v>
      </c>
      <c r="G7" s="55">
        <v>17</v>
      </c>
      <c r="H7" s="55">
        <v>17</v>
      </c>
      <c r="I7" s="55">
        <v>17</v>
      </c>
      <c r="J7" s="55">
        <v>11</v>
      </c>
      <c r="K7" s="55">
        <v>11</v>
      </c>
      <c r="L7" s="55">
        <v>12</v>
      </c>
      <c r="M7" s="55">
        <v>14</v>
      </c>
      <c r="N7" s="55">
        <v>15</v>
      </c>
      <c r="O7" s="55">
        <v>11</v>
      </c>
    </row>
    <row r="8" spans="1:17" x14ac:dyDescent="0.2">
      <c r="E8" s="97"/>
      <c r="F8" s="55">
        <v>2019</v>
      </c>
      <c r="G8" s="55">
        <v>34</v>
      </c>
      <c r="H8" s="55">
        <v>29</v>
      </c>
      <c r="I8" s="55">
        <v>9</v>
      </c>
      <c r="J8" s="55">
        <v>14</v>
      </c>
      <c r="K8" s="55">
        <v>13</v>
      </c>
      <c r="L8" s="55">
        <v>18</v>
      </c>
      <c r="M8" s="55">
        <v>16</v>
      </c>
      <c r="N8" s="55">
        <v>20</v>
      </c>
      <c r="O8" s="55">
        <v>14</v>
      </c>
      <c r="P8" s="14"/>
    </row>
    <row r="9" spans="1:17" x14ac:dyDescent="0.2">
      <c r="A9" s="98" t="s">
        <v>893</v>
      </c>
      <c r="B9" s="97"/>
      <c r="E9" s="97"/>
      <c r="F9" s="55">
        <v>2020</v>
      </c>
      <c r="G9" s="55">
        <v>25</v>
      </c>
      <c r="H9" s="55">
        <v>27</v>
      </c>
      <c r="I9" s="55">
        <v>14</v>
      </c>
      <c r="J9" s="55">
        <v>12</v>
      </c>
      <c r="K9" s="55">
        <v>12</v>
      </c>
      <c r="L9" s="55">
        <v>14</v>
      </c>
      <c r="M9" s="55">
        <v>19</v>
      </c>
      <c r="N9" s="55">
        <v>19</v>
      </c>
      <c r="O9" s="55">
        <v>13</v>
      </c>
    </row>
    <row r="10" spans="1:17" x14ac:dyDescent="0.2">
      <c r="A10" t="s">
        <v>894</v>
      </c>
      <c r="B10" t="s">
        <v>972</v>
      </c>
      <c r="E10" s="97"/>
      <c r="F10" s="55">
        <v>2021</v>
      </c>
      <c r="G10" s="55">
        <v>29</v>
      </c>
      <c r="H10" s="55">
        <v>29</v>
      </c>
      <c r="I10" s="55">
        <v>15</v>
      </c>
      <c r="J10" s="55">
        <v>14</v>
      </c>
      <c r="K10" s="55">
        <v>14</v>
      </c>
      <c r="L10" s="55">
        <v>14</v>
      </c>
      <c r="M10" s="55">
        <v>24</v>
      </c>
      <c r="N10" s="55">
        <v>23</v>
      </c>
      <c r="O10" s="55">
        <v>22</v>
      </c>
    </row>
    <row r="11" spans="1:17" x14ac:dyDescent="0.2">
      <c r="A11" t="s">
        <v>895</v>
      </c>
      <c r="B11" t="s">
        <v>887</v>
      </c>
      <c r="E11" s="97"/>
      <c r="F11" s="68" t="s">
        <v>1143</v>
      </c>
      <c r="G11" s="59">
        <v>24</v>
      </c>
      <c r="H11" s="59">
        <v>27</v>
      </c>
      <c r="I11" s="59">
        <v>16</v>
      </c>
      <c r="J11" s="42">
        <v>18</v>
      </c>
      <c r="K11" s="42">
        <v>30</v>
      </c>
      <c r="L11" s="42">
        <v>19</v>
      </c>
      <c r="M11" s="47" t="s">
        <v>2034</v>
      </c>
      <c r="N11" s="47" t="s">
        <v>2034</v>
      </c>
      <c r="O11" s="68" t="s">
        <v>2035</v>
      </c>
    </row>
    <row r="12" spans="1:17" x14ac:dyDescent="0.2">
      <c r="A12" t="s">
        <v>896</v>
      </c>
      <c r="E12" s="97"/>
      <c r="F12" s="47" t="s">
        <v>1144</v>
      </c>
      <c r="G12" s="42">
        <v>29</v>
      </c>
      <c r="H12" s="42">
        <v>22</v>
      </c>
      <c r="I12" s="59">
        <v>15</v>
      </c>
      <c r="J12" s="59">
        <v>13</v>
      </c>
      <c r="K12" s="59">
        <v>29</v>
      </c>
      <c r="L12" s="59">
        <v>11</v>
      </c>
      <c r="M12" s="68" t="s">
        <v>2036</v>
      </c>
      <c r="N12" s="68" t="s">
        <v>2036</v>
      </c>
      <c r="O12" s="68" t="s">
        <v>2037</v>
      </c>
    </row>
    <row r="13" spans="1:17" x14ac:dyDescent="0.2">
      <c r="A13" t="s">
        <v>897</v>
      </c>
      <c r="E13" s="97"/>
      <c r="F13" s="47"/>
      <c r="G13" s="47"/>
      <c r="H13" s="47"/>
      <c r="I13" s="46"/>
      <c r="J13" s="46"/>
      <c r="K13" s="46"/>
      <c r="L13" s="46"/>
      <c r="M13" s="46"/>
      <c r="N13" s="46"/>
      <c r="O13" s="46"/>
    </row>
    <row r="14" spans="1:17" x14ac:dyDescent="0.2">
      <c r="A14" t="s">
        <v>899</v>
      </c>
      <c r="B14" t="s">
        <v>715</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0EA1EA51-C1B7-4414-9C63-899B054C069D}">
      <formula1>"True,False"</formula1>
    </dataValidation>
    <dataValidation type="list" allowBlank="1" showInputMessage="1" showErrorMessage="1" sqref="B2" xr:uid="{FF4CF34D-65C0-44EC-888D-4A336890C062}">
      <formula1>"Table,Figure,Both"</formula1>
    </dataValidation>
    <dataValidation type="list" allowBlank="1" showInputMessage="1" showErrorMessage="1" sqref="B10" xr:uid="{D1299B3D-0F14-4CB1-92AC-76FF7A878BE6}">
      <formula1>"Line,Clustered Bar,Stacked Bar,Bar,Horizontal Stacked Bar"</formula1>
    </dataValidation>
    <dataValidation type="list" allowBlank="1" showInputMessage="1" showErrorMessage="1" sqref="P4:Q4" xr:uid="{043B47DC-2F81-45A6-868B-37A1825AC77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E4E5D82-0210-4D4B-AA11-482E2BBB8633}">
          <x14:formula1>
            <xm:f>Dropdowns!$A$1:$A$8</xm:f>
          </x14:formula1>
          <xm:sqref>F4:O4</xm:sqref>
        </x14:dataValidation>
        <x14:dataValidation type="list" allowBlank="1" showInputMessage="1" showErrorMessage="1" xr:uid="{AED096A3-D93F-47B9-9450-F8823F427F12}">
          <x14:formula1>
            <xm:f>Master!$F$2:$F$401</xm:f>
          </x14:formula1>
          <xm:sqref>B1:O1</xm:sqref>
        </x14:dataValidation>
      </x14:dataValidations>
    </ext>
  </extLst>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8358D-C8BE-47EB-877E-44A76F7444BA}">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561</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tbl-lyme-disease</v>
      </c>
    </row>
    <row r="4" spans="1:17" x14ac:dyDescent="0.2">
      <c r="A4" s="58" t="s">
        <v>6</v>
      </c>
      <c r="B4" t="str">
        <f>IF($B$1="","",_xlfn.XLOOKUP($B$1,Master!$F$2:$F$308,Master!$H$2:$H$308,""))</f>
        <v>fig-lyme-disease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F5" t="s">
        <v>887</v>
      </c>
      <c r="G5" t="s">
        <v>220</v>
      </c>
      <c r="H5" t="s">
        <v>18</v>
      </c>
      <c r="I5" t="s">
        <v>537</v>
      </c>
      <c r="J5" t="s">
        <v>449</v>
      </c>
      <c r="K5" t="s">
        <v>409</v>
      </c>
      <c r="L5" t="s">
        <v>421</v>
      </c>
      <c r="M5" t="s">
        <v>470</v>
      </c>
      <c r="N5" t="s">
        <v>2033</v>
      </c>
      <c r="O5" t="s">
        <v>914</v>
      </c>
    </row>
    <row r="6" spans="1:17" ht="15" customHeight="1" x14ac:dyDescent="0.2">
      <c r="A6" t="s">
        <v>891</v>
      </c>
      <c r="B6" t="b">
        <v>1</v>
      </c>
      <c r="E6" s="97"/>
      <c r="F6">
        <v>2017</v>
      </c>
      <c r="G6" s="55">
        <v>22</v>
      </c>
      <c r="H6" s="55">
        <v>14</v>
      </c>
      <c r="I6" s="55">
        <v>11</v>
      </c>
      <c r="J6" s="55">
        <v>10</v>
      </c>
      <c r="K6" s="55">
        <v>13</v>
      </c>
      <c r="L6" s="55">
        <v>8</v>
      </c>
      <c r="M6" s="55">
        <v>16</v>
      </c>
      <c r="N6" s="55">
        <v>15</v>
      </c>
      <c r="O6" s="55">
        <v>10</v>
      </c>
    </row>
    <row r="7" spans="1:17" ht="15.75" customHeight="1" x14ac:dyDescent="0.2">
      <c r="E7" s="97"/>
      <c r="F7">
        <v>2018</v>
      </c>
      <c r="G7" s="55">
        <v>17</v>
      </c>
      <c r="H7" s="55">
        <v>17</v>
      </c>
      <c r="I7" s="55">
        <v>17</v>
      </c>
      <c r="J7" s="55">
        <v>11</v>
      </c>
      <c r="K7" s="55">
        <v>11</v>
      </c>
      <c r="L7" s="55">
        <v>12</v>
      </c>
      <c r="M7" s="55">
        <v>14</v>
      </c>
      <c r="N7" s="55">
        <v>15</v>
      </c>
      <c r="O7" s="55">
        <v>11</v>
      </c>
    </row>
    <row r="8" spans="1:17" x14ac:dyDescent="0.2">
      <c r="E8" s="97"/>
      <c r="F8">
        <v>2019</v>
      </c>
      <c r="G8" s="55">
        <v>34</v>
      </c>
      <c r="H8" s="55">
        <v>29</v>
      </c>
      <c r="I8" s="55">
        <v>9</v>
      </c>
      <c r="J8" s="55">
        <v>14</v>
      </c>
      <c r="K8" s="55">
        <v>13</v>
      </c>
      <c r="L8" s="55">
        <v>18</v>
      </c>
      <c r="M8" s="55">
        <v>16</v>
      </c>
      <c r="N8" s="55">
        <v>20</v>
      </c>
      <c r="O8" s="55">
        <v>14</v>
      </c>
      <c r="P8" s="14"/>
    </row>
    <row r="9" spans="1:17" x14ac:dyDescent="0.2">
      <c r="A9" s="98" t="s">
        <v>893</v>
      </c>
      <c r="B9" s="97"/>
      <c r="E9" s="97"/>
      <c r="F9">
        <v>2020</v>
      </c>
      <c r="G9" s="55">
        <v>25</v>
      </c>
      <c r="H9" s="55">
        <v>27</v>
      </c>
      <c r="I9" s="55">
        <v>14</v>
      </c>
      <c r="J9" s="55">
        <v>12</v>
      </c>
      <c r="K9" s="55">
        <v>12</v>
      </c>
      <c r="L9" s="55">
        <v>14</v>
      </c>
      <c r="M9" s="55">
        <v>19</v>
      </c>
      <c r="N9" s="55">
        <v>19</v>
      </c>
      <c r="O9" s="55">
        <v>13</v>
      </c>
    </row>
    <row r="10" spans="1:17" x14ac:dyDescent="0.2">
      <c r="A10" t="s">
        <v>894</v>
      </c>
      <c r="B10" t="s">
        <v>972</v>
      </c>
      <c r="E10" s="97"/>
      <c r="F10">
        <v>2021</v>
      </c>
      <c r="G10">
        <v>29</v>
      </c>
      <c r="H10">
        <v>29</v>
      </c>
      <c r="I10">
        <v>15</v>
      </c>
      <c r="J10">
        <v>14</v>
      </c>
      <c r="K10">
        <v>14</v>
      </c>
      <c r="L10">
        <v>14</v>
      </c>
      <c r="M10">
        <v>24</v>
      </c>
      <c r="N10">
        <v>23</v>
      </c>
      <c r="O10">
        <v>22</v>
      </c>
    </row>
    <row r="11" spans="1:17" x14ac:dyDescent="0.2">
      <c r="A11" t="s">
        <v>895</v>
      </c>
      <c r="B11" t="s">
        <v>887</v>
      </c>
      <c r="E11" s="97"/>
      <c r="F11" s="46" t="s">
        <v>1143</v>
      </c>
      <c r="G11" s="59">
        <v>24</v>
      </c>
      <c r="H11" s="59">
        <v>27</v>
      </c>
      <c r="I11" s="59">
        <v>16</v>
      </c>
      <c r="J11" s="42">
        <v>18</v>
      </c>
      <c r="K11" s="42">
        <v>30</v>
      </c>
      <c r="L11" s="42">
        <v>19</v>
      </c>
      <c r="M11" s="47" t="s">
        <v>2034</v>
      </c>
      <c r="N11" s="47" t="s">
        <v>2034</v>
      </c>
      <c r="O11" s="46" t="s">
        <v>2035</v>
      </c>
    </row>
    <row r="12" spans="1:17" x14ac:dyDescent="0.2">
      <c r="A12" t="s">
        <v>896</v>
      </c>
      <c r="E12" s="97"/>
      <c r="F12" s="74" t="s">
        <v>1144</v>
      </c>
      <c r="G12" s="42">
        <v>29</v>
      </c>
      <c r="H12" s="42">
        <v>22</v>
      </c>
      <c r="I12" s="59">
        <v>15</v>
      </c>
      <c r="J12" s="59">
        <v>13</v>
      </c>
      <c r="K12" s="59">
        <v>29</v>
      </c>
      <c r="L12" s="59">
        <v>11</v>
      </c>
      <c r="M12" s="46" t="s">
        <v>2036</v>
      </c>
      <c r="N12" s="46" t="s">
        <v>2036</v>
      </c>
      <c r="O12" s="46" t="s">
        <v>2037</v>
      </c>
    </row>
    <row r="13" spans="1:17" x14ac:dyDescent="0.2">
      <c r="A13" t="s">
        <v>897</v>
      </c>
      <c r="E13" s="97"/>
      <c r="F13" s="47"/>
      <c r="G13" s="47"/>
      <c r="H13" s="47"/>
      <c r="I13" s="46"/>
      <c r="J13" s="46"/>
      <c r="K13" s="46"/>
      <c r="L13" s="46"/>
      <c r="M13" s="46"/>
      <c r="N13" s="46"/>
      <c r="O13" s="46"/>
    </row>
    <row r="14" spans="1:17" x14ac:dyDescent="0.2">
      <c r="A14" t="s">
        <v>899</v>
      </c>
      <c r="B14" t="s">
        <v>715</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Q4" xr:uid="{E3BB2121-A7B6-4590-BC92-A7CBD8B09A18}">
      <formula1>"integer, number, percent1"</formula1>
    </dataValidation>
    <dataValidation type="list" allowBlank="1" showInputMessage="1" showErrorMessage="1" sqref="B10" xr:uid="{8E63FDF2-2DC7-4A3B-A614-3735760B039F}">
      <formula1>"Line,Clustered Bar,Stacked Bar,Bar,Horizontal Stacked Bar"</formula1>
    </dataValidation>
    <dataValidation type="list" allowBlank="1" showInputMessage="1" showErrorMessage="1" sqref="B2" xr:uid="{22C3AC30-3C59-4CC9-94DD-F1F1CB9400F2}">
      <formula1>"Table,Figure,Both"</formula1>
    </dataValidation>
    <dataValidation type="list" allowBlank="1" showInputMessage="1" showErrorMessage="1" sqref="B6 B15:B16" xr:uid="{8606DF30-1B2D-41AB-B505-FF70295714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1B00F3A-B909-4875-9401-AEB652B7AA2B}">
          <x14:formula1>
            <xm:f>Master!$F$2:$F$401</xm:f>
          </x14:formula1>
          <xm:sqref>B1:O1</xm:sqref>
        </x14:dataValidation>
        <x14:dataValidation type="list" allowBlank="1" showInputMessage="1" showErrorMessage="1" xr:uid="{4A085195-CE6C-4254-B2B7-8F36B102653A}">
          <x14:formula1>
            <xm:f>Dropdowns!$A$1:$A$8</xm:f>
          </x14:formula1>
          <xm:sqref>F4:O4</xm:sqref>
        </x14:dataValidation>
      </x14:dataValidations>
    </ext>
  </extLst>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BD79A-5D9D-4230-BDFE-5114F59B4931}">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566</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tbl-anaplasmosis</v>
      </c>
    </row>
    <row r="4" spans="1:17" x14ac:dyDescent="0.2">
      <c r="A4" s="58" t="s">
        <v>6</v>
      </c>
      <c r="B4" t="str">
        <f>IF($B$1="","",_xlfn.XLOOKUP($B$1,Master!$F$2:$F$308,Master!$H$2:$H$308,""))</f>
        <v>fig-anaplasmosis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7"/>
      <c r="E5" s="99" t="s">
        <v>886</v>
      </c>
      <c r="F5" t="s">
        <v>887</v>
      </c>
      <c r="G5" t="s">
        <v>220</v>
      </c>
      <c r="H5" t="s">
        <v>18</v>
      </c>
      <c r="I5" t="s">
        <v>537</v>
      </c>
      <c r="J5" t="s">
        <v>449</v>
      </c>
      <c r="K5" t="s">
        <v>409</v>
      </c>
      <c r="L5" t="s">
        <v>421</v>
      </c>
      <c r="M5" t="s">
        <v>470</v>
      </c>
      <c r="N5" t="s">
        <v>915</v>
      </c>
    </row>
    <row r="6" spans="1:17" ht="15" customHeight="1" x14ac:dyDescent="0.2">
      <c r="A6" t="s">
        <v>891</v>
      </c>
      <c r="B6" t="b">
        <v>1</v>
      </c>
      <c r="E6" s="97"/>
      <c r="F6">
        <v>2020</v>
      </c>
      <c r="G6" s="55">
        <v>11.9</v>
      </c>
      <c r="H6" s="55">
        <v>6</v>
      </c>
      <c r="I6" s="55">
        <v>30.4</v>
      </c>
      <c r="J6" s="55">
        <v>2.1</v>
      </c>
      <c r="K6" s="55">
        <v>14.5</v>
      </c>
      <c r="L6" s="55">
        <v>4.5</v>
      </c>
      <c r="M6" s="55">
        <v>3.8</v>
      </c>
      <c r="N6" s="55">
        <v>7</v>
      </c>
      <c r="O6" s="55"/>
    </row>
    <row r="7" spans="1:17" ht="15.75" customHeight="1" x14ac:dyDescent="0.2">
      <c r="E7" s="97"/>
      <c r="F7">
        <v>2021</v>
      </c>
      <c r="G7" s="55">
        <v>17</v>
      </c>
      <c r="H7" s="55">
        <v>17.899999999999999</v>
      </c>
      <c r="I7" s="55">
        <v>84.2</v>
      </c>
      <c r="J7" s="55">
        <v>1.2</v>
      </c>
      <c r="K7" s="55">
        <v>25.1</v>
      </c>
      <c r="L7" s="55">
        <v>20.3</v>
      </c>
      <c r="M7" s="55">
        <v>4.5999999999999996</v>
      </c>
      <c r="N7" s="55">
        <v>10.3</v>
      </c>
      <c r="O7" s="55"/>
    </row>
    <row r="8" spans="1:17" x14ac:dyDescent="0.2">
      <c r="E8" s="97"/>
      <c r="F8">
        <v>2022</v>
      </c>
      <c r="G8" s="55">
        <v>0.7</v>
      </c>
      <c r="H8" s="55">
        <v>9.4</v>
      </c>
      <c r="I8" s="55">
        <v>33.700000000000003</v>
      </c>
      <c r="J8" s="55">
        <v>1.8</v>
      </c>
      <c r="K8" s="55">
        <v>21.3</v>
      </c>
      <c r="L8" s="55">
        <v>43.3</v>
      </c>
      <c r="M8" s="55">
        <v>43.3</v>
      </c>
      <c r="N8" s="55">
        <v>6</v>
      </c>
      <c r="O8" s="55"/>
      <c r="P8" s="14"/>
    </row>
    <row r="9" spans="1:17" x14ac:dyDescent="0.2">
      <c r="A9" s="98" t="s">
        <v>893</v>
      </c>
      <c r="B9" s="97"/>
      <c r="E9" s="97"/>
      <c r="F9">
        <v>2023</v>
      </c>
      <c r="G9" s="55">
        <v>10.4</v>
      </c>
      <c r="H9" s="55">
        <v>18.7</v>
      </c>
      <c r="I9" s="55">
        <v>96.6</v>
      </c>
      <c r="J9" s="55">
        <v>2.1</v>
      </c>
      <c r="K9" s="55">
        <v>45.1</v>
      </c>
      <c r="L9" s="55">
        <v>75.099999999999994</v>
      </c>
      <c r="M9" s="55">
        <v>6</v>
      </c>
      <c r="N9" s="55">
        <v>10.3</v>
      </c>
      <c r="O9" s="55"/>
    </row>
    <row r="10" spans="1:17" x14ac:dyDescent="0.2">
      <c r="A10" t="s">
        <v>894</v>
      </c>
      <c r="B10" t="s">
        <v>972</v>
      </c>
      <c r="E10" s="97"/>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715</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4D5F95BF-C06D-4EAE-9E13-8C455DAD3633}">
      <formula1>"True,False"</formula1>
    </dataValidation>
    <dataValidation type="list" allowBlank="1" showInputMessage="1" showErrorMessage="1" sqref="B2" xr:uid="{8CAADCFE-8908-427D-AAB0-7F597B39519B}">
      <formula1>"Table,Figure,Both"</formula1>
    </dataValidation>
    <dataValidation type="list" allowBlank="1" showInputMessage="1" showErrorMessage="1" sqref="B10" xr:uid="{8B3AD866-1964-4F4F-A6C8-FE7E74BA32B7}">
      <formula1>"Line,Clustered Bar,Stacked Bar,Bar,Horizontal Stacked Bar"</formula1>
    </dataValidation>
    <dataValidation type="list" allowBlank="1" showInputMessage="1" showErrorMessage="1" sqref="P4:Q4" xr:uid="{CC96162E-A1AD-4E0B-A344-565BE062A0F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826779D-469D-4673-83B0-6177508976CA}">
          <x14:formula1>
            <xm:f>Dropdowns!$A$1:$A$8</xm:f>
          </x14:formula1>
          <xm:sqref>F4:O4</xm:sqref>
        </x14:dataValidation>
        <x14:dataValidation type="list" allowBlank="1" showInputMessage="1" showErrorMessage="1" xr:uid="{39C22026-C609-4E35-AD5A-CD9150A8A995}">
          <x14:formula1>
            <xm:f>Master!$F$2:$F$401</xm:f>
          </x14:formula1>
          <xm:sqref>B1:O1</xm:sqref>
        </x14:dataValidation>
      </x14:dataValidations>
    </ext>
  </extLst>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28F5B-A431-4199-A326-38D59FF35CA8}">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568</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tbl-babesiosis</v>
      </c>
    </row>
    <row r="4" spans="1:17" x14ac:dyDescent="0.2">
      <c r="A4" s="58" t="s">
        <v>6</v>
      </c>
      <c r="B4" t="str">
        <f>IF($B$1="","",_xlfn.XLOOKUP($B$1,Master!$F$2:$F$308,Master!$H$2:$H$308,""))</f>
        <v>fig-babesiosis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7"/>
      <c r="E5" s="99" t="s">
        <v>886</v>
      </c>
      <c r="F5" t="s">
        <v>887</v>
      </c>
      <c r="G5" t="s">
        <v>220</v>
      </c>
      <c r="H5" t="s">
        <v>18</v>
      </c>
      <c r="I5" t="s">
        <v>537</v>
      </c>
      <c r="J5" t="s">
        <v>449</v>
      </c>
      <c r="K5" t="s">
        <v>409</v>
      </c>
      <c r="L5" t="s">
        <v>421</v>
      </c>
      <c r="M5" t="s">
        <v>470</v>
      </c>
      <c r="N5" t="s">
        <v>915</v>
      </c>
    </row>
    <row r="6" spans="1:17" ht="15" customHeight="1" x14ac:dyDescent="0.2">
      <c r="A6" t="s">
        <v>891</v>
      </c>
      <c r="B6" t="b">
        <v>1</v>
      </c>
      <c r="E6" s="97"/>
      <c r="F6">
        <v>2020</v>
      </c>
      <c r="G6" s="55">
        <v>8.1999999999999993</v>
      </c>
      <c r="H6" s="55">
        <v>11.2</v>
      </c>
      <c r="I6" s="55">
        <v>25.4</v>
      </c>
      <c r="J6" s="55">
        <v>2.1</v>
      </c>
      <c r="K6" s="55">
        <v>5.3</v>
      </c>
      <c r="L6" s="55">
        <v>2.8</v>
      </c>
      <c r="M6" s="55">
        <v>5.9</v>
      </c>
      <c r="N6" s="55">
        <v>2.8</v>
      </c>
      <c r="O6" s="55"/>
    </row>
    <row r="7" spans="1:17" ht="15.75" customHeight="1" x14ac:dyDescent="0.2">
      <c r="E7" s="97"/>
      <c r="F7">
        <v>2021</v>
      </c>
      <c r="G7" s="55">
        <v>17.399999999999999</v>
      </c>
      <c r="H7" s="55">
        <v>17.100000000000001</v>
      </c>
      <c r="I7" s="55">
        <v>51.8</v>
      </c>
      <c r="J7" s="55">
        <v>4.9000000000000004</v>
      </c>
      <c r="K7" s="55">
        <v>10.6</v>
      </c>
      <c r="L7" s="55">
        <v>11.8</v>
      </c>
      <c r="M7" s="55">
        <v>5.7</v>
      </c>
      <c r="N7" s="55">
        <v>4.0999999999999996</v>
      </c>
      <c r="O7" s="55"/>
    </row>
    <row r="8" spans="1:17" x14ac:dyDescent="0.2">
      <c r="E8" s="97"/>
      <c r="F8">
        <v>2022</v>
      </c>
      <c r="G8" s="55">
        <v>0.7</v>
      </c>
      <c r="H8" s="55">
        <v>8.1</v>
      </c>
      <c r="I8" s="55">
        <v>31.6</v>
      </c>
      <c r="J8" s="55">
        <v>5.9</v>
      </c>
      <c r="K8" s="55">
        <v>16.3</v>
      </c>
      <c r="L8" s="55">
        <v>20.8</v>
      </c>
      <c r="M8" s="55">
        <v>3.7</v>
      </c>
      <c r="N8" s="55">
        <v>3</v>
      </c>
      <c r="O8" s="55"/>
      <c r="P8" s="14"/>
    </row>
    <row r="9" spans="1:17" x14ac:dyDescent="0.2">
      <c r="A9" s="98" t="s">
        <v>893</v>
      </c>
      <c r="B9" s="97"/>
      <c r="E9" s="97"/>
      <c r="F9">
        <v>2023</v>
      </c>
      <c r="G9" s="55">
        <v>10.1</v>
      </c>
      <c r="H9" s="55">
        <v>19.899999999999999</v>
      </c>
      <c r="I9" s="55">
        <v>61</v>
      </c>
      <c r="J9" s="55">
        <v>6.8</v>
      </c>
      <c r="K9" s="55">
        <v>28.8</v>
      </c>
      <c r="L9" s="55">
        <v>38.9</v>
      </c>
      <c r="M9" s="55">
        <v>12.5</v>
      </c>
      <c r="N9" s="55">
        <v>5.9</v>
      </c>
      <c r="O9" s="55"/>
    </row>
    <row r="10" spans="1:17" x14ac:dyDescent="0.2">
      <c r="A10" t="s">
        <v>894</v>
      </c>
      <c r="B10" t="s">
        <v>972</v>
      </c>
      <c r="E10" s="97"/>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715</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Q4" xr:uid="{E5851428-5EBF-479A-8457-6A24AA384729}">
      <formula1>"integer, number, percent1"</formula1>
    </dataValidation>
    <dataValidation type="list" allowBlank="1" showInputMessage="1" showErrorMessage="1" sqref="B10" xr:uid="{9BC6C31B-0F4F-4640-A20E-5C093CD49E82}">
      <formula1>"Line,Clustered Bar,Stacked Bar,Bar,Horizontal Stacked Bar"</formula1>
    </dataValidation>
    <dataValidation type="list" allowBlank="1" showInputMessage="1" showErrorMessage="1" sqref="B2" xr:uid="{D1063231-08C1-4780-8479-054C657C832C}">
      <formula1>"Table,Figure,Both"</formula1>
    </dataValidation>
    <dataValidation type="list" allowBlank="1" showInputMessage="1" showErrorMessage="1" sqref="B6 B15:B16" xr:uid="{4B537D67-5D0E-41D8-8EE9-F290FE482FA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26FE50-0C08-4A9E-88CB-0F66CCC1FCB3}">
          <x14:formula1>
            <xm:f>Master!$F$2:$F$401</xm:f>
          </x14:formula1>
          <xm:sqref>B1:O1</xm:sqref>
        </x14:dataValidation>
        <x14:dataValidation type="list" allowBlank="1" showInputMessage="1" showErrorMessage="1" xr:uid="{616D7ECF-0345-4C81-BBA7-E8C8B3817EFB}">
          <x14:formula1>
            <xm:f>Dropdowns!$A$1:$A$8</xm:f>
          </x14:formula1>
          <xm:sqref>F4:O4</xm:sqref>
        </x14:dataValidation>
      </x14:dataValidations>
    </ext>
  </extLst>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39BB0-8BF3-4AAA-9529-AB95649F91DE}">
  <dimension ref="A1:Q57"/>
  <sheetViews>
    <sheetView workbookViewId="0">
      <selection activeCell="K28"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572</v>
      </c>
      <c r="C1" s="113"/>
      <c r="D1" s="113"/>
      <c r="E1" s="113"/>
      <c r="F1" s="113"/>
      <c r="G1" s="113"/>
      <c r="H1" s="113"/>
      <c r="I1" s="113"/>
      <c r="J1" s="113"/>
      <c r="K1" s="113"/>
      <c r="L1" s="113"/>
      <c r="M1" s="113"/>
      <c r="N1" s="113"/>
      <c r="O1" s="113"/>
    </row>
    <row r="2" spans="1:17" x14ac:dyDescent="0.2">
      <c r="A2" s="58" t="s">
        <v>883</v>
      </c>
      <c r="B2" t="s">
        <v>12</v>
      </c>
    </row>
    <row r="3" spans="1:17" x14ac:dyDescent="0.2">
      <c r="A3" s="58" t="s">
        <v>884</v>
      </c>
      <c r="B3" t="str">
        <f>IF($B$1="","",_xlfn.XLOOKUP($B$1,Master!$F$2:$F$308,Master!$G$2:$G$308,""))</f>
        <v>tbl-rabies-test-domestic</v>
      </c>
    </row>
    <row r="4" spans="1:17" x14ac:dyDescent="0.2">
      <c r="A4" s="58" t="s">
        <v>6</v>
      </c>
      <c r="B4" t="str">
        <f>IF($B$1="","",_xlfn.XLOOKUP($B$1,Master!$F$2:$F$308,Master!$H$2:$H$308,""))</f>
        <v>fig-rabies-test-domestic</v>
      </c>
      <c r="E4" s="13"/>
      <c r="F4" s="16" t="s">
        <v>664</v>
      </c>
      <c r="G4" s="16" t="s">
        <v>679</v>
      </c>
      <c r="H4" s="16" t="s">
        <v>679</v>
      </c>
      <c r="I4" s="16" t="s">
        <v>679</v>
      </c>
      <c r="J4" s="16"/>
      <c r="K4" s="16"/>
      <c r="L4" s="16"/>
      <c r="M4" s="16"/>
      <c r="N4" s="16"/>
      <c r="O4" s="16"/>
      <c r="P4" s="16"/>
      <c r="Q4" s="16"/>
    </row>
    <row r="5" spans="1:17" x14ac:dyDescent="0.2">
      <c r="A5" s="98" t="s">
        <v>885</v>
      </c>
      <c r="B5" s="97"/>
      <c r="E5" s="99" t="s">
        <v>886</v>
      </c>
      <c r="F5" t="s">
        <v>887</v>
      </c>
      <c r="G5" t="s">
        <v>2038</v>
      </c>
      <c r="H5" t="s">
        <v>2039</v>
      </c>
      <c r="I5" t="s">
        <v>2040</v>
      </c>
    </row>
    <row r="6" spans="1:17" ht="15" customHeight="1" x14ac:dyDescent="0.2">
      <c r="A6" t="s">
        <v>891</v>
      </c>
      <c r="B6" t="b">
        <v>0</v>
      </c>
      <c r="E6" s="97"/>
      <c r="F6" t="s">
        <v>220</v>
      </c>
      <c r="G6" s="55">
        <v>35</v>
      </c>
      <c r="H6" s="55">
        <v>1</v>
      </c>
      <c r="I6" s="55">
        <v>2.9</v>
      </c>
      <c r="J6" s="55"/>
      <c r="K6" s="55"/>
      <c r="L6" s="55"/>
      <c r="M6" s="55"/>
      <c r="N6" s="55"/>
      <c r="O6" s="55"/>
    </row>
    <row r="7" spans="1:17" ht="15.75" customHeight="1" x14ac:dyDescent="0.2">
      <c r="E7" s="97"/>
      <c r="F7" t="s">
        <v>18</v>
      </c>
      <c r="G7" s="55">
        <v>51</v>
      </c>
      <c r="H7" s="55">
        <v>2</v>
      </c>
      <c r="I7" s="55">
        <v>3.9</v>
      </c>
      <c r="J7" s="55"/>
      <c r="K7" s="55"/>
      <c r="L7" s="55"/>
      <c r="M7" s="55"/>
      <c r="N7" s="55"/>
      <c r="O7" s="55"/>
    </row>
    <row r="8" spans="1:17" x14ac:dyDescent="0.2">
      <c r="E8" s="97"/>
      <c r="F8" t="s">
        <v>537</v>
      </c>
      <c r="G8" s="55">
        <v>13</v>
      </c>
      <c r="H8" s="55">
        <v>0</v>
      </c>
      <c r="I8" s="55">
        <v>0</v>
      </c>
      <c r="J8" s="55"/>
      <c r="K8" s="55"/>
      <c r="L8" s="55"/>
      <c r="M8" s="55"/>
      <c r="N8" s="55"/>
      <c r="O8" s="55"/>
      <c r="P8" s="14"/>
    </row>
    <row r="9" spans="1:17" x14ac:dyDescent="0.2">
      <c r="A9" s="98" t="s">
        <v>893</v>
      </c>
      <c r="B9" s="97"/>
      <c r="E9" s="97"/>
      <c r="F9" t="s">
        <v>449</v>
      </c>
      <c r="G9" s="55">
        <v>25</v>
      </c>
      <c r="H9" s="55">
        <v>1</v>
      </c>
      <c r="I9" s="55">
        <v>4</v>
      </c>
      <c r="J9" s="55"/>
      <c r="K9" s="55"/>
      <c r="L9" s="55"/>
      <c r="M9" s="55"/>
      <c r="N9" s="55"/>
      <c r="O9" s="55"/>
    </row>
    <row r="10" spans="1:17" x14ac:dyDescent="0.2">
      <c r="A10" t="s">
        <v>894</v>
      </c>
      <c r="E10" s="97"/>
      <c r="F10" t="s">
        <v>409</v>
      </c>
      <c r="G10">
        <v>33</v>
      </c>
      <c r="H10">
        <v>0</v>
      </c>
      <c r="I10">
        <v>0</v>
      </c>
    </row>
    <row r="11" spans="1:17" x14ac:dyDescent="0.2">
      <c r="A11" t="s">
        <v>895</v>
      </c>
      <c r="E11" s="97"/>
      <c r="F11" s="46" t="s">
        <v>421</v>
      </c>
      <c r="G11" s="59">
        <v>26</v>
      </c>
      <c r="H11" s="59">
        <v>0</v>
      </c>
      <c r="I11" s="59">
        <v>0</v>
      </c>
      <c r="J11" s="42"/>
      <c r="K11" s="42"/>
      <c r="L11" s="42"/>
      <c r="M11" s="47"/>
      <c r="N11" s="47"/>
      <c r="O11" s="46"/>
    </row>
    <row r="12" spans="1:17" x14ac:dyDescent="0.2">
      <c r="A12" t="s">
        <v>896</v>
      </c>
      <c r="E12" s="97"/>
      <c r="F12" s="74" t="s">
        <v>470</v>
      </c>
      <c r="G12" s="42">
        <v>55</v>
      </c>
      <c r="H12" s="42">
        <v>1</v>
      </c>
      <c r="I12" s="59">
        <v>1.8</v>
      </c>
      <c r="J12" s="59"/>
      <c r="K12" s="59"/>
      <c r="L12" s="59"/>
      <c r="M12" s="46"/>
      <c r="N12" s="46"/>
      <c r="O12" s="46"/>
    </row>
    <row r="13" spans="1:17" x14ac:dyDescent="0.2">
      <c r="A13" t="s">
        <v>897</v>
      </c>
      <c r="E13" s="97"/>
      <c r="F13" s="47" t="s">
        <v>898</v>
      </c>
      <c r="G13" s="47" t="s">
        <v>2041</v>
      </c>
      <c r="H13" s="47" t="s">
        <v>2042</v>
      </c>
      <c r="I13" s="46" t="s">
        <v>1509</v>
      </c>
      <c r="J13" s="46"/>
      <c r="K13" s="46"/>
      <c r="L13" s="46"/>
      <c r="M13" s="46"/>
      <c r="N13" s="46"/>
      <c r="O13" s="46"/>
    </row>
    <row r="14" spans="1:17" x14ac:dyDescent="0.2">
      <c r="A14" t="s">
        <v>899</v>
      </c>
      <c r="E14" s="97"/>
      <c r="F14" s="68"/>
      <c r="G14" s="68"/>
      <c r="H14" s="68"/>
      <c r="I14" s="46"/>
      <c r="J14" s="47"/>
      <c r="K14" s="47"/>
      <c r="L14" s="47"/>
      <c r="M14" s="47"/>
      <c r="N14" s="47"/>
      <c r="O14" s="46"/>
    </row>
    <row r="15" spans="1:17" x14ac:dyDescent="0.2">
      <c r="A15" t="s">
        <v>901</v>
      </c>
      <c r="E15" s="97"/>
      <c r="G15" s="68"/>
      <c r="H15" s="68"/>
      <c r="I15" s="46"/>
      <c r="J15" s="47"/>
      <c r="K15" s="47"/>
      <c r="L15" s="47"/>
      <c r="M15" s="47"/>
      <c r="N15" s="47"/>
      <c r="O15" s="46"/>
    </row>
    <row r="16" spans="1:17" x14ac:dyDescent="0.2">
      <c r="A16" t="s">
        <v>1146</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2B64A666-2CA7-40B1-9968-C05E01078BBF}">
      <formula1>"True,False"</formula1>
    </dataValidation>
    <dataValidation type="list" allowBlank="1" showInputMessage="1" showErrorMessage="1" sqref="B2" xr:uid="{0AE75FB5-36D7-42EC-A09F-67A9511F450A}">
      <formula1>"Table,Figure,Both"</formula1>
    </dataValidation>
    <dataValidation type="list" allowBlank="1" showInputMessage="1" showErrorMessage="1" sqref="B10" xr:uid="{B5A0CA2E-3CAB-47AB-AB06-45613ED89692}">
      <formula1>"Line,Clustered Bar,Stacked Bar,Bar,Horizontal Stacked Bar"</formula1>
    </dataValidation>
    <dataValidation type="list" allowBlank="1" showInputMessage="1" showErrorMessage="1" sqref="P4:Q4" xr:uid="{2409D63A-5263-416D-8715-C49F0BA2460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DAB96CC-9C45-41D3-9180-6884FCA1A048}">
          <x14:formula1>
            <xm:f>Dropdowns!$A$1:$A$8</xm:f>
          </x14:formula1>
          <xm:sqref>F4:O4</xm:sqref>
        </x14:dataValidation>
        <x14:dataValidation type="list" allowBlank="1" showInputMessage="1" showErrorMessage="1" xr:uid="{8D98EE5E-3BE0-4231-A452-BB8978AAC56C}">
          <x14:formula1>
            <xm:f>Master!$F$2:$F$401</xm:f>
          </x14:formula1>
          <xm:sqref>B1:O1</xm:sqref>
        </x14:dataValidation>
      </x14:dataValidations>
    </ext>
  </extLst>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F60C9-792C-4B50-AA94-720F22A9514B}">
  <dimension ref="A1:Q57"/>
  <sheetViews>
    <sheetView workbookViewId="0">
      <selection activeCell="F17" sqref="F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575</v>
      </c>
      <c r="C1" s="113"/>
      <c r="D1" s="113"/>
      <c r="E1" s="113"/>
      <c r="F1" s="113"/>
      <c r="G1" s="113"/>
      <c r="H1" s="113"/>
      <c r="I1" s="113"/>
      <c r="J1" s="113"/>
      <c r="K1" s="113"/>
      <c r="L1" s="113"/>
      <c r="M1" s="113"/>
      <c r="N1" s="113"/>
      <c r="O1" s="113"/>
    </row>
    <row r="2" spans="1:17" x14ac:dyDescent="0.2">
      <c r="A2" s="58" t="s">
        <v>883</v>
      </c>
      <c r="B2" t="s">
        <v>12</v>
      </c>
    </row>
    <row r="3" spans="1:17" x14ac:dyDescent="0.2">
      <c r="A3" s="58" t="s">
        <v>884</v>
      </c>
      <c r="B3" t="str">
        <f>IF($B$1="","",_xlfn.XLOOKUP($B$1,Master!$F$2:$F$308,Master!$G$2:$G$308,""))</f>
        <v>tbl-rabies-test-wild</v>
      </c>
    </row>
    <row r="4" spans="1:17" x14ac:dyDescent="0.2">
      <c r="A4" s="58" t="s">
        <v>6</v>
      </c>
      <c r="B4" t="str">
        <f>IF($B$1="","",_xlfn.XLOOKUP($B$1,Master!$F$2:$F$308,Master!$H$2:$H$308,""))</f>
        <v>fig-rabies-test-wild</v>
      </c>
      <c r="E4" s="13"/>
      <c r="F4" s="16" t="s">
        <v>664</v>
      </c>
      <c r="G4" s="16" t="s">
        <v>679</v>
      </c>
      <c r="H4" s="16" t="s">
        <v>679</v>
      </c>
      <c r="I4" s="16" t="s">
        <v>679</v>
      </c>
      <c r="J4" s="16"/>
      <c r="K4" s="16"/>
      <c r="L4" s="16"/>
      <c r="M4" s="16"/>
      <c r="N4" s="16"/>
      <c r="O4" s="16"/>
      <c r="P4" s="16"/>
      <c r="Q4" s="16"/>
    </row>
    <row r="5" spans="1:17" x14ac:dyDescent="0.2">
      <c r="A5" s="98" t="s">
        <v>885</v>
      </c>
      <c r="B5" s="97"/>
      <c r="E5" s="99" t="s">
        <v>886</v>
      </c>
      <c r="F5" t="s">
        <v>887</v>
      </c>
      <c r="G5" t="s">
        <v>2043</v>
      </c>
      <c r="H5" t="s">
        <v>2044</v>
      </c>
      <c r="I5" t="s">
        <v>2040</v>
      </c>
    </row>
    <row r="6" spans="1:17" ht="15" customHeight="1" x14ac:dyDescent="0.2">
      <c r="A6" t="s">
        <v>891</v>
      </c>
      <c r="B6" t="b">
        <v>0</v>
      </c>
      <c r="E6" s="97"/>
      <c r="F6" t="s">
        <v>220</v>
      </c>
      <c r="G6" s="55">
        <v>76</v>
      </c>
      <c r="H6" s="55">
        <v>6</v>
      </c>
      <c r="I6" s="55">
        <v>7.9</v>
      </c>
      <c r="J6" s="55"/>
      <c r="K6" s="55"/>
      <c r="L6" s="55"/>
      <c r="M6" s="55"/>
      <c r="N6" s="55"/>
      <c r="O6" s="55"/>
    </row>
    <row r="7" spans="1:17" ht="15.75" customHeight="1" x14ac:dyDescent="0.2">
      <c r="E7" s="97"/>
      <c r="F7" t="s">
        <v>18</v>
      </c>
      <c r="G7" s="55">
        <v>71</v>
      </c>
      <c r="H7" s="55">
        <v>4</v>
      </c>
      <c r="I7" s="55">
        <v>5.6</v>
      </c>
      <c r="J7" s="55"/>
      <c r="K7" s="55"/>
      <c r="L7" s="55"/>
      <c r="M7" s="55"/>
      <c r="N7" s="55"/>
      <c r="O7" s="55"/>
    </row>
    <row r="8" spans="1:17" x14ac:dyDescent="0.2">
      <c r="E8" s="97"/>
      <c r="F8" t="s">
        <v>537</v>
      </c>
      <c r="G8" s="55">
        <v>54</v>
      </c>
      <c r="H8" s="55">
        <v>3</v>
      </c>
      <c r="I8" s="55">
        <v>5.6</v>
      </c>
      <c r="J8" s="55"/>
      <c r="K8" s="55"/>
      <c r="L8" s="55"/>
      <c r="M8" s="55"/>
      <c r="N8" s="55"/>
      <c r="O8" s="55"/>
      <c r="P8" s="14"/>
    </row>
    <row r="9" spans="1:17" x14ac:dyDescent="0.2">
      <c r="A9" s="98" t="s">
        <v>893</v>
      </c>
      <c r="B9" s="97"/>
      <c r="E9" s="97"/>
      <c r="F9" t="s">
        <v>449</v>
      </c>
      <c r="G9" s="55">
        <v>31</v>
      </c>
      <c r="H9" s="55">
        <v>0</v>
      </c>
      <c r="I9" s="55">
        <v>0</v>
      </c>
      <c r="J9" s="55"/>
      <c r="K9" s="55"/>
      <c r="L9" s="55"/>
      <c r="M9" s="55"/>
      <c r="N9" s="55"/>
      <c r="O9" s="55"/>
    </row>
    <row r="10" spans="1:17" x14ac:dyDescent="0.2">
      <c r="A10" t="s">
        <v>894</v>
      </c>
      <c r="E10" s="97"/>
      <c r="F10" t="s">
        <v>409</v>
      </c>
      <c r="G10">
        <v>13</v>
      </c>
      <c r="H10">
        <v>3</v>
      </c>
      <c r="I10">
        <v>23.1</v>
      </c>
    </row>
    <row r="11" spans="1:17" x14ac:dyDescent="0.2">
      <c r="A11" t="s">
        <v>895</v>
      </c>
      <c r="E11" s="97"/>
      <c r="F11" s="46" t="s">
        <v>421</v>
      </c>
      <c r="G11" s="59">
        <v>58</v>
      </c>
      <c r="H11" s="59">
        <v>10</v>
      </c>
      <c r="I11" s="59">
        <v>17.2</v>
      </c>
      <c r="J11" s="42"/>
      <c r="K11" s="42"/>
      <c r="L11" s="42"/>
      <c r="M11" s="47"/>
      <c r="N11" s="47"/>
      <c r="O11" s="46"/>
    </row>
    <row r="12" spans="1:17" x14ac:dyDescent="0.2">
      <c r="A12" t="s">
        <v>896</v>
      </c>
      <c r="E12" s="97"/>
      <c r="F12" s="74" t="s">
        <v>470</v>
      </c>
      <c r="G12" s="42">
        <v>294</v>
      </c>
      <c r="H12" s="42">
        <v>18</v>
      </c>
      <c r="I12" s="59">
        <v>6.1</v>
      </c>
      <c r="J12" s="59"/>
      <c r="K12" s="59"/>
      <c r="L12" s="59"/>
      <c r="M12" s="46"/>
      <c r="N12" s="46"/>
      <c r="O12" s="46"/>
    </row>
    <row r="13" spans="1:17" x14ac:dyDescent="0.2">
      <c r="A13" t="s">
        <v>897</v>
      </c>
      <c r="E13" s="97"/>
      <c r="F13" s="47" t="s">
        <v>898</v>
      </c>
      <c r="G13" s="47" t="s">
        <v>2045</v>
      </c>
      <c r="H13" s="47" t="s">
        <v>2046</v>
      </c>
      <c r="I13" s="46" t="s">
        <v>1913</v>
      </c>
      <c r="J13" s="46"/>
      <c r="K13" s="46"/>
      <c r="L13" s="46"/>
      <c r="M13" s="46"/>
      <c r="N13" s="46"/>
      <c r="O13" s="46"/>
    </row>
    <row r="14" spans="1:17" x14ac:dyDescent="0.2">
      <c r="A14" t="s">
        <v>899</v>
      </c>
      <c r="E14" s="97"/>
      <c r="F14" s="68"/>
      <c r="G14" s="68"/>
      <c r="H14" s="68"/>
      <c r="I14" s="46"/>
      <c r="J14" s="47"/>
      <c r="K14" s="47"/>
      <c r="L14" s="47"/>
      <c r="M14" s="47"/>
      <c r="N14" s="47"/>
      <c r="O14" s="46"/>
    </row>
    <row r="15" spans="1:17" x14ac:dyDescent="0.2">
      <c r="A15" t="s">
        <v>901</v>
      </c>
      <c r="E15" s="97"/>
      <c r="G15" s="68"/>
      <c r="H15" s="68"/>
      <c r="I15" s="46"/>
      <c r="J15" s="47"/>
      <c r="K15" s="47"/>
      <c r="L15" s="47"/>
      <c r="M15" s="47"/>
      <c r="N15" s="47"/>
      <c r="O15" s="46"/>
    </row>
    <row r="16" spans="1:17" x14ac:dyDescent="0.2">
      <c r="A16" t="s">
        <v>1146</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Q4" xr:uid="{5EED894F-EEED-4B35-A884-0CFC8B4A411E}">
      <formula1>"integer, number, percent1"</formula1>
    </dataValidation>
    <dataValidation type="list" allowBlank="1" showInputMessage="1" showErrorMessage="1" sqref="B10" xr:uid="{2D39C077-3578-4424-8E95-8A4BA8F719F4}">
      <formula1>"Line,Clustered Bar,Stacked Bar,Bar,Horizontal Stacked Bar"</formula1>
    </dataValidation>
    <dataValidation type="list" allowBlank="1" showInputMessage="1" showErrorMessage="1" sqref="B2" xr:uid="{D52D5D3A-E87A-4C8B-9FB4-843C63FE7897}">
      <formula1>"Table,Figure,Both"</formula1>
    </dataValidation>
    <dataValidation type="list" allowBlank="1" showInputMessage="1" showErrorMessage="1" sqref="B6 B15:B16" xr:uid="{2DBBF723-6681-4427-BF4B-E83AA745F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6805460-616F-491D-B339-44ED5F5DAB63}">
          <x14:formula1>
            <xm:f>Master!$F$2:$F$401</xm:f>
          </x14:formula1>
          <xm:sqref>B1:O1</xm:sqref>
        </x14:dataValidation>
        <x14:dataValidation type="list" allowBlank="1" showInputMessage="1" showErrorMessage="1" xr:uid="{01BF55A1-CCA1-46B7-81B9-5C0BE1FD7754}">
          <x14:formula1>
            <xm:f>Dropdowns!$A$1:$A$8</xm:f>
          </x14:formula1>
          <xm:sqref>F4:O4</xm:sqref>
        </x14:dataValidation>
      </x14:dataValidations>
    </ext>
  </extLst>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28657-DB56-4DC6-AB82-A9CAAF1E42CB}">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576</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tbl-rabies-pep-rate</v>
      </c>
    </row>
    <row r="4" spans="1:17" x14ac:dyDescent="0.2">
      <c r="A4" s="58" t="s">
        <v>6</v>
      </c>
      <c r="B4" t="str">
        <f>IF($B$1="","",_xlfn.XLOOKUP($B$1,Master!$F$2:$F$308,Master!$H$2:$H$308,""))</f>
        <v>fig-rabies-pep-rate</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7"/>
      <c r="E5" s="99" t="s">
        <v>886</v>
      </c>
      <c r="F5" t="s">
        <v>887</v>
      </c>
      <c r="G5" t="s">
        <v>220</v>
      </c>
      <c r="H5" t="s">
        <v>18</v>
      </c>
      <c r="I5" t="s">
        <v>537</v>
      </c>
      <c r="J5" t="s">
        <v>449</v>
      </c>
      <c r="K5" t="s">
        <v>409</v>
      </c>
      <c r="L5" t="s">
        <v>421</v>
      </c>
      <c r="M5" t="s">
        <v>470</v>
      </c>
      <c r="N5" t="s">
        <v>898</v>
      </c>
    </row>
    <row r="6" spans="1:17" ht="15" customHeight="1" x14ac:dyDescent="0.2">
      <c r="A6" t="s">
        <v>891</v>
      </c>
      <c r="B6" t="b">
        <v>0</v>
      </c>
      <c r="E6" s="97"/>
      <c r="F6">
        <v>2021</v>
      </c>
      <c r="G6" s="55">
        <v>2.4</v>
      </c>
      <c r="H6" s="55">
        <v>2.1</v>
      </c>
      <c r="I6" s="55">
        <v>2.2999999999999998</v>
      </c>
      <c r="J6" s="55">
        <v>1.4</v>
      </c>
      <c r="K6" s="55">
        <v>2</v>
      </c>
      <c r="L6" s="55">
        <v>3.8</v>
      </c>
      <c r="M6" s="55">
        <v>1.9</v>
      </c>
      <c r="N6" s="55">
        <v>2.1</v>
      </c>
      <c r="O6" s="55"/>
    </row>
    <row r="7" spans="1:17" ht="15.75" customHeight="1" x14ac:dyDescent="0.2">
      <c r="E7" s="97"/>
      <c r="F7">
        <v>2022</v>
      </c>
      <c r="G7" s="55">
        <v>4.0999999999999996</v>
      </c>
      <c r="H7" s="55">
        <v>2.4</v>
      </c>
      <c r="I7" s="55">
        <v>2.9</v>
      </c>
      <c r="J7" s="55">
        <v>2.7</v>
      </c>
      <c r="K7" s="55">
        <v>2.4</v>
      </c>
      <c r="L7" s="55">
        <v>2.5</v>
      </c>
      <c r="M7" s="55">
        <v>2.1</v>
      </c>
      <c r="N7" s="55">
        <v>2.5</v>
      </c>
      <c r="O7" s="55"/>
    </row>
    <row r="8" spans="1:17" x14ac:dyDescent="0.2">
      <c r="E8" s="97"/>
      <c r="F8">
        <v>2023</v>
      </c>
      <c r="G8" s="55">
        <v>3.3</v>
      </c>
      <c r="H8" s="55">
        <v>3</v>
      </c>
      <c r="I8" s="55">
        <v>2.4</v>
      </c>
      <c r="J8" s="55">
        <v>4.4000000000000004</v>
      </c>
      <c r="K8" s="55">
        <v>3.3</v>
      </c>
      <c r="L8" s="55">
        <v>1.7</v>
      </c>
      <c r="M8" s="55">
        <v>1.9</v>
      </c>
      <c r="N8" s="55">
        <v>2.7</v>
      </c>
      <c r="O8" s="55"/>
      <c r="P8" s="14"/>
    </row>
    <row r="9" spans="1:17" x14ac:dyDescent="0.2">
      <c r="A9" s="98" t="s">
        <v>893</v>
      </c>
      <c r="B9" s="97"/>
      <c r="E9" s="97"/>
      <c r="F9">
        <v>2024</v>
      </c>
      <c r="G9" s="55">
        <v>3</v>
      </c>
      <c r="H9" s="55">
        <v>4.9000000000000004</v>
      </c>
      <c r="I9" s="55">
        <v>3.4</v>
      </c>
      <c r="J9" s="55">
        <v>1.9</v>
      </c>
      <c r="K9" s="55">
        <v>4.5999999999999996</v>
      </c>
      <c r="L9" s="55">
        <v>0.8</v>
      </c>
      <c r="M9" s="55">
        <v>2.5</v>
      </c>
      <c r="N9" s="55">
        <v>2.9</v>
      </c>
      <c r="O9" s="55"/>
    </row>
    <row r="10" spans="1:17" x14ac:dyDescent="0.2">
      <c r="A10" t="s">
        <v>894</v>
      </c>
      <c r="B10" t="s">
        <v>972</v>
      </c>
      <c r="E10" s="97"/>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715</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Q4" xr:uid="{780C3F6B-FCB4-444C-997B-C1CED7DF45F1}">
      <formula1>"integer, number, percent1"</formula1>
    </dataValidation>
    <dataValidation type="list" allowBlank="1" showInputMessage="1" showErrorMessage="1" sqref="B10" xr:uid="{47987E0A-D28E-4D19-ACAB-A81269B0CFFC}">
      <formula1>"Line,Clustered Bar,Stacked Bar,Bar,Horizontal Stacked Bar"</formula1>
    </dataValidation>
    <dataValidation type="list" allowBlank="1" showInputMessage="1" showErrorMessage="1" sqref="B2" xr:uid="{C5E0BBF6-0E37-43B0-A204-9F21E84B0DBF}">
      <formula1>"Table,Figure,Both"</formula1>
    </dataValidation>
    <dataValidation type="list" allowBlank="1" showInputMessage="1" showErrorMessage="1" sqref="B6 B15:B16" xr:uid="{0F3AA0CB-7EC4-4C19-AC38-3BD31ED816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126EAC6-DA74-4053-A4D6-0E35EBD549E9}">
          <x14:formula1>
            <xm:f>Master!$F$2:$F$401</xm:f>
          </x14:formula1>
          <xm:sqref>B1:O1</xm:sqref>
        </x14:dataValidation>
        <x14:dataValidation type="list" allowBlank="1" showInputMessage="1" showErrorMessage="1" xr:uid="{14D252FD-70F3-42DC-B67C-8D2C3B8D654F}">
          <x14:formula1>
            <xm:f>Dropdowns!$A$1:$A$8</xm:f>
          </x14:formula1>
          <xm:sqref>F4:O4</xm:sqref>
        </x14:dataValidation>
      </x14:dataValidations>
    </ext>
  </extLst>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6C90-F8EA-40FB-AB20-BF3F427552B9}">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580</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tbl-early-pnc-percent</v>
      </c>
    </row>
    <row r="4" spans="1:17" x14ac:dyDescent="0.2">
      <c r="A4" s="58" t="s">
        <v>6</v>
      </c>
      <c r="B4" t="str">
        <f>IF($B$1="","",_xlfn.XLOOKUP($B$1,Master!$F$2:$F$308,Master!$H$2:$H$308,""))</f>
        <v>fig-early-pnc-percent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G5" s="100" t="s">
        <v>1792</v>
      </c>
      <c r="H5" s="100"/>
      <c r="I5" s="100"/>
      <c r="J5" s="100"/>
      <c r="K5" s="100"/>
      <c r="L5" s="100"/>
      <c r="M5" s="100"/>
      <c r="N5" s="100" t="s">
        <v>1945</v>
      </c>
      <c r="O5" s="100"/>
    </row>
    <row r="6" spans="1:17" ht="15" customHeight="1" x14ac:dyDescent="0.2">
      <c r="A6" t="s">
        <v>891</v>
      </c>
      <c r="B6" t="b">
        <v>1</v>
      </c>
      <c r="E6" s="97"/>
      <c r="F6" t="s">
        <v>1123</v>
      </c>
      <c r="G6" s="55" t="s">
        <v>220</v>
      </c>
      <c r="H6" s="55" t="s">
        <v>18</v>
      </c>
      <c r="I6" s="55" t="s">
        <v>537</v>
      </c>
      <c r="J6" s="55" t="s">
        <v>449</v>
      </c>
      <c r="K6" s="55" t="s">
        <v>409</v>
      </c>
      <c r="L6" s="55" t="s">
        <v>421</v>
      </c>
      <c r="M6" s="55" t="s">
        <v>470</v>
      </c>
      <c r="N6" s="55" t="s">
        <v>914</v>
      </c>
      <c r="O6" s="55" t="s">
        <v>915</v>
      </c>
    </row>
    <row r="7" spans="1:17" ht="15.75" customHeight="1" x14ac:dyDescent="0.2">
      <c r="E7" s="97"/>
      <c r="F7">
        <v>2014</v>
      </c>
      <c r="G7" s="55">
        <v>78.900000000000006</v>
      </c>
      <c r="H7" s="55">
        <v>73.599999999999994</v>
      </c>
      <c r="I7" s="55">
        <v>78.099999999999994</v>
      </c>
      <c r="J7" s="55">
        <v>67.3</v>
      </c>
      <c r="K7" s="55">
        <v>66.5</v>
      </c>
      <c r="L7" s="55">
        <v>77.8</v>
      </c>
      <c r="M7" s="55">
        <v>66.2</v>
      </c>
      <c r="N7" s="55">
        <v>75.8</v>
      </c>
      <c r="O7" s="55">
        <v>73.900000000000006</v>
      </c>
    </row>
    <row r="8" spans="1:17" x14ac:dyDescent="0.2">
      <c r="E8" s="97"/>
      <c r="F8">
        <v>2015</v>
      </c>
      <c r="G8" s="55">
        <v>81.3</v>
      </c>
      <c r="H8" s="55">
        <v>73.400000000000006</v>
      </c>
      <c r="I8" s="55">
        <v>79.7</v>
      </c>
      <c r="J8" s="55">
        <v>69.3</v>
      </c>
      <c r="K8" s="55">
        <v>66.5</v>
      </c>
      <c r="L8" s="55">
        <v>77.5</v>
      </c>
      <c r="M8" s="55">
        <v>70.099999999999994</v>
      </c>
      <c r="N8" s="55">
        <v>76.900000000000006</v>
      </c>
      <c r="O8" s="55">
        <v>75.400000000000006</v>
      </c>
      <c r="P8" s="14"/>
    </row>
    <row r="9" spans="1:17" x14ac:dyDescent="0.2">
      <c r="A9" s="98" t="s">
        <v>893</v>
      </c>
      <c r="B9" s="97"/>
      <c r="E9" s="97"/>
      <c r="F9">
        <v>2016</v>
      </c>
      <c r="G9" s="55">
        <v>83.1</v>
      </c>
      <c r="H9" s="55">
        <v>74.5</v>
      </c>
      <c r="I9" s="55">
        <v>83.6</v>
      </c>
      <c r="J9" s="55">
        <v>72.2</v>
      </c>
      <c r="K9" s="55">
        <v>67.400000000000006</v>
      </c>
      <c r="L9" s="55">
        <v>75.599999999999994</v>
      </c>
      <c r="M9" s="55">
        <v>75.8</v>
      </c>
      <c r="N9" s="55">
        <v>78.400000000000006</v>
      </c>
      <c r="O9" s="55">
        <v>76.400000000000006</v>
      </c>
    </row>
    <row r="10" spans="1:17" x14ac:dyDescent="0.2">
      <c r="A10" t="s">
        <v>894</v>
      </c>
      <c r="B10" t="s">
        <v>972</v>
      </c>
      <c r="E10" s="97"/>
      <c r="F10">
        <v>2017</v>
      </c>
      <c r="G10">
        <v>84.7</v>
      </c>
      <c r="H10">
        <v>73.599999999999994</v>
      </c>
      <c r="I10">
        <v>85.7</v>
      </c>
      <c r="J10">
        <v>74.099999999999994</v>
      </c>
      <c r="K10">
        <v>67.900000000000006</v>
      </c>
      <c r="L10">
        <v>74</v>
      </c>
      <c r="M10">
        <v>80.900000000000006</v>
      </c>
      <c r="N10">
        <v>77.8</v>
      </c>
      <c r="O10">
        <v>76.3</v>
      </c>
    </row>
    <row r="11" spans="1:17" x14ac:dyDescent="0.2">
      <c r="A11" t="s">
        <v>895</v>
      </c>
      <c r="B11" t="s">
        <v>887</v>
      </c>
      <c r="E11" s="97"/>
      <c r="F11" s="46" t="s">
        <v>1968</v>
      </c>
      <c r="G11" s="59">
        <v>84.4</v>
      </c>
      <c r="H11" s="59">
        <v>72.400000000000006</v>
      </c>
      <c r="I11" s="59">
        <v>86.8</v>
      </c>
      <c r="J11" s="42">
        <v>74.5</v>
      </c>
      <c r="K11" s="42">
        <v>67.7</v>
      </c>
      <c r="L11" s="42">
        <v>72.5</v>
      </c>
      <c r="M11" s="47" t="s">
        <v>2047</v>
      </c>
      <c r="N11" s="47" t="s">
        <v>2048</v>
      </c>
      <c r="O11" s="46" t="s">
        <v>2049</v>
      </c>
    </row>
    <row r="12" spans="1:17" x14ac:dyDescent="0.2">
      <c r="A12" t="s">
        <v>896</v>
      </c>
      <c r="E12" s="97"/>
      <c r="F12" s="74" t="s">
        <v>1970</v>
      </c>
      <c r="G12" s="42">
        <v>84.2</v>
      </c>
      <c r="H12" s="42">
        <v>70.900000000000006</v>
      </c>
      <c r="I12" s="59">
        <v>85.3</v>
      </c>
      <c r="J12" s="59">
        <v>74.5</v>
      </c>
      <c r="K12" s="59">
        <v>66.2</v>
      </c>
      <c r="L12" s="59">
        <v>72.900000000000006</v>
      </c>
      <c r="M12" s="46" t="s">
        <v>2050</v>
      </c>
      <c r="N12" s="46" t="s">
        <v>2051</v>
      </c>
      <c r="O12" s="46" t="s">
        <v>2052</v>
      </c>
    </row>
    <row r="13" spans="1:17" x14ac:dyDescent="0.2">
      <c r="A13" t="s">
        <v>897</v>
      </c>
      <c r="E13" s="97"/>
      <c r="F13" s="47" t="s">
        <v>1972</v>
      </c>
      <c r="G13" s="47" t="s">
        <v>2053</v>
      </c>
      <c r="H13" s="47" t="s">
        <v>2054</v>
      </c>
      <c r="I13" s="46" t="s">
        <v>2055</v>
      </c>
      <c r="J13" s="46" t="s">
        <v>2056</v>
      </c>
      <c r="K13" s="46" t="s">
        <v>2057</v>
      </c>
      <c r="L13" s="46" t="s">
        <v>2058</v>
      </c>
      <c r="M13" s="46" t="s">
        <v>2059</v>
      </c>
      <c r="N13" s="46" t="s">
        <v>2060</v>
      </c>
      <c r="O13" s="46" t="s">
        <v>2061</v>
      </c>
    </row>
    <row r="14" spans="1:17" x14ac:dyDescent="0.2">
      <c r="A14" t="s">
        <v>899</v>
      </c>
      <c r="B14" t="s">
        <v>715</v>
      </c>
      <c r="E14" s="97"/>
      <c r="F14" s="68" t="s">
        <v>1142</v>
      </c>
      <c r="G14" s="68" t="s">
        <v>2062</v>
      </c>
      <c r="H14" s="68" t="s">
        <v>2063</v>
      </c>
      <c r="I14" s="46" t="s">
        <v>2064</v>
      </c>
      <c r="J14" s="47" t="s">
        <v>2065</v>
      </c>
      <c r="K14" s="47" t="s">
        <v>2066</v>
      </c>
      <c r="L14" s="47" t="s">
        <v>2067</v>
      </c>
      <c r="M14" s="47" t="s">
        <v>2068</v>
      </c>
      <c r="N14" s="47" t="s">
        <v>2069</v>
      </c>
      <c r="O14" s="46" t="s">
        <v>2070</v>
      </c>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5A7E7EAB-EA25-41B1-9267-5C64EBBCC63D}">
      <formula1>"True,False"</formula1>
    </dataValidation>
    <dataValidation type="list" allowBlank="1" showInputMessage="1" showErrorMessage="1" sqref="B2" xr:uid="{65F79499-8DFE-4B81-951B-72DAB12F485B}">
      <formula1>"Table,Figure,Both"</formula1>
    </dataValidation>
    <dataValidation type="list" allowBlank="1" showInputMessage="1" showErrorMessage="1" sqref="B10" xr:uid="{DF4209E1-A3C4-4D82-89B1-6536F2CD6FD5}">
      <formula1>"Line,Clustered Bar,Stacked Bar,Bar,Horizontal Stacked Bar"</formula1>
    </dataValidation>
    <dataValidation type="list" allowBlank="1" showInputMessage="1" showErrorMessage="1" sqref="P4:Q4" xr:uid="{11C2AB26-3851-4F54-B837-A1654E850C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EFA481-03BE-42F9-BC7B-4689B06901F9}">
          <x14:formula1>
            <xm:f>Dropdowns!$A$1:$A$8</xm:f>
          </x14:formula1>
          <xm:sqref>F4:O4</xm:sqref>
        </x14:dataValidation>
        <x14:dataValidation type="list" allowBlank="1" showInputMessage="1" showErrorMessage="1" xr:uid="{17242E09-C43B-4A0E-A455-2255CC3941BB}">
          <x14:formula1>
            <xm:f>Master!$F$2:$F$401</xm:f>
          </x14:formula1>
          <xm:sqref>B1:O1</xm:sqref>
        </x14:dataValidation>
      </x14:dataValidations>
    </ext>
  </extLst>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49A0A-C393-49E4-8BED-33C33FB3F09B}">
  <dimension ref="A1:Q57"/>
  <sheetViews>
    <sheetView workbookViewId="0">
      <selection activeCell="F25" sqref="F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581</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tbl-late-no-pnc-percent</v>
      </c>
    </row>
    <row r="4" spans="1:17" x14ac:dyDescent="0.2">
      <c r="A4" s="58" t="s">
        <v>6</v>
      </c>
      <c r="B4" t="str">
        <f>IF($B$1="","",_xlfn.XLOOKUP($B$1,Master!$F$2:$F$308,Master!$H$2:$H$308,""))</f>
        <v>fig-late-no-pnc-percent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G5" s="100" t="s">
        <v>1792</v>
      </c>
      <c r="H5" s="100"/>
      <c r="I5" s="100"/>
      <c r="J5" s="100"/>
      <c r="K5" s="100"/>
      <c r="L5" s="100"/>
      <c r="M5" s="100"/>
      <c r="N5" s="100" t="s">
        <v>1945</v>
      </c>
      <c r="O5" s="100"/>
    </row>
    <row r="6" spans="1:17" ht="15" customHeight="1" x14ac:dyDescent="0.2">
      <c r="A6" t="s">
        <v>891</v>
      </c>
      <c r="B6" t="b">
        <v>1</v>
      </c>
      <c r="E6" s="97"/>
      <c r="F6" t="s">
        <v>887</v>
      </c>
      <c r="G6" s="55" t="s">
        <v>220</v>
      </c>
      <c r="H6" s="55" t="s">
        <v>18</v>
      </c>
      <c r="I6" s="55" t="s">
        <v>537</v>
      </c>
      <c r="J6" s="55" t="s">
        <v>449</v>
      </c>
      <c r="K6" s="55" t="s">
        <v>409</v>
      </c>
      <c r="L6" s="55" t="s">
        <v>421</v>
      </c>
      <c r="M6" s="55" t="s">
        <v>470</v>
      </c>
      <c r="N6" s="55" t="s">
        <v>914</v>
      </c>
      <c r="O6" s="55" t="s">
        <v>915</v>
      </c>
    </row>
    <row r="7" spans="1:17" ht="15.75" customHeight="1" x14ac:dyDescent="0.2">
      <c r="E7" s="97"/>
      <c r="F7">
        <v>2014</v>
      </c>
      <c r="G7" s="55">
        <v>3.2</v>
      </c>
      <c r="H7" s="55">
        <v>3.9</v>
      </c>
      <c r="I7" s="55">
        <v>2.2999999999999998</v>
      </c>
      <c r="J7" s="55">
        <v>4.7</v>
      </c>
      <c r="K7" s="55">
        <v>5.8</v>
      </c>
      <c r="L7" s="55">
        <v>3.9</v>
      </c>
      <c r="M7" s="55">
        <v>4.0999999999999996</v>
      </c>
      <c r="N7" s="55">
        <v>4.0999999999999996</v>
      </c>
      <c r="O7" s="55">
        <v>5.6</v>
      </c>
    </row>
    <row r="8" spans="1:17" x14ac:dyDescent="0.2">
      <c r="E8" s="97"/>
      <c r="F8">
        <v>2015</v>
      </c>
      <c r="G8" s="55">
        <v>3.1</v>
      </c>
      <c r="H8" s="55">
        <v>4.0999999999999996</v>
      </c>
      <c r="I8" s="55">
        <v>2.6</v>
      </c>
      <c r="J8" s="55">
        <v>4.5999999999999996</v>
      </c>
      <c r="K8" s="55">
        <v>6.1</v>
      </c>
      <c r="L8" s="55">
        <v>3.9</v>
      </c>
      <c r="M8" s="55">
        <v>4</v>
      </c>
      <c r="N8" s="55">
        <v>4</v>
      </c>
      <c r="O8" s="55">
        <v>5.4</v>
      </c>
      <c r="P8" s="14"/>
    </row>
    <row r="9" spans="1:17" x14ac:dyDescent="0.2">
      <c r="A9" s="98" t="s">
        <v>893</v>
      </c>
      <c r="B9" s="97"/>
      <c r="E9" s="97"/>
      <c r="F9">
        <v>2016</v>
      </c>
      <c r="G9" s="55">
        <v>3.4</v>
      </c>
      <c r="H9" s="55">
        <v>4.4000000000000004</v>
      </c>
      <c r="I9" s="55">
        <v>2.7</v>
      </c>
      <c r="J9" s="55">
        <v>4.2</v>
      </c>
      <c r="K9" s="55">
        <v>6.3</v>
      </c>
      <c r="L9" s="55">
        <v>4.9000000000000004</v>
      </c>
      <c r="M9" s="55">
        <v>3.9</v>
      </c>
      <c r="N9" s="55">
        <v>4.4000000000000004</v>
      </c>
      <c r="O9" s="55">
        <v>5.7</v>
      </c>
    </row>
    <row r="10" spans="1:17" x14ac:dyDescent="0.2">
      <c r="A10" t="s">
        <v>894</v>
      </c>
      <c r="B10" t="s">
        <v>972</v>
      </c>
      <c r="E10" s="97"/>
      <c r="F10">
        <v>2017</v>
      </c>
      <c r="G10">
        <v>3.7</v>
      </c>
      <c r="H10">
        <v>5</v>
      </c>
      <c r="I10">
        <v>2.6</v>
      </c>
      <c r="J10">
        <v>3.9</v>
      </c>
      <c r="K10">
        <v>5.9</v>
      </c>
      <c r="L10">
        <v>4.7</v>
      </c>
      <c r="M10">
        <v>3.9</v>
      </c>
      <c r="N10">
        <v>4.4000000000000004</v>
      </c>
      <c r="O10">
        <v>5.4</v>
      </c>
    </row>
    <row r="11" spans="1:17" x14ac:dyDescent="0.2">
      <c r="A11" t="s">
        <v>895</v>
      </c>
      <c r="B11" t="s">
        <v>887</v>
      </c>
      <c r="E11" s="97"/>
      <c r="F11" s="46" t="s">
        <v>1968</v>
      </c>
      <c r="G11" s="59">
        <v>3.7</v>
      </c>
      <c r="H11" s="59">
        <v>5.3</v>
      </c>
      <c r="I11" s="59">
        <v>2.5</v>
      </c>
      <c r="J11" s="42">
        <v>3.8</v>
      </c>
      <c r="K11" s="42">
        <v>5.2</v>
      </c>
      <c r="L11" s="42">
        <v>5.2</v>
      </c>
      <c r="M11" s="47" t="s">
        <v>2071</v>
      </c>
      <c r="N11" s="47" t="s">
        <v>2016</v>
      </c>
      <c r="O11" s="46" t="s">
        <v>2009</v>
      </c>
    </row>
    <row r="12" spans="1:17" x14ac:dyDescent="0.2">
      <c r="A12" t="s">
        <v>896</v>
      </c>
      <c r="E12" s="97"/>
      <c r="F12" s="74" t="s">
        <v>1970</v>
      </c>
      <c r="G12" s="42">
        <v>3.7</v>
      </c>
      <c r="H12" s="42">
        <v>5.3</v>
      </c>
      <c r="I12" s="59">
        <v>2.4</v>
      </c>
      <c r="J12" s="59">
        <v>3.8</v>
      </c>
      <c r="K12" s="59">
        <v>5.8</v>
      </c>
      <c r="L12" s="59">
        <v>4.7</v>
      </c>
      <c r="M12" s="46" t="s">
        <v>2016</v>
      </c>
      <c r="N12" s="46" t="s">
        <v>2072</v>
      </c>
      <c r="O12" s="46" t="s">
        <v>2073</v>
      </c>
    </row>
    <row r="13" spans="1:17" x14ac:dyDescent="0.2">
      <c r="A13" t="s">
        <v>897</v>
      </c>
      <c r="E13" s="97"/>
      <c r="F13" s="47" t="s">
        <v>1972</v>
      </c>
      <c r="G13" s="47" t="s">
        <v>2074</v>
      </c>
      <c r="H13" s="47" t="s">
        <v>1971</v>
      </c>
      <c r="I13" s="46" t="s">
        <v>1521</v>
      </c>
      <c r="J13" s="46" t="s">
        <v>2075</v>
      </c>
      <c r="K13" s="46" t="s">
        <v>2076</v>
      </c>
      <c r="L13" s="46" t="s">
        <v>2077</v>
      </c>
      <c r="M13" s="46" t="s">
        <v>1974</v>
      </c>
      <c r="N13" s="46" t="s">
        <v>2078</v>
      </c>
      <c r="O13" s="46" t="s">
        <v>2014</v>
      </c>
    </row>
    <row r="14" spans="1:17" x14ac:dyDescent="0.2">
      <c r="A14" t="s">
        <v>899</v>
      </c>
      <c r="B14" t="s">
        <v>715</v>
      </c>
      <c r="E14" s="97"/>
      <c r="F14" s="68" t="s">
        <v>1142</v>
      </c>
      <c r="G14" s="68" t="s">
        <v>2072</v>
      </c>
      <c r="H14" s="68" t="s">
        <v>1975</v>
      </c>
      <c r="I14" s="46" t="s">
        <v>1499</v>
      </c>
      <c r="J14" s="47" t="s">
        <v>2072</v>
      </c>
      <c r="K14" s="47" t="s">
        <v>1481</v>
      </c>
      <c r="L14" s="47" t="s">
        <v>1520</v>
      </c>
      <c r="M14" s="47" t="s">
        <v>1976</v>
      </c>
      <c r="N14" s="47" t="s">
        <v>2072</v>
      </c>
      <c r="O14" s="46" t="s">
        <v>2009</v>
      </c>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C63A1484-1FBD-4DA2-953B-14E94E916A58}">
      <formula1>"integer, number, percent1"</formula1>
    </dataValidation>
    <dataValidation type="list" allowBlank="1" showInputMessage="1" showErrorMessage="1" sqref="B10" xr:uid="{7D783893-A19C-41B4-84F5-15382175B13C}">
      <formula1>"Line,Clustered Bar,Stacked Bar,Bar,Horizontal Stacked Bar"</formula1>
    </dataValidation>
    <dataValidation type="list" allowBlank="1" showInputMessage="1" showErrorMessage="1" sqref="B2" xr:uid="{285845A5-B5D3-4287-A2C5-A7043FC9D71F}">
      <formula1>"Table,Figure,Both"</formula1>
    </dataValidation>
    <dataValidation type="list" allowBlank="1" showInputMessage="1" showErrorMessage="1" sqref="B6 B15:B16" xr:uid="{01AFF703-138C-4D31-B27E-11484BB68B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F3C8F05-695B-4D18-865F-4C257573B589}">
          <x14:formula1>
            <xm:f>Master!$F$2:$F$401</xm:f>
          </x14:formula1>
          <xm:sqref>B1:O1</xm:sqref>
        </x14:dataValidation>
        <x14:dataValidation type="list" allowBlank="1" showInputMessage="1" showErrorMessage="1" xr:uid="{E60D7742-6749-420D-8F5A-588701EC5B66}">
          <x14:formula1>
            <xm:f>Dropdowns!$A$1:$A$8</xm:f>
          </x14:formula1>
          <xm:sqref>F4:O4</xm:sqref>
        </x14:dataValidation>
      </x14:dataValidations>
    </ext>
  </extLst>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E209F-34DC-461E-A937-3639544EB5F9}">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582</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tbl-epc-rande-percent</v>
      </c>
    </row>
    <row r="4" spans="1:17" x14ac:dyDescent="0.2">
      <c r="A4" s="58" t="s">
        <v>6</v>
      </c>
      <c r="B4" t="str">
        <f>IF($B$1="","",_xlfn.XLOOKUP($B$1,Master!$F$2:$F$308,Master!$H$2:$H$308,""))</f>
        <v>fig-epc-rande-percent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F5" t="s">
        <v>1245</v>
      </c>
      <c r="G5" t="s">
        <v>220</v>
      </c>
      <c r="H5" t="s">
        <v>18</v>
      </c>
      <c r="I5" t="s">
        <v>537</v>
      </c>
      <c r="J5" t="s">
        <v>449</v>
      </c>
      <c r="K5" t="s">
        <v>409</v>
      </c>
      <c r="L5" t="s">
        <v>421</v>
      </c>
      <c r="M5" t="s">
        <v>470</v>
      </c>
      <c r="N5" t="s">
        <v>914</v>
      </c>
      <c r="O5" t="s">
        <v>915</v>
      </c>
    </row>
    <row r="6" spans="1:17" ht="15" customHeight="1" x14ac:dyDescent="0.2">
      <c r="A6" t="s">
        <v>891</v>
      </c>
      <c r="B6" t="b">
        <v>0</v>
      </c>
      <c r="E6" s="97"/>
      <c r="F6" t="s">
        <v>929</v>
      </c>
      <c r="G6" s="55">
        <v>84.7</v>
      </c>
      <c r="H6" s="55">
        <v>73.2</v>
      </c>
      <c r="I6" s="55">
        <v>89</v>
      </c>
      <c r="J6" s="55">
        <v>74.099999999999994</v>
      </c>
      <c r="K6" s="55">
        <v>62.3</v>
      </c>
      <c r="L6" s="55">
        <v>72.8</v>
      </c>
      <c r="M6" s="55">
        <v>85.5</v>
      </c>
      <c r="N6" s="55">
        <v>81.2</v>
      </c>
      <c r="O6" s="55">
        <v>81.099999999999994</v>
      </c>
    </row>
    <row r="7" spans="1:17" ht="15.75" customHeight="1" x14ac:dyDescent="0.2">
      <c r="E7" s="97"/>
      <c r="F7" t="s">
        <v>1566</v>
      </c>
      <c r="G7" s="55">
        <v>75.5</v>
      </c>
      <c r="H7" s="55">
        <v>60.9</v>
      </c>
      <c r="I7" s="55">
        <v>86.4</v>
      </c>
      <c r="J7" s="55">
        <v>66.8</v>
      </c>
      <c r="K7" s="55">
        <v>53.2</v>
      </c>
      <c r="L7" s="55">
        <v>61.3</v>
      </c>
      <c r="M7" s="55">
        <v>69.5</v>
      </c>
      <c r="N7" s="55">
        <v>69.400000000000006</v>
      </c>
      <c r="O7" s="55">
        <v>65.2</v>
      </c>
    </row>
    <row r="8" spans="1:17" x14ac:dyDescent="0.2">
      <c r="E8" s="97"/>
      <c r="F8" t="s">
        <v>1567</v>
      </c>
      <c r="G8" s="55">
        <v>79.400000000000006</v>
      </c>
      <c r="H8" s="55">
        <v>65.3</v>
      </c>
      <c r="I8" s="55">
        <v>79.2</v>
      </c>
      <c r="J8" s="55">
        <v>79.3</v>
      </c>
      <c r="K8" s="55">
        <v>66.099999999999994</v>
      </c>
      <c r="L8" s="55">
        <v>67.7</v>
      </c>
      <c r="M8" s="55">
        <v>79.900000000000006</v>
      </c>
      <c r="N8" s="55">
        <v>77.2</v>
      </c>
      <c r="O8" s="55">
        <v>77.5</v>
      </c>
      <c r="P8" s="14"/>
    </row>
    <row r="9" spans="1:17" x14ac:dyDescent="0.2">
      <c r="A9" s="98" t="s">
        <v>893</v>
      </c>
      <c r="B9" s="97"/>
      <c r="E9" s="97"/>
      <c r="F9" t="s">
        <v>927</v>
      </c>
      <c r="G9" s="55">
        <v>74.3</v>
      </c>
      <c r="H9" s="55">
        <v>60.2</v>
      </c>
      <c r="I9" s="55">
        <v>74.599999999999994</v>
      </c>
      <c r="J9" s="55">
        <v>62.4</v>
      </c>
      <c r="K9" s="55">
        <v>60</v>
      </c>
      <c r="L9" s="55">
        <v>62.5</v>
      </c>
      <c r="M9" s="55">
        <v>72</v>
      </c>
      <c r="N9" s="55">
        <v>70.599999999999994</v>
      </c>
      <c r="O9" s="55">
        <v>67.7</v>
      </c>
    </row>
    <row r="10" spans="1:17" x14ac:dyDescent="0.2">
      <c r="A10" t="s">
        <v>894</v>
      </c>
      <c r="B10" t="s">
        <v>983</v>
      </c>
      <c r="E10" s="97"/>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694</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Q4" xr:uid="{9FD4F92B-4433-4200-8415-BC7A6B206B32}">
      <formula1>"integer, number, percent1"</formula1>
    </dataValidation>
    <dataValidation type="list" allowBlank="1" showInputMessage="1" showErrorMessage="1" sqref="B10" xr:uid="{72CAC6FD-AEFE-49B7-B265-2FC618576C19}">
      <formula1>"Line,Clustered Bar,Stacked Bar,Bar,Horizontal Stacked Bar"</formula1>
    </dataValidation>
    <dataValidation type="list" allowBlank="1" showInputMessage="1" showErrorMessage="1" sqref="B2" xr:uid="{5BFD7D4D-10FC-4D71-9FF3-5D04A10497B8}">
      <formula1>"Table,Figure,Both"</formula1>
    </dataValidation>
    <dataValidation type="list" allowBlank="1" showInputMessage="1" showErrorMessage="1" sqref="B6 B15:B16" xr:uid="{1865F8F4-18D2-4943-AFA2-E67DA6EAFD5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D6369C1-2D47-41E7-89CE-0CA3843D77E4}">
          <x14:formula1>
            <xm:f>Master!$F$2:$F$401</xm:f>
          </x14:formula1>
          <xm:sqref>B1:O1</xm:sqref>
        </x14:dataValidation>
        <x14:dataValidation type="list" allowBlank="1" showInputMessage="1" showErrorMessage="1" xr:uid="{38179A06-9CDB-4655-8775-7EAD9EE94855}">
          <x14:formula1>
            <xm:f>Dropdowns!$A$1:$A$8</xm:f>
          </x14:formula1>
          <xm:sqref>F4:O4</xm:sqref>
        </x14:dataValidation>
      </x14:dataValidations>
    </ext>
  </extLst>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D8CDA-6F5B-47E8-AEA8-CCD62ECF6F38}">
  <dimension ref="A1:Q57"/>
  <sheetViews>
    <sheetView workbookViewId="0">
      <selection activeCell="H24" sqref="H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584</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tbl-15to44-preg-rate</v>
      </c>
    </row>
    <row r="4" spans="1:17" x14ac:dyDescent="0.2">
      <c r="A4" s="58" t="s">
        <v>6</v>
      </c>
      <c r="B4" t="str">
        <f>IF($B$1="","",_xlfn.XLOOKUP($B$1,Master!$F$2:$F$308,Master!$H$2:$H$308,""))</f>
        <v>fig-15to44-preg-rate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G5" s="100" t="s">
        <v>1792</v>
      </c>
      <c r="H5" s="100"/>
      <c r="I5" s="100"/>
      <c r="J5" s="100"/>
      <c r="K5" s="100"/>
      <c r="L5" s="100"/>
      <c r="M5" s="100"/>
      <c r="N5" s="100" t="s">
        <v>1945</v>
      </c>
      <c r="O5" s="100"/>
    </row>
    <row r="6" spans="1:17" ht="15" customHeight="1" x14ac:dyDescent="0.2">
      <c r="A6" t="s">
        <v>891</v>
      </c>
      <c r="B6" t="b">
        <v>1</v>
      </c>
      <c r="E6" s="97"/>
      <c r="F6" t="s">
        <v>887</v>
      </c>
      <c r="G6" s="55" t="s">
        <v>220</v>
      </c>
      <c r="H6" s="55" t="s">
        <v>18</v>
      </c>
      <c r="I6" s="55" t="s">
        <v>537</v>
      </c>
      <c r="J6" s="55" t="s">
        <v>449</v>
      </c>
      <c r="K6" s="55" t="s">
        <v>409</v>
      </c>
      <c r="L6" s="55" t="s">
        <v>421</v>
      </c>
      <c r="M6" s="55" t="s">
        <v>470</v>
      </c>
      <c r="N6" s="55" t="s">
        <v>914</v>
      </c>
      <c r="O6" s="55" t="s">
        <v>915</v>
      </c>
    </row>
    <row r="7" spans="1:17" ht="15.75" customHeight="1" x14ac:dyDescent="0.2">
      <c r="E7" s="97"/>
      <c r="F7">
        <v>2014</v>
      </c>
      <c r="G7" s="55">
        <v>65</v>
      </c>
      <c r="H7" s="55">
        <v>91.1</v>
      </c>
      <c r="I7" s="55">
        <v>55.8</v>
      </c>
      <c r="J7" s="55">
        <v>94.3</v>
      </c>
      <c r="K7" s="55">
        <v>86.3</v>
      </c>
      <c r="L7" s="55">
        <v>66.3</v>
      </c>
      <c r="M7" s="55">
        <v>75.2</v>
      </c>
      <c r="N7" s="55">
        <v>74.3</v>
      </c>
      <c r="O7" s="55">
        <v>86.5</v>
      </c>
    </row>
    <row r="8" spans="1:17" x14ac:dyDescent="0.2">
      <c r="E8" s="97"/>
      <c r="F8">
        <v>2015</v>
      </c>
      <c r="G8" s="55">
        <v>64.400000000000006</v>
      </c>
      <c r="H8" s="55">
        <v>92.6</v>
      </c>
      <c r="I8" s="55">
        <v>56.9</v>
      </c>
      <c r="J8" s="55">
        <v>97.2</v>
      </c>
      <c r="K8" s="55">
        <v>89.1</v>
      </c>
      <c r="L8" s="55">
        <v>65</v>
      </c>
      <c r="M8" s="55">
        <v>75.3</v>
      </c>
      <c r="N8" s="55">
        <v>73.8</v>
      </c>
      <c r="O8" s="55">
        <v>84.7</v>
      </c>
      <c r="P8" s="14"/>
    </row>
    <row r="9" spans="1:17" x14ac:dyDescent="0.2">
      <c r="A9" s="98" t="s">
        <v>893</v>
      </c>
      <c r="B9" s="97"/>
      <c r="E9" s="97"/>
      <c r="F9">
        <v>2016</v>
      </c>
      <c r="G9" s="55">
        <v>64.5</v>
      </c>
      <c r="H9" s="55">
        <v>94</v>
      </c>
      <c r="I9" s="55">
        <v>56.5</v>
      </c>
      <c r="J9" s="55">
        <v>97.7</v>
      </c>
      <c r="K9" s="55">
        <v>91.1</v>
      </c>
      <c r="L9" s="55">
        <v>65.3</v>
      </c>
      <c r="M9" s="55">
        <v>72.900000000000006</v>
      </c>
      <c r="N9" s="55">
        <v>72.2</v>
      </c>
      <c r="O9" s="55">
        <v>83.3</v>
      </c>
    </row>
    <row r="10" spans="1:17" x14ac:dyDescent="0.2">
      <c r="A10" t="s">
        <v>894</v>
      </c>
      <c r="B10" t="s">
        <v>972</v>
      </c>
      <c r="E10" s="97"/>
      <c r="F10">
        <v>2017</v>
      </c>
      <c r="G10">
        <v>63.5</v>
      </c>
      <c r="H10">
        <v>93.5</v>
      </c>
      <c r="I10">
        <v>56.1</v>
      </c>
      <c r="J10">
        <v>100.2</v>
      </c>
      <c r="K10">
        <v>92.9</v>
      </c>
      <c r="L10">
        <v>65.5</v>
      </c>
      <c r="M10">
        <v>70.7</v>
      </c>
      <c r="N10">
        <v>72.7</v>
      </c>
      <c r="O10">
        <v>81.3</v>
      </c>
    </row>
    <row r="11" spans="1:17" x14ac:dyDescent="0.2">
      <c r="A11" t="s">
        <v>895</v>
      </c>
      <c r="B11" t="s">
        <v>887</v>
      </c>
      <c r="E11" s="97"/>
      <c r="F11" s="46" t="s">
        <v>1968</v>
      </c>
      <c r="G11" s="59">
        <v>64.400000000000006</v>
      </c>
      <c r="H11" s="59">
        <v>92.4</v>
      </c>
      <c r="I11" s="59">
        <v>55.1</v>
      </c>
      <c r="J11" s="42">
        <v>104</v>
      </c>
      <c r="K11" s="42">
        <v>92.9</v>
      </c>
      <c r="L11" s="42">
        <v>64.900000000000006</v>
      </c>
      <c r="M11" s="47" t="s">
        <v>1507</v>
      </c>
      <c r="N11" s="47" t="s">
        <v>2079</v>
      </c>
      <c r="O11" s="46" t="s">
        <v>2080</v>
      </c>
    </row>
    <row r="12" spans="1:17" x14ac:dyDescent="0.2">
      <c r="A12" t="s">
        <v>896</v>
      </c>
      <c r="E12" s="97"/>
      <c r="F12" s="74" t="s">
        <v>1970</v>
      </c>
      <c r="G12" s="42">
        <v>62.5</v>
      </c>
      <c r="H12" s="42">
        <v>90.1</v>
      </c>
      <c r="I12" s="59">
        <v>55.2</v>
      </c>
      <c r="J12" s="59">
        <v>106</v>
      </c>
      <c r="K12" s="59">
        <v>91.3</v>
      </c>
      <c r="L12" s="59">
        <v>62.2</v>
      </c>
      <c r="M12" s="46" t="s">
        <v>2081</v>
      </c>
      <c r="N12" s="46" t="s">
        <v>2082</v>
      </c>
      <c r="O12" s="46" t="s">
        <v>2083</v>
      </c>
    </row>
    <row r="13" spans="1:17" x14ac:dyDescent="0.2">
      <c r="A13" t="s">
        <v>897</v>
      </c>
      <c r="E13" s="97"/>
      <c r="F13" s="47" t="s">
        <v>1972</v>
      </c>
      <c r="G13" s="47" t="s">
        <v>2084</v>
      </c>
      <c r="H13" s="47" t="s">
        <v>2085</v>
      </c>
      <c r="I13" s="46" t="s">
        <v>2086</v>
      </c>
      <c r="J13" s="46" t="s">
        <v>2087</v>
      </c>
      <c r="K13" s="46" t="s">
        <v>2088</v>
      </c>
      <c r="L13" s="46" t="s">
        <v>2089</v>
      </c>
      <c r="M13" s="46" t="s">
        <v>1507</v>
      </c>
      <c r="N13" s="46" t="s">
        <v>2090</v>
      </c>
      <c r="O13" s="46" t="s">
        <v>2091</v>
      </c>
    </row>
    <row r="14" spans="1:17" x14ac:dyDescent="0.2">
      <c r="A14" t="s">
        <v>899</v>
      </c>
      <c r="B14" t="s">
        <v>701</v>
      </c>
      <c r="E14" s="97"/>
      <c r="F14" s="68" t="s">
        <v>1142</v>
      </c>
      <c r="G14" s="68" t="s">
        <v>2092</v>
      </c>
      <c r="H14" s="68" t="s">
        <v>2093</v>
      </c>
      <c r="I14" s="46" t="s">
        <v>2094</v>
      </c>
      <c r="J14" s="47" t="s">
        <v>2095</v>
      </c>
      <c r="K14" s="47" t="s">
        <v>2096</v>
      </c>
      <c r="L14" s="47" t="s">
        <v>2097</v>
      </c>
      <c r="M14" s="47" t="s">
        <v>2098</v>
      </c>
      <c r="N14" s="47" t="s">
        <v>2099</v>
      </c>
      <c r="O14" s="46" t="s">
        <v>2100</v>
      </c>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5E8D7CFE-1C03-4DF4-A85D-AC69DB2363C2}">
      <formula1>"True,False"</formula1>
    </dataValidation>
    <dataValidation type="list" allowBlank="1" showInputMessage="1" showErrorMessage="1" sqref="B2" xr:uid="{72656CA4-4DCF-4959-B19C-7853E36080E2}">
      <formula1>"Table,Figure,Both"</formula1>
    </dataValidation>
    <dataValidation type="list" allowBlank="1" showInputMessage="1" showErrorMessage="1" sqref="B10" xr:uid="{DD31F9D7-5FAB-41FC-880E-22E7CFDA01DF}">
      <formula1>"Line,Clustered Bar,Stacked Bar,Bar,Horizontal Stacked Bar"</formula1>
    </dataValidation>
    <dataValidation type="list" allowBlank="1" showInputMessage="1" showErrorMessage="1" sqref="P4:Q4" xr:uid="{00AC0803-3765-43C8-9FB2-54FCDA96202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75EB7-D3ED-4F2D-9143-9ECA82865CBF}">
          <x14:formula1>
            <xm:f>Dropdowns!$A$1:$A$8</xm:f>
          </x14:formula1>
          <xm:sqref>F4:O4</xm:sqref>
        </x14:dataValidation>
        <x14:dataValidation type="list" allowBlank="1" showInputMessage="1" showErrorMessage="1" xr:uid="{BCB4B79F-FFBE-46FE-802A-A978B626F46B}">
          <x14:formula1>
            <xm:f>Master!$F$2:$F$401</xm:f>
          </x14:formula1>
          <xm:sqref>B1:O1</xm:sqref>
        </x14:dataValidation>
      </x14:dataValidations>
    </ext>
  </extLst>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08AFF-0D00-4ABC-B2C9-4A90E03B86E1}">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585</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tbl-15to44-preg-rate-rande</v>
      </c>
    </row>
    <row r="4" spans="1:17" x14ac:dyDescent="0.2">
      <c r="A4" s="58" t="s">
        <v>6</v>
      </c>
      <c r="B4" t="str">
        <f>IF($B$1="","",_xlfn.XLOOKUP($B$1,Master!$F$2:$F$308,Master!$H$2:$H$308,""))</f>
        <v>fig-15to44-preg-rate-rande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F5" t="s">
        <v>1245</v>
      </c>
      <c r="G5" t="s">
        <v>220</v>
      </c>
      <c r="H5" t="s">
        <v>18</v>
      </c>
      <c r="I5" t="s">
        <v>537</v>
      </c>
      <c r="J5" t="s">
        <v>449</v>
      </c>
      <c r="K5" t="s">
        <v>409</v>
      </c>
      <c r="L5" t="s">
        <v>421</v>
      </c>
      <c r="M5" t="s">
        <v>470</v>
      </c>
      <c r="N5" t="s">
        <v>914</v>
      </c>
      <c r="O5" t="s">
        <v>915</v>
      </c>
    </row>
    <row r="6" spans="1:17" ht="15" customHeight="1" x14ac:dyDescent="0.2">
      <c r="A6" t="s">
        <v>891</v>
      </c>
      <c r="B6" t="b">
        <v>0</v>
      </c>
      <c r="E6" s="97"/>
      <c r="F6" t="s">
        <v>929</v>
      </c>
      <c r="G6" s="55">
        <v>50.7</v>
      </c>
      <c r="H6" s="55">
        <v>86.9</v>
      </c>
      <c r="I6" s="55">
        <v>52.9</v>
      </c>
      <c r="J6" s="55">
        <v>125.9</v>
      </c>
      <c r="K6" s="55">
        <v>82.8</v>
      </c>
      <c r="L6" s="55">
        <v>52.3</v>
      </c>
      <c r="M6" s="55">
        <v>56.6</v>
      </c>
      <c r="N6" s="55">
        <v>58.8</v>
      </c>
      <c r="O6" s="55">
        <v>60.1</v>
      </c>
    </row>
    <row r="7" spans="1:17" ht="15.75" customHeight="1" x14ac:dyDescent="0.2">
      <c r="E7" s="97"/>
      <c r="F7" t="s">
        <v>1566</v>
      </c>
      <c r="G7" s="55">
        <v>71.7</v>
      </c>
      <c r="H7" s="55">
        <v>67.900000000000006</v>
      </c>
      <c r="I7" s="55">
        <v>40.200000000000003</v>
      </c>
      <c r="J7" s="55">
        <v>60.4</v>
      </c>
      <c r="K7" s="55">
        <v>57.4</v>
      </c>
      <c r="L7" s="55">
        <v>62</v>
      </c>
      <c r="M7" s="55">
        <v>79</v>
      </c>
      <c r="N7" s="55">
        <v>81.599999999999994</v>
      </c>
      <c r="O7" s="55">
        <v>82.1</v>
      </c>
    </row>
    <row r="8" spans="1:17" x14ac:dyDescent="0.2">
      <c r="E8" s="97"/>
      <c r="F8" t="s">
        <v>1567</v>
      </c>
      <c r="G8" s="55">
        <v>37</v>
      </c>
      <c r="H8" s="55">
        <v>51.4</v>
      </c>
      <c r="I8" s="55">
        <v>50.2</v>
      </c>
      <c r="J8" s="55">
        <v>50.6</v>
      </c>
      <c r="K8" s="55">
        <v>72.7</v>
      </c>
      <c r="L8" s="55">
        <v>34.200000000000003</v>
      </c>
      <c r="M8" s="55">
        <v>55.1</v>
      </c>
      <c r="N8" s="55">
        <v>58.6</v>
      </c>
      <c r="O8" s="55">
        <v>56.3</v>
      </c>
      <c r="P8" s="14"/>
    </row>
    <row r="9" spans="1:17" x14ac:dyDescent="0.2">
      <c r="A9" s="98" t="s">
        <v>893</v>
      </c>
      <c r="B9" s="97"/>
      <c r="E9" s="97"/>
      <c r="F9" t="s">
        <v>927</v>
      </c>
      <c r="G9" s="55">
        <v>71.3</v>
      </c>
      <c r="H9" s="55">
        <v>80.7</v>
      </c>
      <c r="I9" s="55">
        <v>78.5</v>
      </c>
      <c r="J9" s="55">
        <v>98.7</v>
      </c>
      <c r="K9" s="55">
        <v>81.3</v>
      </c>
      <c r="L9" s="55">
        <v>64.400000000000006</v>
      </c>
      <c r="M9" s="55">
        <v>80.5</v>
      </c>
      <c r="N9" s="55">
        <v>81.5</v>
      </c>
      <c r="O9" s="55">
        <v>78.8</v>
      </c>
    </row>
    <row r="10" spans="1:17" x14ac:dyDescent="0.2">
      <c r="A10" t="s">
        <v>894</v>
      </c>
      <c r="B10" t="s">
        <v>983</v>
      </c>
      <c r="E10" s="97"/>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701</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E0022783-1A30-4155-88F4-71584EBC80A0}">
      <formula1>"True,False"</formula1>
    </dataValidation>
    <dataValidation type="list" allowBlank="1" showInputMessage="1" showErrorMessage="1" sqref="B2" xr:uid="{807AA643-E29E-420C-9699-5633D5BB464C}">
      <formula1>"Table,Figure,Both"</formula1>
    </dataValidation>
    <dataValidation type="list" allowBlank="1" showInputMessage="1" showErrorMessage="1" sqref="B10" xr:uid="{6F736BD4-732E-48FD-9D3D-EBFBC8BD4450}">
      <formula1>"Line,Clustered Bar,Stacked Bar,Bar,Horizontal Stacked Bar"</formula1>
    </dataValidation>
    <dataValidation type="list" allowBlank="1" showInputMessage="1" showErrorMessage="1" sqref="P4:Q4" xr:uid="{E53482F2-5E81-4CD5-B844-B104A457D6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B9CC7-196A-4FF1-ADAC-046CF920E5CC}">
          <x14:formula1>
            <xm:f>Dropdowns!$A$1:$A$8</xm:f>
          </x14:formula1>
          <xm:sqref>F4:O4</xm:sqref>
        </x14:dataValidation>
        <x14:dataValidation type="list" allowBlank="1" showInputMessage="1" showErrorMessage="1" xr:uid="{921834C1-1B0E-43A5-B8C3-AC70C9C0FEEE}">
          <x14:formula1>
            <xm:f>Master!$F$2:$F$401</xm:f>
          </x14:formula1>
          <xm:sqref>B1:O1</xm:sqref>
        </x14:dataValidation>
      </x14:dataValidations>
    </ext>
  </extLst>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FB17D-1B9C-4C60-9871-D984F67A1F0B}">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2118</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tbl-15to19-teenpreg-rate</v>
      </c>
    </row>
    <row r="4" spans="1:17" x14ac:dyDescent="0.2">
      <c r="A4" s="58" t="s">
        <v>6</v>
      </c>
      <c r="B4" t="str">
        <f>IF($B$1="","",_xlfn.XLOOKUP($B$1,Master!$F$2:$F$308,Master!$H$2:$H$308,""))</f>
        <v>fig-15to19-teenpreg-rate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G5" s="100" t="s">
        <v>1792</v>
      </c>
      <c r="H5" s="100"/>
      <c r="I5" s="100"/>
      <c r="J5" s="100"/>
      <c r="K5" s="100"/>
      <c r="L5" s="100"/>
      <c r="M5" s="100"/>
      <c r="N5" s="100" t="s">
        <v>1945</v>
      </c>
      <c r="O5" s="100"/>
    </row>
    <row r="6" spans="1:17" ht="15" customHeight="1" x14ac:dyDescent="0.2">
      <c r="A6" t="s">
        <v>891</v>
      </c>
      <c r="B6" t="b">
        <v>1</v>
      </c>
      <c r="E6" s="97"/>
      <c r="F6" t="s">
        <v>887</v>
      </c>
      <c r="G6" s="55" t="s">
        <v>220</v>
      </c>
      <c r="H6" s="55" t="s">
        <v>18</v>
      </c>
      <c r="I6" s="55" t="s">
        <v>537</v>
      </c>
      <c r="J6" s="55" t="s">
        <v>449</v>
      </c>
      <c r="K6" s="55" t="s">
        <v>409</v>
      </c>
      <c r="L6" s="55" t="s">
        <v>421</v>
      </c>
      <c r="M6" s="55" t="s">
        <v>470</v>
      </c>
      <c r="N6" s="55" t="s">
        <v>914</v>
      </c>
      <c r="O6" s="55" t="s">
        <v>915</v>
      </c>
    </row>
    <row r="7" spans="1:17" ht="15.75" customHeight="1" x14ac:dyDescent="0.2">
      <c r="E7" s="97"/>
      <c r="F7">
        <v>2014</v>
      </c>
      <c r="G7" s="55">
        <v>18.600000000000001</v>
      </c>
      <c r="H7" s="55">
        <v>29.7</v>
      </c>
      <c r="I7" s="55">
        <v>7.5</v>
      </c>
      <c r="J7" s="55">
        <v>14.8</v>
      </c>
      <c r="K7" s="55">
        <v>38.299999999999997</v>
      </c>
      <c r="L7" s="55">
        <v>23</v>
      </c>
      <c r="M7" s="55">
        <v>18.8</v>
      </c>
      <c r="N7" s="55">
        <v>24.2</v>
      </c>
      <c r="O7" s="55">
        <v>33.5</v>
      </c>
    </row>
    <row r="8" spans="1:17" x14ac:dyDescent="0.2">
      <c r="E8" s="97"/>
      <c r="F8">
        <v>2015</v>
      </c>
      <c r="G8" s="55">
        <v>16.7</v>
      </c>
      <c r="H8" s="55">
        <v>28.7</v>
      </c>
      <c r="I8" s="55">
        <v>6.7</v>
      </c>
      <c r="J8" s="55">
        <v>15</v>
      </c>
      <c r="K8" s="55">
        <v>33.200000000000003</v>
      </c>
      <c r="L8" s="55">
        <v>21.1</v>
      </c>
      <c r="M8" s="55">
        <v>17.399999999999999</v>
      </c>
      <c r="N8" s="55">
        <v>22.6</v>
      </c>
      <c r="O8" s="55">
        <v>29.9</v>
      </c>
      <c r="P8" s="14"/>
    </row>
    <row r="9" spans="1:17" x14ac:dyDescent="0.2">
      <c r="A9" s="98" t="s">
        <v>893</v>
      </c>
      <c r="B9" s="97"/>
      <c r="E9" s="97"/>
      <c r="F9">
        <v>2016</v>
      </c>
      <c r="G9" s="55">
        <v>16.2</v>
      </c>
      <c r="H9" s="55">
        <v>28.3</v>
      </c>
      <c r="I9" s="55">
        <v>5.5</v>
      </c>
      <c r="J9" s="55">
        <v>14.9</v>
      </c>
      <c r="K9" s="55">
        <v>31.7</v>
      </c>
      <c r="L9" s="55">
        <v>21.7</v>
      </c>
      <c r="M9" s="55">
        <v>14.7</v>
      </c>
      <c r="N9" s="55">
        <v>20.7</v>
      </c>
      <c r="O9" s="55">
        <v>27.1</v>
      </c>
    </row>
    <row r="10" spans="1:17" x14ac:dyDescent="0.2">
      <c r="A10" t="s">
        <v>894</v>
      </c>
      <c r="B10" t="s">
        <v>972</v>
      </c>
      <c r="E10" s="97"/>
      <c r="F10">
        <v>2017</v>
      </c>
      <c r="G10">
        <v>15.2</v>
      </c>
      <c r="H10">
        <v>25.1</v>
      </c>
      <c r="I10">
        <v>5.6</v>
      </c>
      <c r="J10">
        <v>14.3</v>
      </c>
      <c r="K10">
        <v>29.9</v>
      </c>
      <c r="L10">
        <v>19.5</v>
      </c>
      <c r="M10">
        <v>14</v>
      </c>
      <c r="N10">
        <v>19.899999999999999</v>
      </c>
      <c r="O10">
        <v>25.4</v>
      </c>
    </row>
    <row r="11" spans="1:17" x14ac:dyDescent="0.2">
      <c r="A11" t="s">
        <v>895</v>
      </c>
      <c r="B11" t="s">
        <v>887</v>
      </c>
      <c r="E11" s="97"/>
      <c r="F11" s="46" t="s">
        <v>1968</v>
      </c>
      <c r="G11" s="59">
        <v>15.5</v>
      </c>
      <c r="H11" s="59">
        <v>22.4</v>
      </c>
      <c r="I11" s="59">
        <v>4.7</v>
      </c>
      <c r="J11" s="42">
        <v>14.4</v>
      </c>
      <c r="K11" s="42">
        <v>32.9</v>
      </c>
      <c r="L11" s="42">
        <v>20.2</v>
      </c>
      <c r="M11" s="47" t="s">
        <v>2101</v>
      </c>
      <c r="N11" s="47" t="s">
        <v>2102</v>
      </c>
      <c r="O11" s="46" t="s">
        <v>2103</v>
      </c>
    </row>
    <row r="12" spans="1:17" x14ac:dyDescent="0.2">
      <c r="A12" t="s">
        <v>896</v>
      </c>
      <c r="E12" s="97"/>
      <c r="F12" s="74" t="s">
        <v>1970</v>
      </c>
      <c r="G12" s="42">
        <v>14</v>
      </c>
      <c r="H12" s="42">
        <v>18.600000000000001</v>
      </c>
      <c r="I12" s="59">
        <v>4.8</v>
      </c>
      <c r="J12" s="59">
        <v>13.6</v>
      </c>
      <c r="K12" s="59">
        <v>30.6</v>
      </c>
      <c r="L12" s="59">
        <v>16.600000000000001</v>
      </c>
      <c r="M12" s="46" t="s">
        <v>2104</v>
      </c>
      <c r="N12" s="46" t="s">
        <v>2105</v>
      </c>
      <c r="O12" s="46" t="s">
        <v>1772</v>
      </c>
    </row>
    <row r="13" spans="1:17" x14ac:dyDescent="0.2">
      <c r="A13" t="s">
        <v>897</v>
      </c>
      <c r="E13" s="97"/>
      <c r="F13" s="47" t="s">
        <v>1972</v>
      </c>
      <c r="G13" s="47" t="s">
        <v>1770</v>
      </c>
      <c r="H13" s="47" t="s">
        <v>2106</v>
      </c>
      <c r="I13" s="46" t="s">
        <v>2014</v>
      </c>
      <c r="J13" s="46" t="s">
        <v>1848</v>
      </c>
      <c r="K13" s="46" t="s">
        <v>2107</v>
      </c>
      <c r="L13" s="46" t="s">
        <v>2104</v>
      </c>
      <c r="M13" s="46" t="s">
        <v>2108</v>
      </c>
      <c r="N13" s="46" t="s">
        <v>2109</v>
      </c>
      <c r="O13" s="46" t="s">
        <v>2110</v>
      </c>
    </row>
    <row r="14" spans="1:17" x14ac:dyDescent="0.2">
      <c r="A14" t="s">
        <v>899</v>
      </c>
      <c r="B14" t="s">
        <v>701</v>
      </c>
      <c r="E14" s="97"/>
      <c r="F14" s="68" t="s">
        <v>1142</v>
      </c>
      <c r="G14" s="68" t="s">
        <v>2111</v>
      </c>
      <c r="H14" s="68" t="s">
        <v>1778</v>
      </c>
      <c r="I14" s="46" t="s">
        <v>1975</v>
      </c>
      <c r="J14" s="47" t="s">
        <v>2112</v>
      </c>
      <c r="K14" s="47" t="s">
        <v>1991</v>
      </c>
      <c r="L14" s="47" t="s">
        <v>1870</v>
      </c>
      <c r="M14" s="47" t="s">
        <v>2113</v>
      </c>
      <c r="N14" s="47" t="s">
        <v>1840</v>
      </c>
      <c r="O14" s="46" t="s">
        <v>2114</v>
      </c>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BEC43D9B-0232-4B2D-909C-8E4465B6E006}">
      <formula1>"integer, number, percent1"</formula1>
    </dataValidation>
    <dataValidation type="list" allowBlank="1" showInputMessage="1" showErrorMessage="1" sqref="B10" xr:uid="{6AF8BA0B-1EFE-4E4E-948C-74ACCC35EA61}">
      <formula1>"Line,Clustered Bar,Stacked Bar,Bar,Horizontal Stacked Bar"</formula1>
    </dataValidation>
    <dataValidation type="list" allowBlank="1" showInputMessage="1" showErrorMessage="1" sqref="B2" xr:uid="{76797BFA-B11F-4338-8D21-8AF906F2A01F}">
      <formula1>"Table,Figure,Both"</formula1>
    </dataValidation>
    <dataValidation type="list" allowBlank="1" showInputMessage="1" showErrorMessage="1" sqref="B6 B15:B16" xr:uid="{ABB5AFB1-379D-4DDF-B240-82FB917EFC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6D86A71-21F9-42B4-8676-ACF642F56ABB}">
          <x14:formula1>
            <xm:f>Master!$F$2:$F$401</xm:f>
          </x14:formula1>
          <xm:sqref>B1:O1</xm:sqref>
        </x14:dataValidation>
        <x14:dataValidation type="list" allowBlank="1" showInputMessage="1" showErrorMessage="1" xr:uid="{6F1E3D2D-B558-44B3-8038-8A63D55538CF}">
          <x14:formula1>
            <xm:f>Dropdowns!$A$1:$A$8</xm:f>
          </x14:formula1>
          <xm:sqref>F4:O4</xm:sqref>
        </x14:dataValidation>
      </x14:dataValidations>
    </ext>
  </extLst>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F12C6-F280-43BE-8D30-4EC41F0AFC7B}">
  <dimension ref="A1:Q57"/>
  <sheetViews>
    <sheetView topLeftCell="B1"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589</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tbl-17+-teenpreg-rande-rate</v>
      </c>
    </row>
    <row r="4" spans="1:17" x14ac:dyDescent="0.2">
      <c r="A4" s="58" t="s">
        <v>6</v>
      </c>
      <c r="B4" t="str">
        <f>IF($B$1="","",_xlfn.XLOOKUP($B$1,Master!$F$2:$F$308,Master!$H$2:$H$308,""))</f>
        <v>fig-17+-teenpreg-rande-rate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F5" t="s">
        <v>1245</v>
      </c>
      <c r="G5" t="s">
        <v>220</v>
      </c>
      <c r="H5" t="s">
        <v>18</v>
      </c>
      <c r="I5" t="s">
        <v>537</v>
      </c>
      <c r="J5" t="s">
        <v>449</v>
      </c>
      <c r="K5" t="s">
        <v>409</v>
      </c>
      <c r="L5" t="s">
        <v>421</v>
      </c>
      <c r="M5" t="s">
        <v>470</v>
      </c>
      <c r="N5" t="s">
        <v>914</v>
      </c>
      <c r="O5" t="s">
        <v>915</v>
      </c>
    </row>
    <row r="6" spans="1:17" ht="15" customHeight="1" x14ac:dyDescent="0.2">
      <c r="A6" t="s">
        <v>891</v>
      </c>
      <c r="B6" t="b">
        <v>0</v>
      </c>
      <c r="E6" s="97"/>
      <c r="F6" t="s">
        <v>929</v>
      </c>
      <c r="G6" s="55">
        <v>1.1000000000000001</v>
      </c>
      <c r="H6" s="55">
        <v>0.7</v>
      </c>
      <c r="I6" s="55" t="s">
        <v>2115</v>
      </c>
      <c r="J6" s="55" t="s">
        <v>2116</v>
      </c>
      <c r="K6" s="55">
        <v>2.2999999999999998</v>
      </c>
      <c r="L6" s="55">
        <v>1.6</v>
      </c>
      <c r="M6" s="55">
        <v>0.6</v>
      </c>
      <c r="N6" s="55">
        <v>1.4</v>
      </c>
      <c r="O6" s="55">
        <v>1.3</v>
      </c>
    </row>
    <row r="7" spans="1:17" ht="15.75" customHeight="1" x14ac:dyDescent="0.2">
      <c r="E7" s="97"/>
      <c r="F7" t="s">
        <v>1566</v>
      </c>
      <c r="G7" s="55">
        <v>5.0999999999999996</v>
      </c>
      <c r="H7" s="55">
        <v>3.9</v>
      </c>
      <c r="I7" s="55" t="s">
        <v>1604</v>
      </c>
      <c r="J7" s="55">
        <v>2.1</v>
      </c>
      <c r="K7" s="55" t="s">
        <v>1891</v>
      </c>
      <c r="L7" s="55" t="s">
        <v>1802</v>
      </c>
      <c r="M7" s="55">
        <v>4.9000000000000004</v>
      </c>
      <c r="N7" s="55">
        <v>6.8</v>
      </c>
      <c r="O7" s="55">
        <v>6.4</v>
      </c>
    </row>
    <row r="8" spans="1:17" x14ac:dyDescent="0.2">
      <c r="E8" s="97"/>
      <c r="F8" t="s">
        <v>1567</v>
      </c>
      <c r="G8" s="55" t="s">
        <v>1604</v>
      </c>
      <c r="H8" s="55" t="s">
        <v>2003</v>
      </c>
      <c r="I8" s="55" t="s">
        <v>1604</v>
      </c>
      <c r="J8" s="55" t="s">
        <v>2117</v>
      </c>
      <c r="K8" s="55" t="s">
        <v>1604</v>
      </c>
      <c r="L8" s="55" t="s">
        <v>1604</v>
      </c>
      <c r="M8" s="55" t="s">
        <v>2116</v>
      </c>
      <c r="N8" s="55">
        <v>0.7</v>
      </c>
      <c r="O8" s="55">
        <v>0.6</v>
      </c>
      <c r="P8" s="14"/>
    </row>
    <row r="9" spans="1:17" x14ac:dyDescent="0.2">
      <c r="A9" s="98" t="s">
        <v>893</v>
      </c>
      <c r="B9" s="97"/>
      <c r="E9" s="97"/>
      <c r="F9" t="s">
        <v>927</v>
      </c>
      <c r="G9" s="55">
        <v>2.9</v>
      </c>
      <c r="H9" s="55">
        <v>4</v>
      </c>
      <c r="I9" s="55" t="s">
        <v>2018</v>
      </c>
      <c r="J9" s="55">
        <v>6.3</v>
      </c>
      <c r="K9" s="55">
        <v>5.2</v>
      </c>
      <c r="L9" s="55">
        <v>5</v>
      </c>
      <c r="M9" s="55">
        <v>4.8</v>
      </c>
      <c r="N9" s="55">
        <v>5.0999999999999996</v>
      </c>
      <c r="O9" s="55">
        <v>5.3</v>
      </c>
    </row>
    <row r="10" spans="1:17" x14ac:dyDescent="0.2">
      <c r="A10" t="s">
        <v>894</v>
      </c>
      <c r="B10" t="s">
        <v>983</v>
      </c>
      <c r="E10" s="97"/>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701</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Q4" xr:uid="{D82A90B6-481F-4332-8AC5-271CA2562909}">
      <formula1>"integer, number, percent1"</formula1>
    </dataValidation>
    <dataValidation type="list" allowBlank="1" showInputMessage="1" showErrorMessage="1" sqref="B10" xr:uid="{F556C00F-33FF-41FB-B6F7-CAC12DB6C7EC}">
      <formula1>"Line,Clustered Bar,Stacked Bar,Bar,Horizontal Stacked Bar"</formula1>
    </dataValidation>
    <dataValidation type="list" allowBlank="1" showInputMessage="1" showErrorMessage="1" sqref="B2" xr:uid="{6CB84155-237B-4340-917A-40773A8F50AA}">
      <formula1>"Table,Figure,Both"</formula1>
    </dataValidation>
    <dataValidation type="list" allowBlank="1" showInputMessage="1" showErrorMessage="1" sqref="B6 B15:B16" xr:uid="{D5C240EF-A9EF-4D6C-ACA0-F95E558B622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D1A98B8-F4E5-4A3B-A7AE-BB7914764D39}">
          <x14:formula1>
            <xm:f>Master!$F$2:$F$401</xm:f>
          </x14:formula1>
          <xm:sqref>B1:O1</xm:sqref>
        </x14:dataValidation>
        <x14:dataValidation type="list" allowBlank="1" showInputMessage="1" showErrorMessage="1" xr:uid="{612BBB7A-5342-46DF-B678-2FAC42F5BAE9}">
          <x14:formula1>
            <xm:f>Dropdowns!$A$1:$A$8</xm:f>
          </x14:formula1>
          <xm:sqref>F4:O4</xm:sqref>
        </x14:dataValidation>
      </x14:dataValidations>
    </ext>
  </extLst>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C910D-C147-4FAE-8F70-C6295961452C}">
  <dimension ref="A1:Q57"/>
  <sheetViews>
    <sheetView workbookViewId="0">
      <selection activeCell="C20" sqref="C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590</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tbl-financial-coverage-liveb-percent</v>
      </c>
    </row>
    <row r="4" spans="1:17" x14ac:dyDescent="0.2">
      <c r="A4" s="58" t="s">
        <v>6</v>
      </c>
      <c r="B4" t="str">
        <f>IF($B$1="","",_xlfn.XLOOKUP($B$1,Master!$F$2:$F$308,Master!$H$2:$H$308,""))</f>
        <v>fig-financial-coverage-liveb-percent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F5" t="s">
        <v>2119</v>
      </c>
      <c r="G5" t="s">
        <v>220</v>
      </c>
      <c r="H5" t="s">
        <v>18</v>
      </c>
      <c r="I5" t="s">
        <v>537</v>
      </c>
      <c r="J5" t="s">
        <v>449</v>
      </c>
      <c r="K5" t="s">
        <v>409</v>
      </c>
      <c r="L5" t="s">
        <v>421</v>
      </c>
      <c r="M5" t="s">
        <v>470</v>
      </c>
      <c r="N5" t="s">
        <v>898</v>
      </c>
      <c r="O5" t="s">
        <v>915</v>
      </c>
    </row>
    <row r="6" spans="1:17" ht="15" customHeight="1" x14ac:dyDescent="0.2">
      <c r="A6" t="s">
        <v>891</v>
      </c>
      <c r="B6" t="b">
        <v>0</v>
      </c>
      <c r="E6" s="97"/>
      <c r="F6" t="s">
        <v>2120</v>
      </c>
      <c r="G6" s="55">
        <v>32.4</v>
      </c>
      <c r="H6" s="55">
        <v>57.3</v>
      </c>
      <c r="I6" s="55">
        <v>23.7</v>
      </c>
      <c r="J6" s="55">
        <v>60.9</v>
      </c>
      <c r="K6" s="55">
        <v>66.599999999999994</v>
      </c>
      <c r="L6" s="55">
        <v>44.7</v>
      </c>
      <c r="M6" s="55">
        <v>32.5</v>
      </c>
      <c r="N6" s="55">
        <v>45.5</v>
      </c>
      <c r="O6" s="55">
        <v>49.8</v>
      </c>
    </row>
    <row r="7" spans="1:17" ht="15.75" customHeight="1" x14ac:dyDescent="0.2">
      <c r="E7" s="97"/>
      <c r="F7" t="s">
        <v>2121</v>
      </c>
      <c r="G7" s="55">
        <v>0.3</v>
      </c>
      <c r="H7" s="55">
        <v>0.8</v>
      </c>
      <c r="I7" s="55">
        <v>0.1</v>
      </c>
      <c r="J7" s="55">
        <v>0.7</v>
      </c>
      <c r="K7" s="55">
        <v>0.4</v>
      </c>
      <c r="L7" s="55">
        <v>0.3</v>
      </c>
      <c r="M7" s="55">
        <v>0.3</v>
      </c>
      <c r="N7" s="55">
        <v>0.5</v>
      </c>
      <c r="O7" s="55">
        <v>1</v>
      </c>
    </row>
    <row r="8" spans="1:17" x14ac:dyDescent="0.2">
      <c r="E8" s="97"/>
      <c r="F8" t="s">
        <v>2122</v>
      </c>
      <c r="G8" s="55">
        <v>65</v>
      </c>
      <c r="H8" s="55">
        <v>35.299999999999997</v>
      </c>
      <c r="I8" s="55">
        <v>72.3</v>
      </c>
      <c r="J8" s="55">
        <v>30.7</v>
      </c>
      <c r="K8" s="55">
        <v>27</v>
      </c>
      <c r="L8" s="55">
        <v>49.7</v>
      </c>
      <c r="M8" s="55">
        <v>61.7</v>
      </c>
      <c r="N8" s="55">
        <v>48.2</v>
      </c>
      <c r="O8" s="55">
        <v>45.7</v>
      </c>
      <c r="P8" s="14"/>
    </row>
    <row r="9" spans="1:17" x14ac:dyDescent="0.2">
      <c r="A9" s="98" t="s">
        <v>893</v>
      </c>
      <c r="B9" s="97"/>
      <c r="E9" s="97"/>
      <c r="G9" s="55"/>
      <c r="H9" s="55"/>
      <c r="I9" s="55"/>
      <c r="J9" s="55"/>
      <c r="K9" s="55"/>
      <c r="L9" s="55"/>
      <c r="M9" s="55"/>
      <c r="N9" s="55"/>
      <c r="O9" s="55"/>
    </row>
    <row r="10" spans="1:17" x14ac:dyDescent="0.2">
      <c r="A10" t="s">
        <v>894</v>
      </c>
      <c r="B10" t="s">
        <v>1020</v>
      </c>
      <c r="E10" s="97"/>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694</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49700AC8-D8F8-4304-8183-3B5FA48DFF11}">
      <formula1>"True,False"</formula1>
    </dataValidation>
    <dataValidation type="list" allowBlank="1" showInputMessage="1" showErrorMessage="1" sqref="B2" xr:uid="{8E5ED769-E83F-4E19-B7AE-7C2B92474745}">
      <formula1>"Table,Figure,Both"</formula1>
    </dataValidation>
    <dataValidation type="list" allowBlank="1" showInputMessage="1" showErrorMessage="1" sqref="B10" xr:uid="{4F09C9D4-5F48-491E-9A43-DF0097350321}">
      <formula1>"Line,Clustered Bar,Stacked Bar,Bar,Horizontal Stacked Bar"</formula1>
    </dataValidation>
    <dataValidation type="list" allowBlank="1" showInputMessage="1" showErrorMessage="1" sqref="P4:Q4" xr:uid="{D04B004C-EB0C-4025-8F14-375A977030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C82033-E60C-48FC-A70F-026B505D0B0D}">
          <x14:formula1>
            <xm:f>Dropdowns!$A$1:$A$8</xm:f>
          </x14:formula1>
          <xm:sqref>F4:O4</xm:sqref>
        </x14:dataValidation>
        <x14:dataValidation type="list" allowBlank="1" showInputMessage="1" showErrorMessage="1" xr:uid="{8334D4DF-BC44-475D-A9B7-D5DDA46C27AB}">
          <x14:formula1>
            <xm:f>Master!$F$2:$F$401</xm:f>
          </x14:formula1>
          <xm:sqref>B1:O1</xm:sqref>
        </x14:dataValidation>
      </x14:dataValidations>
    </ext>
  </extLst>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5642F-5DD8-49B2-91EA-F5C9F97CE46D}">
  <dimension ref="A1:Q57"/>
  <sheetViews>
    <sheetView workbookViewId="0">
      <selection activeCell="B17" sqref="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595</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tbl-preterm-births-percent</v>
      </c>
    </row>
    <row r="4" spans="1:17" x14ac:dyDescent="0.2">
      <c r="A4" s="58" t="s">
        <v>6</v>
      </c>
      <c r="B4" t="str">
        <f>IF($B$1="","",_xlfn.XLOOKUP($B$1,Master!$F$2:$F$308,Master!$H$2:$H$308,""))</f>
        <v>fig-preterm-births-percent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G5" s="100" t="s">
        <v>1792</v>
      </c>
      <c r="H5" s="100"/>
      <c r="I5" s="100"/>
      <c r="J5" s="100"/>
      <c r="K5" s="100"/>
      <c r="L5" s="100"/>
      <c r="M5" s="100"/>
      <c r="N5" s="100" t="s">
        <v>1945</v>
      </c>
      <c r="O5" s="100"/>
    </row>
    <row r="6" spans="1:17" ht="15" customHeight="1" x14ac:dyDescent="0.2">
      <c r="A6" t="s">
        <v>891</v>
      </c>
      <c r="B6" t="b">
        <v>1</v>
      </c>
      <c r="E6" s="97"/>
      <c r="F6" t="s">
        <v>887</v>
      </c>
      <c r="G6" s="55" t="s">
        <v>220</v>
      </c>
      <c r="H6" s="55" t="s">
        <v>18</v>
      </c>
      <c r="I6" s="55" t="s">
        <v>537</v>
      </c>
      <c r="J6" s="55" t="s">
        <v>449</v>
      </c>
      <c r="K6" s="55" t="s">
        <v>409</v>
      </c>
      <c r="L6" s="55" t="s">
        <v>421</v>
      </c>
      <c r="M6" s="55" t="s">
        <v>470</v>
      </c>
      <c r="N6" s="55" t="s">
        <v>914</v>
      </c>
      <c r="O6" s="55" t="s">
        <v>915</v>
      </c>
    </row>
    <row r="7" spans="1:17" ht="15.75" customHeight="1" x14ac:dyDescent="0.2">
      <c r="E7" s="97"/>
      <c r="F7">
        <v>2014</v>
      </c>
      <c r="G7" s="55">
        <v>8.8000000000000007</v>
      </c>
      <c r="H7" s="55">
        <v>7.9</v>
      </c>
      <c r="I7" s="55">
        <v>9.6999999999999993</v>
      </c>
      <c r="J7" s="55">
        <v>6.4</v>
      </c>
      <c r="K7" s="55">
        <v>10.8</v>
      </c>
      <c r="L7" s="55">
        <v>8.5</v>
      </c>
      <c r="M7" s="55">
        <v>9.3000000000000007</v>
      </c>
      <c r="N7" s="55">
        <v>9</v>
      </c>
      <c r="O7" s="55">
        <v>8.8000000000000007</v>
      </c>
    </row>
    <row r="8" spans="1:17" x14ac:dyDescent="0.2">
      <c r="E8" s="97"/>
      <c r="F8">
        <v>2015</v>
      </c>
      <c r="G8" s="55">
        <v>9.1</v>
      </c>
      <c r="H8" s="55">
        <v>8.3000000000000007</v>
      </c>
      <c r="I8" s="55">
        <v>10.199999999999999</v>
      </c>
      <c r="J8" s="55">
        <v>6.7</v>
      </c>
      <c r="K8" s="55">
        <v>10.6</v>
      </c>
      <c r="L8" s="55">
        <v>8.6</v>
      </c>
      <c r="M8" s="55">
        <v>9.1999999999999993</v>
      </c>
      <c r="N8" s="55">
        <v>8.6999999999999993</v>
      </c>
      <c r="O8" s="55">
        <v>8.6999999999999993</v>
      </c>
      <c r="P8" s="14"/>
    </row>
    <row r="9" spans="1:17" x14ac:dyDescent="0.2">
      <c r="A9" s="98" t="s">
        <v>893</v>
      </c>
      <c r="B9" s="97"/>
      <c r="E9" s="97"/>
      <c r="F9">
        <v>2016</v>
      </c>
      <c r="G9" s="55">
        <v>9.1999999999999993</v>
      </c>
      <c r="H9" s="55">
        <v>8.1999999999999993</v>
      </c>
      <c r="I9" s="55">
        <v>9.4</v>
      </c>
      <c r="J9" s="55">
        <v>7</v>
      </c>
      <c r="K9" s="55">
        <v>9.6</v>
      </c>
      <c r="L9" s="55">
        <v>8.6</v>
      </c>
      <c r="M9" s="55">
        <v>9</v>
      </c>
      <c r="N9" s="55">
        <v>9.1</v>
      </c>
      <c r="O9" s="55">
        <v>8.9</v>
      </c>
    </row>
    <row r="10" spans="1:17" x14ac:dyDescent="0.2">
      <c r="A10" t="s">
        <v>894</v>
      </c>
      <c r="B10" t="s">
        <v>972</v>
      </c>
      <c r="E10" s="97"/>
      <c r="F10">
        <v>2017</v>
      </c>
      <c r="G10">
        <v>9.6</v>
      </c>
      <c r="H10">
        <v>8.1999999999999993</v>
      </c>
      <c r="I10">
        <v>9</v>
      </c>
      <c r="J10">
        <v>6.5</v>
      </c>
      <c r="K10">
        <v>8.9</v>
      </c>
      <c r="L10">
        <v>8.5</v>
      </c>
      <c r="M10">
        <v>8.9</v>
      </c>
      <c r="N10">
        <v>9</v>
      </c>
      <c r="O10">
        <v>9</v>
      </c>
    </row>
    <row r="11" spans="1:17" x14ac:dyDescent="0.2">
      <c r="A11" t="s">
        <v>895</v>
      </c>
      <c r="B11" t="s">
        <v>887</v>
      </c>
      <c r="E11" s="97"/>
      <c r="F11" s="46" t="s">
        <v>1968</v>
      </c>
      <c r="G11" s="59">
        <v>9.1999999999999993</v>
      </c>
      <c r="H11" s="59">
        <v>8.1</v>
      </c>
      <c r="I11" s="59">
        <v>8.3000000000000007</v>
      </c>
      <c r="J11" s="42">
        <v>6.4</v>
      </c>
      <c r="K11" s="42">
        <v>9.1</v>
      </c>
      <c r="L11" s="42">
        <v>9</v>
      </c>
      <c r="M11" s="47" t="s">
        <v>2123</v>
      </c>
      <c r="N11" s="47" t="s">
        <v>2124</v>
      </c>
      <c r="O11" s="46" t="s">
        <v>2124</v>
      </c>
    </row>
    <row r="12" spans="1:17" x14ac:dyDescent="0.2">
      <c r="A12" t="s">
        <v>896</v>
      </c>
      <c r="E12" s="97"/>
      <c r="F12" s="74" t="s">
        <v>1970</v>
      </c>
      <c r="G12" s="42">
        <v>9</v>
      </c>
      <c r="H12" s="42">
        <v>8.3000000000000007</v>
      </c>
      <c r="I12" s="59">
        <v>8.6999999999999993</v>
      </c>
      <c r="J12" s="59">
        <v>6.3</v>
      </c>
      <c r="K12" s="59">
        <v>10.3</v>
      </c>
      <c r="L12" s="59">
        <v>9</v>
      </c>
      <c r="M12" s="46" t="s">
        <v>2123</v>
      </c>
      <c r="N12" s="46" t="s">
        <v>2125</v>
      </c>
      <c r="O12" s="46" t="s">
        <v>2126</v>
      </c>
    </row>
    <row r="13" spans="1:17" x14ac:dyDescent="0.2">
      <c r="A13" t="s">
        <v>897</v>
      </c>
      <c r="E13" s="97"/>
      <c r="F13" s="47" t="s">
        <v>1972</v>
      </c>
      <c r="G13" s="47" t="s">
        <v>2127</v>
      </c>
      <c r="H13" s="47" t="s">
        <v>1479</v>
      </c>
      <c r="I13" s="46" t="s">
        <v>2123</v>
      </c>
      <c r="J13" s="46" t="s">
        <v>2011</v>
      </c>
      <c r="K13" s="46" t="s">
        <v>2128</v>
      </c>
      <c r="L13" s="46" t="s">
        <v>2129</v>
      </c>
      <c r="M13" s="46" t="s">
        <v>2124</v>
      </c>
      <c r="N13" s="46" t="s">
        <v>2125</v>
      </c>
      <c r="O13" s="46" t="s">
        <v>2126</v>
      </c>
    </row>
    <row r="14" spans="1:17" x14ac:dyDescent="0.2">
      <c r="A14" t="s">
        <v>899</v>
      </c>
      <c r="B14" t="s">
        <v>694</v>
      </c>
      <c r="E14" s="97"/>
      <c r="F14" s="68" t="s">
        <v>1142</v>
      </c>
      <c r="G14" s="68" t="s">
        <v>2128</v>
      </c>
      <c r="H14" s="68" t="s">
        <v>1479</v>
      </c>
      <c r="I14" s="46" t="s">
        <v>2123</v>
      </c>
      <c r="J14" s="47" t="s">
        <v>1910</v>
      </c>
      <c r="K14" s="47" t="s">
        <v>2128</v>
      </c>
      <c r="L14" s="47" t="s">
        <v>2130</v>
      </c>
      <c r="M14" s="47" t="s">
        <v>2124</v>
      </c>
      <c r="N14" s="47" t="s">
        <v>1911</v>
      </c>
      <c r="O14" s="46" t="s">
        <v>2128</v>
      </c>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P4:Q4" xr:uid="{0487B65A-6689-46F7-9885-7840EA3B4CA1}">
      <formula1>"integer, number, percent1"</formula1>
    </dataValidation>
    <dataValidation type="list" allowBlank="1" showInputMessage="1" showErrorMessage="1" sqref="B10" xr:uid="{E28F664A-7A8B-45A1-8BB2-609E1A56E58F}">
      <formula1>"Line,Clustered Bar,Stacked Bar,Bar,Horizontal Stacked Bar"</formula1>
    </dataValidation>
    <dataValidation type="list" allowBlank="1" showInputMessage="1" showErrorMessage="1" sqref="B2" xr:uid="{0C2FEA93-C043-418B-A582-8FC2D87B0229}">
      <formula1>"Table,Figure,Both"</formula1>
    </dataValidation>
    <dataValidation type="list" allowBlank="1" showInputMessage="1" showErrorMessage="1" sqref="B6 B15:B16" xr:uid="{25C0837B-FD08-4AA5-8E68-C68BE23EAAF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238E186-FE84-4D44-A21D-5C5BC4DB4534}">
          <x14:formula1>
            <xm:f>Master!$F$2:$F$401</xm:f>
          </x14:formula1>
          <xm:sqref>B1:O1</xm:sqref>
        </x14:dataValidation>
        <x14:dataValidation type="list" allowBlank="1" showInputMessage="1" showErrorMessage="1" xr:uid="{8FF4A670-744F-422F-A661-46FE9D3254F4}">
          <x14:formula1>
            <xm:f>Dropdowns!$A$1:$A$8</xm:f>
          </x14:formula1>
          <xm:sqref>F4:O4</xm:sqref>
        </x14:dataValidation>
      </x14:dataValidations>
    </ext>
  </extLst>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CB90E-0597-4E63-AA39-A4D445F97C6E}">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597</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tbl-lbw-percent</v>
      </c>
    </row>
    <row r="4" spans="1:17" x14ac:dyDescent="0.2">
      <c r="A4" s="58" t="s">
        <v>6</v>
      </c>
      <c r="B4" t="str">
        <f>IF($B$1="","",_xlfn.XLOOKUP($B$1,Master!$F$2:$F$308,Master!$H$2:$H$308,""))</f>
        <v>fig-lbw-percent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G5" s="100" t="s">
        <v>1792</v>
      </c>
      <c r="H5" s="100"/>
      <c r="I5" s="100"/>
      <c r="J5" s="100"/>
      <c r="K5" s="100"/>
      <c r="L5" s="100"/>
      <c r="M5" s="100"/>
      <c r="N5" s="100" t="s">
        <v>1945</v>
      </c>
      <c r="O5" s="100"/>
    </row>
    <row r="6" spans="1:17" ht="15" customHeight="1" x14ac:dyDescent="0.2">
      <c r="A6" t="s">
        <v>891</v>
      </c>
      <c r="B6" t="b">
        <v>1</v>
      </c>
      <c r="E6" s="97"/>
      <c r="F6" t="s">
        <v>887</v>
      </c>
      <c r="G6" s="55" t="s">
        <v>220</v>
      </c>
      <c r="H6" s="55" t="s">
        <v>18</v>
      </c>
      <c r="I6" s="55" t="s">
        <v>537</v>
      </c>
      <c r="J6" s="55" t="s">
        <v>449</v>
      </c>
      <c r="K6" s="55" t="s">
        <v>409</v>
      </c>
      <c r="L6" s="55" t="s">
        <v>421</v>
      </c>
      <c r="M6" s="55" t="s">
        <v>470</v>
      </c>
      <c r="N6" s="55" t="s">
        <v>914</v>
      </c>
      <c r="O6" s="55" t="s">
        <v>915</v>
      </c>
    </row>
    <row r="7" spans="1:17" ht="15.75" customHeight="1" x14ac:dyDescent="0.2">
      <c r="E7" s="97"/>
      <c r="F7">
        <v>2014</v>
      </c>
      <c r="G7" s="55">
        <v>7.5</v>
      </c>
      <c r="H7" s="55">
        <v>6.8</v>
      </c>
      <c r="I7" s="55">
        <v>7.5</v>
      </c>
      <c r="J7" s="55">
        <v>6.2</v>
      </c>
      <c r="K7" s="55">
        <v>9.3000000000000007</v>
      </c>
      <c r="L7" s="55">
        <v>7.3</v>
      </c>
      <c r="M7" s="55">
        <v>8.1</v>
      </c>
      <c r="N7" s="55">
        <v>7.7</v>
      </c>
      <c r="O7" s="55">
        <v>7.8</v>
      </c>
    </row>
    <row r="8" spans="1:17" x14ac:dyDescent="0.2">
      <c r="E8" s="97"/>
      <c r="F8">
        <v>2015</v>
      </c>
      <c r="G8" s="55">
        <v>7.5</v>
      </c>
      <c r="H8" s="55">
        <v>6.9</v>
      </c>
      <c r="I8" s="55">
        <v>7.4</v>
      </c>
      <c r="J8" s="55">
        <v>6.3</v>
      </c>
      <c r="K8" s="55">
        <v>8.8000000000000007</v>
      </c>
      <c r="L8" s="55">
        <v>7.4</v>
      </c>
      <c r="M8" s="55">
        <v>8.1999999999999993</v>
      </c>
      <c r="N8" s="55">
        <v>7.5</v>
      </c>
      <c r="O8" s="55">
        <v>7.8</v>
      </c>
      <c r="P8" s="14"/>
    </row>
    <row r="9" spans="1:17" x14ac:dyDescent="0.2">
      <c r="A9" s="98" t="s">
        <v>893</v>
      </c>
      <c r="B9" s="97"/>
      <c r="E9" s="97"/>
      <c r="F9">
        <v>2016</v>
      </c>
      <c r="G9" s="55">
        <v>7.4</v>
      </c>
      <c r="H9" s="55">
        <v>6.6</v>
      </c>
      <c r="I9" s="55">
        <v>7</v>
      </c>
      <c r="J9" s="55">
        <v>6.3</v>
      </c>
      <c r="K9" s="55">
        <v>8.3000000000000007</v>
      </c>
      <c r="L9" s="55">
        <v>7.2</v>
      </c>
      <c r="M9" s="55">
        <v>8</v>
      </c>
      <c r="N9" s="55">
        <v>7.7</v>
      </c>
      <c r="O9" s="55">
        <v>7.9</v>
      </c>
    </row>
    <row r="10" spans="1:17" x14ac:dyDescent="0.2">
      <c r="A10" t="s">
        <v>894</v>
      </c>
      <c r="B10" t="s">
        <v>972</v>
      </c>
      <c r="E10" s="97"/>
      <c r="F10">
        <v>2017</v>
      </c>
      <c r="G10">
        <v>7.5</v>
      </c>
      <c r="H10">
        <v>6.7</v>
      </c>
      <c r="I10">
        <v>7</v>
      </c>
      <c r="J10">
        <v>6</v>
      </c>
      <c r="K10">
        <v>7.2</v>
      </c>
      <c r="L10">
        <v>7.2</v>
      </c>
      <c r="M10">
        <v>7.9</v>
      </c>
      <c r="N10">
        <v>7.7</v>
      </c>
      <c r="O10">
        <v>8.1</v>
      </c>
    </row>
    <row r="11" spans="1:17" x14ac:dyDescent="0.2">
      <c r="A11" t="s">
        <v>895</v>
      </c>
      <c r="B11" t="s">
        <v>887</v>
      </c>
      <c r="E11" s="97"/>
      <c r="F11" s="46" t="s">
        <v>1968</v>
      </c>
      <c r="G11" s="59">
        <v>7.5</v>
      </c>
      <c r="H11" s="59">
        <v>6.6</v>
      </c>
      <c r="I11" s="59">
        <v>6.5</v>
      </c>
      <c r="J11" s="42">
        <v>5.8</v>
      </c>
      <c r="K11" s="42">
        <v>7.8</v>
      </c>
      <c r="L11" s="42">
        <v>7.6</v>
      </c>
      <c r="M11" s="47" t="s">
        <v>1973</v>
      </c>
      <c r="N11" s="47" t="s">
        <v>2131</v>
      </c>
      <c r="O11" s="46" t="s">
        <v>1478</v>
      </c>
    </row>
    <row r="12" spans="1:17" x14ac:dyDescent="0.2">
      <c r="A12" t="s">
        <v>896</v>
      </c>
      <c r="E12" s="97"/>
      <c r="F12" s="74" t="s">
        <v>1970</v>
      </c>
      <c r="G12" s="42">
        <v>7.3</v>
      </c>
      <c r="H12" s="42">
        <v>7</v>
      </c>
      <c r="I12" s="59">
        <v>6.6</v>
      </c>
      <c r="J12" s="59">
        <v>5.6</v>
      </c>
      <c r="K12" s="59">
        <v>8.6</v>
      </c>
      <c r="L12" s="59">
        <v>7.7</v>
      </c>
      <c r="M12" s="46" t="s">
        <v>1973</v>
      </c>
      <c r="N12" s="46" t="s">
        <v>2131</v>
      </c>
      <c r="O12" s="46" t="s">
        <v>1478</v>
      </c>
    </row>
    <row r="13" spans="1:17" x14ac:dyDescent="0.2">
      <c r="A13" t="s">
        <v>897</v>
      </c>
      <c r="E13" s="97"/>
      <c r="F13" s="47" t="s">
        <v>1972</v>
      </c>
      <c r="G13" s="47" t="s">
        <v>1973</v>
      </c>
      <c r="H13" s="47" t="s">
        <v>2076</v>
      </c>
      <c r="I13" s="46" t="s">
        <v>2076</v>
      </c>
      <c r="J13" s="46" t="s">
        <v>1755</v>
      </c>
      <c r="K13" s="46" t="s">
        <v>1477</v>
      </c>
      <c r="L13" s="46" t="s">
        <v>1912</v>
      </c>
      <c r="M13" s="46" t="s">
        <v>2131</v>
      </c>
      <c r="N13" s="46" t="s">
        <v>1973</v>
      </c>
      <c r="O13" s="46" t="s">
        <v>1461</v>
      </c>
    </row>
    <row r="14" spans="1:17" x14ac:dyDescent="0.2">
      <c r="A14" t="s">
        <v>899</v>
      </c>
      <c r="B14" t="s">
        <v>694</v>
      </c>
      <c r="E14" s="97"/>
      <c r="F14" s="68" t="s">
        <v>1142</v>
      </c>
      <c r="G14" s="68" t="s">
        <v>1973</v>
      </c>
      <c r="H14" s="68" t="s">
        <v>1463</v>
      </c>
      <c r="I14" s="46" t="s">
        <v>1913</v>
      </c>
      <c r="J14" s="47" t="s">
        <v>1755</v>
      </c>
      <c r="K14" s="47" t="s">
        <v>1478</v>
      </c>
      <c r="L14" s="47" t="s">
        <v>1912</v>
      </c>
      <c r="M14" s="47" t="s">
        <v>1973</v>
      </c>
      <c r="N14" s="47" t="s">
        <v>1481</v>
      </c>
      <c r="O14" s="46" t="s">
        <v>1479</v>
      </c>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40381336-5F16-4F33-815F-0E4DB5DE2F46}">
      <formula1>"True,False"</formula1>
    </dataValidation>
    <dataValidation type="list" allowBlank="1" showInputMessage="1" showErrorMessage="1" sqref="B2" xr:uid="{5EA3428C-E298-407E-8DA5-A1F5A4018B4A}">
      <formula1>"Table,Figure,Both"</formula1>
    </dataValidation>
    <dataValidation type="list" allowBlank="1" showInputMessage="1" showErrorMessage="1" sqref="B10" xr:uid="{E493DF5C-6614-4B00-8F96-968BFA08D647}">
      <formula1>"Line,Clustered Bar,Stacked Bar,Bar,Horizontal Stacked Bar"</formula1>
    </dataValidation>
    <dataValidation type="list" allowBlank="1" showInputMessage="1" showErrorMessage="1" sqref="P4:Q4" xr:uid="{35564609-9A74-4670-B5FD-126EDDE81D6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3C662B-76D6-4F6D-BA38-D9F2B769C792}">
          <x14:formula1>
            <xm:f>Dropdowns!$A$1:$A$8</xm:f>
          </x14:formula1>
          <xm:sqref>F4:O4</xm:sqref>
        </x14:dataValidation>
        <x14:dataValidation type="list" allowBlank="1" showInputMessage="1" showErrorMessage="1" xr:uid="{1AFED727-8292-464E-8E08-CC6A7FA69642}">
          <x14:formula1>
            <xm:f>Master!$F$2:$F$401</xm:f>
          </x14:formula1>
          <xm:sqref>B1:O1</xm:sqref>
        </x14:dataValidation>
      </x14:dataValidations>
    </ext>
  </extLst>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A4910-2AA2-4CA1-94CF-B58B4711613C}">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598</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tbl-lbw-rande-percent</v>
      </c>
    </row>
    <row r="4" spans="1:17" x14ac:dyDescent="0.2">
      <c r="A4" s="58" t="s">
        <v>6</v>
      </c>
      <c r="B4" t="str">
        <f>IF($B$1="","",_xlfn.XLOOKUP($B$1,Master!$F$2:$F$308,Master!$H$2:$H$308,""))</f>
        <v>fig-lbw-rande-percent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F5" t="s">
        <v>1245</v>
      </c>
      <c r="G5" t="s">
        <v>220</v>
      </c>
      <c r="H5" t="s">
        <v>18</v>
      </c>
      <c r="I5" t="s">
        <v>537</v>
      </c>
      <c r="J5" t="s">
        <v>449</v>
      </c>
      <c r="K5" t="s">
        <v>409</v>
      </c>
      <c r="L5" t="s">
        <v>421</v>
      </c>
      <c r="M5" t="s">
        <v>470</v>
      </c>
      <c r="N5" t="s">
        <v>914</v>
      </c>
      <c r="O5" t="s">
        <v>915</v>
      </c>
    </row>
    <row r="6" spans="1:17" ht="15" customHeight="1" x14ac:dyDescent="0.2">
      <c r="A6" t="s">
        <v>891</v>
      </c>
      <c r="B6" t="b">
        <v>0</v>
      </c>
      <c r="E6" s="97"/>
      <c r="F6" t="s">
        <v>929</v>
      </c>
      <c r="G6" s="55">
        <v>6.5</v>
      </c>
      <c r="H6" s="55">
        <v>5.7</v>
      </c>
      <c r="I6" s="55">
        <v>7.1</v>
      </c>
      <c r="J6" s="55">
        <v>4.5999999999999996</v>
      </c>
      <c r="K6" s="55">
        <v>7.2</v>
      </c>
      <c r="L6" s="55">
        <v>7.2</v>
      </c>
      <c r="M6" s="55">
        <v>5.8</v>
      </c>
      <c r="N6" s="55">
        <v>6.7</v>
      </c>
      <c r="O6" s="55">
        <v>6.4</v>
      </c>
    </row>
    <row r="7" spans="1:17" ht="15.75" customHeight="1" x14ac:dyDescent="0.2">
      <c r="E7" s="97"/>
      <c r="F7" t="s">
        <v>1566</v>
      </c>
      <c r="G7" s="55">
        <v>13.4</v>
      </c>
      <c r="H7" s="55">
        <v>13.4</v>
      </c>
      <c r="I7" s="55" t="s">
        <v>2132</v>
      </c>
      <c r="J7" s="55">
        <v>10.4</v>
      </c>
      <c r="K7" s="55">
        <v>16.899999999999999</v>
      </c>
      <c r="L7" s="55">
        <v>11.8</v>
      </c>
      <c r="M7" s="55">
        <v>13</v>
      </c>
      <c r="N7" s="55">
        <v>14.2</v>
      </c>
      <c r="O7" s="55">
        <v>13.8</v>
      </c>
    </row>
    <row r="8" spans="1:17" x14ac:dyDescent="0.2">
      <c r="E8" s="97"/>
      <c r="F8" t="s">
        <v>1567</v>
      </c>
      <c r="G8" s="55">
        <v>8</v>
      </c>
      <c r="H8" s="55">
        <v>8.1</v>
      </c>
      <c r="I8" s="55" t="s">
        <v>2133</v>
      </c>
      <c r="J8" s="55">
        <v>9.3000000000000007</v>
      </c>
      <c r="K8" s="55" t="s">
        <v>1909</v>
      </c>
      <c r="L8" s="55" t="s">
        <v>1907</v>
      </c>
      <c r="M8" s="55">
        <v>9.1999999999999993</v>
      </c>
      <c r="N8" s="55">
        <v>9.3000000000000007</v>
      </c>
      <c r="O8" s="55">
        <v>9.5</v>
      </c>
      <c r="P8" s="14"/>
    </row>
    <row r="9" spans="1:17" x14ac:dyDescent="0.2">
      <c r="A9" s="98" t="s">
        <v>893</v>
      </c>
      <c r="B9" s="97"/>
      <c r="E9" s="97"/>
      <c r="F9" t="s">
        <v>927</v>
      </c>
      <c r="G9" s="55">
        <v>8.1</v>
      </c>
      <c r="H9" s="55">
        <v>8.5</v>
      </c>
      <c r="I9" s="55">
        <v>7.6</v>
      </c>
      <c r="J9" s="55">
        <v>7.1</v>
      </c>
      <c r="K9" s="55">
        <v>9</v>
      </c>
      <c r="L9" s="55">
        <v>7.5</v>
      </c>
      <c r="M9" s="55">
        <v>7.9</v>
      </c>
      <c r="N9" s="55">
        <v>8.3000000000000007</v>
      </c>
      <c r="O9" s="55">
        <v>8.6999999999999993</v>
      </c>
    </row>
    <row r="10" spans="1:17" x14ac:dyDescent="0.2">
      <c r="A10" t="s">
        <v>894</v>
      </c>
      <c r="B10" t="s">
        <v>983</v>
      </c>
      <c r="E10" s="97"/>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694</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Q4" xr:uid="{057CDA95-A259-4665-A659-602E667B6D9C}">
      <formula1>"integer, number, percent1"</formula1>
    </dataValidation>
    <dataValidation type="list" allowBlank="1" showInputMessage="1" showErrorMessage="1" sqref="B10" xr:uid="{DE1B161B-9D09-4CB5-95A5-9DBDD40A4684}">
      <formula1>"Line,Clustered Bar,Stacked Bar,Bar,Horizontal Stacked Bar"</formula1>
    </dataValidation>
    <dataValidation type="list" allowBlank="1" showInputMessage="1" showErrorMessage="1" sqref="B2" xr:uid="{DF64F45F-1811-417A-B89D-305FF4CDF27B}">
      <formula1>"Table,Figure,Both"</formula1>
    </dataValidation>
    <dataValidation type="list" allowBlank="1" showInputMessage="1" showErrorMessage="1" sqref="B6 B15:B16" xr:uid="{0DBAC24B-5F7A-4A85-9283-D9C2684CD3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E214E1-AFF2-4ED6-9D3E-726F5324270E}">
          <x14:formula1>
            <xm:f>Master!$F$2:$F$401</xm:f>
          </x14:formula1>
          <xm:sqref>B1:O1</xm:sqref>
        </x14:dataValidation>
        <x14:dataValidation type="list" allowBlank="1" showInputMessage="1" showErrorMessage="1" xr:uid="{CE668F7C-2CB5-47E8-B519-E12AC3B67FE5}">
          <x14:formula1>
            <xm:f>Dropdowns!$A$1:$A$8</xm:f>
          </x14:formula1>
          <xm:sqref>F4:O4</xm:sqref>
        </x14:dataValidation>
      </x14:dataValidations>
    </ext>
  </extLst>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ECD64-052C-43E5-A6D5-588B7898A3E4}">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600</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tbl-infant-mortal-rate</v>
      </c>
    </row>
    <row r="4" spans="1:17" x14ac:dyDescent="0.2">
      <c r="A4" s="58" t="s">
        <v>6</v>
      </c>
      <c r="B4" t="str">
        <f>IF($B$1="","",_xlfn.XLOOKUP($B$1,Master!$F$2:$F$308,Master!$H$2:$H$308,""))</f>
        <v>fig-infant-mortal-rate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G5" s="100" t="s">
        <v>1792</v>
      </c>
      <c r="H5" s="100"/>
      <c r="I5" s="100"/>
      <c r="J5" s="100"/>
      <c r="K5" s="100"/>
      <c r="L5" s="100"/>
      <c r="M5" s="100"/>
      <c r="N5" s="100" t="s">
        <v>1945</v>
      </c>
      <c r="O5" s="100"/>
    </row>
    <row r="6" spans="1:17" ht="15" customHeight="1" x14ac:dyDescent="0.2">
      <c r="A6" t="s">
        <v>891</v>
      </c>
      <c r="B6" t="b">
        <v>1</v>
      </c>
      <c r="E6" s="97"/>
      <c r="F6" t="s">
        <v>887</v>
      </c>
      <c r="G6" s="55" t="s">
        <v>220</v>
      </c>
      <c r="H6" s="55" t="s">
        <v>18</v>
      </c>
      <c r="I6" s="55" t="s">
        <v>537</v>
      </c>
      <c r="J6" s="55" t="s">
        <v>449</v>
      </c>
      <c r="K6" s="55" t="s">
        <v>409</v>
      </c>
      <c r="L6" s="55" t="s">
        <v>421</v>
      </c>
      <c r="M6" s="55" t="s">
        <v>470</v>
      </c>
      <c r="N6" s="55" t="s">
        <v>914</v>
      </c>
      <c r="O6" s="55" t="s">
        <v>915</v>
      </c>
    </row>
    <row r="7" spans="1:17" ht="15.75" customHeight="1" x14ac:dyDescent="0.2">
      <c r="E7" s="97"/>
      <c r="F7">
        <v>2014</v>
      </c>
      <c r="G7" s="55">
        <v>4.9000000000000004</v>
      </c>
      <c r="H7" s="55">
        <v>5.3</v>
      </c>
      <c r="I7" s="55" t="s">
        <v>2134</v>
      </c>
      <c r="J7" s="55">
        <v>4</v>
      </c>
      <c r="K7" s="55">
        <v>4.5999999999999996</v>
      </c>
      <c r="L7" s="55">
        <v>5.3</v>
      </c>
      <c r="M7" s="55">
        <v>4.0999999999999996</v>
      </c>
      <c r="N7" s="55">
        <v>5.0999999999999996</v>
      </c>
      <c r="O7" s="55">
        <v>4.5999999999999996</v>
      </c>
    </row>
    <row r="8" spans="1:17" x14ac:dyDescent="0.2">
      <c r="E8" s="97"/>
      <c r="F8">
        <v>2015</v>
      </c>
      <c r="G8" s="55">
        <v>4</v>
      </c>
      <c r="H8" s="55">
        <v>4.9000000000000004</v>
      </c>
      <c r="I8" s="55" t="s">
        <v>2135</v>
      </c>
      <c r="J8" s="55">
        <v>3.6</v>
      </c>
      <c r="K8" s="55">
        <v>4.9000000000000004</v>
      </c>
      <c r="L8" s="55">
        <v>5</v>
      </c>
      <c r="M8" s="55">
        <v>3.6</v>
      </c>
      <c r="N8" s="55">
        <v>5</v>
      </c>
      <c r="O8" s="55">
        <v>4.5999999999999996</v>
      </c>
      <c r="P8" s="14"/>
    </row>
    <row r="9" spans="1:17" x14ac:dyDescent="0.2">
      <c r="A9" s="98" t="s">
        <v>893</v>
      </c>
      <c r="B9" s="97"/>
      <c r="E9" s="97"/>
      <c r="F9">
        <v>2016</v>
      </c>
      <c r="G9" s="55">
        <v>3.4</v>
      </c>
      <c r="H9" s="55">
        <v>4</v>
      </c>
      <c r="I9" s="55" t="s">
        <v>2136</v>
      </c>
      <c r="J9" s="55">
        <v>3.6</v>
      </c>
      <c r="K9" s="55">
        <v>4.9000000000000004</v>
      </c>
      <c r="L9" s="55">
        <v>4.8</v>
      </c>
      <c r="M9" s="55">
        <v>3.1</v>
      </c>
      <c r="N9" s="55">
        <v>5</v>
      </c>
      <c r="O9" s="55">
        <v>4.4000000000000004</v>
      </c>
    </row>
    <row r="10" spans="1:17" x14ac:dyDescent="0.2">
      <c r="A10" t="s">
        <v>894</v>
      </c>
      <c r="B10" t="s">
        <v>972</v>
      </c>
      <c r="E10" s="97"/>
      <c r="F10">
        <v>2017</v>
      </c>
      <c r="G10">
        <v>4.5</v>
      </c>
      <c r="H10">
        <v>3.9</v>
      </c>
      <c r="I10" t="s">
        <v>2135</v>
      </c>
      <c r="J10">
        <v>3</v>
      </c>
      <c r="K10">
        <v>4.4000000000000004</v>
      </c>
      <c r="L10">
        <v>4</v>
      </c>
      <c r="M10">
        <v>3.6</v>
      </c>
      <c r="N10">
        <v>4.7</v>
      </c>
      <c r="O10">
        <v>4.5</v>
      </c>
    </row>
    <row r="11" spans="1:17" x14ac:dyDescent="0.2">
      <c r="A11" t="s">
        <v>895</v>
      </c>
      <c r="B11" t="s">
        <v>887</v>
      </c>
      <c r="E11" s="97"/>
      <c r="F11" s="46" t="s">
        <v>1968</v>
      </c>
      <c r="G11" s="59">
        <v>4.3</v>
      </c>
      <c r="H11" s="59">
        <v>3.6</v>
      </c>
      <c r="I11" s="59" t="s">
        <v>2137</v>
      </c>
      <c r="J11" s="42">
        <v>3</v>
      </c>
      <c r="K11" s="42" t="s">
        <v>2138</v>
      </c>
      <c r="L11" s="42">
        <v>3.3</v>
      </c>
      <c r="M11" s="47" t="s">
        <v>2074</v>
      </c>
      <c r="N11" s="47" t="s">
        <v>1976</v>
      </c>
      <c r="O11" s="46" t="s">
        <v>2072</v>
      </c>
    </row>
    <row r="12" spans="1:17" x14ac:dyDescent="0.2">
      <c r="A12" t="s">
        <v>896</v>
      </c>
      <c r="E12" s="97"/>
      <c r="F12" s="74" t="s">
        <v>1970</v>
      </c>
      <c r="G12" s="42">
        <v>4.2</v>
      </c>
      <c r="H12" s="42">
        <v>3.9</v>
      </c>
      <c r="I12" s="59" t="s">
        <v>1886</v>
      </c>
      <c r="J12" s="59">
        <v>2.8</v>
      </c>
      <c r="K12" s="59" t="s">
        <v>2012</v>
      </c>
      <c r="L12" s="59">
        <v>3.3</v>
      </c>
      <c r="M12" s="46" t="s">
        <v>2074</v>
      </c>
      <c r="N12" s="46" t="s">
        <v>2139</v>
      </c>
      <c r="O12" s="46" t="s">
        <v>2072</v>
      </c>
    </row>
    <row r="13" spans="1:17" x14ac:dyDescent="0.2">
      <c r="A13" t="s">
        <v>897</v>
      </c>
      <c r="E13" s="97"/>
      <c r="F13" s="47" t="s">
        <v>1972</v>
      </c>
      <c r="G13" s="47" t="s">
        <v>2140</v>
      </c>
      <c r="H13" s="47" t="s">
        <v>2071</v>
      </c>
      <c r="I13" s="46" t="s">
        <v>2141</v>
      </c>
      <c r="J13" s="46" t="s">
        <v>1499</v>
      </c>
      <c r="K13" s="46" t="s">
        <v>2078</v>
      </c>
      <c r="L13" s="46" t="s">
        <v>2071</v>
      </c>
      <c r="M13" s="46" t="s">
        <v>2142</v>
      </c>
      <c r="N13" s="46" t="s">
        <v>2143</v>
      </c>
      <c r="O13" s="46" t="s">
        <v>2144</v>
      </c>
    </row>
    <row r="14" spans="1:17" x14ac:dyDescent="0.2">
      <c r="A14" t="s">
        <v>899</v>
      </c>
      <c r="B14" t="s">
        <v>701</v>
      </c>
      <c r="E14" s="97"/>
      <c r="F14" s="68" t="s">
        <v>1142</v>
      </c>
      <c r="G14" s="68" t="s">
        <v>2140</v>
      </c>
      <c r="H14" s="68" t="s">
        <v>2145</v>
      </c>
      <c r="I14" s="46" t="s">
        <v>1802</v>
      </c>
      <c r="J14" s="47" t="s">
        <v>2146</v>
      </c>
      <c r="K14" s="47" t="s">
        <v>2147</v>
      </c>
      <c r="L14" s="47" t="s">
        <v>2017</v>
      </c>
      <c r="M14" s="47" t="s">
        <v>2142</v>
      </c>
      <c r="N14" s="47" t="s">
        <v>2143</v>
      </c>
      <c r="O14" s="46" t="s">
        <v>2016</v>
      </c>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34BF8DF6-95F2-438D-B590-97859EE64368}">
      <formula1>"integer, number, percent1"</formula1>
    </dataValidation>
    <dataValidation type="list" allowBlank="1" showInputMessage="1" showErrorMessage="1" sqref="B10" xr:uid="{A06E9B07-FB5A-492C-82CE-98595C198129}">
      <formula1>"Line,Clustered Bar,Stacked Bar,Bar,Horizontal Stacked Bar"</formula1>
    </dataValidation>
    <dataValidation type="list" allowBlank="1" showInputMessage="1" showErrorMessage="1" sqref="B2" xr:uid="{EAEAD2A3-CA0C-473D-A7AE-97D37F121EA5}">
      <formula1>"Table,Figure,Both"</formula1>
    </dataValidation>
    <dataValidation type="list" allowBlank="1" showInputMessage="1" showErrorMessage="1" sqref="B6 B15:B16" xr:uid="{770F7CE2-4392-4475-A488-43AB606C78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E0D4E8-5580-4B50-B769-0B199A00444F}">
          <x14:formula1>
            <xm:f>Master!$F$2:$F$401</xm:f>
          </x14:formula1>
          <xm:sqref>B1:O1</xm:sqref>
        </x14:dataValidation>
        <x14:dataValidation type="list" allowBlank="1" showInputMessage="1" showErrorMessage="1" xr:uid="{0ABEB3FE-10BE-4177-BA85-33BE0F13BCE6}">
          <x14:formula1>
            <xm:f>Dropdowns!$A$1:$A$8</xm:f>
          </x14:formula1>
          <xm:sqref>F4:O4</xm:sqref>
        </x14:dataValidation>
      </x14:dataValidations>
    </ext>
  </extLst>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5ECA-FDA5-4CD7-98A8-3F6AF0C66B62}">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592</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tbl-hospital-exclusive-bf-percent</v>
      </c>
    </row>
    <row r="4" spans="1:17" x14ac:dyDescent="0.2">
      <c r="A4" s="58" t="s">
        <v>6</v>
      </c>
      <c r="B4" t="str">
        <f>IF($B$1="","",_xlfn.XLOOKUP($B$1,Master!$F$2:$F$308,Master!$H$2:$H$308,""))</f>
        <v>fig-hospital-exclusive-bf-percent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F5" t="s">
        <v>887</v>
      </c>
      <c r="G5" t="s">
        <v>220</v>
      </c>
      <c r="H5" t="s">
        <v>18</v>
      </c>
      <c r="I5" t="s">
        <v>537</v>
      </c>
      <c r="J5" t="s">
        <v>449</v>
      </c>
      <c r="K5" t="s">
        <v>409</v>
      </c>
      <c r="L5" t="s">
        <v>421</v>
      </c>
      <c r="M5" t="s">
        <v>470</v>
      </c>
      <c r="N5" t="s">
        <v>898</v>
      </c>
      <c r="O5" t="s">
        <v>914</v>
      </c>
    </row>
    <row r="6" spans="1:17" ht="15" customHeight="1" x14ac:dyDescent="0.2">
      <c r="A6" t="s">
        <v>891</v>
      </c>
      <c r="B6" t="b">
        <v>0</v>
      </c>
      <c r="E6" s="97"/>
      <c r="F6">
        <v>2013</v>
      </c>
      <c r="G6" s="55">
        <v>57.8</v>
      </c>
      <c r="H6" s="55">
        <v>55.4</v>
      </c>
      <c r="I6" s="55">
        <v>63.8</v>
      </c>
      <c r="J6" s="55">
        <v>46</v>
      </c>
      <c r="K6" s="55">
        <v>45.1</v>
      </c>
      <c r="L6" s="55">
        <v>63.1</v>
      </c>
      <c r="M6" s="55">
        <v>55</v>
      </c>
      <c r="N6" s="55">
        <v>54.1</v>
      </c>
      <c r="O6" s="55">
        <v>51.3</v>
      </c>
    </row>
    <row r="7" spans="1:17" ht="15.75" customHeight="1" x14ac:dyDescent="0.2">
      <c r="E7" s="97"/>
      <c r="F7">
        <v>2014</v>
      </c>
      <c r="G7" s="55">
        <v>55.1</v>
      </c>
      <c r="H7" s="55">
        <v>50.5</v>
      </c>
      <c r="I7" s="55">
        <v>68.5</v>
      </c>
      <c r="J7" s="55">
        <v>52</v>
      </c>
      <c r="K7" s="55">
        <v>49.1</v>
      </c>
      <c r="L7" s="55">
        <v>61.6</v>
      </c>
      <c r="M7" s="55">
        <v>53</v>
      </c>
      <c r="N7" s="55">
        <v>53.5</v>
      </c>
      <c r="O7" s="55">
        <v>52.5</v>
      </c>
    </row>
    <row r="8" spans="1:17" x14ac:dyDescent="0.2">
      <c r="E8" s="97"/>
      <c r="F8">
        <v>2015</v>
      </c>
      <c r="G8" s="55">
        <v>55.5</v>
      </c>
      <c r="H8" s="55">
        <v>49.7</v>
      </c>
      <c r="I8" s="55">
        <v>67.8</v>
      </c>
      <c r="J8" s="55">
        <v>52.7</v>
      </c>
      <c r="K8" s="55">
        <v>52.7</v>
      </c>
      <c r="L8" s="55">
        <v>63.2</v>
      </c>
      <c r="M8" s="55">
        <v>50.6</v>
      </c>
      <c r="N8" s="55">
        <v>52.8</v>
      </c>
      <c r="O8" s="55">
        <v>52.5</v>
      </c>
      <c r="P8" s="14"/>
    </row>
    <row r="9" spans="1:17" x14ac:dyDescent="0.2">
      <c r="A9" s="98" t="s">
        <v>893</v>
      </c>
      <c r="B9" s="97"/>
      <c r="E9" s="97"/>
      <c r="F9">
        <v>2016</v>
      </c>
      <c r="G9" s="55">
        <v>56.6</v>
      </c>
      <c r="H9" s="55">
        <v>44</v>
      </c>
      <c r="I9" s="55">
        <v>61.4</v>
      </c>
      <c r="J9" s="55">
        <v>36.9</v>
      </c>
      <c r="K9" s="55">
        <v>54.3</v>
      </c>
      <c r="L9" s="55">
        <v>65.599999999999994</v>
      </c>
      <c r="M9" s="55">
        <v>54.5</v>
      </c>
      <c r="N9" s="55">
        <v>50</v>
      </c>
      <c r="O9" s="55">
        <v>52.4</v>
      </c>
    </row>
    <row r="10" spans="1:17" x14ac:dyDescent="0.2">
      <c r="A10" t="s">
        <v>894</v>
      </c>
      <c r="B10" t="s">
        <v>972</v>
      </c>
      <c r="E10" s="97"/>
      <c r="F10">
        <v>2017</v>
      </c>
      <c r="G10">
        <v>56.8</v>
      </c>
      <c r="H10">
        <v>44.3</v>
      </c>
      <c r="I10">
        <v>64.599999999999994</v>
      </c>
      <c r="J10">
        <v>38</v>
      </c>
      <c r="K10">
        <v>55.7</v>
      </c>
      <c r="L10">
        <v>64.3</v>
      </c>
      <c r="M10">
        <v>52.2</v>
      </c>
      <c r="N10">
        <v>49.6</v>
      </c>
      <c r="O10">
        <v>51.7</v>
      </c>
    </row>
    <row r="11" spans="1:17" x14ac:dyDescent="0.2">
      <c r="A11" t="s">
        <v>895</v>
      </c>
      <c r="B11" t="s">
        <v>887</v>
      </c>
      <c r="E11" s="97"/>
      <c r="F11" s="46" t="s">
        <v>1968</v>
      </c>
      <c r="G11" s="59">
        <v>52.3</v>
      </c>
      <c r="H11" s="59">
        <v>37.700000000000003</v>
      </c>
      <c r="I11" s="59">
        <v>65.400000000000006</v>
      </c>
      <c r="J11" s="42">
        <v>31.2</v>
      </c>
      <c r="K11" s="42">
        <v>54.4</v>
      </c>
      <c r="L11" s="42">
        <v>61.3</v>
      </c>
      <c r="M11" s="47" t="s">
        <v>2148</v>
      </c>
      <c r="N11" s="47" t="s">
        <v>2149</v>
      </c>
      <c r="O11" s="46" t="s">
        <v>2150</v>
      </c>
    </row>
    <row r="12" spans="1:17" x14ac:dyDescent="0.2">
      <c r="A12" t="s">
        <v>896</v>
      </c>
      <c r="E12" s="97"/>
      <c r="F12" s="74" t="s">
        <v>1970</v>
      </c>
      <c r="G12" s="42">
        <v>49.6</v>
      </c>
      <c r="H12" s="42">
        <v>36.9</v>
      </c>
      <c r="I12" s="59">
        <v>53.4</v>
      </c>
      <c r="J12" s="59">
        <v>32.700000000000003</v>
      </c>
      <c r="K12" s="59">
        <v>50.7</v>
      </c>
      <c r="L12" s="59">
        <v>60.8</v>
      </c>
      <c r="M12" s="46" t="s">
        <v>2151</v>
      </c>
      <c r="N12" s="46" t="s">
        <v>2152</v>
      </c>
      <c r="O12" s="46" t="s">
        <v>2153</v>
      </c>
    </row>
    <row r="13" spans="1:17" x14ac:dyDescent="0.2">
      <c r="A13" t="s">
        <v>897</v>
      </c>
      <c r="E13" s="97"/>
      <c r="F13" s="47" t="s">
        <v>1972</v>
      </c>
      <c r="G13" s="47" t="s">
        <v>2154</v>
      </c>
      <c r="H13" s="47" t="s">
        <v>2155</v>
      </c>
      <c r="I13" s="46" t="s">
        <v>2156</v>
      </c>
      <c r="J13" s="46" t="s">
        <v>2157</v>
      </c>
      <c r="K13" s="46" t="s">
        <v>2158</v>
      </c>
      <c r="L13" s="46" t="s">
        <v>2159</v>
      </c>
      <c r="M13" s="46" t="s">
        <v>1468</v>
      </c>
      <c r="N13" s="46" t="s">
        <v>2160</v>
      </c>
      <c r="O13" s="46" t="s">
        <v>2161</v>
      </c>
    </row>
    <row r="14" spans="1:17" x14ac:dyDescent="0.2">
      <c r="A14" t="s">
        <v>899</v>
      </c>
      <c r="B14" t="s">
        <v>694</v>
      </c>
      <c r="E14" s="97"/>
      <c r="F14" s="68" t="s">
        <v>1142</v>
      </c>
      <c r="G14" s="68" t="s">
        <v>2162</v>
      </c>
      <c r="H14" s="68" t="s">
        <v>2163</v>
      </c>
      <c r="I14" s="46" t="s">
        <v>2164</v>
      </c>
      <c r="J14" s="47" t="s">
        <v>2165</v>
      </c>
      <c r="K14" s="47" t="s">
        <v>2166</v>
      </c>
      <c r="L14" s="47" t="s">
        <v>2167</v>
      </c>
      <c r="M14" s="47" t="s">
        <v>1487</v>
      </c>
      <c r="N14" s="47" t="s">
        <v>2168</v>
      </c>
      <c r="O14" s="46" t="s">
        <v>2169</v>
      </c>
    </row>
    <row r="15" spans="1:17" x14ac:dyDescent="0.2">
      <c r="A15" t="s">
        <v>901</v>
      </c>
      <c r="B15" t="b">
        <v>1</v>
      </c>
      <c r="E15" s="97"/>
      <c r="F15">
        <v>2022</v>
      </c>
      <c r="G15" s="68" t="s">
        <v>1468</v>
      </c>
      <c r="H15" s="68" t="s">
        <v>2170</v>
      </c>
      <c r="I15" s="46" t="s">
        <v>2171</v>
      </c>
      <c r="J15" s="47" t="s">
        <v>2172</v>
      </c>
      <c r="K15" s="47" t="s">
        <v>2173</v>
      </c>
      <c r="L15" s="47" t="s">
        <v>2066</v>
      </c>
      <c r="M15" s="47" t="s">
        <v>2174</v>
      </c>
      <c r="N15" s="47" t="s">
        <v>2170</v>
      </c>
      <c r="O15" s="46" t="s">
        <v>2175</v>
      </c>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3FF7B182-2CD4-4003-999C-AADB3EEF0019}">
      <formula1>"True,False"</formula1>
    </dataValidation>
    <dataValidation type="list" allowBlank="1" showInputMessage="1" showErrorMessage="1" sqref="B2" xr:uid="{7F037CFC-5A34-40B3-8C71-B4236082F198}">
      <formula1>"Table,Figure,Both"</formula1>
    </dataValidation>
    <dataValidation type="list" allowBlank="1" showInputMessage="1" showErrorMessage="1" sqref="B10" xr:uid="{4FE3B844-A575-4E9E-B787-3964B0AF7201}">
      <formula1>"Line,Clustered Bar,Stacked Bar,Bar,Horizontal Stacked Bar"</formula1>
    </dataValidation>
    <dataValidation type="list" allowBlank="1" showInputMessage="1" showErrorMessage="1" sqref="P4:Q4" xr:uid="{F679AF9C-A32E-476F-9CBC-B3CA9D944ED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AC396C6-56F6-493B-91C2-EADC81E4990A}">
          <x14:formula1>
            <xm:f>Dropdowns!$A$1:$A$8</xm:f>
          </x14:formula1>
          <xm:sqref>F4:O4</xm:sqref>
        </x14:dataValidation>
        <x14:dataValidation type="list" allowBlank="1" showInputMessage="1" showErrorMessage="1" xr:uid="{328E4137-D752-4AD3-A5B6-28F3502988E2}">
          <x14:formula1>
            <xm:f>Master!$F$2:$F$401</xm:f>
          </x14:formula1>
          <xm:sqref>B1:O1</xm:sqref>
        </x14:dataValidation>
      </x14:dataValidations>
    </ext>
  </extLst>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93B2D-B218-49D3-AE8B-266C2C12BB99}">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607</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tbl-medicaid-1dental-visit-percent</v>
      </c>
    </row>
    <row r="4" spans="1:17" x14ac:dyDescent="0.2">
      <c r="A4" s="58" t="s">
        <v>6</v>
      </c>
      <c r="B4" t="str">
        <f>IF($B$1="","",_xlfn.XLOOKUP($B$1,Master!$F$2:$F$308,Master!$H$2:$H$308,""))</f>
        <v>fig-medicaid-1dental-visit-percent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G5" t="s">
        <v>220</v>
      </c>
      <c r="H5" t="s">
        <v>18</v>
      </c>
      <c r="I5" t="s">
        <v>537</v>
      </c>
      <c r="J5" t="s">
        <v>449</v>
      </c>
      <c r="K5" t="s">
        <v>409</v>
      </c>
      <c r="L5" t="s">
        <v>421</v>
      </c>
      <c r="M5" t="s">
        <v>470</v>
      </c>
      <c r="N5" t="s">
        <v>914</v>
      </c>
      <c r="O5" t="s">
        <v>915</v>
      </c>
    </row>
    <row r="6" spans="1:17" ht="15" customHeight="1" x14ac:dyDescent="0.2">
      <c r="A6" t="s">
        <v>891</v>
      </c>
      <c r="B6" t="b">
        <v>0</v>
      </c>
      <c r="E6" s="97"/>
      <c r="F6" t="s">
        <v>2176</v>
      </c>
      <c r="G6" s="55">
        <v>30.8</v>
      </c>
      <c r="H6" s="55">
        <v>35.799999999999997</v>
      </c>
      <c r="I6" s="55">
        <v>31.6</v>
      </c>
      <c r="J6" s="55">
        <v>45.5</v>
      </c>
      <c r="K6" s="55">
        <v>29.1</v>
      </c>
      <c r="L6" s="55">
        <v>28.5</v>
      </c>
      <c r="M6" s="55">
        <v>30.7</v>
      </c>
      <c r="N6" s="55">
        <v>30.2</v>
      </c>
      <c r="O6" s="55">
        <v>29.5</v>
      </c>
    </row>
    <row r="7" spans="1:17" ht="15.75" customHeight="1" x14ac:dyDescent="0.2">
      <c r="E7" s="97"/>
      <c r="F7" t="s">
        <v>2177</v>
      </c>
      <c r="G7" s="55">
        <v>49.2</v>
      </c>
      <c r="H7" s="55">
        <v>51.5</v>
      </c>
      <c r="I7" s="55">
        <v>53.1</v>
      </c>
      <c r="J7" s="55">
        <v>64.400000000000006</v>
      </c>
      <c r="K7" s="55">
        <v>43.6</v>
      </c>
      <c r="L7" s="55">
        <v>47.8</v>
      </c>
      <c r="M7" s="55">
        <v>52</v>
      </c>
      <c r="N7" s="55">
        <v>54.2</v>
      </c>
      <c r="O7" s="55">
        <v>46.8</v>
      </c>
    </row>
    <row r="8" spans="1:17" x14ac:dyDescent="0.2">
      <c r="E8" s="97"/>
      <c r="G8" s="55"/>
      <c r="H8" s="55"/>
      <c r="I8" s="55"/>
      <c r="J8" s="55"/>
      <c r="K8" s="55"/>
      <c r="L8" s="55"/>
      <c r="M8" s="55"/>
      <c r="N8" s="55"/>
      <c r="O8" s="55"/>
      <c r="P8" s="14"/>
    </row>
    <row r="9" spans="1:17" x14ac:dyDescent="0.2">
      <c r="A9" s="98" t="s">
        <v>893</v>
      </c>
      <c r="B9" s="97"/>
      <c r="E9" s="97"/>
      <c r="G9" s="55"/>
      <c r="H9" s="55"/>
      <c r="I9" s="55"/>
      <c r="J9" s="55"/>
      <c r="K9" s="55"/>
      <c r="L9" s="55"/>
      <c r="M9" s="55"/>
      <c r="N9" s="55"/>
      <c r="O9" s="55"/>
    </row>
    <row r="10" spans="1:17" x14ac:dyDescent="0.2">
      <c r="A10" t="s">
        <v>894</v>
      </c>
      <c r="B10" t="s">
        <v>983</v>
      </c>
      <c r="E10" s="97"/>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694</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Q4" xr:uid="{4427AC92-61A9-44CF-A64A-1EAD1477A998}">
      <formula1>"integer, number, percent1"</formula1>
    </dataValidation>
    <dataValidation type="list" allowBlank="1" showInputMessage="1" showErrorMessage="1" sqref="B10" xr:uid="{7EF12244-4DD0-4137-88DF-A9E6041E55EB}">
      <formula1>"Line,Clustered Bar,Stacked Bar,Bar,Horizontal Stacked Bar"</formula1>
    </dataValidation>
    <dataValidation type="list" allowBlank="1" showInputMessage="1" showErrorMessage="1" sqref="B2" xr:uid="{E56FA127-22CD-4860-8123-1752A02C277C}">
      <formula1>"Table,Figure,Both"</formula1>
    </dataValidation>
    <dataValidation type="list" allowBlank="1" showInputMessage="1" showErrorMessage="1" sqref="B6 B15:B16" xr:uid="{D81F4DA1-6F10-4B09-A81E-FDB90F658F5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FCFF5C1-058D-449D-BFD7-74691A5383BF}">
          <x14:formula1>
            <xm:f>Master!$F$2:$F$401</xm:f>
          </x14:formula1>
          <xm:sqref>B1:O1</xm:sqref>
        </x14:dataValidation>
        <x14:dataValidation type="list" allowBlank="1" showInputMessage="1" showErrorMessage="1" xr:uid="{CF5F2949-9D6D-49D6-92AE-CED7E5983874}">
          <x14:formula1>
            <xm:f>Dropdowns!$A$1:$A$8</xm:f>
          </x14:formula1>
          <xm:sqref>F4:O4</xm:sqref>
        </x14:dataValidation>
      </x14:dataValidations>
    </ext>
  </extLst>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D79DA-CABD-4232-A337-48BA80EBF5D1}">
  <dimension ref="A1:Q57"/>
  <sheetViews>
    <sheetView topLeftCell="A4"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609</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tbl-medicaid-dental-past12-percent</v>
      </c>
    </row>
    <row r="4" spans="1:17" x14ac:dyDescent="0.2">
      <c r="A4" s="58" t="s">
        <v>6</v>
      </c>
      <c r="B4" t="str">
        <f>IF($B$1="","",_xlfn.XLOOKUP($B$1,Master!$F$2:$F$308,Master!$H$2:$H$308,""))</f>
        <v>fig-medicaid-dental-past12-percent</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7"/>
      <c r="E5" s="99" t="s">
        <v>886</v>
      </c>
      <c r="G5" t="s">
        <v>220</v>
      </c>
      <c r="H5" t="s">
        <v>18</v>
      </c>
      <c r="I5" t="s">
        <v>537</v>
      </c>
      <c r="J5" t="s">
        <v>449</v>
      </c>
      <c r="K5" t="s">
        <v>409</v>
      </c>
      <c r="L5" t="s">
        <v>421</v>
      </c>
      <c r="M5" t="s">
        <v>470</v>
      </c>
      <c r="N5" t="s">
        <v>915</v>
      </c>
    </row>
    <row r="6" spans="1:17" ht="15" customHeight="1" x14ac:dyDescent="0.2">
      <c r="A6" t="s">
        <v>891</v>
      </c>
      <c r="B6" t="b">
        <v>0</v>
      </c>
      <c r="E6" s="97"/>
      <c r="F6">
        <v>2019</v>
      </c>
      <c r="G6" s="55">
        <v>31.1</v>
      </c>
      <c r="H6" s="55">
        <v>34.799999999999997</v>
      </c>
      <c r="I6" s="55">
        <v>32.799999999999997</v>
      </c>
      <c r="J6" s="55">
        <v>45.6</v>
      </c>
      <c r="K6" s="55">
        <v>31</v>
      </c>
      <c r="L6" s="55">
        <v>28.6</v>
      </c>
      <c r="M6" s="55">
        <v>32.700000000000003</v>
      </c>
      <c r="N6" s="55">
        <v>33.5</v>
      </c>
      <c r="O6" s="55"/>
    </row>
    <row r="7" spans="1:17" ht="15.75" customHeight="1" x14ac:dyDescent="0.2">
      <c r="E7" s="97"/>
      <c r="F7">
        <v>2020</v>
      </c>
      <c r="G7" s="55">
        <v>30.9</v>
      </c>
      <c r="H7" s="55">
        <v>34.1</v>
      </c>
      <c r="I7" s="55">
        <v>31.7</v>
      </c>
      <c r="J7" s="55">
        <v>45.3</v>
      </c>
      <c r="K7" s="55">
        <v>29.8</v>
      </c>
      <c r="L7" s="55">
        <v>28.4</v>
      </c>
      <c r="M7" s="55">
        <v>31.2</v>
      </c>
      <c r="N7" s="55">
        <v>26.3</v>
      </c>
      <c r="O7" s="55"/>
    </row>
    <row r="8" spans="1:17" x14ac:dyDescent="0.2">
      <c r="E8" s="97"/>
      <c r="F8">
        <v>2021</v>
      </c>
      <c r="G8" s="55">
        <v>30.3</v>
      </c>
      <c r="H8" s="55">
        <v>33.9</v>
      </c>
      <c r="I8" s="55">
        <v>30.7</v>
      </c>
      <c r="J8" s="55">
        <v>44.7</v>
      </c>
      <c r="K8" s="55">
        <v>28.5</v>
      </c>
      <c r="L8" s="55">
        <v>27.7</v>
      </c>
      <c r="M8" s="55">
        <v>29.8</v>
      </c>
      <c r="N8" s="55">
        <v>29.8</v>
      </c>
      <c r="O8" s="55"/>
      <c r="P8" s="14"/>
    </row>
    <row r="9" spans="1:17" x14ac:dyDescent="0.2">
      <c r="A9" s="98" t="s">
        <v>893</v>
      </c>
      <c r="B9" s="97"/>
      <c r="E9" s="97"/>
      <c r="F9">
        <v>2022</v>
      </c>
      <c r="G9" s="55">
        <v>30.8</v>
      </c>
      <c r="H9" s="55">
        <v>35.799999999999997</v>
      </c>
      <c r="I9" s="55">
        <v>31.6</v>
      </c>
      <c r="J9" s="55">
        <v>44.5</v>
      </c>
      <c r="K9" s="55">
        <v>29.1</v>
      </c>
      <c r="L9" s="55">
        <v>28.5</v>
      </c>
      <c r="M9" s="55">
        <v>30.7</v>
      </c>
      <c r="N9" s="55">
        <v>29.8</v>
      </c>
      <c r="O9" s="55"/>
    </row>
    <row r="10" spans="1:17" x14ac:dyDescent="0.2">
      <c r="A10" t="s">
        <v>894</v>
      </c>
      <c r="B10" t="s">
        <v>972</v>
      </c>
      <c r="E10" s="97"/>
      <c r="G10" s="55"/>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694</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514480EE-8F91-4855-BB22-E142DF6A1914}">
      <formula1>"True,False"</formula1>
    </dataValidation>
    <dataValidation type="list" allowBlank="1" showInputMessage="1" showErrorMessage="1" sqref="B2" xr:uid="{3964268D-25B5-453F-8041-5D018CE943B2}">
      <formula1>"Table,Figure,Both"</formula1>
    </dataValidation>
    <dataValidation type="list" allowBlank="1" showInputMessage="1" showErrorMessage="1" sqref="B10" xr:uid="{E85E2A10-4CFD-4DB3-8E21-B6B5F3B85412}">
      <formula1>"Line,Clustered Bar,Stacked Bar,Bar,Horizontal Stacked Bar"</formula1>
    </dataValidation>
    <dataValidation type="list" allowBlank="1" showInputMessage="1" showErrorMessage="1" sqref="P4:Q4" xr:uid="{57C3E018-E9D8-4133-9976-E354515552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4D6EE0-DAE1-493C-8B74-1C67829B59BE}">
          <x14:formula1>
            <xm:f>Dropdowns!$A$1:$A$8</xm:f>
          </x14:formula1>
          <xm:sqref>F4:O4</xm:sqref>
        </x14:dataValidation>
        <x14:dataValidation type="list" allowBlank="1" showInputMessage="1" showErrorMessage="1" xr:uid="{438FE1FB-3671-44C6-8F9B-8339379B9694}">
          <x14:formula1>
            <xm:f>Master!$F$2:$F$401</xm:f>
          </x14:formula1>
          <xm:sqref>B1:O1</xm:sqref>
        </x14:dataValidation>
      </x14:dataValidations>
    </ext>
  </extLst>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0EE3E-7EEF-074B-9863-3904384C1603}">
  <dimension ref="A1:Q57"/>
  <sheetViews>
    <sheetView workbookViewId="0">
      <selection activeCell="G5" sqref="G5:N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489</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tbl-cirrhosis-mortal-aar</v>
      </c>
    </row>
    <row r="4" spans="1:17" x14ac:dyDescent="0.2">
      <c r="A4" s="58" t="s">
        <v>6</v>
      </c>
      <c r="B4" t="str">
        <f>IF($B$1="","",_xlfn.XLOOKUP($B$1,Master!$F$2:$F$308,Master!$H$2:$H$308,""))</f>
        <v>fig-cirrhosis-mortal-aar</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7"/>
      <c r="E5" s="99" t="s">
        <v>886</v>
      </c>
      <c r="G5" s="100" t="s">
        <v>2185</v>
      </c>
      <c r="H5" s="100"/>
      <c r="I5" s="100"/>
      <c r="J5" s="100"/>
      <c r="K5" s="100"/>
      <c r="L5" s="100"/>
      <c r="M5" s="100"/>
      <c r="N5" t="s">
        <v>1793</v>
      </c>
    </row>
    <row r="6" spans="1:17" ht="15" customHeight="1" x14ac:dyDescent="0.2">
      <c r="A6" t="s">
        <v>891</v>
      </c>
      <c r="B6" t="b">
        <v>0</v>
      </c>
      <c r="E6" s="97"/>
      <c r="F6" t="s">
        <v>1123</v>
      </c>
      <c r="G6" s="55" t="s">
        <v>220</v>
      </c>
      <c r="H6" s="55" t="s">
        <v>18</v>
      </c>
      <c r="I6" s="55" t="s">
        <v>537</v>
      </c>
      <c r="J6" s="55" t="s">
        <v>449</v>
      </c>
      <c r="K6" s="55" t="s">
        <v>409</v>
      </c>
      <c r="L6" s="55" t="s">
        <v>421</v>
      </c>
      <c r="M6" s="55" t="s">
        <v>470</v>
      </c>
      <c r="N6" s="55" t="s">
        <v>915</v>
      </c>
      <c r="O6" s="55"/>
    </row>
    <row r="7" spans="1:17" ht="15.75" customHeight="1" x14ac:dyDescent="0.2">
      <c r="E7" s="97"/>
      <c r="F7">
        <v>2014</v>
      </c>
      <c r="G7" s="55">
        <v>6.9</v>
      </c>
      <c r="H7" s="55">
        <v>6.6</v>
      </c>
      <c r="I7" s="55">
        <v>7</v>
      </c>
      <c r="J7" s="55">
        <v>5.5</v>
      </c>
      <c r="K7" s="55">
        <v>8.4</v>
      </c>
      <c r="L7" s="55">
        <v>6</v>
      </c>
      <c r="M7" s="55">
        <v>4.5999999999999996</v>
      </c>
      <c r="N7" s="55">
        <v>6.7</v>
      </c>
      <c r="O7" s="55"/>
    </row>
    <row r="8" spans="1:17" x14ac:dyDescent="0.2">
      <c r="E8" s="97"/>
      <c r="F8">
        <v>2015</v>
      </c>
      <c r="G8" s="55">
        <v>6.1</v>
      </c>
      <c r="H8" s="55">
        <v>6</v>
      </c>
      <c r="I8" s="55">
        <v>8.3000000000000007</v>
      </c>
      <c r="J8" s="55">
        <v>5.8</v>
      </c>
      <c r="K8" s="55">
        <v>9.1999999999999993</v>
      </c>
      <c r="L8" s="55">
        <v>8.1999999999999993</v>
      </c>
      <c r="M8" s="55">
        <v>4.5999999999999996</v>
      </c>
      <c r="N8" s="55">
        <v>6.7</v>
      </c>
      <c r="O8" s="55"/>
      <c r="P8" s="14"/>
    </row>
    <row r="9" spans="1:17" x14ac:dyDescent="0.2">
      <c r="A9" s="98" t="s">
        <v>893</v>
      </c>
      <c r="B9" s="97"/>
      <c r="E9" s="97"/>
      <c r="F9">
        <v>2016</v>
      </c>
      <c r="G9" s="55">
        <v>5.8</v>
      </c>
      <c r="H9" s="55">
        <v>6.4</v>
      </c>
      <c r="I9" s="55">
        <v>8.3000000000000007</v>
      </c>
      <c r="J9" s="55">
        <v>6.4</v>
      </c>
      <c r="K9" s="55">
        <v>7.2</v>
      </c>
      <c r="L9" s="55">
        <v>8.1999999999999993</v>
      </c>
      <c r="M9" s="55">
        <v>5.4</v>
      </c>
      <c r="N9" s="55">
        <v>6.9</v>
      </c>
      <c r="O9" s="55"/>
    </row>
    <row r="10" spans="1:17" x14ac:dyDescent="0.2">
      <c r="A10" t="s">
        <v>894</v>
      </c>
      <c r="B10" t="s">
        <v>972</v>
      </c>
      <c r="E10" s="97"/>
      <c r="F10">
        <v>2017</v>
      </c>
      <c r="G10" s="55">
        <v>5.4</v>
      </c>
      <c r="H10">
        <v>7.1</v>
      </c>
      <c r="I10">
        <v>5.8</v>
      </c>
      <c r="J10">
        <v>5.2</v>
      </c>
      <c r="K10">
        <v>7.1</v>
      </c>
      <c r="L10">
        <v>8.5</v>
      </c>
      <c r="M10">
        <v>5.7</v>
      </c>
      <c r="N10">
        <v>7</v>
      </c>
    </row>
    <row r="11" spans="1:17" x14ac:dyDescent="0.2">
      <c r="A11" t="s">
        <v>895</v>
      </c>
      <c r="B11" t="s">
        <v>887</v>
      </c>
      <c r="E11" s="97"/>
      <c r="F11" s="46" t="s">
        <v>1968</v>
      </c>
      <c r="G11" s="59">
        <v>4.9000000000000004</v>
      </c>
      <c r="H11" s="59">
        <v>7.5</v>
      </c>
      <c r="I11" s="59">
        <v>4.8</v>
      </c>
      <c r="J11" s="42">
        <v>4.7</v>
      </c>
      <c r="K11" s="42">
        <v>6.9</v>
      </c>
      <c r="L11" s="42">
        <v>7.3</v>
      </c>
      <c r="M11" s="47" t="s">
        <v>1969</v>
      </c>
      <c r="N11" s="47" t="s">
        <v>1480</v>
      </c>
      <c r="O11" s="46"/>
    </row>
    <row r="12" spans="1:17" x14ac:dyDescent="0.2">
      <c r="A12" t="s">
        <v>896</v>
      </c>
      <c r="E12" s="97"/>
      <c r="F12" s="74" t="s">
        <v>1970</v>
      </c>
      <c r="G12" s="42">
        <v>6.3</v>
      </c>
      <c r="H12" s="42">
        <v>7.3</v>
      </c>
      <c r="I12" s="59">
        <v>5.3</v>
      </c>
      <c r="J12" s="59">
        <v>4.3</v>
      </c>
      <c r="K12" s="59">
        <v>6.7</v>
      </c>
      <c r="L12" s="59">
        <v>7.5</v>
      </c>
      <c r="M12" s="46" t="s">
        <v>1971</v>
      </c>
      <c r="N12" s="46" t="s">
        <v>1480</v>
      </c>
      <c r="O12" s="46"/>
    </row>
    <row r="13" spans="1:17" x14ac:dyDescent="0.2">
      <c r="A13" t="s">
        <v>897</v>
      </c>
      <c r="E13" s="97"/>
      <c r="F13" s="47" t="s">
        <v>1972</v>
      </c>
      <c r="G13" s="47" t="s">
        <v>1478</v>
      </c>
      <c r="H13" s="47" t="s">
        <v>1973</v>
      </c>
      <c r="I13" s="46" t="s">
        <v>1477</v>
      </c>
      <c r="J13" s="46" t="s">
        <v>1974</v>
      </c>
      <c r="K13" s="46" t="s">
        <v>1975</v>
      </c>
      <c r="L13" s="46" t="s">
        <v>1480</v>
      </c>
      <c r="M13" s="46" t="s">
        <v>1777</v>
      </c>
      <c r="N13" s="46" t="s">
        <v>1481</v>
      </c>
      <c r="O13" s="46"/>
    </row>
    <row r="14" spans="1:17" x14ac:dyDescent="0.2">
      <c r="A14" t="s">
        <v>899</v>
      </c>
      <c r="B14" t="s">
        <v>694</v>
      </c>
      <c r="E14" s="97"/>
      <c r="F14" s="68" t="s">
        <v>1142</v>
      </c>
      <c r="G14" s="68" t="s">
        <v>1482</v>
      </c>
      <c r="H14" s="68" t="s">
        <v>1477</v>
      </c>
      <c r="I14" s="46" t="s">
        <v>1477</v>
      </c>
      <c r="J14" s="47" t="s">
        <v>1976</v>
      </c>
      <c r="K14" s="47" t="s">
        <v>2184</v>
      </c>
      <c r="L14" s="47" t="s">
        <v>1513</v>
      </c>
      <c r="M14" s="47" t="s">
        <v>2007</v>
      </c>
      <c r="N14" s="47" t="s">
        <v>1461</v>
      </c>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7">
    <mergeCell ref="B1:O1"/>
    <mergeCell ref="A5:B5"/>
    <mergeCell ref="E5:E57"/>
    <mergeCell ref="A9:B9"/>
    <mergeCell ref="A18:B18"/>
    <mergeCell ref="A27:B27"/>
    <mergeCell ref="G5:M5"/>
  </mergeCells>
  <dataValidations count="4">
    <dataValidation type="list" allowBlank="1" showInputMessage="1" showErrorMessage="1" sqref="P4:Q4" xr:uid="{A72D1742-CC25-6947-8CAA-5386A4F76507}">
      <formula1>"integer, number, percent1"</formula1>
    </dataValidation>
    <dataValidation type="list" allowBlank="1" showInputMessage="1" showErrorMessage="1" sqref="B10" xr:uid="{6B41834D-E648-334F-A0A7-A0F8AD980098}">
      <formula1>"Line,Clustered Bar,Stacked Bar,Bar,Horizontal Stacked Bar"</formula1>
    </dataValidation>
    <dataValidation type="list" allowBlank="1" showInputMessage="1" showErrorMessage="1" sqref="B2" xr:uid="{2312A005-5DB2-EB4C-AB67-5461179F8B5F}">
      <formula1>"Table,Figure,Both"</formula1>
    </dataValidation>
    <dataValidation type="list" allowBlank="1" showInputMessage="1" showErrorMessage="1" sqref="B6 B15:B16" xr:uid="{9005BFDF-728A-BE40-B522-1C81A5E572D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97870B3-48EE-D14D-B54D-0C41EABD1FCF}">
          <x14:formula1>
            <xm:f>Master!$F$2:$F$401</xm:f>
          </x14:formula1>
          <xm:sqref>B1:O1</xm:sqref>
        </x14:dataValidation>
        <x14:dataValidation type="list" allowBlank="1" showInputMessage="1" showErrorMessage="1" xr:uid="{8949A9A4-9F61-8F43-A712-7932539FCA45}">
          <x14:formula1>
            <xm:f>Dropdowns!$A$1:$A$8</xm:f>
          </x14:formula1>
          <xm:sqref>F4:O4</xm:sqref>
        </x14:dataValidation>
      </x14:dataValidations>
    </ext>
  </extLst>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89E8A-B1C4-4549-A306-0384EAB35667}">
  <dimension ref="A1:Q57"/>
  <sheetViews>
    <sheetView workbookViewId="0">
      <selection activeCell="R48" sqref="R4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1559</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tbl-coronary-heart-disease-hospital-aar</v>
      </c>
    </row>
    <row r="4" spans="1:17" x14ac:dyDescent="0.2">
      <c r="A4" s="58" t="s">
        <v>6</v>
      </c>
      <c r="B4" t="str">
        <f>IF($B$1="","",_xlfn.XLOOKUP($B$1,Master!$F$2:$F$308,Master!$H$2:$H$308,""))</f>
        <v>fig-coronary-heart-disease-hospital-aar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7"/>
      <c r="E5" s="99" t="s">
        <v>886</v>
      </c>
      <c r="G5" s="100" t="s">
        <v>2185</v>
      </c>
      <c r="H5" s="100"/>
      <c r="I5" s="100"/>
      <c r="J5" s="100"/>
      <c r="K5" s="100"/>
      <c r="L5" s="100"/>
      <c r="M5" s="100"/>
      <c r="N5" s="100" t="s">
        <v>1793</v>
      </c>
      <c r="O5" s="100"/>
      <c r="P5" s="100"/>
    </row>
    <row r="6" spans="1:17" ht="15" customHeight="1" x14ac:dyDescent="0.2">
      <c r="A6" t="s">
        <v>891</v>
      </c>
      <c r="B6" t="b">
        <v>1</v>
      </c>
      <c r="E6" s="97"/>
      <c r="F6" t="s">
        <v>887</v>
      </c>
      <c r="G6" s="55" t="s">
        <v>220</v>
      </c>
      <c r="H6" s="55" t="s">
        <v>18</v>
      </c>
      <c r="I6" s="55" t="s">
        <v>537</v>
      </c>
      <c r="J6" s="55" t="s">
        <v>449</v>
      </c>
      <c r="K6" s="55" t="s">
        <v>409</v>
      </c>
      <c r="L6" s="55" t="s">
        <v>421</v>
      </c>
      <c r="M6" s="55" t="s">
        <v>470</v>
      </c>
      <c r="N6" s="55" t="s">
        <v>898</v>
      </c>
      <c r="O6" s="55" t="s">
        <v>914</v>
      </c>
      <c r="P6" t="s">
        <v>915</v>
      </c>
    </row>
    <row r="7" spans="1:17" ht="15.75" customHeight="1" x14ac:dyDescent="0.2">
      <c r="E7" s="97"/>
      <c r="F7">
        <v>2021</v>
      </c>
      <c r="G7" s="55">
        <v>16.7</v>
      </c>
      <c r="H7" s="55">
        <v>22.4</v>
      </c>
      <c r="I7" s="55">
        <v>14.9</v>
      </c>
      <c r="J7" s="55">
        <v>14.6</v>
      </c>
      <c r="K7" s="55">
        <v>28.9</v>
      </c>
      <c r="L7" s="55">
        <v>20.100000000000001</v>
      </c>
      <c r="M7" s="55">
        <v>16.3</v>
      </c>
      <c r="N7" s="55">
        <v>18</v>
      </c>
      <c r="O7" s="55">
        <v>20.100000000000001</v>
      </c>
      <c r="P7">
        <v>20.2</v>
      </c>
    </row>
    <row r="8" spans="1:17" x14ac:dyDescent="0.2">
      <c r="E8" s="97"/>
      <c r="G8" s="55"/>
      <c r="H8" s="55"/>
      <c r="I8" s="55"/>
      <c r="J8" s="55"/>
      <c r="K8" s="55"/>
      <c r="L8" s="55"/>
      <c r="M8" s="55"/>
      <c r="N8" s="55"/>
      <c r="O8" s="55"/>
      <c r="P8" s="14"/>
    </row>
    <row r="9" spans="1:17" x14ac:dyDescent="0.2">
      <c r="A9" s="98" t="s">
        <v>893</v>
      </c>
      <c r="B9" s="97"/>
      <c r="E9" s="97"/>
      <c r="G9" s="55"/>
      <c r="H9" s="55"/>
      <c r="I9" s="55"/>
      <c r="J9" s="55"/>
      <c r="K9" s="55"/>
      <c r="L9" s="55"/>
      <c r="M9" s="55"/>
      <c r="N9" s="55"/>
      <c r="O9" s="55"/>
    </row>
    <row r="10" spans="1:17" x14ac:dyDescent="0.2">
      <c r="A10" t="s">
        <v>894</v>
      </c>
      <c r="B10" t="s">
        <v>1002</v>
      </c>
      <c r="E10" s="97"/>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708</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B6 B15:B16" xr:uid="{E945FC5D-9762-6549-A486-3A096D437073}">
      <formula1>"True,False"</formula1>
    </dataValidation>
    <dataValidation type="list" allowBlank="1" showInputMessage="1" showErrorMessage="1" sqref="B2" xr:uid="{BB8C446C-FF3E-3144-A710-AC518CA5A22B}">
      <formula1>"Table,Figure,Both"</formula1>
    </dataValidation>
    <dataValidation type="list" allowBlank="1" showInputMessage="1" showErrorMessage="1" sqref="B10" xr:uid="{060F8EA1-0DD5-5446-AA45-53D0F7FB96BC}">
      <formula1>"Line,Clustered Bar,Stacked Bar,Bar,Horizontal Stacked Bar"</formula1>
    </dataValidation>
    <dataValidation type="list" allowBlank="1" showInputMessage="1" showErrorMessage="1" sqref="P4:Q4" xr:uid="{C026924A-3681-D844-95CA-89F126FA8AD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434DCF-2946-D248-A668-B1B0F3621212}">
          <x14:formula1>
            <xm:f>Dropdowns!$A$1:$A$8</xm:f>
          </x14:formula1>
          <xm:sqref>F4:O4</xm:sqref>
        </x14:dataValidation>
        <x14:dataValidation type="list" allowBlank="1" showInputMessage="1" showErrorMessage="1" xr:uid="{41568BDF-76ED-4F41-823B-0334BD77501A}">
          <x14:formula1>
            <xm:f>Master!$F$2:$F$401</xm:f>
          </x14:formula1>
          <xm:sqref>B1:O1</xm:sqref>
        </x14:dataValidation>
      </x14:dataValidations>
    </ext>
  </extLst>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604C2-C293-2140-B5E1-CCC641C63AA6}">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465</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tbl-coronary-heart-disease-hospital-rande-aar</v>
      </c>
    </row>
    <row r="4" spans="1:17" x14ac:dyDescent="0.2">
      <c r="A4" s="58" t="s">
        <v>6</v>
      </c>
      <c r="B4" t="str">
        <f>IF($B$1="","",_xlfn.XLOOKUP($B$1,Master!$F$2:$F$308,Master!$H$2:$H$308,""))</f>
        <v>fig-coronary-heart-disease-hospital-rande-aar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F5" t="s">
        <v>1245</v>
      </c>
      <c r="G5" t="s">
        <v>220</v>
      </c>
      <c r="H5" t="s">
        <v>18</v>
      </c>
      <c r="I5" t="s">
        <v>537</v>
      </c>
      <c r="J5" t="s">
        <v>449</v>
      </c>
      <c r="K5" t="s">
        <v>409</v>
      </c>
      <c r="L5" t="s">
        <v>421</v>
      </c>
      <c r="M5" t="s">
        <v>470</v>
      </c>
      <c r="N5" t="s">
        <v>914</v>
      </c>
      <c r="O5" t="s">
        <v>915</v>
      </c>
    </row>
    <row r="6" spans="1:17" ht="15" customHeight="1" x14ac:dyDescent="0.2">
      <c r="A6" t="s">
        <v>891</v>
      </c>
      <c r="B6" t="b">
        <v>0</v>
      </c>
      <c r="E6" s="97"/>
      <c r="F6" t="s">
        <v>929</v>
      </c>
      <c r="G6" s="55">
        <v>15.2</v>
      </c>
      <c r="H6" s="55">
        <v>19.3</v>
      </c>
      <c r="I6" s="55">
        <v>13.7</v>
      </c>
      <c r="J6" s="55">
        <v>12.3</v>
      </c>
      <c r="K6" s="55">
        <v>24.8</v>
      </c>
      <c r="L6" s="55">
        <v>17.899999999999999</v>
      </c>
      <c r="M6" s="55">
        <v>11.4</v>
      </c>
      <c r="N6" s="55">
        <v>17.8</v>
      </c>
      <c r="O6" s="55">
        <v>16.8</v>
      </c>
    </row>
    <row r="7" spans="1:17" ht="15.75" customHeight="1" x14ac:dyDescent="0.2">
      <c r="E7" s="97"/>
      <c r="F7" t="s">
        <v>1566</v>
      </c>
      <c r="G7" s="55">
        <v>5</v>
      </c>
      <c r="H7" s="55">
        <v>21.2</v>
      </c>
      <c r="I7" s="55">
        <v>13</v>
      </c>
      <c r="J7" s="55">
        <v>11.3</v>
      </c>
      <c r="K7" s="55">
        <v>30.4</v>
      </c>
      <c r="L7" s="55">
        <v>16.3</v>
      </c>
      <c r="M7" s="55">
        <v>14.7</v>
      </c>
      <c r="N7" s="55">
        <v>19.3</v>
      </c>
      <c r="O7" s="55">
        <v>17.100000000000001</v>
      </c>
    </row>
    <row r="8" spans="1:17" x14ac:dyDescent="0.2">
      <c r="E8" s="97"/>
      <c r="F8" t="s">
        <v>1838</v>
      </c>
      <c r="G8" s="55">
        <v>7.2</v>
      </c>
      <c r="H8" s="55">
        <v>9.3000000000000007</v>
      </c>
      <c r="I8" s="55" t="s">
        <v>754</v>
      </c>
      <c r="J8" s="55">
        <v>14.7</v>
      </c>
      <c r="K8" s="55">
        <v>15.2</v>
      </c>
      <c r="L8" s="55" t="s">
        <v>1839</v>
      </c>
      <c r="M8" s="55">
        <v>8</v>
      </c>
      <c r="N8" s="55">
        <v>14.7</v>
      </c>
      <c r="O8" s="55">
        <v>13.5</v>
      </c>
      <c r="P8" s="14"/>
    </row>
    <row r="9" spans="1:17" x14ac:dyDescent="0.2">
      <c r="A9" s="98" t="s">
        <v>893</v>
      </c>
      <c r="B9" s="97"/>
      <c r="E9" s="97"/>
      <c r="F9" t="s">
        <v>927</v>
      </c>
      <c r="G9" s="55">
        <v>9.6</v>
      </c>
      <c r="H9" s="55">
        <v>17.600000000000001</v>
      </c>
      <c r="I9" s="55">
        <v>6.4</v>
      </c>
      <c r="J9" s="55">
        <v>14.2</v>
      </c>
      <c r="K9" s="55">
        <v>25.6</v>
      </c>
      <c r="L9" s="55">
        <v>13.6</v>
      </c>
      <c r="M9" s="55">
        <v>8.3000000000000007</v>
      </c>
      <c r="N9" s="55">
        <v>15.2</v>
      </c>
      <c r="O9" s="55">
        <v>17.2</v>
      </c>
    </row>
    <row r="10" spans="1:17" x14ac:dyDescent="0.2">
      <c r="A10" t="s">
        <v>894</v>
      </c>
      <c r="B10" t="s">
        <v>983</v>
      </c>
      <c r="E10" s="97"/>
      <c r="G10" s="55"/>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694</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Q4" xr:uid="{62D0BC93-84CB-AC4F-98FE-B9FC8465E035}">
      <formula1>"integer, number, percent1"</formula1>
    </dataValidation>
    <dataValidation type="list" allowBlank="1" showInputMessage="1" showErrorMessage="1" sqref="B10" xr:uid="{B35E8CF2-BD88-964C-BCAF-5A32CAAE29C4}">
      <formula1>"Line,Clustered Bar,Stacked Bar,Bar,Horizontal Stacked Bar"</formula1>
    </dataValidation>
    <dataValidation type="list" allowBlank="1" showInputMessage="1" showErrorMessage="1" sqref="B2" xr:uid="{7D3D0149-3F0B-A441-A3AF-20FBCF59A643}">
      <formula1>"Table,Figure,Both"</formula1>
    </dataValidation>
    <dataValidation type="list" allowBlank="1" showInputMessage="1" showErrorMessage="1" sqref="B6 B15:B16" xr:uid="{C6FB212E-77ED-7449-9A3B-3433F60CDB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6D57CD9-6262-A148-B1D3-7660F60390A9}">
          <x14:formula1>
            <xm:f>Master!$F$2:$F$401</xm:f>
          </x14:formula1>
          <xm:sqref>B1:O1</xm:sqref>
        </x14:dataValidation>
        <x14:dataValidation type="list" allowBlank="1" showInputMessage="1" showErrorMessage="1" xr:uid="{40B43EDF-AC52-5C42-A042-548F2BD5599E}">
          <x14:formula1>
            <xm:f>Dropdowns!$A$1:$A$8</xm:f>
          </x14:formula1>
          <xm:sqref>F4:O4</xm:sqref>
        </x14:dataValidation>
      </x14:dataValidations>
    </ext>
  </extLst>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0EFC-2F76-C244-98CE-729364C5B0E1}">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513</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tbl-female-breastca-screening-percent</v>
      </c>
    </row>
    <row r="4" spans="1:17" x14ac:dyDescent="0.2">
      <c r="A4" s="58" t="s">
        <v>6</v>
      </c>
      <c r="B4" t="str">
        <f>IF($B$1="","",_xlfn.XLOOKUP($B$1,Master!$F$2:$F$308,Master!$H$2:$H$308,""))</f>
        <v>fig-female-breastca-screening-percent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F5" t="s">
        <v>887</v>
      </c>
      <c r="G5" t="s">
        <v>220</v>
      </c>
      <c r="H5" t="s">
        <v>18</v>
      </c>
      <c r="I5" t="s">
        <v>537</v>
      </c>
      <c r="J5" t="s">
        <v>449</v>
      </c>
      <c r="K5" t="s">
        <v>409</v>
      </c>
      <c r="L5" t="s">
        <v>421</v>
      </c>
      <c r="M5" t="s">
        <v>470</v>
      </c>
      <c r="N5" t="s">
        <v>914</v>
      </c>
      <c r="O5" t="s">
        <v>915</v>
      </c>
    </row>
    <row r="6" spans="1:17" ht="15" customHeight="1" x14ac:dyDescent="0.2">
      <c r="A6" t="s">
        <v>891</v>
      </c>
      <c r="B6" t="b">
        <v>0</v>
      </c>
      <c r="E6" s="97"/>
      <c r="F6" t="s">
        <v>1964</v>
      </c>
      <c r="G6" s="55">
        <v>83.7</v>
      </c>
      <c r="H6" s="55">
        <v>76.8</v>
      </c>
      <c r="I6" s="55">
        <v>77.7</v>
      </c>
      <c r="J6" s="55">
        <v>81.7</v>
      </c>
      <c r="K6" s="55">
        <v>68.599999999999994</v>
      </c>
      <c r="L6" s="55">
        <v>66</v>
      </c>
      <c r="M6" s="55">
        <v>84.5</v>
      </c>
      <c r="N6" s="55">
        <v>80.400000000000006</v>
      </c>
      <c r="O6" s="55">
        <v>80.900000000000006</v>
      </c>
    </row>
    <row r="7" spans="1:17" ht="15.75" customHeight="1" x14ac:dyDescent="0.2">
      <c r="E7" s="97"/>
      <c r="F7">
        <v>2016</v>
      </c>
      <c r="G7" s="55">
        <v>87.2</v>
      </c>
      <c r="H7" s="55">
        <v>74.5</v>
      </c>
      <c r="I7" s="55">
        <v>69.5</v>
      </c>
      <c r="J7" s="55">
        <v>72</v>
      </c>
      <c r="K7" s="55">
        <v>64</v>
      </c>
      <c r="L7" s="55">
        <v>72.3</v>
      </c>
      <c r="M7" s="55">
        <v>84.8</v>
      </c>
      <c r="N7" s="55">
        <v>79.2</v>
      </c>
      <c r="O7" s="55">
        <v>79.7</v>
      </c>
    </row>
    <row r="8" spans="1:17" x14ac:dyDescent="0.2">
      <c r="E8" s="97"/>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7"/>
      <c r="E9" s="97"/>
      <c r="F9">
        <v>2021</v>
      </c>
      <c r="G9" s="55">
        <v>88.5</v>
      </c>
      <c r="H9" s="55">
        <v>73.3</v>
      </c>
      <c r="I9" s="55">
        <v>80.2</v>
      </c>
      <c r="J9" s="55">
        <v>72.7</v>
      </c>
      <c r="K9" s="55">
        <v>52.2</v>
      </c>
      <c r="L9" s="55">
        <v>77.099999999999994</v>
      </c>
      <c r="M9" s="55">
        <v>77.3</v>
      </c>
      <c r="N9" s="55">
        <v>78.8</v>
      </c>
      <c r="O9" s="55">
        <v>78.2</v>
      </c>
    </row>
    <row r="10" spans="1:17" x14ac:dyDescent="0.2">
      <c r="A10" t="s">
        <v>894</v>
      </c>
      <c r="B10" t="s">
        <v>972</v>
      </c>
      <c r="E10" s="97"/>
      <c r="G10" s="55"/>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694</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9DDD0268-5886-3042-BBAE-D57592BF1200}">
      <formula1>"True,False"</formula1>
    </dataValidation>
    <dataValidation type="list" allowBlank="1" showInputMessage="1" showErrorMessage="1" sqref="B2" xr:uid="{9693FF84-56C5-F64A-BDE7-7088C042ED26}">
      <formula1>"Table,Figure,Both"</formula1>
    </dataValidation>
    <dataValidation type="list" allowBlank="1" showInputMessage="1" showErrorMessage="1" sqref="B10" xr:uid="{ED02E067-9BCF-494E-8D43-95743232C489}">
      <formula1>"Line,Clustered Bar,Stacked Bar,Bar,Horizontal Stacked Bar"</formula1>
    </dataValidation>
    <dataValidation type="list" allowBlank="1" showInputMessage="1" showErrorMessage="1" sqref="P4:Q4" xr:uid="{452826A4-4DFD-FD47-929E-7B5836582A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225EBAD-0A5F-9547-BC2A-9C0A0530CADF}">
          <x14:formula1>
            <xm:f>Dropdowns!$A$1:$A$8</xm:f>
          </x14:formula1>
          <xm:sqref>F4:O4</xm:sqref>
        </x14:dataValidation>
        <x14:dataValidation type="list" allowBlank="1" showInputMessage="1" showErrorMessage="1" xr:uid="{AA421FD8-29A9-0845-9D7D-BBFD374E0919}">
          <x14:formula1>
            <xm:f>Master!$F$2:$F$401</xm:f>
          </x14:formula1>
          <xm:sqref>B1:O1</xm:sqref>
        </x14:dataValidation>
      </x14:dataValidations>
    </ext>
  </extLst>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124EF-C0E3-1A49-960E-472A991DC845}">
  <dimension ref="A1:Q57"/>
  <sheetViews>
    <sheetView workbookViewId="0">
      <selection activeCell="Q41" sqref="Q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516</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tbl-cervutca-screening-percent</v>
      </c>
    </row>
    <row r="4" spans="1:17" x14ac:dyDescent="0.2">
      <c r="A4" s="58" t="s">
        <v>6</v>
      </c>
      <c r="B4" t="str">
        <f>IF($B$1="","",_xlfn.XLOOKUP($B$1,Master!$F$2:$F$308,Master!$H$2:$H$308,""))</f>
        <v>fig-cervutca-screening-percent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F5" t="s">
        <v>887</v>
      </c>
      <c r="G5" t="s">
        <v>220</v>
      </c>
      <c r="H5" t="s">
        <v>18</v>
      </c>
      <c r="I5" t="s">
        <v>537</v>
      </c>
      <c r="J5" t="s">
        <v>449</v>
      </c>
      <c r="K5" t="s">
        <v>409</v>
      </c>
      <c r="L5" t="s">
        <v>421</v>
      </c>
      <c r="M5" t="s">
        <v>470</v>
      </c>
      <c r="N5" t="s">
        <v>898</v>
      </c>
      <c r="O5" t="s">
        <v>915</v>
      </c>
    </row>
    <row r="6" spans="1:17" ht="15" customHeight="1" x14ac:dyDescent="0.2">
      <c r="A6" t="s">
        <v>891</v>
      </c>
      <c r="B6" t="b">
        <v>0</v>
      </c>
      <c r="E6" s="97"/>
      <c r="F6">
        <v>2018</v>
      </c>
      <c r="G6" s="55">
        <v>90.6</v>
      </c>
      <c r="H6" s="55">
        <v>88.8</v>
      </c>
      <c r="I6" s="55">
        <v>96.2</v>
      </c>
      <c r="J6" s="55">
        <v>80.599999999999994</v>
      </c>
      <c r="K6" s="55">
        <v>81.7</v>
      </c>
      <c r="L6" s="55">
        <v>86.1</v>
      </c>
      <c r="M6" s="55">
        <v>87.8</v>
      </c>
      <c r="N6" s="55">
        <v>86.5</v>
      </c>
      <c r="O6" s="55">
        <v>84.7</v>
      </c>
    </row>
    <row r="7" spans="1:17" ht="15.75" customHeight="1" x14ac:dyDescent="0.2">
      <c r="E7" s="97"/>
      <c r="G7" s="55"/>
      <c r="H7" s="55"/>
      <c r="I7" s="55"/>
      <c r="J7" s="55"/>
      <c r="K7" s="55"/>
      <c r="L7" s="55"/>
      <c r="M7" s="55"/>
      <c r="N7" s="55"/>
      <c r="O7" s="55"/>
    </row>
    <row r="8" spans="1:17" x14ac:dyDescent="0.2">
      <c r="E8" s="97"/>
      <c r="G8" s="55"/>
      <c r="H8" s="55"/>
      <c r="I8" s="55"/>
      <c r="J8" s="55"/>
      <c r="K8" s="55"/>
      <c r="L8" s="55"/>
      <c r="M8" s="55"/>
      <c r="N8" s="55"/>
      <c r="O8" s="55"/>
      <c r="P8" s="14"/>
    </row>
    <row r="9" spans="1:17" x14ac:dyDescent="0.2">
      <c r="A9" s="98" t="s">
        <v>893</v>
      </c>
      <c r="B9" s="97"/>
      <c r="E9" s="97"/>
      <c r="G9" s="55"/>
      <c r="H9" s="55"/>
      <c r="I9" s="55"/>
      <c r="J9" s="55"/>
      <c r="K9" s="55"/>
      <c r="L9" s="55"/>
      <c r="M9" s="55"/>
      <c r="N9" s="55"/>
      <c r="O9" s="55"/>
    </row>
    <row r="10" spans="1:17" x14ac:dyDescent="0.2">
      <c r="A10" t="s">
        <v>894</v>
      </c>
      <c r="B10" t="s">
        <v>1002</v>
      </c>
      <c r="E10" s="97"/>
      <c r="G10" s="55"/>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694</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Q4" xr:uid="{9F6CF438-721C-9644-B651-857B04B7C1C5}">
      <formula1>"integer, number, percent1"</formula1>
    </dataValidation>
    <dataValidation type="list" allowBlank="1" showInputMessage="1" showErrorMessage="1" sqref="B10" xr:uid="{D1E25AD7-165D-5D4F-98F9-DE368D71161E}">
      <formula1>"Line,Clustered Bar,Stacked Bar,Bar,Horizontal Stacked Bar"</formula1>
    </dataValidation>
    <dataValidation type="list" allowBlank="1" showInputMessage="1" showErrorMessage="1" sqref="B2" xr:uid="{D02AF727-804E-A74C-9EC5-DE7D0B55D152}">
      <formula1>"Table,Figure,Both"</formula1>
    </dataValidation>
    <dataValidation type="list" allowBlank="1" showInputMessage="1" showErrorMessage="1" sqref="B6 B15:B16" xr:uid="{72BDEB93-F294-0B4A-BE8B-7D1DDF4E38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C757475-DD59-8E40-ACDF-57DBA79FAA8F}">
          <x14:formula1>
            <xm:f>Master!$F$2:$F$401</xm:f>
          </x14:formula1>
          <xm:sqref>B1:O1</xm:sqref>
        </x14:dataValidation>
        <x14:dataValidation type="list" allowBlank="1" showInputMessage="1" showErrorMessage="1" xr:uid="{82A61E9C-2B38-8942-8E75-7DA028466BB3}">
          <x14:formula1>
            <xm:f>Dropdowns!$A$1:$A$8</xm:f>
          </x14:formula1>
          <xm:sqref>F4:O4</xm:sqref>
        </x14:dataValidation>
      </x14:dataValidations>
    </ext>
  </extLst>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9282-CC58-8847-8074-C4EF37794214}">
  <dimension ref="A1:Q57"/>
  <sheetViews>
    <sheetView workbookViewId="0">
      <selection activeCell="J12" sqref="J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2180</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tbl-13yo+-hpv-vaccine-complete-percent</v>
      </c>
    </row>
    <row r="4" spans="1:17" x14ac:dyDescent="0.2">
      <c r="A4" s="58" t="s">
        <v>6</v>
      </c>
      <c r="B4" t="str">
        <f>IF($B$1="","",_xlfn.XLOOKUP($B$1,Master!$F$2:$F$308,Master!$H$2:$H$308,""))</f>
        <v>fig-13yo+-hpv-vaccine-complete-percent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F5" t="s">
        <v>887</v>
      </c>
      <c r="G5" t="s">
        <v>220</v>
      </c>
      <c r="H5" t="s">
        <v>18</v>
      </c>
      <c r="I5" t="s">
        <v>537</v>
      </c>
      <c r="J5" t="s">
        <v>449</v>
      </c>
      <c r="K5" t="s">
        <v>409</v>
      </c>
      <c r="L5" t="s">
        <v>421</v>
      </c>
      <c r="M5" t="s">
        <v>470</v>
      </c>
      <c r="N5" t="s">
        <v>914</v>
      </c>
      <c r="O5" t="s">
        <v>915</v>
      </c>
      <c r="P5" t="s">
        <v>1983</v>
      </c>
    </row>
    <row r="6" spans="1:17" ht="15" customHeight="1" x14ac:dyDescent="0.2">
      <c r="A6" t="s">
        <v>891</v>
      </c>
      <c r="B6" t="b">
        <v>0</v>
      </c>
      <c r="E6" s="97"/>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7"/>
      <c r="F7">
        <v>2020</v>
      </c>
      <c r="G7" s="55">
        <v>16.899999999999999</v>
      </c>
      <c r="H7" s="55">
        <v>20.2</v>
      </c>
      <c r="I7" s="55">
        <v>19.600000000000001</v>
      </c>
      <c r="J7" s="55">
        <v>15.7</v>
      </c>
      <c r="K7" s="55">
        <v>19.3</v>
      </c>
      <c r="L7" s="55">
        <v>15.7</v>
      </c>
      <c r="M7" s="55">
        <v>19.3</v>
      </c>
      <c r="N7" s="55">
        <v>24.1</v>
      </c>
      <c r="O7" s="55">
        <v>25.2</v>
      </c>
      <c r="P7">
        <v>28.7</v>
      </c>
    </row>
    <row r="8" spans="1:17" x14ac:dyDescent="0.2">
      <c r="E8" s="97"/>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7"/>
      <c r="E9" s="97"/>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1002</v>
      </c>
      <c r="E10" s="97"/>
      <c r="F10">
        <v>2023</v>
      </c>
      <c r="G10" s="55">
        <v>15.2</v>
      </c>
      <c r="H10">
        <v>15.2</v>
      </c>
      <c r="I10">
        <v>15.9</v>
      </c>
      <c r="J10">
        <v>15</v>
      </c>
      <c r="K10">
        <v>20.3</v>
      </c>
      <c r="L10">
        <v>16.100000000000001</v>
      </c>
      <c r="M10">
        <v>22.1</v>
      </c>
      <c r="N10">
        <v>24.5</v>
      </c>
      <c r="O10">
        <v>25.6</v>
      </c>
      <c r="P10">
        <v>28.7</v>
      </c>
    </row>
    <row r="11" spans="1:17" x14ac:dyDescent="0.2">
      <c r="A11" t="s">
        <v>895</v>
      </c>
      <c r="B11" t="s">
        <v>887</v>
      </c>
      <c r="E11" s="97"/>
      <c r="F11" s="46" t="s">
        <v>1988</v>
      </c>
      <c r="G11" s="59">
        <v>16.100000000000001</v>
      </c>
      <c r="H11" s="59">
        <v>18.7</v>
      </c>
      <c r="I11" s="59">
        <v>14.5</v>
      </c>
      <c r="J11" s="42">
        <v>16.100000000000001</v>
      </c>
      <c r="K11" s="42">
        <v>19.8</v>
      </c>
      <c r="L11" s="42">
        <v>14.5</v>
      </c>
      <c r="M11" s="47" t="s">
        <v>1519</v>
      </c>
      <c r="N11" s="47" t="s">
        <v>1991</v>
      </c>
      <c r="O11" s="46" t="s">
        <v>1992</v>
      </c>
      <c r="P11">
        <v>28.7</v>
      </c>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694</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1C173BD9-665D-6B4F-9E40-B0EE0255F505}">
      <formula1>"True,False"</formula1>
    </dataValidation>
    <dataValidation type="list" allowBlank="1" showInputMessage="1" showErrorMessage="1" sqref="B2" xr:uid="{B638589D-B392-1E40-AC6E-318E7E8AF9FE}">
      <formula1>"Table,Figure,Both"</formula1>
    </dataValidation>
    <dataValidation type="list" allowBlank="1" showInputMessage="1" showErrorMessage="1" sqref="B10" xr:uid="{DD07D0D4-77E2-4546-A218-211E1575E831}">
      <formula1>"Line,Clustered Bar,Stacked Bar,Bar,Horizontal Stacked Bar"</formula1>
    </dataValidation>
    <dataValidation type="list" allowBlank="1" showInputMessage="1" showErrorMessage="1" sqref="P4:Q4" xr:uid="{2CDBE532-D931-7A44-804E-BFC3BFC0679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F41D15-8C61-544E-8137-B07A95F20D75}">
          <x14:formula1>
            <xm:f>Dropdowns!$A$1:$A$8</xm:f>
          </x14:formula1>
          <xm:sqref>F4:O4</xm:sqref>
        </x14:dataValidation>
        <x14:dataValidation type="list" allowBlank="1" showInputMessage="1" showErrorMessage="1" xr:uid="{61F274A3-AFE6-E646-879A-3C620A76043D}">
          <x14:formula1>
            <xm:f>Master!$F$2:$F$401</xm:f>
          </x14:formula1>
          <xm:sqref>B1:O1</xm:sqref>
        </x14:dataValidation>
      </x14:dataValidations>
    </ext>
  </extLst>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B96D4-30D6-C24B-84E8-90E1688064BB}">
  <dimension ref="A1:Q57"/>
  <sheetViews>
    <sheetView workbookViewId="0">
      <selection activeCell="W49" sqref="W4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532</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tbl-65+-flu-immi-percent</v>
      </c>
    </row>
    <row r="4" spans="1:17" x14ac:dyDescent="0.2">
      <c r="A4" s="58" t="s">
        <v>6</v>
      </c>
      <c r="B4" t="str">
        <f>IF($B$1="","",_xlfn.XLOOKUP($B$1,Master!$F$2:$F$308,Master!$H$2:$H$308,""))</f>
        <v>fig-65+-flu-immi-percent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F5" t="s">
        <v>887</v>
      </c>
      <c r="G5" t="s">
        <v>220</v>
      </c>
      <c r="H5" t="s">
        <v>18</v>
      </c>
      <c r="I5" t="s">
        <v>537</v>
      </c>
      <c r="J5" t="s">
        <v>449</v>
      </c>
      <c r="K5" t="s">
        <v>409</v>
      </c>
      <c r="L5" t="s">
        <v>421</v>
      </c>
      <c r="M5" t="s">
        <v>470</v>
      </c>
      <c r="N5" t="s">
        <v>914</v>
      </c>
      <c r="O5" t="s">
        <v>915</v>
      </c>
    </row>
    <row r="6" spans="1:17" ht="15" customHeight="1" x14ac:dyDescent="0.2">
      <c r="A6" t="s">
        <v>891</v>
      </c>
      <c r="B6" t="b">
        <v>0</v>
      </c>
      <c r="E6" s="97"/>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7"/>
      <c r="F7">
        <v>2018</v>
      </c>
      <c r="G7" s="55">
        <v>22.4</v>
      </c>
      <c r="H7" s="55">
        <v>27.4</v>
      </c>
      <c r="I7" s="55">
        <v>28.9</v>
      </c>
      <c r="J7" s="55">
        <v>27.9</v>
      </c>
      <c r="K7" s="55">
        <v>27.8</v>
      </c>
      <c r="L7" s="55">
        <v>23.2</v>
      </c>
      <c r="M7" s="55">
        <v>29.5</v>
      </c>
      <c r="N7" s="55">
        <v>25.9</v>
      </c>
      <c r="O7" s="55">
        <v>26.9</v>
      </c>
    </row>
    <row r="8" spans="1:17" x14ac:dyDescent="0.2">
      <c r="E8" s="97"/>
      <c r="F8">
        <v>2021</v>
      </c>
      <c r="G8" s="55">
        <v>41.1</v>
      </c>
      <c r="H8" s="55">
        <v>40.700000000000003</v>
      </c>
      <c r="I8" s="55">
        <v>43.8</v>
      </c>
      <c r="J8" s="55">
        <v>42.9</v>
      </c>
      <c r="K8" s="55">
        <v>28.2</v>
      </c>
      <c r="L8" s="55">
        <v>44.5</v>
      </c>
      <c r="M8" s="55">
        <v>45.5</v>
      </c>
      <c r="N8" s="55">
        <v>44.7</v>
      </c>
      <c r="O8" s="55">
        <v>44.5</v>
      </c>
      <c r="P8" s="14"/>
    </row>
    <row r="9" spans="1:17" x14ac:dyDescent="0.2">
      <c r="A9" s="98" t="s">
        <v>893</v>
      </c>
      <c r="B9" s="97"/>
      <c r="E9" s="97"/>
      <c r="G9" s="55"/>
      <c r="H9" s="55"/>
      <c r="I9" s="55"/>
      <c r="J9" s="55"/>
      <c r="K9" s="55"/>
      <c r="L9" s="55"/>
      <c r="M9" s="55"/>
      <c r="N9" s="55"/>
      <c r="O9" s="55"/>
    </row>
    <row r="10" spans="1:17" x14ac:dyDescent="0.2">
      <c r="A10" t="s">
        <v>894</v>
      </c>
      <c r="B10" t="s">
        <v>972</v>
      </c>
      <c r="E10" s="97"/>
      <c r="G10" s="55"/>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694</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Q4" xr:uid="{D1D7C0BE-916C-A140-81E3-90E60E3A5C84}">
      <formula1>"integer, number, percent1"</formula1>
    </dataValidation>
    <dataValidation type="list" allowBlank="1" showInputMessage="1" showErrorMessage="1" sqref="B10" xr:uid="{F03F5F0E-9235-904C-AE62-936C7C97ED8F}">
      <formula1>"Line,Clustered Bar,Stacked Bar,Bar,Horizontal Stacked Bar"</formula1>
    </dataValidation>
    <dataValidation type="list" allowBlank="1" showInputMessage="1" showErrorMessage="1" sqref="B2" xr:uid="{05B8A6B1-E7C4-314C-BFA1-CE63311CAF55}">
      <formula1>"Table,Figure,Both"</formula1>
    </dataValidation>
    <dataValidation type="list" allowBlank="1" showInputMessage="1" showErrorMessage="1" sqref="B6 B15:B16" xr:uid="{15385D54-B7C8-5D46-94C6-DAA616CF2E8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D3F8BC-68C0-2440-A544-99B93D7D6D3C}">
          <x14:formula1>
            <xm:f>Master!$F$2:$F$401</xm:f>
          </x14:formula1>
          <xm:sqref>B1:O1</xm:sqref>
        </x14:dataValidation>
        <x14:dataValidation type="list" allowBlank="1" showInputMessage="1" showErrorMessage="1" xr:uid="{A6AF9E1C-C265-824D-91FA-1E018B2F7A84}">
          <x14:formula1>
            <xm:f>Dropdowns!$A$1:$A$8</xm:f>
          </x14:formula1>
          <xm:sqref>F4:O4</xm:sqref>
        </x14:dataValidation>
      </x14:dataValidations>
    </ext>
  </extLst>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2B61C9-FAA8-D848-A1D5-36BAD5E8E259}">
  <dimension ref="A1:Q57"/>
  <sheetViews>
    <sheetView tabSelected="1" workbookViewId="0">
      <selection activeCell="P34" sqref="P3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533</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tbl-65+-pneumo-immi-percent</v>
      </c>
    </row>
    <row r="4" spans="1:17" x14ac:dyDescent="0.2">
      <c r="A4" s="58" t="s">
        <v>6</v>
      </c>
      <c r="B4" t="str">
        <f>IF($B$1="","",_xlfn.XLOOKUP($B$1,Master!$F$2:$F$308,Master!$H$2:$H$308,""))</f>
        <v>fig-65+-pneumo-immi-percent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7"/>
      <c r="E5" s="99" t="s">
        <v>886</v>
      </c>
      <c r="F5" t="s">
        <v>887</v>
      </c>
      <c r="G5" t="s">
        <v>220</v>
      </c>
      <c r="H5" t="s">
        <v>18</v>
      </c>
      <c r="I5" t="s">
        <v>537</v>
      </c>
      <c r="J5" t="s">
        <v>449</v>
      </c>
      <c r="K5" t="s">
        <v>409</v>
      </c>
      <c r="L5" t="s">
        <v>421</v>
      </c>
      <c r="M5" t="s">
        <v>470</v>
      </c>
      <c r="N5" t="s">
        <v>914</v>
      </c>
      <c r="O5" t="s">
        <v>915</v>
      </c>
    </row>
    <row r="6" spans="1:17" ht="15" customHeight="1" x14ac:dyDescent="0.2">
      <c r="A6" t="s">
        <v>891</v>
      </c>
      <c r="B6" t="b">
        <v>0</v>
      </c>
      <c r="E6" s="97"/>
      <c r="F6">
        <v>2016</v>
      </c>
      <c r="G6" s="55" t="s">
        <v>1993</v>
      </c>
      <c r="H6" s="55">
        <v>74.8</v>
      </c>
      <c r="I6" s="55">
        <v>71.099999999999994</v>
      </c>
      <c r="J6" s="55" t="s">
        <v>1994</v>
      </c>
      <c r="K6" s="55" t="s">
        <v>1994</v>
      </c>
      <c r="L6" s="55">
        <v>60.7</v>
      </c>
      <c r="M6" s="55">
        <v>72.7</v>
      </c>
      <c r="N6" s="55">
        <v>73.8</v>
      </c>
      <c r="O6" s="55">
        <v>69.3</v>
      </c>
    </row>
    <row r="7" spans="1:17" ht="15.75" customHeight="1" x14ac:dyDescent="0.2">
      <c r="E7" s="97"/>
      <c r="F7">
        <v>2018</v>
      </c>
      <c r="G7" s="55">
        <v>75</v>
      </c>
      <c r="H7" s="55" t="s">
        <v>1995</v>
      </c>
      <c r="I7" s="55" t="s">
        <v>1996</v>
      </c>
      <c r="J7" s="55" t="s">
        <v>1996</v>
      </c>
      <c r="K7" s="55" t="s">
        <v>1997</v>
      </c>
      <c r="L7" s="55" t="s">
        <v>1998</v>
      </c>
      <c r="M7" s="55">
        <v>69.2</v>
      </c>
      <c r="N7" s="55">
        <v>69.400000000000006</v>
      </c>
      <c r="O7" s="55">
        <v>64</v>
      </c>
    </row>
    <row r="8" spans="1:17" x14ac:dyDescent="0.2">
      <c r="E8" s="97"/>
      <c r="F8">
        <v>2021</v>
      </c>
      <c r="G8" s="55">
        <v>65</v>
      </c>
      <c r="H8" s="55">
        <v>67</v>
      </c>
      <c r="I8" s="55">
        <v>75.7</v>
      </c>
      <c r="J8" s="55" t="s">
        <v>1999</v>
      </c>
      <c r="K8" s="55" t="s">
        <v>2000</v>
      </c>
      <c r="L8" s="55" t="s">
        <v>2001</v>
      </c>
      <c r="M8" s="55">
        <v>65</v>
      </c>
      <c r="N8" s="55">
        <v>70.099999999999994</v>
      </c>
      <c r="O8" s="55">
        <v>65.599999999999994</v>
      </c>
      <c r="P8" s="14"/>
    </row>
    <row r="9" spans="1:17" x14ac:dyDescent="0.2">
      <c r="A9" s="98" t="s">
        <v>893</v>
      </c>
      <c r="B9" s="97"/>
      <c r="E9" s="97"/>
      <c r="G9" s="55"/>
      <c r="H9" s="55"/>
      <c r="I9" s="55"/>
      <c r="J9" s="55"/>
      <c r="K9" s="55"/>
      <c r="L9" s="55"/>
      <c r="M9" s="55"/>
      <c r="N9" s="55"/>
      <c r="O9" s="55"/>
    </row>
    <row r="10" spans="1:17" x14ac:dyDescent="0.2">
      <c r="A10" t="s">
        <v>894</v>
      </c>
      <c r="B10" t="s">
        <v>972</v>
      </c>
      <c r="E10" s="97"/>
      <c r="G10" s="55"/>
    </row>
    <row r="11" spans="1:17" x14ac:dyDescent="0.2">
      <c r="A11" t="s">
        <v>895</v>
      </c>
      <c r="B11" t="s">
        <v>887</v>
      </c>
      <c r="E11" s="97"/>
      <c r="F11" s="46"/>
      <c r="G11" s="59"/>
      <c r="H11" s="59"/>
      <c r="I11" s="59"/>
      <c r="J11" s="42"/>
      <c r="K11" s="42"/>
      <c r="L11" s="42"/>
      <c r="M11" s="47"/>
      <c r="N11" s="47"/>
      <c r="O11" s="46"/>
    </row>
    <row r="12" spans="1:17" x14ac:dyDescent="0.2">
      <c r="A12" t="s">
        <v>896</v>
      </c>
      <c r="E12" s="97"/>
      <c r="F12" s="74"/>
      <c r="G12" s="42"/>
      <c r="H12" s="42"/>
      <c r="I12" s="59"/>
      <c r="J12" s="59"/>
      <c r="K12" s="59"/>
      <c r="L12" s="59"/>
      <c r="M12" s="46"/>
      <c r="N12" s="46"/>
      <c r="O12" s="46"/>
    </row>
    <row r="13" spans="1:17" x14ac:dyDescent="0.2">
      <c r="A13" t="s">
        <v>897</v>
      </c>
      <c r="E13" s="97"/>
      <c r="F13" s="47"/>
      <c r="G13" s="47"/>
      <c r="H13" s="47"/>
      <c r="I13" s="46"/>
      <c r="J13" s="46"/>
      <c r="K13" s="46"/>
      <c r="L13" s="46"/>
      <c r="M13" s="46"/>
      <c r="N13" s="46"/>
      <c r="O13" s="46"/>
    </row>
    <row r="14" spans="1:17" x14ac:dyDescent="0.2">
      <c r="A14" t="s">
        <v>899</v>
      </c>
      <c r="B14" t="s">
        <v>694</v>
      </c>
      <c r="E14" s="97"/>
      <c r="F14" s="68"/>
      <c r="G14" s="68"/>
      <c r="H14" s="68"/>
      <c r="I14" s="46"/>
      <c r="J14" s="47"/>
      <c r="K14" s="47"/>
      <c r="L14" s="47"/>
      <c r="M14" s="47"/>
      <c r="N14" s="47"/>
      <c r="O14" s="46"/>
    </row>
    <row r="15" spans="1:17" x14ac:dyDescent="0.2">
      <c r="A15" t="s">
        <v>901</v>
      </c>
      <c r="B15" t="b">
        <v>1</v>
      </c>
      <c r="E15" s="97"/>
      <c r="G15" s="68"/>
      <c r="H15" s="68"/>
      <c r="I15" s="46"/>
      <c r="J15" s="47"/>
      <c r="K15" s="47"/>
      <c r="L15" s="47"/>
      <c r="M15" s="47"/>
      <c r="N15" s="47"/>
      <c r="O15" s="46"/>
    </row>
    <row r="16" spans="1:17" x14ac:dyDescent="0.2">
      <c r="A16" t="s">
        <v>1146</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902</v>
      </c>
      <c r="B18" s="97"/>
      <c r="E18" s="97"/>
      <c r="F18" s="55"/>
      <c r="G18" s="68"/>
      <c r="H18" s="68"/>
      <c r="I18" s="46"/>
      <c r="J18" s="46"/>
      <c r="K18" s="46"/>
      <c r="L18" s="46"/>
      <c r="M18" s="46"/>
      <c r="N18" s="46"/>
      <c r="O18" s="46"/>
    </row>
    <row r="19" spans="1:15" x14ac:dyDescent="0.2">
      <c r="A19" t="s">
        <v>903</v>
      </c>
      <c r="E19" s="97"/>
      <c r="F19" s="55"/>
      <c r="G19" s="68"/>
      <c r="H19" s="68"/>
      <c r="I19" s="46"/>
      <c r="J19" s="46"/>
      <c r="K19" s="46"/>
      <c r="L19" s="46"/>
      <c r="M19" s="46"/>
      <c r="N19" s="46"/>
      <c r="O19" s="46"/>
    </row>
    <row r="20" spans="1:15" x14ac:dyDescent="0.2">
      <c r="A20" t="s">
        <v>904</v>
      </c>
      <c r="E20" s="97"/>
      <c r="F20" s="55"/>
      <c r="G20" s="68"/>
      <c r="H20" s="68"/>
      <c r="I20" s="46"/>
      <c r="J20" s="46"/>
      <c r="K20" s="46"/>
      <c r="L20" s="46"/>
      <c r="M20" s="46"/>
      <c r="N20" s="46"/>
      <c r="O20" s="46"/>
    </row>
    <row r="21" spans="1:15" x14ac:dyDescent="0.2">
      <c r="A21" t="s">
        <v>905</v>
      </c>
      <c r="E21" s="97"/>
      <c r="F21" s="55"/>
      <c r="G21" s="68"/>
      <c r="H21" s="68"/>
      <c r="I21" s="46"/>
      <c r="J21" s="46"/>
      <c r="K21" s="46"/>
      <c r="L21" s="46"/>
      <c r="M21" s="46"/>
      <c r="N21" s="46"/>
      <c r="O21" s="46"/>
    </row>
    <row r="22" spans="1:15" x14ac:dyDescent="0.2">
      <c r="A22" t="s">
        <v>906</v>
      </c>
      <c r="E22" s="97"/>
      <c r="F22" s="55"/>
      <c r="G22" s="68"/>
      <c r="H22" s="68"/>
      <c r="I22" s="46"/>
    </row>
    <row r="23" spans="1:15" x14ac:dyDescent="0.2">
      <c r="A23" t="s">
        <v>907</v>
      </c>
      <c r="E23" s="97"/>
      <c r="F23" s="55"/>
      <c r="G23" s="68"/>
      <c r="H23" s="68"/>
      <c r="I23" s="46"/>
    </row>
    <row r="24" spans="1:15" x14ac:dyDescent="0.2">
      <c r="A24" t="s">
        <v>908</v>
      </c>
      <c r="E24" s="97"/>
      <c r="F24" s="46"/>
      <c r="G24" s="46"/>
      <c r="H24" s="46"/>
      <c r="I24" s="46"/>
    </row>
    <row r="25" spans="1:15" x14ac:dyDescent="0.2">
      <c r="A25" t="s">
        <v>909</v>
      </c>
      <c r="E25" s="97"/>
      <c r="F25" s="68"/>
      <c r="G25" s="68"/>
      <c r="H25" s="68"/>
      <c r="I25" s="46"/>
    </row>
    <row r="26" spans="1:15" x14ac:dyDescent="0.2">
      <c r="E26" s="97"/>
      <c r="F26" s="55"/>
      <c r="G26" s="55"/>
      <c r="H26" s="70"/>
      <c r="I26" s="46"/>
    </row>
    <row r="27" spans="1:15" x14ac:dyDescent="0.2">
      <c r="A27" s="100" t="s">
        <v>910</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CD9039B3-6305-DA49-9D75-B5E3CE52DA21}">
      <formula1>"True,False"</formula1>
    </dataValidation>
    <dataValidation type="list" allowBlank="1" showInputMessage="1" showErrorMessage="1" sqref="B2" xr:uid="{29B511EE-EA82-ED47-87B7-12FAEAC9C9EE}">
      <formula1>"Table,Figure,Both"</formula1>
    </dataValidation>
    <dataValidation type="list" allowBlank="1" showInputMessage="1" showErrorMessage="1" sqref="B10" xr:uid="{4E3EDD5D-74E1-BD4C-8E42-E95E247FB7CD}">
      <formula1>"Line,Clustered Bar,Stacked Bar,Bar,Horizontal Stacked Bar"</formula1>
    </dataValidation>
    <dataValidation type="list" allowBlank="1" showInputMessage="1" showErrorMessage="1" sqref="P4:Q4" xr:uid="{88D00415-6ED3-E840-B9B0-21017C63DEA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8EC67DC-EEE3-7441-81CE-C1333B9CC1FA}">
          <x14:formula1>
            <xm:f>Dropdowns!$A$1:$A$8</xm:f>
          </x14:formula1>
          <xm:sqref>F4:O4</xm:sqref>
        </x14:dataValidation>
        <x14:dataValidation type="list" allowBlank="1" showInputMessage="1" showErrorMessage="1" xr:uid="{3A6C1E7C-18B8-C244-930D-C7BD06985C9A}">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3.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248</vt:i4>
      </vt:variant>
    </vt:vector>
  </HeadingPairs>
  <TitlesOfParts>
    <vt:vector size="248"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lpstr>Speaks English</vt:lpstr>
      <vt:lpstr>HeartAttack Hosp</vt:lpstr>
      <vt:lpstr>Diabete Hosp RE</vt:lpstr>
      <vt:lpstr>Pre-diabetes</vt:lpstr>
      <vt:lpstr>Diabetes Hosp AAR</vt:lpstr>
      <vt:lpstr>HBS or Diabetes</vt:lpstr>
      <vt:lpstr>Diabetes Mort AAR</vt:lpstr>
      <vt:lpstr>Diabetes Mort AAR RE</vt:lpstr>
      <vt:lpstr>Adults Obese-Overweight</vt:lpstr>
      <vt:lpstr>Adults Obese</vt:lpstr>
      <vt:lpstr>School Children-Overw-Obese</vt:lpstr>
      <vt:lpstr>Cirrhosis Hosp AAR</vt:lpstr>
      <vt:lpstr>Cirrhosis Mortal AAR</vt:lpstr>
      <vt:lpstr>All Cancer Inc and Mort AAR</vt:lpstr>
      <vt:lpstr>All Cancer Inc and Mort AAR Sex</vt:lpstr>
      <vt:lpstr>Colon Rectum Ind Mort</vt:lpstr>
      <vt:lpstr>Colon Rectum Ind Mort Sex</vt:lpstr>
      <vt:lpstr>Colon Rectum Ind Mort RE</vt:lpstr>
      <vt:lpstr>Colon Rectum 50-64</vt:lpstr>
      <vt:lpstr>Lung Bronch Ind Mort AAR</vt:lpstr>
      <vt:lpstr>Lung Bronch Ind Mort AAR Sex</vt:lpstr>
      <vt:lpstr>Lung Incidence RE</vt:lpstr>
      <vt:lpstr>Prostate Cancer AAR Male</vt:lpstr>
      <vt:lpstr>Breast Cancer AAR</vt:lpstr>
      <vt:lpstr>Women 50-74 Breast Cancer Scree</vt:lpstr>
      <vt:lpstr>Cervix Uteri Cancer AAR</vt:lpstr>
      <vt:lpstr>Women 21-65 Cancer Screening</vt:lpstr>
      <vt:lpstr>Children 24-35 Months</vt:lpstr>
      <vt:lpstr>COVID-19 Mort</vt:lpstr>
      <vt:lpstr>13 HPV</vt:lpstr>
      <vt:lpstr>Flu Immunization 16-21</vt:lpstr>
      <vt:lpstr>Flu Immunization 65 16-21</vt:lpstr>
      <vt:lpstr>Pneumo 65 16-21</vt:lpstr>
      <vt:lpstr>HIV AAR 14-21</vt:lpstr>
      <vt:lpstr>Gonorrhea AAR 17-23</vt:lpstr>
      <vt:lpstr>Chlamydia AAR</vt:lpstr>
      <vt:lpstr>Syphilis AAR</vt:lpstr>
      <vt:lpstr>Lyme Disease</vt:lpstr>
      <vt:lpstr>Anaplasmosis</vt:lpstr>
      <vt:lpstr>Babesiosis</vt:lpstr>
      <vt:lpstr>Rabies</vt:lpstr>
      <vt:lpstr>Rabies Wild</vt:lpstr>
      <vt:lpstr>Rabies PEP</vt:lpstr>
      <vt:lpstr>Early Prenatal Care</vt:lpstr>
      <vt:lpstr>Early Prenatal Care Late No</vt:lpstr>
      <vt:lpstr>Births RE</vt:lpstr>
      <vt:lpstr>Preg 15-44</vt:lpstr>
      <vt:lpstr>Preg 15-44 RE</vt:lpstr>
      <vt:lpstr>Teen Preg 15-19</vt:lpstr>
      <vt:lpstr>Teen Preg 17 RE</vt:lpstr>
      <vt:lpstr>Live Birth Financ</vt:lpstr>
      <vt:lpstr>Preterm Births</vt:lpstr>
      <vt:lpstr>Low Birthweight Infants</vt:lpstr>
      <vt:lpstr>Low Birthweight Inf RE</vt:lpstr>
      <vt:lpstr>Infant Mort Live</vt:lpstr>
      <vt:lpstr>Breastfed Infants</vt:lpstr>
      <vt:lpstr>Medicaid Enrolles 1 Dental</vt:lpstr>
      <vt:lpstr>All Medicaid Dental</vt:lpstr>
      <vt:lpstr>Cirrhosiis-Mortal</vt:lpstr>
      <vt:lpstr>Coronary HD AAR</vt:lpstr>
      <vt:lpstr>Coronary HD AAR RE</vt:lpstr>
      <vt:lpstr>50-70 BS</vt:lpstr>
      <vt:lpstr>CervCa Screen</vt:lpstr>
      <vt:lpstr>HPV 13</vt:lpstr>
      <vt:lpstr>Flu Immu 65+</vt:lpstr>
      <vt:lpstr>Pneumo Immu 65+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2026-05-04T13:52:12Z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