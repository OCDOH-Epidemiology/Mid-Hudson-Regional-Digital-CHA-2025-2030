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5C61AABB-3CEB-7A4B-B9F4-032394B043C1}" xr6:coauthVersionLast="47" xr6:coauthVersionMax="47" xr10:uidLastSave="{00000000-0000-0000-0000-000000000000}"/>
  <bookViews>
    <workbookView xWindow="0" yWindow="660" windowWidth="34560" windowHeight="21680" firstSheet="149" activeTab="151"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87" l="1"/>
  <c r="B3" i="296"/>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<sst xmlns="http://schemas.openxmlformats.org/spreadsheetml/2006/main" count="14896" uniqueCount="2174">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</sst>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A226" zoomScale="125" workbookViewId="0">
      <selection activeCell="F247" sqref="F24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1536</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1924</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1925</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1544</v>
      </c>
      <c r="G17" s="78" t="s">
        <v>1798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1560</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1810</v>
      </c>
      <c r="H35" s="62" t="s">
        <v>1811</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1561</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1800</v>
      </c>
      <c r="H44" s="79" t="s">
        <v>1800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1801</v>
      </c>
      <c r="H46" s="62" t="s">
        <v>1802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1803</v>
      </c>
      <c r="H49" s="79" t="s">
        <v>1804</v>
      </c>
      <c r="I49" s="64" t="s">
        <v>83</v>
      </c>
      <c r="K49" s="64" t="s">
        <v>92</v>
      </c>
      <c r="L49" s="64" t="s">
        <v>18</v>
      </c>
    </row>
    <row r="50" spans="1:12" s="64" customFormat="1" ht="15.75" customHeight="1" x14ac:dyDescent="0.2">
      <c r="A50" s="64" t="s">
        <v>11</v>
      </c>
      <c r="B50" s="64">
        <v>49</v>
      </c>
      <c r="E50" s="64" t="s">
        <v>203</v>
      </c>
      <c r="F50" s="64" t="s">
        <v>204</v>
      </c>
      <c r="G50" s="62" t="s">
        <v>1806</v>
      </c>
      <c r="H50" s="62" t="s">
        <v>1805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1562</v>
      </c>
      <c r="H100" s="9" t="s">
        <v>406</v>
      </c>
      <c r="I100" t="s">
        <v>407</v>
      </c>
      <c r="K100" t="s">
        <v>408</v>
      </c>
      <c r="L100" t="s">
        <v>409</v>
      </c>
    </row>
    <row r="101" spans="1:12" x14ac:dyDescent="0.2">
      <c r="A101" t="s">
        <v>11</v>
      </c>
      <c r="B101">
        <v>100</v>
      </c>
      <c r="E101" t="s">
        <v>410</v>
      </c>
      <c r="F101" t="s">
        <v>411</v>
      </c>
      <c r="G101" s="9" t="s">
        <v>1563</v>
      </c>
      <c r="H101" s="9" t="s">
        <v>412</v>
      </c>
      <c r="I101" t="s">
        <v>407</v>
      </c>
      <c r="K101" t="s">
        <v>408</v>
      </c>
      <c r="L101" t="s">
        <v>409</v>
      </c>
    </row>
    <row r="102" spans="1:12" x14ac:dyDescent="0.2">
      <c r="A102" t="s">
        <v>11</v>
      </c>
      <c r="B102">
        <v>101</v>
      </c>
      <c r="E102" t="s">
        <v>413</v>
      </c>
      <c r="F102" t="s">
        <v>414</v>
      </c>
      <c r="G102" s="9" t="s">
        <v>1564</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 t="shared" si="0"/>
        <v>fig-clrd-mortal-aar</v>
      </c>
      <c r="I108" t="s">
        <v>172</v>
      </c>
      <c r="K108" t="s">
        <v>175</v>
      </c>
      <c r="L108" t="s">
        <v>220</v>
      </c>
    </row>
    <row r="109" spans="1:12" x14ac:dyDescent="0.2">
      <c r="A109" t="s">
        <v>11</v>
      </c>
      <c r="B109">
        <v>108</v>
      </c>
      <c r="E109" t="s">
        <v>433</v>
      </c>
      <c r="F109" t="s">
        <v>434</v>
      </c>
      <c r="G109" s="9" t="s">
        <v>1414</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1425</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1914</v>
      </c>
      <c r="G116" s="9" t="s">
        <v>1411</v>
      </c>
      <c r="H116" s="9" t="str">
        <f t="shared" si="1"/>
        <v>fig-cardiovasdz-hospi-aar</v>
      </c>
      <c r="I116" t="s">
        <v>172</v>
      </c>
      <c r="K116" t="s">
        <v>175</v>
      </c>
      <c r="L116" t="s">
        <v>449</v>
      </c>
    </row>
    <row r="117" spans="1:12" x14ac:dyDescent="0.2">
      <c r="A117" t="s">
        <v>11</v>
      </c>
      <c r="B117">
        <v>116</v>
      </c>
      <c r="E117" t="s">
        <v>450</v>
      </c>
      <c r="F117" t="s">
        <v>451</v>
      </c>
      <c r="G117" s="9" t="s">
        <v>1412</v>
      </c>
      <c r="H117" s="9" t="str">
        <f t="shared" si="1"/>
        <v>fig-cardiovasdz-mortal-aar</v>
      </c>
      <c r="I117" t="s">
        <v>172</v>
      </c>
      <c r="K117" t="s">
        <v>428</v>
      </c>
      <c r="L117" t="s">
        <v>449</v>
      </c>
    </row>
    <row r="118" spans="1:12" x14ac:dyDescent="0.2">
      <c r="A118" t="s">
        <v>11</v>
      </c>
      <c r="B118">
        <v>117</v>
      </c>
      <c r="E118" t="s">
        <v>452</v>
      </c>
      <c r="F118" t="s">
        <v>453</v>
      </c>
      <c r="G118" s="9" t="s">
        <v>1413</v>
      </c>
      <c r="H118" s="9" t="str">
        <f t="shared" si="1"/>
        <v>fig-adult-highbp-mddx-percent</v>
      </c>
      <c r="I118" t="s">
        <v>144</v>
      </c>
      <c r="L118" t="s">
        <v>449</v>
      </c>
    </row>
    <row r="119" spans="1:12" x14ac:dyDescent="0.2">
      <c r="A119" t="s">
        <v>11</v>
      </c>
      <c r="B119">
        <v>118</v>
      </c>
      <c r="E119" t="s">
        <v>454</v>
      </c>
      <c r="F119" t="s">
        <v>455</v>
      </c>
      <c r="G119" s="9" t="s">
        <v>2162</v>
      </c>
      <c r="H119" s="9" t="str">
        <f t="shared" si="1"/>
        <v>fig-cerebrovasdz-hospital-aar</v>
      </c>
      <c r="I119" t="s">
        <v>172</v>
      </c>
      <c r="K119" t="s">
        <v>456</v>
      </c>
      <c r="L119" t="s">
        <v>449</v>
      </c>
    </row>
    <row r="120" spans="1:12" x14ac:dyDescent="0.2">
      <c r="A120" t="s">
        <v>11</v>
      </c>
      <c r="B120">
        <v>119</v>
      </c>
      <c r="E120" t="s">
        <v>457</v>
      </c>
      <c r="F120" t="s">
        <v>458</v>
      </c>
      <c r="G120" s="65" t="s">
        <v>2163</v>
      </c>
      <c r="H120" s="9" t="str">
        <f t="shared" si="1"/>
        <v>fig-cerebrovasdz-hospital-rande-aar</v>
      </c>
      <c r="I120" t="s">
        <v>102</v>
      </c>
      <c r="K120" t="s">
        <v>456</v>
      </c>
      <c r="L120" t="s">
        <v>449</v>
      </c>
    </row>
    <row r="121" spans="1:12" x14ac:dyDescent="0.2">
      <c r="A121" t="s">
        <v>11</v>
      </c>
      <c r="B121">
        <v>120</v>
      </c>
      <c r="E121" t="s">
        <v>459</v>
      </c>
      <c r="F121" t="s">
        <v>460</v>
      </c>
      <c r="G121" s="65" t="s">
        <v>2164</v>
      </c>
      <c r="H121" s="9" t="str">
        <f t="shared" si="1"/>
        <v>fig-cerebrovasdz-mortal-aar</v>
      </c>
      <c r="I121" t="s">
        <v>172</v>
      </c>
      <c r="K121" t="s">
        <v>428</v>
      </c>
      <c r="L121" t="s">
        <v>449</v>
      </c>
    </row>
    <row r="122" spans="1:12" x14ac:dyDescent="0.2">
      <c r="A122" t="s">
        <v>11</v>
      </c>
      <c r="B122">
        <v>121</v>
      </c>
      <c r="E122" t="s">
        <v>461</v>
      </c>
      <c r="F122" t="s">
        <v>462</v>
      </c>
      <c r="G122" s="65" t="s">
        <v>2165</v>
      </c>
      <c r="H122" s="9" t="str">
        <f t="shared" si="1"/>
        <v>fig-cerebrovasdz-mortal-rande-aar</v>
      </c>
      <c r="I122" t="s">
        <v>102</v>
      </c>
      <c r="K122" t="s">
        <v>428</v>
      </c>
      <c r="L122" t="s">
        <v>449</v>
      </c>
    </row>
    <row r="123" spans="1:12" ht="16" x14ac:dyDescent="0.2">
      <c r="A123" t="s">
        <v>11</v>
      </c>
      <c r="B123">
        <v>122</v>
      </c>
      <c r="E123" t="s">
        <v>463</v>
      </c>
      <c r="F123" t="s">
        <v>1545</v>
      </c>
      <c r="G123" s="94" t="s">
        <v>1927</v>
      </c>
      <c r="H123" s="9" t="str">
        <f t="shared" si="1"/>
        <v>fig-coronary-heart-disease-hospital-aar</v>
      </c>
    </row>
    <row r="124" spans="1:12" ht="16" x14ac:dyDescent="0.2">
      <c r="A124" t="s">
        <v>11</v>
      </c>
      <c r="B124">
        <v>123</v>
      </c>
      <c r="E124" t="s">
        <v>464</v>
      </c>
      <c r="F124" t="s">
        <v>465</v>
      </c>
      <c r="G124" s="94" t="s">
        <v>1928</v>
      </c>
      <c r="H124" s="9" t="str">
        <f t="shared" si="1"/>
        <v>fig-coronary-heart-disease-hospital-rande-aar</v>
      </c>
    </row>
    <row r="125" spans="1:12" x14ac:dyDescent="0.2">
      <c r="A125" t="s">
        <v>11</v>
      </c>
      <c r="B125">
        <v>124</v>
      </c>
      <c r="E125" t="s">
        <v>466</v>
      </c>
      <c r="F125" t="s">
        <v>1546</v>
      </c>
      <c r="G125" s="65" t="s">
        <v>1415</v>
      </c>
      <c r="H125" s="9" t="str">
        <f t="shared" si="1"/>
        <v>fig-heartattack-hospital-aar</v>
      </c>
    </row>
    <row r="126" spans="1:12" x14ac:dyDescent="0.2">
      <c r="A126" t="s">
        <v>11</v>
      </c>
      <c r="B126">
        <v>125</v>
      </c>
      <c r="E126" t="s">
        <v>467</v>
      </c>
      <c r="F126" t="s">
        <v>468</v>
      </c>
      <c r="G126" s="65" t="s">
        <v>1416</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1812</v>
      </c>
      <c r="G128" s="65" t="s">
        <v>1813</v>
      </c>
      <c r="H128" s="9" t="str">
        <f t="shared" si="1"/>
        <v>fig-congheartfail-mortal-rande</v>
      </c>
    </row>
    <row r="129" spans="1:12" x14ac:dyDescent="0.2">
      <c r="F129" t="s">
        <v>1822</v>
      </c>
      <c r="G129" s="84" t="s">
        <v>1823</v>
      </c>
      <c r="H129" s="9" t="str">
        <f t="shared" si="1"/>
        <v>fig-heartattack-mortal-aar</v>
      </c>
    </row>
    <row r="130" spans="1:12" x14ac:dyDescent="0.2">
      <c r="A130" t="s">
        <v>11</v>
      </c>
      <c r="B130">
        <v>127</v>
      </c>
      <c r="E130">
        <v>204</v>
      </c>
      <c r="F130" t="s">
        <v>473</v>
      </c>
      <c r="G130" s="65" t="s">
        <v>1417</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1418</v>
      </c>
      <c r="H132" s="9" t="str">
        <f t="shared" si="1"/>
        <v>fig-dm-hospital-aar</v>
      </c>
      <c r="I132" t="s">
        <v>172</v>
      </c>
      <c r="K132" t="s">
        <v>456</v>
      </c>
      <c r="L132" t="s">
        <v>470</v>
      </c>
    </row>
    <row r="133" spans="1:12" x14ac:dyDescent="0.2">
      <c r="A133" t="s">
        <v>11</v>
      </c>
      <c r="B133">
        <v>130</v>
      </c>
      <c r="E133">
        <v>207</v>
      </c>
      <c r="F133" t="s">
        <v>476</v>
      </c>
      <c r="G133" s="65" t="s">
        <v>1419</v>
      </c>
      <c r="H133" s="9" t="str">
        <f t="shared" si="1"/>
        <v>fig-dm-hospital-rande-aar</v>
      </c>
      <c r="I133" t="s">
        <v>102</v>
      </c>
      <c r="L133" t="s">
        <v>470</v>
      </c>
    </row>
    <row r="134" spans="1:12" x14ac:dyDescent="0.2">
      <c r="A134" t="s">
        <v>11</v>
      </c>
      <c r="B134">
        <v>131</v>
      </c>
      <c r="E134">
        <v>208</v>
      </c>
      <c r="F134" t="s">
        <v>477</v>
      </c>
      <c r="G134" s="65" t="s">
        <v>1420</v>
      </c>
      <c r="H134" s="9" t="str">
        <f t="shared" si="1"/>
        <v>fig-highbs-dm-percent</v>
      </c>
      <c r="I134" t="s">
        <v>144</v>
      </c>
      <c r="L134" t="s">
        <v>470</v>
      </c>
    </row>
    <row r="135" spans="1:12" x14ac:dyDescent="0.2">
      <c r="A135" t="s">
        <v>11</v>
      </c>
      <c r="B135">
        <v>132</v>
      </c>
      <c r="E135">
        <v>209</v>
      </c>
      <c r="F135" t="s">
        <v>478</v>
      </c>
      <c r="G135" s="9" t="s">
        <v>1421</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1422</v>
      </c>
      <c r="H137" s="9" t="str">
        <f t="shared" si="1"/>
        <v>fig-dm-mortal-rande-aar</v>
      </c>
      <c r="I137" t="s">
        <v>102</v>
      </c>
      <c r="K137" t="s">
        <v>428</v>
      </c>
      <c r="L137" t="s">
        <v>470</v>
      </c>
    </row>
    <row r="138" spans="1:12" x14ac:dyDescent="0.2">
      <c r="A138" t="s">
        <v>11</v>
      </c>
      <c r="B138">
        <v>135</v>
      </c>
      <c r="E138">
        <v>212</v>
      </c>
      <c r="F138" t="s">
        <v>481</v>
      </c>
      <c r="G138" s="9" t="s">
        <v>1423</v>
      </c>
      <c r="H138" s="9" t="str">
        <f t="shared" si="1"/>
        <v>fig-adult-oando-percent</v>
      </c>
      <c r="I138" t="s">
        <v>144</v>
      </c>
      <c r="K138" t="s">
        <v>482</v>
      </c>
      <c r="L138" t="s">
        <v>470</v>
      </c>
    </row>
    <row r="139" spans="1:12" x14ac:dyDescent="0.2">
      <c r="A139" t="s">
        <v>11</v>
      </c>
      <c r="B139">
        <v>136</v>
      </c>
      <c r="E139">
        <v>213</v>
      </c>
      <c r="F139" t="s">
        <v>483</v>
      </c>
      <c r="G139" s="65" t="s">
        <v>1424</v>
      </c>
      <c r="H139" s="9" t="str">
        <f t="shared" si="1"/>
        <v>fig-adult-obese-percent</v>
      </c>
      <c r="I139" t="s">
        <v>144</v>
      </c>
      <c r="L139" t="s">
        <v>470</v>
      </c>
    </row>
    <row r="140" spans="1:12" x14ac:dyDescent="0.2">
      <c r="A140" t="s">
        <v>11</v>
      </c>
      <c r="B140">
        <v>137</v>
      </c>
      <c r="E140">
        <v>214</v>
      </c>
      <c r="F140" t="s">
        <v>484</v>
      </c>
      <c r="G140" s="9" t="s">
        <v>1426</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1427</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1827</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1828</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1514</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1516</v>
      </c>
      <c r="H151" s="9" t="str">
        <f t="shared" si="4"/>
        <v>fig-colonrectca-incident-mortal-aar</v>
      </c>
      <c r="I151" t="s">
        <v>172</v>
      </c>
      <c r="K151" t="s">
        <v>492</v>
      </c>
      <c r="L151" t="s">
        <v>220</v>
      </c>
    </row>
    <row r="152" spans="1:12" x14ac:dyDescent="0.2">
      <c r="A152" t="s">
        <v>11</v>
      </c>
      <c r="B152">
        <v>149</v>
      </c>
      <c r="E152">
        <v>226</v>
      </c>
      <c r="F152" t="s">
        <v>498</v>
      </c>
      <c r="G152" s="65" t="s">
        <v>1515</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1517</v>
      </c>
      <c r="H153" s="9" t="str">
        <f t="shared" si="5"/>
        <v>fig-colorectalca-incidence-rande-aar</v>
      </c>
      <c r="I153" t="s">
        <v>102</v>
      </c>
      <c r="K153" t="s">
        <v>500</v>
      </c>
      <c r="L153" t="s">
        <v>220</v>
      </c>
    </row>
    <row r="154" spans="1:12" x14ac:dyDescent="0.2">
      <c r="A154" t="s">
        <v>11</v>
      </c>
      <c r="B154">
        <v>151</v>
      </c>
      <c r="E154">
        <v>228</v>
      </c>
      <c r="F154" t="s">
        <v>501</v>
      </c>
      <c r="G154" s="65" t="s">
        <v>1522</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1829</v>
      </c>
      <c r="H156" s="9" t="str">
        <f t="shared" si="5"/>
        <v>fig-lungbronchca-incident-mortal-aar</v>
      </c>
      <c r="I156" t="s">
        <v>507</v>
      </c>
      <c r="K156" t="s">
        <v>500</v>
      </c>
      <c r="L156" t="s">
        <v>470</v>
      </c>
    </row>
    <row r="157" spans="1:12" x14ac:dyDescent="0.2">
      <c r="A157" t="s">
        <v>11</v>
      </c>
      <c r="B157">
        <v>154</v>
      </c>
      <c r="E157">
        <v>230</v>
      </c>
      <c r="F157" t="s">
        <v>508</v>
      </c>
      <c r="G157" s="65" t="s">
        <v>2159</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1518</v>
      </c>
      <c r="H158" s="9" t="str">
        <f t="shared" si="5"/>
        <v>fig-lungca-incidence-rande-aar</v>
      </c>
      <c r="I158" t="s">
        <v>102</v>
      </c>
      <c r="K158" t="s">
        <v>500</v>
      </c>
      <c r="L158" t="s">
        <v>470</v>
      </c>
    </row>
    <row r="159" spans="1:12" x14ac:dyDescent="0.2">
      <c r="A159" t="s">
        <v>11</v>
      </c>
      <c r="B159">
        <v>156</v>
      </c>
      <c r="E159">
        <v>232</v>
      </c>
      <c r="F159" t="s">
        <v>510</v>
      </c>
      <c r="G159" s="65" t="s">
        <v>1519</v>
      </c>
      <c r="H159" s="9" t="str">
        <f t="shared" si="5"/>
        <v>fig-male-prostateca-incidence-mortal-aar</v>
      </c>
      <c r="I159" t="s">
        <v>511</v>
      </c>
      <c r="K159" t="s">
        <v>500</v>
      </c>
      <c r="L159" t="s">
        <v>470</v>
      </c>
    </row>
    <row r="160" spans="1:12" x14ac:dyDescent="0.2">
      <c r="A160" t="s">
        <v>11</v>
      </c>
      <c r="B160">
        <v>157</v>
      </c>
      <c r="E160">
        <v>233</v>
      </c>
      <c r="F160" t="s">
        <v>512</v>
      </c>
      <c r="G160" s="65" t="s">
        <v>1520</v>
      </c>
      <c r="H160" s="9" t="str">
        <f t="shared" si="5"/>
        <v>fig-female-breastca-incidence-mortal-aar</v>
      </c>
      <c r="I160" t="s">
        <v>511</v>
      </c>
      <c r="K160" t="s">
        <v>500</v>
      </c>
      <c r="L160" t="s">
        <v>470</v>
      </c>
    </row>
    <row r="161" spans="1:12" x14ac:dyDescent="0.2">
      <c r="A161" t="s">
        <v>11</v>
      </c>
      <c r="B161">
        <v>158</v>
      </c>
      <c r="E161">
        <v>234</v>
      </c>
      <c r="F161" t="s">
        <v>513</v>
      </c>
      <c r="G161" s="65" t="s">
        <v>2158</v>
      </c>
      <c r="H161" s="9" t="str">
        <f t="shared" si="5"/>
        <v>fig-female-breastca-screening-percent</v>
      </c>
      <c r="I161" t="s">
        <v>144</v>
      </c>
      <c r="L161" t="s">
        <v>470</v>
      </c>
    </row>
    <row r="162" spans="1:12" x14ac:dyDescent="0.2">
      <c r="A162" t="s">
        <v>11</v>
      </c>
      <c r="B162">
        <v>159</v>
      </c>
      <c r="E162">
        <v>235</v>
      </c>
      <c r="F162" t="s">
        <v>514</v>
      </c>
      <c r="G162" s="65" t="s">
        <v>1521</v>
      </c>
      <c r="H162" s="9" t="str">
        <f t="shared" si="5"/>
        <v>fig-cervutca-incident-mortal-aar</v>
      </c>
      <c r="I162" t="s">
        <v>515</v>
      </c>
      <c r="K162" t="s">
        <v>500</v>
      </c>
      <c r="L162" t="s">
        <v>220</v>
      </c>
    </row>
    <row r="163" spans="1:12" x14ac:dyDescent="0.2">
      <c r="A163" t="s">
        <v>11</v>
      </c>
      <c r="B163">
        <v>160</v>
      </c>
      <c r="E163">
        <v>236</v>
      </c>
      <c r="F163" t="s">
        <v>516</v>
      </c>
      <c r="G163" s="65" t="s">
        <v>2157</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1523</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1830</v>
      </c>
      <c r="G176" s="9" t="s">
        <v>1831</v>
      </c>
      <c r="H176" s="9" t="str">
        <f t="shared" ref="H176" si="7">IF(LEFT(G176,4)="tbl-","fig-" &amp; MID(G176,5,LEN(G176)-4),"")</f>
        <v>fig-covid-mort-aar</v>
      </c>
    </row>
    <row r="177" spans="1:12" x14ac:dyDescent="0.2">
      <c r="A177" t="s">
        <v>11</v>
      </c>
      <c r="B177">
        <v>173</v>
      </c>
      <c r="E177">
        <v>249</v>
      </c>
      <c r="F177" t="s">
        <v>2156</v>
      </c>
      <c r="G177" s="65" t="s">
        <v>1525</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1524</v>
      </c>
      <c r="H178" s="9" t="str">
        <f t="shared" si="8"/>
        <v>fig-adult-flu-immi-lastyear-percent</v>
      </c>
      <c r="I178" t="s">
        <v>144</v>
      </c>
      <c r="L178" t="s">
        <v>449</v>
      </c>
    </row>
    <row r="179" spans="1:12" ht="16" x14ac:dyDescent="0.2">
      <c r="A179" t="s">
        <v>11</v>
      </c>
      <c r="B179">
        <v>175</v>
      </c>
      <c r="E179">
        <v>251</v>
      </c>
      <c r="F179" t="s">
        <v>532</v>
      </c>
      <c r="G179" s="94" t="s">
        <v>2166</v>
      </c>
      <c r="H179" s="9" t="str">
        <f t="shared" si="8"/>
        <v>fig-65+-flu-immi-percent</v>
      </c>
      <c r="I179" t="s">
        <v>144</v>
      </c>
      <c r="L179" t="s">
        <v>449</v>
      </c>
    </row>
    <row r="180" spans="1:12" x14ac:dyDescent="0.2">
      <c r="A180" t="s">
        <v>11</v>
      </c>
      <c r="B180">
        <v>176</v>
      </c>
      <c r="E180">
        <v>252</v>
      </c>
      <c r="F180" t="s">
        <v>533</v>
      </c>
      <c r="G180" s="9" t="s">
        <v>1526</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1527</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1528</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1615</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1535</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1534</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1533</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1532</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1531</v>
      </c>
      <c r="H213" s="9" t="str">
        <f t="shared" ref="H213:H218" si="16">IF(LEFT(G213,4)="tbl-","fig-" &amp; MID(G213,5,LEN(G213)-4),"")</f>
        <v>fig-rabies-test-domestic</v>
      </c>
      <c r="I213" t="s">
        <v>573</v>
      </c>
      <c r="L213" t="s">
        <v>537</v>
      </c>
    </row>
    <row r="214" spans="1:12" x14ac:dyDescent="0.2">
      <c r="A214" t="s">
        <v>11</v>
      </c>
      <c r="B214">
        <v>210</v>
      </c>
      <c r="E214" t="s">
        <v>574</v>
      </c>
      <c r="F214" t="s">
        <v>575</v>
      </c>
      <c r="G214" s="9" t="s">
        <v>1530</v>
      </c>
      <c r="H214" s="9" t="str">
        <f t="shared" si="16"/>
        <v>fig-rabies-test-wild</v>
      </c>
      <c r="I214" t="s">
        <v>573</v>
      </c>
      <c r="L214" t="s">
        <v>537</v>
      </c>
    </row>
    <row r="215" spans="1:12" x14ac:dyDescent="0.2">
      <c r="A215" t="s">
        <v>11</v>
      </c>
      <c r="B215">
        <v>211</v>
      </c>
      <c r="E215">
        <v>282</v>
      </c>
      <c r="F215" t="s">
        <v>576</v>
      </c>
      <c r="G215" s="9" t="s">
        <v>1614</v>
      </c>
      <c r="H215" s="9" t="str">
        <f t="shared" si="16"/>
        <v>fig-rabies-pep-rate</v>
      </c>
      <c r="I215" t="s">
        <v>577</v>
      </c>
      <c r="L215" t="s">
        <v>537</v>
      </c>
    </row>
    <row r="216" spans="1:12" x14ac:dyDescent="0.2">
      <c r="A216" t="s">
        <v>11</v>
      </c>
      <c r="B216">
        <v>212</v>
      </c>
      <c r="E216" t="s">
        <v>578</v>
      </c>
      <c r="F216" t="s">
        <v>579</v>
      </c>
      <c r="G216" s="9" t="s">
        <v>1613</v>
      </c>
      <c r="H216" s="9" t="str">
        <f t="shared" si="16"/>
        <v>fig-early-late-no-pnc-percent</v>
      </c>
      <c r="L216" t="s">
        <v>409</v>
      </c>
    </row>
    <row r="217" spans="1:12" x14ac:dyDescent="0.2">
      <c r="A217" t="s">
        <v>11</v>
      </c>
      <c r="B217">
        <v>213</v>
      </c>
      <c r="E217">
        <v>284</v>
      </c>
      <c r="F217" t="s">
        <v>580</v>
      </c>
      <c r="G217" s="9" t="s">
        <v>1612</v>
      </c>
      <c r="H217" s="9" t="str">
        <f t="shared" si="16"/>
        <v>fig-early-pnc-percent</v>
      </c>
      <c r="I217" t="s">
        <v>172</v>
      </c>
      <c r="K217" t="s">
        <v>428</v>
      </c>
      <c r="L217" t="s">
        <v>409</v>
      </c>
    </row>
    <row r="218" spans="1:12" x14ac:dyDescent="0.2">
      <c r="A218" t="s">
        <v>11</v>
      </c>
      <c r="B218">
        <v>214</v>
      </c>
      <c r="E218">
        <v>285</v>
      </c>
      <c r="F218" t="s">
        <v>581</v>
      </c>
      <c r="G218" s="9" t="s">
        <v>1611</v>
      </c>
      <c r="H218" s="9" t="str">
        <f t="shared" si="16"/>
        <v>fig-late-no-pnc-percent</v>
      </c>
      <c r="I218" t="s">
        <v>172</v>
      </c>
      <c r="K218" t="s">
        <v>428</v>
      </c>
      <c r="L218" t="s">
        <v>409</v>
      </c>
    </row>
    <row r="219" spans="1:12" x14ac:dyDescent="0.2">
      <c r="A219" t="s">
        <v>11</v>
      </c>
      <c r="B219">
        <v>215</v>
      </c>
      <c r="E219">
        <v>286</v>
      </c>
      <c r="F219" t="s">
        <v>582</v>
      </c>
      <c r="G219" s="9" t="s">
        <v>1610</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1609</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2154</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2094</v>
      </c>
      <c r="G226" s="9" t="s">
        <v>1608</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1616</v>
      </c>
      <c r="H227" s="9" t="str">
        <f t="shared" si="18"/>
        <v>fig-17+-teenpreg-rande-rate</v>
      </c>
      <c r="I227" t="s">
        <v>102</v>
      </c>
      <c r="K227" t="s">
        <v>428</v>
      </c>
      <c r="L227" t="s">
        <v>409</v>
      </c>
    </row>
    <row r="228" spans="1:12" x14ac:dyDescent="0.2">
      <c r="A228" t="s">
        <v>11</v>
      </c>
      <c r="B228">
        <v>224</v>
      </c>
      <c r="E228">
        <v>295</v>
      </c>
      <c r="F228" t="s">
        <v>590</v>
      </c>
      <c r="G228" s="9" t="s">
        <v>1607</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1606</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2155</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1549</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1550</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1617</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1584</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1585</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1586</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1587</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1589</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1529</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1554</v>
      </c>
      <c r="H252" s="9" t="str">
        <f>IF(LEFT(G252,4)="tbl-","fig-" &amp; MID(G252,5,LEN(G252)-4),"")</f>
        <v>fig-adult-currsmoke-percent</v>
      </c>
      <c r="I252" t="s">
        <v>144</v>
      </c>
      <c r="L252" t="s">
        <v>421</v>
      </c>
    </row>
    <row r="253" spans="1:12" x14ac:dyDescent="0.2">
      <c r="A253" t="s">
        <v>11</v>
      </c>
      <c r="B253">
        <v>249</v>
      </c>
      <c r="E253">
        <v>315</v>
      </c>
      <c r="F253" t="s">
        <v>623</v>
      </c>
      <c r="G253" t="s">
        <v>1555</v>
      </c>
      <c r="H253" s="9" t="str">
        <f>IF(LEFT(G253,4)="tbl-","fig-" &amp; MID(G253,5,LEN(G253)-4),"")</f>
        <v>fig-adult-cigsmoke-poormh-percent</v>
      </c>
      <c r="I253" t="s">
        <v>144</v>
      </c>
      <c r="K253" t="s">
        <v>469</v>
      </c>
      <c r="L253" t="s">
        <v>421</v>
      </c>
    </row>
    <row r="254" spans="1:12" x14ac:dyDescent="0.2">
      <c r="A254" t="s">
        <v>11</v>
      </c>
      <c r="B254">
        <v>250</v>
      </c>
      <c r="E254">
        <v>316</v>
      </c>
      <c r="F254" t="s">
        <v>624</v>
      </c>
      <c r="G254" t="s">
        <v>1556</v>
      </c>
      <c r="H254" s="9" t="str">
        <f>IF(LEFT(G254,4)="tbl-","fig-" &amp; MID(G254,5,LEN(G254)-4),"")</f>
        <v>fig-adult-bingedrink-percent</v>
      </c>
      <c r="I254" t="s">
        <v>144</v>
      </c>
      <c r="L254" t="s">
        <v>421</v>
      </c>
    </row>
    <row r="255" spans="1:12" x14ac:dyDescent="0.2">
      <c r="A255" t="s">
        <v>11</v>
      </c>
      <c r="B255">
        <v>251</v>
      </c>
      <c r="E255" t="s">
        <v>504</v>
      </c>
      <c r="F255" t="s">
        <v>625</v>
      </c>
      <c r="G255" t="s">
        <v>1511</v>
      </c>
      <c r="H255" s="9" t="str">
        <f>IF(LEFT(G255,4)="tbl-","fig-" &amp; MID(G255,5,LEN(G255)-4),"")</f>
        <v>fig-oddeath-anydrug-crude-rate</v>
      </c>
    </row>
    <row r="256" spans="1:12" x14ac:dyDescent="0.2">
      <c r="A256" t="s">
        <v>11</v>
      </c>
      <c r="B256">
        <v>252</v>
      </c>
      <c r="E256">
        <v>317</v>
      </c>
      <c r="F256" t="s">
        <v>605</v>
      </c>
      <c r="G256" t="s">
        <v>1512</v>
      </c>
      <c r="H256" s="9"/>
      <c r="I256" t="s">
        <v>626</v>
      </c>
      <c r="K256" t="s">
        <v>456</v>
      </c>
      <c r="L256" t="s">
        <v>421</v>
      </c>
    </row>
    <row r="257" spans="1:12" x14ac:dyDescent="0.2">
      <c r="A257" t="s">
        <v>11</v>
      </c>
      <c r="B257">
        <v>253</v>
      </c>
      <c r="E257" t="s">
        <v>627</v>
      </c>
      <c r="F257" t="s">
        <v>472</v>
      </c>
      <c r="G257" t="s">
        <v>1513</v>
      </c>
      <c r="H257" s="9"/>
    </row>
    <row r="258" spans="1:12" x14ac:dyDescent="0.2">
      <c r="A258" t="s">
        <v>11</v>
      </c>
      <c r="B258">
        <v>254</v>
      </c>
      <c r="E258">
        <v>319</v>
      </c>
      <c r="F258" t="s">
        <v>628</v>
      </c>
      <c r="G258" t="s">
        <v>1591</v>
      </c>
      <c r="H258" s="9" t="str">
        <f>IF(LEFT(G258,4)="tbl-","fig-" &amp; MID(G258,5,LEN(G258)-4),"")</f>
        <v>fig-ed-visit-opioid-aar</v>
      </c>
      <c r="I258" t="s">
        <v>626</v>
      </c>
      <c r="K258" t="s">
        <v>456</v>
      </c>
      <c r="L258" t="s">
        <v>421</v>
      </c>
    </row>
    <row r="259" spans="1:12" x14ac:dyDescent="0.2">
      <c r="A259" t="s">
        <v>11</v>
      </c>
      <c r="B259">
        <v>255</v>
      </c>
      <c r="E259" t="s">
        <v>504</v>
      </c>
      <c r="F259" t="s">
        <v>629</v>
      </c>
      <c r="G259" s="9" t="s">
        <v>1592</v>
      </c>
      <c r="H259" s="9" t="str">
        <f>IF(LEFT(G259,4)="tbl-","fig-" &amp; MID(G259,5,LEN(G259)-4),"")</f>
        <v>fig-hospital-dc-opioid-aar</v>
      </c>
    </row>
    <row r="260" spans="1:12" x14ac:dyDescent="0.2">
      <c r="A260" t="s">
        <v>11</v>
      </c>
      <c r="B260">
        <v>256</v>
      </c>
      <c r="E260" t="s">
        <v>504</v>
      </c>
      <c r="F260" t="s">
        <v>630</v>
      </c>
      <c r="G260" s="9" t="s">
        <v>1593</v>
      </c>
      <c r="H260" s="9" t="str">
        <f>IF(LEFT(G260,4)="tbl-","fig-" &amp; MID(G260,5,LEN(G260)-4),"")</f>
        <v>fig-treat-prog-opioid-crude</v>
      </c>
      <c r="I260" t="s">
        <v>631</v>
      </c>
      <c r="K260" t="s">
        <v>632</v>
      </c>
      <c r="L260" t="s">
        <v>421</v>
      </c>
    </row>
    <row r="261" spans="1:12" x14ac:dyDescent="0.2">
      <c r="A261" t="s">
        <v>11</v>
      </c>
      <c r="B261">
        <v>257</v>
      </c>
      <c r="E261" t="s">
        <v>504</v>
      </c>
      <c r="F261" t="s">
        <v>633</v>
      </c>
      <c r="G261" s="9" t="s">
        <v>1595</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1598</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1600</v>
      </c>
      <c r="H264" s="9" t="str">
        <f t="shared" si="26"/>
        <v>fig-OD-multiple-opioid-aar</v>
      </c>
      <c r="I264" t="s">
        <v>626</v>
      </c>
      <c r="K264" t="s">
        <v>469</v>
      </c>
      <c r="L264" t="s">
        <v>421</v>
      </c>
    </row>
    <row r="265" spans="1:12" x14ac:dyDescent="0.2">
      <c r="A265" t="s">
        <v>11</v>
      </c>
      <c r="B265">
        <v>261</v>
      </c>
      <c r="E265">
        <v>323</v>
      </c>
      <c r="F265" t="s">
        <v>1832</v>
      </c>
      <c r="G265" s="9" t="s">
        <v>1601</v>
      </c>
      <c r="H265" s="9" t="str">
        <f t="shared" si="26"/>
        <v>fig-18to64-anyop-od-crude</v>
      </c>
      <c r="I265" t="s">
        <v>626</v>
      </c>
      <c r="K265" t="s">
        <v>428</v>
      </c>
      <c r="L265" t="s">
        <v>421</v>
      </c>
    </row>
    <row r="266" spans="1:12" x14ac:dyDescent="0.2">
      <c r="A266" t="s">
        <v>11</v>
      </c>
      <c r="B266">
        <v>262</v>
      </c>
      <c r="E266">
        <v>324</v>
      </c>
      <c r="F266" t="s">
        <v>1833</v>
      </c>
      <c r="G266" s="9" t="s">
        <v>1602</v>
      </c>
      <c r="H266" s="9" t="str">
        <f t="shared" si="26"/>
        <v>fig-18to64-heroin-od-crude</v>
      </c>
      <c r="I266" t="s">
        <v>626</v>
      </c>
      <c r="K266" t="s">
        <v>428</v>
      </c>
      <c r="L266" t="s">
        <v>421</v>
      </c>
    </row>
    <row r="267" spans="1:12" ht="16" x14ac:dyDescent="0.2">
      <c r="A267" t="s">
        <v>11</v>
      </c>
      <c r="B267">
        <v>263</v>
      </c>
      <c r="E267">
        <v>325</v>
      </c>
      <c r="F267" s="50" t="s">
        <v>1870</v>
      </c>
      <c r="G267" s="9" t="s">
        <v>1603</v>
      </c>
      <c r="H267" s="9" t="str">
        <f t="shared" si="26"/>
        <v>fig-18to64-opioid-pain-crude</v>
      </c>
      <c r="I267" t="s">
        <v>626</v>
      </c>
      <c r="K267" t="s">
        <v>428</v>
      </c>
      <c r="L267" t="s">
        <v>421</v>
      </c>
    </row>
    <row r="268" spans="1:12" x14ac:dyDescent="0.2">
      <c r="A268" t="s">
        <v>11</v>
      </c>
      <c r="B268">
        <v>264</v>
      </c>
      <c r="E268">
        <v>326</v>
      </c>
      <c r="F268" t="s">
        <v>637</v>
      </c>
      <c r="G268" s="9" t="s">
        <v>1582</v>
      </c>
      <c r="H268" s="9" t="str">
        <f t="shared" si="26"/>
        <v>fig-opioid-analgesic-rx-aar</v>
      </c>
      <c r="I268" t="s">
        <v>626</v>
      </c>
      <c r="K268" t="s">
        <v>638</v>
      </c>
      <c r="L268" t="s">
        <v>421</v>
      </c>
    </row>
    <row r="269" spans="1:12" x14ac:dyDescent="0.2">
      <c r="A269" t="s">
        <v>11</v>
      </c>
      <c r="B269">
        <v>265</v>
      </c>
      <c r="E269">
        <v>327</v>
      </c>
      <c r="F269" t="s">
        <v>639</v>
      </c>
      <c r="G269" s="9" t="s">
        <v>1580</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1879</v>
      </c>
      <c r="G271" s="9" t="s">
        <v>1579</v>
      </c>
      <c r="H271" s="9" t="str">
        <f>IF(LEFT(G271,4)="tbl-","fig-" &amp; MID(G271,5,LEN(G271)-4),"")</f>
        <v>fig-15to19-suicide-mortal-crude</v>
      </c>
      <c r="I271" t="s">
        <v>172</v>
      </c>
      <c r="K271" t="s">
        <v>428</v>
      </c>
      <c r="L271" t="s">
        <v>421</v>
      </c>
    </row>
    <row r="272" spans="1:12" x14ac:dyDescent="0.2">
      <c r="A272" t="s">
        <v>11</v>
      </c>
      <c r="B272">
        <v>268</v>
      </c>
      <c r="E272">
        <v>330</v>
      </c>
      <c r="F272" t="s">
        <v>640</v>
      </c>
      <c r="G272" s="9" t="s">
        <v>1578</v>
      </c>
      <c r="H272" s="9" t="str">
        <f>IF(LEFT(G272,4)="tbl-","fig-" &amp; MID(G272,5,LEN(G272)-4),"")</f>
        <v>fig-suicide-mortal-aar</v>
      </c>
      <c r="I272" t="s">
        <v>172</v>
      </c>
      <c r="K272" t="s">
        <v>428</v>
      </c>
      <c r="L272" t="s">
        <v>421</v>
      </c>
    </row>
    <row r="273" spans="1:12" x14ac:dyDescent="0.2">
      <c r="A273" t="s">
        <v>11</v>
      </c>
      <c r="B273">
        <v>269</v>
      </c>
      <c r="E273">
        <v>331</v>
      </c>
      <c r="F273" t="s">
        <v>641</v>
      </c>
      <c r="G273" s="9" t="s">
        <v>1577</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1576</v>
      </c>
      <c r="H276" s="9" t="str">
        <f>IF(LEFT(G276,4)="tbl-","fig-" &amp; MID(G276,5,LEN(G276)-4),"")</f>
        <v>fig-unint-injury-mortal-aar</v>
      </c>
      <c r="I276" t="s">
        <v>643</v>
      </c>
      <c r="K276" t="s">
        <v>428</v>
      </c>
      <c r="L276" t="s">
        <v>537</v>
      </c>
    </row>
    <row r="277" spans="1:12" x14ac:dyDescent="0.2">
      <c r="A277" t="s">
        <v>11</v>
      </c>
      <c r="B277">
        <v>273</v>
      </c>
      <c r="E277" t="s">
        <v>504</v>
      </c>
      <c r="F277" t="s">
        <v>1894</v>
      </c>
      <c r="G277" s="9" t="s">
        <v>1571</v>
      </c>
      <c r="H277" s="9" t="str">
        <f>IF(LEFT(G277,4)="tbl-","fig-" &amp; MID(G277,5,LEN(G277)-4),"")</f>
        <v>fig-poison-control-calls</v>
      </c>
      <c r="I277" t="s">
        <v>646</v>
      </c>
      <c r="L277" t="s">
        <v>537</v>
      </c>
    </row>
    <row r="278" spans="1:12" x14ac:dyDescent="0.2">
      <c r="A278" t="s">
        <v>11</v>
      </c>
      <c r="B278">
        <v>274</v>
      </c>
      <c r="E278" t="s">
        <v>504</v>
      </c>
      <c r="F278" t="s">
        <v>647</v>
      </c>
      <c r="G278" s="9" t="s">
        <v>1570</v>
      </c>
      <c r="H278" s="9" t="str">
        <f>IF(LEFT(G278,4)="tbl-","fig-" &amp; MID(G278,5,LEN(G278)-4),"")</f>
        <v>fig-poison-control-cannabis</v>
      </c>
      <c r="I278" t="s">
        <v>646</v>
      </c>
      <c r="L278" t="s">
        <v>537</v>
      </c>
    </row>
    <row r="279" spans="1:12" x14ac:dyDescent="0.2">
      <c r="A279" t="s">
        <v>11</v>
      </c>
      <c r="B279">
        <v>275</v>
      </c>
      <c r="E279">
        <v>335</v>
      </c>
      <c r="F279" t="s">
        <v>1895</v>
      </c>
      <c r="G279" s="9" t="s">
        <v>1565</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1569</v>
      </c>
      <c r="H281" s="9" t="str">
        <f t="shared" si="27"/>
        <v>fig-mva-alcohol-injury-death-crude</v>
      </c>
    </row>
    <row r="282" spans="1:12" x14ac:dyDescent="0.2">
      <c r="A282" t="s">
        <v>11</v>
      </c>
      <c r="B282">
        <v>278</v>
      </c>
      <c r="E282">
        <v>338</v>
      </c>
      <c r="F282" t="s">
        <v>651</v>
      </c>
      <c r="G282" s="9" t="s">
        <v>1568</v>
      </c>
      <c r="H282" s="9" t="str">
        <f t="shared" si="27"/>
        <v>fig-mva-mortal-rate</v>
      </c>
      <c r="I282" t="s">
        <v>643</v>
      </c>
      <c r="K282" t="s">
        <v>428</v>
      </c>
      <c r="L282" t="s">
        <v>537</v>
      </c>
    </row>
    <row r="283" spans="1:12" x14ac:dyDescent="0.2">
      <c r="A283" t="s">
        <v>11</v>
      </c>
      <c r="B283">
        <v>279</v>
      </c>
      <c r="E283" t="s">
        <v>504</v>
      </c>
      <c r="F283" t="s">
        <v>652</v>
      </c>
      <c r="G283" s="9" t="s">
        <v>1572</v>
      </c>
      <c r="H283" s="9" t="str">
        <f>IF(LEFT(G283,4)="tbl-","fig-" &amp; MID(G283,5,LEN(G283)-4),"")</f>
        <v>fig-mva-mortal-rande-aar</v>
      </c>
      <c r="L283" t="s">
        <v>537</v>
      </c>
    </row>
    <row r="284" spans="1:12" x14ac:dyDescent="0.2">
      <c r="A284" t="s">
        <v>11</v>
      </c>
      <c r="B284">
        <v>280</v>
      </c>
      <c r="E284">
        <v>339</v>
      </c>
      <c r="F284" t="s">
        <v>653</v>
      </c>
      <c r="G284" s="9" t="s">
        <v>1897</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1573</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1898</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1574</v>
      </c>
      <c r="H291" s="9" t="str">
        <f t="shared" ref="H291:H294" si="29">IF(LEFT(G291,4)="tbl-","fig-" &amp; MID(G291,5,LEN(G291)-4),"")</f>
        <v>fig-mortal-homicide-aar</v>
      </c>
    </row>
    <row r="292" spans="1:12" x14ac:dyDescent="0.2">
      <c r="A292" t="s">
        <v>11</v>
      </c>
      <c r="B292">
        <v>288</v>
      </c>
      <c r="E292">
        <v>346</v>
      </c>
      <c r="F292" t="s">
        <v>661</v>
      </c>
      <c r="G292" t="s">
        <v>1510</v>
      </c>
      <c r="H292" s="9" t="str">
        <f t="shared" si="29"/>
        <v>fig-assault-hospital-aar</v>
      </c>
      <c r="I292" t="s">
        <v>172</v>
      </c>
      <c r="K292" t="s">
        <v>456</v>
      </c>
      <c r="L292" t="s">
        <v>537</v>
      </c>
    </row>
    <row r="293" spans="1:12" x14ac:dyDescent="0.2">
      <c r="A293" t="s">
        <v>11</v>
      </c>
      <c r="B293">
        <v>289</v>
      </c>
      <c r="E293">
        <v>347</v>
      </c>
      <c r="F293" t="s">
        <v>662</v>
      </c>
      <c r="G293" t="s">
        <v>1575</v>
      </c>
      <c r="H293" s="9" t="str">
        <f t="shared" si="29"/>
        <v>fig-dv-victim-rate</v>
      </c>
      <c r="I293" t="s">
        <v>190</v>
      </c>
      <c r="K293" t="s">
        <v>663</v>
      </c>
      <c r="L293" t="s">
        <v>537</v>
      </c>
    </row>
    <row r="294" spans="1:12" x14ac:dyDescent="0.2">
      <c r="F294" t="s">
        <v>1635</v>
      </c>
      <c r="G294" s="9" t="s">
        <v>1636</v>
      </c>
      <c r="H294" s="9" t="str">
        <f t="shared" si="29"/>
        <v>fig-dc-pav</v>
      </c>
    </row>
    <row r="295" spans="1:12" x14ac:dyDescent="0.2">
      <c r="F295" t="s">
        <v>1641</v>
      </c>
      <c r="G295" s="9" t="s">
        <v>1642</v>
      </c>
      <c r="H295" s="9" t="str">
        <f t="shared" ref="H295:H306" si="30">IF(LEFT(G295,4)="tbl-","fig-" &amp; MID(G295,5,LEN(G295)-4),"")</f>
        <v>fig-rccha-demo</v>
      </c>
    </row>
    <row r="296" spans="1:12" x14ac:dyDescent="0.2">
      <c r="F296" t="s">
        <v>1695</v>
      </c>
      <c r="G296" s="9" t="s">
        <v>1696</v>
      </c>
      <c r="H296" s="9" t="str">
        <f t="shared" si="30"/>
        <v>fig-resp-zip</v>
      </c>
    </row>
    <row r="297" spans="1:12" x14ac:dyDescent="0.2">
      <c r="F297" t="s">
        <v>1698</v>
      </c>
      <c r="G297" s="9" t="s">
        <v>1699</v>
      </c>
      <c r="H297" s="9" t="str">
        <f t="shared" si="30"/>
        <v>fig-resp-qol-rc</v>
      </c>
    </row>
    <row r="298" spans="1:12" x14ac:dyDescent="0.2">
      <c r="F298" t="s">
        <v>1701</v>
      </c>
      <c r="G298" s="9" t="s">
        <v>1700</v>
      </c>
      <c r="H298" s="9" t="str">
        <f t="shared" si="30"/>
        <v>fig-t3-pos-rc</v>
      </c>
    </row>
    <row r="299" spans="1:12" x14ac:dyDescent="0.2">
      <c r="F299" t="s">
        <v>1719</v>
      </c>
      <c r="G299" s="9" t="s">
        <v>1720</v>
      </c>
      <c r="H299" s="9" t="str">
        <f t="shared" si="30"/>
        <v>fig-top-need-improve</v>
      </c>
    </row>
    <row r="300" spans="1:12" x14ac:dyDescent="0.2">
      <c r="F300" t="s">
        <v>1739</v>
      </c>
      <c r="G300" s="9" t="s">
        <v>1740</v>
      </c>
      <c r="H300" s="9" t="str">
        <f t="shared" si="30"/>
        <v>fig-econ-need-improve</v>
      </c>
    </row>
    <row r="301" spans="1:12" x14ac:dyDescent="0.2">
      <c r="F301" t="s">
        <v>1741</v>
      </c>
      <c r="G301" s="9" t="s">
        <v>1742</v>
      </c>
      <c r="H301" s="9" t="str">
        <f t="shared" si="30"/>
        <v>fig-safe-health-need-improve</v>
      </c>
    </row>
    <row r="302" spans="1:12" x14ac:dyDescent="0.2">
      <c r="F302" t="s">
        <v>1763</v>
      </c>
      <c r="G302" s="9" t="s">
        <v>1764</v>
      </c>
      <c r="H302" s="9" t="str">
        <f t="shared" si="30"/>
        <v>fig-educat-need-improv</v>
      </c>
    </row>
    <row r="303" spans="1:12" x14ac:dyDescent="0.2">
      <c r="F303" t="s">
        <v>72</v>
      </c>
      <c r="G303" s="9" t="s">
        <v>1798</v>
      </c>
      <c r="H303" s="9" t="str">
        <f t="shared" si="30"/>
        <v>fig-childhood-food-insecurity</v>
      </c>
    </row>
    <row r="304" spans="1:12" ht="16" x14ac:dyDescent="0.2">
      <c r="F304" t="s">
        <v>1834</v>
      </c>
      <c r="G304" s="86" t="s">
        <v>1587</v>
      </c>
      <c r="H304" s="9" t="str">
        <f t="shared" si="30"/>
        <v>fig-adult-poormh-14ormore-percent</v>
      </c>
    </row>
    <row r="305" spans="6:8" x14ac:dyDescent="0.2">
      <c r="F305" t="s">
        <v>1890</v>
      </c>
      <c r="G305" s="9" t="s">
        <v>1891</v>
      </c>
      <c r="H305" s="9" t="str">
        <f t="shared" si="30"/>
        <v>fig-agop-hosp-0-4</v>
      </c>
    </row>
    <row r="306" spans="6:8" x14ac:dyDescent="0.2">
      <c r="F306" s="87" t="s">
        <v>1895</v>
      </c>
      <c r="G306" s="9" t="s">
        <v>1896</v>
      </c>
      <c r="H306" s="9" t="str">
        <f t="shared" si="30"/>
        <v>fig-poison-cc-5yo</v>
      </c>
    </row>
    <row r="307" spans="6:8" x14ac:dyDescent="0.2">
      <c r="F307" s="87"/>
      <c r="G307" s="9"/>
      <c r="H307" s="9"/>
    </row>
    <row r="308" spans="6:8" ht="16" x14ac:dyDescent="0.2">
      <c r="F308" s="93" t="s">
        <v>1916</v>
      </c>
      <c r="G308" s="9" t="s">
        <v>1413</v>
      </c>
      <c r="H308" s="94" t="s">
        <v>1917</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1922</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1926</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1926</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1926</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1926</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1926</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1926</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1926</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1926</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1923</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2173</v>
      </c>
      <c r="E11" s="100"/>
    </row>
    <row r="12" spans="1:15" x14ac:dyDescent="0.2">
      <c r="A12" t="s">
        <v>896</v>
      </c>
      <c r="E12" s="100"/>
    </row>
    <row r="13" spans="1:15" x14ac:dyDescent="0.2">
      <c r="A13" t="s">
        <v>897</v>
      </c>
      <c r="B13" t="s">
        <v>2173</v>
      </c>
      <c r="E13" s="100"/>
    </row>
    <row r="14" spans="1:15" x14ac:dyDescent="0.2">
      <c r="A14" t="s">
        <v>899</v>
      </c>
      <c r="B14" t="s">
        <v>694</v>
      </c>
      <c r="E14" s="100"/>
    </row>
    <row r="15" spans="1:15" x14ac:dyDescent="0.2">
      <c r="A15" t="s">
        <v>901</v>
      </c>
      <c r="B15" t="b">
        <v>1</v>
      </c>
      <c r="E15" s="100"/>
    </row>
    <row r="16" spans="1:15" x14ac:dyDescent="0.2">
      <c r="A16" t="s">
        <v>1799</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1809</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2173</v>
      </c>
      <c r="E11" s="99"/>
    </row>
    <row r="12" spans="1:15" x14ac:dyDescent="0.2">
      <c r="A12" t="s">
        <v>896</v>
      </c>
      <c r="E12" s="99"/>
    </row>
    <row r="13" spans="1:15" x14ac:dyDescent="0.2">
      <c r="A13" t="s">
        <v>897</v>
      </c>
      <c r="B13"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2172</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ht="16" x14ac:dyDescent="0.2">
      <c r="A17" t="s">
        <v>1807</v>
      </c>
      <c r="B17" s="80" t="s">
        <v>1808</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2172</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1539</v>
      </c>
      <c r="J6" s="14">
        <v>10.1</v>
      </c>
      <c r="K6" s="14">
        <v>4.2</v>
      </c>
      <c r="L6">
        <v>19.8</v>
      </c>
      <c r="M6">
        <v>19.3</v>
      </c>
      <c r="N6" s="14">
        <v>15.9</v>
      </c>
      <c r="O6">
        <v>20.2</v>
      </c>
      <c r="P6">
        <v>17.7</v>
      </c>
    </row>
    <row r="7" spans="1:16" ht="15.75" customHeight="1" x14ac:dyDescent="0.2">
      <c r="E7" s="99"/>
      <c r="F7">
        <v>2020</v>
      </c>
      <c r="G7">
        <v>19.8</v>
      </c>
      <c r="H7" s="14">
        <v>23.3</v>
      </c>
      <c r="I7" s="14" t="s">
        <v>1540</v>
      </c>
      <c r="J7" s="14">
        <v>9.3000000000000007</v>
      </c>
      <c r="K7">
        <v>10.1</v>
      </c>
      <c r="L7">
        <v>25.7</v>
      </c>
      <c r="M7" s="14">
        <v>18.899999999999999</v>
      </c>
      <c r="N7" s="14">
        <v>16.8</v>
      </c>
      <c r="O7">
        <v>19.7</v>
      </c>
      <c r="P7">
        <v>16.5</v>
      </c>
    </row>
    <row r="8" spans="1:16" x14ac:dyDescent="0.2">
      <c r="E8" s="99"/>
      <c r="F8">
        <v>2021</v>
      </c>
      <c r="G8">
        <v>21.9</v>
      </c>
      <c r="H8" s="14">
        <v>15.8</v>
      </c>
      <c r="I8" s="14" t="s">
        <v>1541</v>
      </c>
      <c r="J8" s="14">
        <v>16.600000000000001</v>
      </c>
      <c r="K8">
        <v>15.4</v>
      </c>
      <c r="L8">
        <v>23.4</v>
      </c>
      <c r="M8">
        <v>21</v>
      </c>
      <c r="N8" s="14">
        <v>18.5</v>
      </c>
      <c r="O8">
        <v>22.2</v>
      </c>
      <c r="P8">
        <v>19.5</v>
      </c>
    </row>
    <row r="9" spans="1:16" x14ac:dyDescent="0.2">
      <c r="A9" s="98" t="s">
        <v>893</v>
      </c>
      <c r="B9" s="99"/>
      <c r="E9" s="99"/>
      <c r="F9">
        <v>2022</v>
      </c>
      <c r="G9">
        <v>18.5</v>
      </c>
      <c r="H9" s="14">
        <v>20.6</v>
      </c>
      <c r="I9" s="14" t="s">
        <v>1542</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H13" sqref="H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1552</v>
      </c>
      <c r="G7" s="59">
        <v>9</v>
      </c>
      <c r="H7" s="59">
        <v>22.5</v>
      </c>
      <c r="I7" s="59">
        <v>10.8</v>
      </c>
      <c r="J7" s="59">
        <v>13</v>
      </c>
      <c r="K7" s="59">
        <v>25.7</v>
      </c>
      <c r="L7" s="59">
        <v>17.3</v>
      </c>
      <c r="M7" s="59">
        <v>19</v>
      </c>
      <c r="N7" s="59">
        <v>24</v>
      </c>
      <c r="O7" s="59">
        <v>24.5</v>
      </c>
      <c r="P7" s="14"/>
    </row>
    <row r="8" spans="1:16" x14ac:dyDescent="0.2">
      <c r="E8" s="99"/>
      <c r="F8" s="14" t="s">
        <v>1553</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2167</v>
      </c>
      <c r="E11" s="99"/>
    </row>
    <row r="12" spans="1:16" x14ac:dyDescent="0.2">
      <c r="A12" t="s">
        <v>896</v>
      </c>
      <c r="B12" t="s">
        <v>708</v>
      </c>
      <c r="E12" s="99"/>
    </row>
    <row r="13" spans="1:16" x14ac:dyDescent="0.2">
      <c r="A13" t="s">
        <v>897</v>
      </c>
      <c r="B13" t="s">
        <v>2167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1557</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1583</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2167</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1552</v>
      </c>
      <c r="G7" s="59">
        <v>5.4</v>
      </c>
      <c r="H7" s="59">
        <v>10.8</v>
      </c>
      <c r="I7" s="59">
        <v>10.8</v>
      </c>
      <c r="J7" s="59">
        <v>6.9</v>
      </c>
      <c r="K7" s="59">
        <v>17.100000000000001</v>
      </c>
      <c r="L7" s="59">
        <v>7.3</v>
      </c>
      <c r="M7" s="59">
        <v>11.4</v>
      </c>
      <c r="N7" s="59">
        <v>11.9</v>
      </c>
      <c r="O7" s="59">
        <v>13.8</v>
      </c>
      <c r="P7" s="14"/>
    </row>
    <row r="8" spans="1:16" x14ac:dyDescent="0.2">
      <c r="E8" s="99"/>
      <c r="F8" s="51" t="s">
        <v>1553</v>
      </c>
      <c r="G8" s="59" t="s">
        <v>754</v>
      </c>
      <c r="H8" s="59" t="s">
        <v>1244</v>
      </c>
      <c r="I8" s="59" t="s">
        <v>754</v>
      </c>
      <c r="J8" s="59">
        <v>1.3</v>
      </c>
      <c r="K8" s="59" t="s">
        <v>1590</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2167</v>
      </c>
      <c r="E11" s="99"/>
    </row>
    <row r="12" spans="1:16" x14ac:dyDescent="0.2">
      <c r="A12" t="s">
        <v>896</v>
      </c>
      <c r="B12" t="s">
        <v>708</v>
      </c>
      <c r="E12" s="99"/>
    </row>
    <row r="13" spans="1:16" x14ac:dyDescent="0.2">
      <c r="A13" t="s">
        <v>897</v>
      </c>
      <c r="B13" s="55" t="s">
        <v>2167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1597</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1599</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I15" sqref="I15"/>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1618</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1631</v>
      </c>
      <c r="H5" s="55" t="s">
        <v>1632</v>
      </c>
      <c r="I5" s="55" t="s">
        <v>1633</v>
      </c>
      <c r="J5" s="55" t="s">
        <v>1634</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1628</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1630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1694</v>
      </c>
      <c r="E12" s="99"/>
    </row>
    <row r="13" spans="1:16" x14ac:dyDescent="0.2">
      <c r="A13" t="s">
        <v>897</v>
      </c>
      <c r="E13" s="99"/>
    </row>
    <row r="14" spans="1:16" x14ac:dyDescent="0.2">
      <c r="A14" t="s">
        <v>899</v>
      </c>
      <c r="B14" t="s">
        <v>1694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1552</v>
      </c>
      <c r="G8" s="59" t="s">
        <v>1729</v>
      </c>
      <c r="H8" s="59">
        <v>5.3</v>
      </c>
      <c r="I8" s="59">
        <v>2</v>
      </c>
      <c r="J8" s="59">
        <v>1.8</v>
      </c>
      <c r="K8" s="59">
        <v>10.199999999999999</v>
      </c>
      <c r="L8" s="59">
        <v>3.3</v>
      </c>
      <c r="M8" s="59">
        <v>7.1</v>
      </c>
      <c r="N8" s="59">
        <v>9.6999999999999993</v>
      </c>
      <c r="O8" s="59">
        <v>6.6</v>
      </c>
      <c r="P8" s="14"/>
    </row>
    <row r="9" spans="1:16" x14ac:dyDescent="0.2">
      <c r="A9" s="98" t="s">
        <v>893</v>
      </c>
      <c r="B9" s="99"/>
      <c r="E9" s="99"/>
      <c r="F9" s="69" t="s">
        <v>1553</v>
      </c>
      <c r="G9" s="59" t="s">
        <v>1768</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1551</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1726</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1725</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1769</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1771</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1552</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1553</v>
      </c>
      <c r="G9" s="59">
        <v>48.6</v>
      </c>
      <c r="H9" s="59">
        <v>78.099999999999994</v>
      </c>
      <c r="I9" s="59" t="s">
        <v>1777</v>
      </c>
      <c r="J9" s="59">
        <v>46.3</v>
      </c>
      <c r="K9" s="59" t="s">
        <v>754</v>
      </c>
      <c r="L9" s="59" t="s">
        <v>1778</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1551</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1774</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1773</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1781</v>
      </c>
      <c r="J7" s="59">
        <v>1.7</v>
      </c>
      <c r="K7" s="59" t="s">
        <v>1784</v>
      </c>
      <c r="L7" s="59" t="s">
        <v>1786</v>
      </c>
      <c r="M7" s="59">
        <v>2.4</v>
      </c>
      <c r="N7" s="59">
        <v>2.9</v>
      </c>
      <c r="O7" s="59">
        <v>3.2</v>
      </c>
      <c r="P7" s="14"/>
    </row>
    <row r="8" spans="1:16" x14ac:dyDescent="0.2">
      <c r="E8" s="99"/>
      <c r="F8" s="69">
        <v>2019</v>
      </c>
      <c r="G8" s="59">
        <v>2.4</v>
      </c>
      <c r="H8" s="59">
        <v>2.7</v>
      </c>
      <c r="I8" s="59" t="s">
        <v>1782</v>
      </c>
      <c r="J8" s="59">
        <v>2.4</v>
      </c>
      <c r="K8" s="59" t="s">
        <v>1785</v>
      </c>
      <c r="L8" s="59">
        <v>2.1</v>
      </c>
      <c r="M8" s="59">
        <v>2.6</v>
      </c>
      <c r="N8" s="59">
        <v>2.7</v>
      </c>
      <c r="O8" s="59">
        <v>3.1</v>
      </c>
      <c r="P8" s="14"/>
    </row>
    <row r="9" spans="1:16" x14ac:dyDescent="0.2">
      <c r="A9" s="98" t="s">
        <v>893</v>
      </c>
      <c r="B9" s="99"/>
      <c r="E9" s="99"/>
      <c r="F9" s="69">
        <v>2020</v>
      </c>
      <c r="G9" s="59">
        <v>2.4</v>
      </c>
      <c r="H9" s="59">
        <v>2.8</v>
      </c>
      <c r="I9" s="59" t="s">
        <v>1782</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1783</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1780</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1779</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1789</v>
      </c>
      <c r="E19" s="99"/>
    </row>
    <row r="20" spans="1:12" x14ac:dyDescent="0.2">
      <c r="A20" t="s">
        <v>904</v>
      </c>
      <c r="B20" t="s">
        <v>1627</v>
      </c>
      <c r="E20" s="99"/>
    </row>
    <row r="21" spans="1:12" x14ac:dyDescent="0.2">
      <c r="A21" t="s">
        <v>905</v>
      </c>
      <c r="B21" t="s">
        <v>1703</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1788</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1787</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1792</v>
      </c>
      <c r="E20" s="99"/>
    </row>
    <row r="21" spans="1:12" x14ac:dyDescent="0.2">
      <c r="A21" t="s">
        <v>905</v>
      </c>
      <c r="B21" t="s">
        <v>1793</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1790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2167</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2170</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2167</v>
      </c>
      <c r="E12" s="99"/>
    </row>
    <row r="13" spans="1:15" x14ac:dyDescent="0.2">
      <c r="A13" t="s">
        <v>897</v>
      </c>
      <c r="B13" t="s">
        <v>2167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2167</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2171</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2167</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1428</v>
      </c>
      <c r="J6">
        <v>58.5</v>
      </c>
      <c r="K6">
        <v>111</v>
      </c>
      <c r="L6">
        <v>51.5</v>
      </c>
      <c r="M6">
        <v>145.30000000000001</v>
      </c>
      <c r="N6" s="49">
        <v>95.3</v>
      </c>
      <c r="O6">
        <v>20.2</v>
      </c>
      <c r="P6">
        <v>117.6</v>
      </c>
    </row>
    <row r="7" spans="1:16" ht="15.75" customHeight="1" x14ac:dyDescent="0.2">
      <c r="E7" s="99"/>
      <c r="F7">
        <v>2020</v>
      </c>
      <c r="G7">
        <v>-20.100000000000001</v>
      </c>
      <c r="H7">
        <v>108.9</v>
      </c>
      <c r="I7" t="s">
        <v>1429</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1430</v>
      </c>
      <c r="H9" s="46" t="s">
        <v>1431</v>
      </c>
      <c r="I9" s="46" t="s">
        <v>1432</v>
      </c>
      <c r="J9" s="46" t="s">
        <v>1433</v>
      </c>
      <c r="K9" s="46" t="s">
        <v>1434</v>
      </c>
      <c r="L9" s="46" t="s">
        <v>1435</v>
      </c>
      <c r="M9" s="46" t="s">
        <v>1436</v>
      </c>
      <c r="N9" s="46" t="s">
        <v>1437</v>
      </c>
      <c r="O9" s="46" t="s">
        <v>1438</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1441</v>
      </c>
      <c r="H9" s="46" t="s">
        <v>1442</v>
      </c>
      <c r="I9" s="46" t="s">
        <v>1443</v>
      </c>
      <c r="J9" s="46" t="s">
        <v>1444</v>
      </c>
      <c r="K9" s="46" t="s">
        <v>1445</v>
      </c>
      <c r="L9" s="46" t="s">
        <v>1446</v>
      </c>
      <c r="M9" s="46" t="s">
        <v>1447</v>
      </c>
      <c r="N9" s="46" t="s">
        <v>1448</v>
      </c>
      <c r="O9" s="46" t="s">
        <v>1449</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1452</v>
      </c>
      <c r="H9" s="46" t="s">
        <v>1453</v>
      </c>
      <c r="I9" s="46" t="s">
        <v>1454</v>
      </c>
      <c r="J9" s="46" t="s">
        <v>1455</v>
      </c>
      <c r="K9" s="46" t="s">
        <v>1456</v>
      </c>
      <c r="L9" s="46" t="s">
        <v>1457</v>
      </c>
      <c r="M9" s="46" t="s">
        <v>1458</v>
      </c>
      <c r="N9" s="46" t="s">
        <v>1459</v>
      </c>
      <c r="O9" s="46" t="s">
        <v>1460</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1463</v>
      </c>
      <c r="H9" s="46" t="s">
        <v>1464</v>
      </c>
      <c r="I9" s="46" t="s">
        <v>1447</v>
      </c>
      <c r="J9" s="46" t="s">
        <v>1465</v>
      </c>
      <c r="K9" s="46" t="s">
        <v>1466</v>
      </c>
      <c r="L9" s="46" t="s">
        <v>1467</v>
      </c>
      <c r="M9" s="46" t="s">
        <v>1468</v>
      </c>
      <c r="N9" s="46" t="s">
        <v>1466</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1461</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1462</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1470</v>
      </c>
      <c r="H9" s="46" t="s">
        <v>1471</v>
      </c>
      <c r="I9" s="46" t="s">
        <v>1472</v>
      </c>
      <c r="J9" s="46" t="s">
        <v>1473</v>
      </c>
      <c r="K9" s="46" t="s">
        <v>1474</v>
      </c>
      <c r="L9" s="46" t="s">
        <v>1475</v>
      </c>
      <c r="M9" s="46" t="s">
        <v>1476</v>
      </c>
      <c r="N9" s="46" t="s">
        <v>1477</v>
      </c>
      <c r="O9" s="46" t="s">
        <v>1478</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1482</v>
      </c>
      <c r="H9" s="46" t="s">
        <v>1483</v>
      </c>
      <c r="I9" s="46" t="s">
        <v>1484</v>
      </c>
      <c r="J9" s="46" t="s">
        <v>1485</v>
      </c>
      <c r="K9" s="46" t="s">
        <v>1486</v>
      </c>
      <c r="L9" s="46" t="s">
        <v>1487</v>
      </c>
      <c r="M9" s="46"/>
      <c r="N9" s="46"/>
      <c r="O9" s="46"/>
    </row>
    <row r="10" spans="1:16" x14ac:dyDescent="0.2">
      <c r="A10" t="s">
        <v>894</v>
      </c>
      <c r="B10" t="s">
        <v>983</v>
      </c>
      <c r="E10" s="99"/>
      <c r="F10" s="46" t="s">
        <v>409</v>
      </c>
      <c r="G10" s="47" t="s">
        <v>1488</v>
      </c>
      <c r="H10" s="47" t="s">
        <v>1468</v>
      </c>
      <c r="I10" s="47" t="s">
        <v>1489</v>
      </c>
      <c r="J10" s="47" t="s">
        <v>1490</v>
      </c>
      <c r="K10" s="47" t="s">
        <v>1491</v>
      </c>
      <c r="L10" s="47" t="s">
        <v>1492</v>
      </c>
      <c r="M10" s="47"/>
      <c r="N10" s="47"/>
      <c r="O10" s="46"/>
    </row>
    <row r="11" spans="1:16" x14ac:dyDescent="0.2">
      <c r="A11" t="s">
        <v>895</v>
      </c>
      <c r="B11" t="s">
        <v>985</v>
      </c>
      <c r="E11" s="99"/>
      <c r="F11" s="46" t="s">
        <v>421</v>
      </c>
      <c r="G11" s="47" t="s">
        <v>1493</v>
      </c>
      <c r="H11" s="47" t="s">
        <v>1494</v>
      </c>
      <c r="I11" s="47" t="s">
        <v>1495</v>
      </c>
      <c r="J11" s="47" t="s">
        <v>1490</v>
      </c>
      <c r="K11" s="47" t="s">
        <v>1496</v>
      </c>
      <c r="L11" s="47" t="s">
        <v>1497</v>
      </c>
      <c r="M11" s="47"/>
      <c r="N11" s="47"/>
      <c r="O11" s="46"/>
    </row>
    <row r="12" spans="1:16" x14ac:dyDescent="0.2">
      <c r="A12" t="s">
        <v>896</v>
      </c>
      <c r="E12" s="99"/>
      <c r="F12" s="46" t="s">
        <v>470</v>
      </c>
      <c r="G12" s="46" t="s">
        <v>1498</v>
      </c>
      <c r="H12" s="46" t="s">
        <v>1499</v>
      </c>
      <c r="I12" s="46" t="s">
        <v>1500</v>
      </c>
      <c r="J12" s="46" t="s">
        <v>1501</v>
      </c>
      <c r="K12" s="46" t="s">
        <v>1495</v>
      </c>
      <c r="L12" s="46" t="s">
        <v>1502</v>
      </c>
      <c r="M12" s="46"/>
      <c r="N12" s="46"/>
      <c r="O12" s="46"/>
    </row>
    <row r="13" spans="1:16" x14ac:dyDescent="0.2">
      <c r="A13" t="s">
        <v>897</v>
      </c>
      <c r="E13" s="99"/>
      <c r="F13" s="46" t="s">
        <v>915</v>
      </c>
      <c r="G13" s="46" t="s">
        <v>1503</v>
      </c>
      <c r="H13" s="46" t="s">
        <v>1504</v>
      </c>
      <c r="I13" s="46" t="s">
        <v>1505</v>
      </c>
      <c r="J13" s="46" t="s">
        <v>1506</v>
      </c>
      <c r="K13" s="46" t="s">
        <v>1507</v>
      </c>
      <c r="L13" s="46" t="s">
        <v>1508</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1639</v>
      </c>
      <c r="K5" s="46" t="s">
        <v>1640</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1641</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1643</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1644</v>
      </c>
      <c r="G9" s="101"/>
      <c r="H9" s="101"/>
      <c r="J9" s="46"/>
      <c r="K9" s="46"/>
      <c r="L9" s="46"/>
      <c r="M9" s="46"/>
      <c r="N9" s="46"/>
      <c r="O9" s="46"/>
    </row>
    <row r="10" spans="1:16" x14ac:dyDescent="0.2">
      <c r="A10" t="s">
        <v>894</v>
      </c>
      <c r="E10" s="99"/>
      <c r="F10" s="59" t="s">
        <v>1645</v>
      </c>
      <c r="G10" s="59">
        <v>90</v>
      </c>
      <c r="H10" s="59">
        <v>14.9</v>
      </c>
      <c r="J10" s="47"/>
      <c r="K10" s="47"/>
      <c r="L10" s="47"/>
      <c r="M10" s="47"/>
      <c r="N10" s="47"/>
      <c r="O10" s="46"/>
    </row>
    <row r="11" spans="1:16" x14ac:dyDescent="0.2">
      <c r="A11" t="s">
        <v>895</v>
      </c>
      <c r="E11" s="99"/>
      <c r="F11" s="68" t="s">
        <v>1646</v>
      </c>
      <c r="G11" s="68" t="s">
        <v>1647</v>
      </c>
      <c r="H11" s="68" t="s">
        <v>1648</v>
      </c>
      <c r="J11" s="47"/>
      <c r="K11" s="47"/>
      <c r="L11" s="47"/>
      <c r="M11" s="47"/>
      <c r="N11" s="47"/>
      <c r="O11" s="46"/>
    </row>
    <row r="12" spans="1:16" x14ac:dyDescent="0.2">
      <c r="A12" t="s">
        <v>896</v>
      </c>
      <c r="E12" s="99"/>
      <c r="F12" s="47" t="s">
        <v>1649</v>
      </c>
      <c r="G12" s="47" t="s">
        <v>1650</v>
      </c>
      <c r="H12" s="47" t="s">
        <v>1651</v>
      </c>
      <c r="J12" s="46"/>
      <c r="K12" s="46"/>
      <c r="L12" s="46"/>
      <c r="M12" s="46"/>
      <c r="N12" s="46"/>
      <c r="O12" s="46"/>
    </row>
    <row r="13" spans="1:16" x14ac:dyDescent="0.2">
      <c r="A13" t="s">
        <v>897</v>
      </c>
      <c r="E13" s="99"/>
      <c r="F13" s="47" t="s">
        <v>1652</v>
      </c>
      <c r="G13" s="47" t="s">
        <v>1653</v>
      </c>
      <c r="H13" s="47" t="s">
        <v>1654</v>
      </c>
      <c r="I13" s="46"/>
      <c r="J13" s="46"/>
      <c r="K13" s="46"/>
      <c r="L13" s="46"/>
      <c r="M13" s="46"/>
      <c r="N13" s="46"/>
      <c r="O13" s="46"/>
    </row>
    <row r="14" spans="1:16" x14ac:dyDescent="0.2">
      <c r="A14" t="s">
        <v>899</v>
      </c>
      <c r="E14" s="99"/>
      <c r="F14" s="68" t="s">
        <v>1655</v>
      </c>
      <c r="G14" s="68" t="s">
        <v>1656</v>
      </c>
      <c r="H14" s="68" t="s">
        <v>1657</v>
      </c>
      <c r="I14" s="46"/>
      <c r="J14" s="47"/>
      <c r="K14" s="47"/>
      <c r="L14" s="47"/>
      <c r="M14" s="47"/>
      <c r="N14" s="47"/>
      <c r="O14" s="46"/>
    </row>
    <row r="15" spans="1:16" x14ac:dyDescent="0.2">
      <c r="A15" t="s">
        <v>901</v>
      </c>
      <c r="E15" s="99"/>
      <c r="F15" s="101" t="s">
        <v>2167</v>
      </c>
      <c r="G15" s="101"/>
      <c r="H15" s="101"/>
      <c r="I15" s="46"/>
      <c r="J15" s="47"/>
      <c r="K15" s="47"/>
      <c r="L15" s="47"/>
      <c r="M15" s="47"/>
      <c r="N15" s="47"/>
      <c r="O15" s="46"/>
    </row>
    <row r="16" spans="1:16" x14ac:dyDescent="0.2">
      <c r="A16" t="s">
        <v>1145</v>
      </c>
      <c r="E16" s="99"/>
      <c r="F16" s="55" t="s">
        <v>2168</v>
      </c>
      <c r="G16" s="68" t="s">
        <v>1658</v>
      </c>
      <c r="H16" s="68" t="s">
        <v>1659</v>
      </c>
      <c r="I16" s="46"/>
      <c r="J16" s="47"/>
      <c r="K16" s="47"/>
      <c r="L16" s="47"/>
      <c r="M16" s="47"/>
      <c r="N16" s="47"/>
      <c r="O16" s="46"/>
    </row>
    <row r="17" spans="1:15" x14ac:dyDescent="0.2">
      <c r="E17" s="99"/>
      <c r="F17" s="55" t="s">
        <v>1282</v>
      </c>
      <c r="G17" s="68" t="s">
        <v>1660</v>
      </c>
      <c r="H17" s="68" t="s">
        <v>1661</v>
      </c>
      <c r="I17" s="46"/>
      <c r="J17" s="47"/>
      <c r="K17" s="47"/>
      <c r="L17" s="47"/>
      <c r="M17" s="47"/>
      <c r="N17" s="47"/>
      <c r="O17" s="46"/>
    </row>
    <row r="18" spans="1:15" x14ac:dyDescent="0.2">
      <c r="A18" s="98" t="s">
        <v>902</v>
      </c>
      <c r="B18" s="99"/>
      <c r="E18" s="99"/>
      <c r="F18" s="55" t="s">
        <v>2169</v>
      </c>
      <c r="G18" s="68" t="s">
        <v>1662</v>
      </c>
      <c r="H18" s="68" t="s">
        <v>1663</v>
      </c>
      <c r="I18" s="46"/>
      <c r="J18" s="46"/>
      <c r="K18" s="46"/>
      <c r="L18" s="46"/>
      <c r="M18" s="46"/>
      <c r="N18" s="46"/>
      <c r="O18" s="46"/>
    </row>
    <row r="19" spans="1:15" x14ac:dyDescent="0.2">
      <c r="A19" t="s">
        <v>903</v>
      </c>
      <c r="E19" s="99"/>
      <c r="F19" s="55" t="s">
        <v>1693</v>
      </c>
      <c r="G19" s="68" t="s">
        <v>1664</v>
      </c>
      <c r="H19" s="68" t="s">
        <v>1665</v>
      </c>
      <c r="I19" s="46"/>
      <c r="J19" s="46"/>
      <c r="K19" s="46"/>
      <c r="L19" s="46"/>
      <c r="M19" s="46"/>
      <c r="N19" s="46"/>
      <c r="O19" s="46"/>
    </row>
    <row r="20" spans="1:15" x14ac:dyDescent="0.2">
      <c r="A20" t="s">
        <v>904</v>
      </c>
      <c r="E20" s="99"/>
      <c r="F20" s="55" t="s">
        <v>1666</v>
      </c>
      <c r="G20" s="68" t="s">
        <v>1667</v>
      </c>
      <c r="H20" s="68" t="s">
        <v>1668</v>
      </c>
      <c r="I20" s="46"/>
      <c r="J20" s="46"/>
      <c r="K20" s="46"/>
      <c r="L20" s="46"/>
      <c r="M20" s="46"/>
      <c r="N20" s="46"/>
      <c r="O20" s="46"/>
    </row>
    <row r="21" spans="1:15" x14ac:dyDescent="0.2">
      <c r="A21" t="s">
        <v>905</v>
      </c>
      <c r="E21" s="99"/>
      <c r="F21" s="55" t="s">
        <v>1669</v>
      </c>
      <c r="G21" s="68" t="s">
        <v>1670</v>
      </c>
      <c r="H21" s="68" t="s">
        <v>1671</v>
      </c>
      <c r="I21" s="46"/>
      <c r="J21" s="46"/>
      <c r="K21" s="46"/>
      <c r="L21" s="46"/>
      <c r="M21" s="46"/>
      <c r="N21" s="46"/>
      <c r="O21" s="46"/>
    </row>
    <row r="22" spans="1:15" x14ac:dyDescent="0.2">
      <c r="A22" t="s">
        <v>906</v>
      </c>
      <c r="E22" s="99"/>
      <c r="F22" s="55" t="s">
        <v>1672</v>
      </c>
      <c r="G22" s="68" t="s">
        <v>1673</v>
      </c>
      <c r="H22" s="68" t="s">
        <v>1674</v>
      </c>
      <c r="I22" s="46"/>
    </row>
    <row r="23" spans="1:15" x14ac:dyDescent="0.2">
      <c r="A23" t="s">
        <v>907</v>
      </c>
      <c r="E23" s="99"/>
      <c r="F23" s="55" t="s">
        <v>728</v>
      </c>
      <c r="G23" s="68" t="s">
        <v>1675</v>
      </c>
      <c r="H23" s="68" t="s">
        <v>1676</v>
      </c>
      <c r="I23" s="46"/>
    </row>
    <row r="24" spans="1:15" x14ac:dyDescent="0.2">
      <c r="A24" t="s">
        <v>908</v>
      </c>
      <c r="E24" s="99"/>
      <c r="F24" s="119" t="s">
        <v>1677</v>
      </c>
      <c r="G24" s="119"/>
      <c r="H24" s="119"/>
      <c r="I24" s="46"/>
    </row>
    <row r="25" spans="1:15" x14ac:dyDescent="0.2">
      <c r="A25" t="s">
        <v>909</v>
      </c>
      <c r="E25" s="99"/>
      <c r="F25" s="68" t="s">
        <v>1678</v>
      </c>
      <c r="G25" s="68" t="s">
        <v>1679</v>
      </c>
      <c r="H25" s="68" t="s">
        <v>1680</v>
      </c>
      <c r="I25" s="46"/>
    </row>
    <row r="26" spans="1:15" x14ac:dyDescent="0.2">
      <c r="E26" s="99"/>
      <c r="F26" s="55" t="s">
        <v>1681</v>
      </c>
      <c r="G26" s="55">
        <v>98</v>
      </c>
      <c r="H26" s="70">
        <v>0.16300000000000001</v>
      </c>
      <c r="I26" s="46"/>
    </row>
    <row r="27" spans="1:15" x14ac:dyDescent="0.2">
      <c r="A27" s="101" t="s">
        <v>910</v>
      </c>
      <c r="B27" s="99"/>
      <c r="E27" s="99"/>
      <c r="F27" s="55" t="s">
        <v>1682</v>
      </c>
      <c r="G27" s="55">
        <v>116</v>
      </c>
      <c r="H27" s="70">
        <v>0.192</v>
      </c>
      <c r="I27" s="46"/>
    </row>
    <row r="28" spans="1:15" x14ac:dyDescent="0.2">
      <c r="E28" s="99"/>
      <c r="F28" s="55" t="s">
        <v>1683</v>
      </c>
      <c r="G28" s="55">
        <v>86</v>
      </c>
      <c r="H28" s="70">
        <v>0.14299999999999999</v>
      </c>
      <c r="I28" s="46"/>
    </row>
    <row r="29" spans="1:15" x14ac:dyDescent="0.2">
      <c r="E29" s="99"/>
      <c r="F29" s="55" t="s">
        <v>1684</v>
      </c>
      <c r="G29" s="55">
        <v>46</v>
      </c>
      <c r="H29" s="70">
        <v>7.5999999999999998E-2</v>
      </c>
      <c r="I29" s="46"/>
    </row>
    <row r="30" spans="1:15" x14ac:dyDescent="0.2">
      <c r="E30" s="99"/>
      <c r="F30" s="55" t="s">
        <v>1685</v>
      </c>
      <c r="G30" s="55">
        <v>37</v>
      </c>
      <c r="H30" s="70">
        <v>6.0999999999999999E-2</v>
      </c>
      <c r="I30" s="46"/>
    </row>
    <row r="31" spans="1:15" x14ac:dyDescent="0.2">
      <c r="E31" s="99"/>
      <c r="F31" s="55" t="s">
        <v>1686</v>
      </c>
      <c r="G31" s="55">
        <v>50</v>
      </c>
      <c r="H31" s="70">
        <v>8.3000000000000004E-2</v>
      </c>
      <c r="I31" s="46"/>
    </row>
    <row r="32" spans="1:15" x14ac:dyDescent="0.2">
      <c r="E32" s="99"/>
      <c r="F32" s="101" t="s">
        <v>1687</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1688</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1797</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1796</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1794</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1795</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1899</v>
      </c>
      <c r="G5" s="68" t="s">
        <v>1904</v>
      </c>
      <c r="H5" s="46"/>
      <c r="I5" s="46"/>
      <c r="J5" s="46"/>
      <c r="K5" s="46"/>
      <c r="L5" s="46"/>
      <c r="M5" s="46"/>
      <c r="N5" s="46"/>
      <c r="O5" s="46"/>
    </row>
    <row r="6" spans="1:16" ht="15" customHeight="1" x14ac:dyDescent="0.2">
      <c r="A6" t="s">
        <v>891</v>
      </c>
      <c r="B6" t="b">
        <v>0</v>
      </c>
      <c r="E6" s="99"/>
      <c r="F6" s="55" t="s">
        <v>1900</v>
      </c>
      <c r="G6" s="55">
        <v>51.2</v>
      </c>
      <c r="J6" s="14"/>
      <c r="K6" s="14"/>
      <c r="L6" s="14"/>
      <c r="M6" s="14"/>
      <c r="N6" s="14"/>
    </row>
    <row r="7" spans="1:16" ht="15.75" customHeight="1" x14ac:dyDescent="0.2">
      <c r="E7" s="99"/>
      <c r="F7" s="59" t="s">
        <v>1901</v>
      </c>
      <c r="G7" s="59">
        <v>21.9</v>
      </c>
      <c r="H7" s="59"/>
      <c r="J7" s="14"/>
      <c r="K7" s="14"/>
      <c r="L7" s="14"/>
      <c r="M7" s="14"/>
      <c r="N7" s="14"/>
    </row>
    <row r="8" spans="1:16" x14ac:dyDescent="0.2">
      <c r="E8" s="99"/>
      <c r="F8" s="59" t="s">
        <v>1902</v>
      </c>
      <c r="G8" s="59">
        <v>4.0999999999999996</v>
      </c>
      <c r="H8" s="59"/>
      <c r="J8" s="14"/>
      <c r="K8" s="14"/>
      <c r="L8" s="14"/>
      <c r="M8" s="14"/>
      <c r="N8" s="14"/>
    </row>
    <row r="9" spans="1:16" x14ac:dyDescent="0.2">
      <c r="A9" s="98" t="s">
        <v>893</v>
      </c>
      <c r="B9" s="99"/>
      <c r="E9" s="99"/>
      <c r="F9" s="55" t="s">
        <v>1903</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1796</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1701</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1702</v>
      </c>
      <c r="G5" s="47" t="s">
        <v>1905</v>
      </c>
      <c r="H5" s="46"/>
      <c r="I5" s="46"/>
      <c r="J5" s="46"/>
      <c r="K5" s="46"/>
      <c r="L5" s="46"/>
      <c r="M5" s="46"/>
      <c r="N5" s="46"/>
      <c r="O5" s="46"/>
      <c r="P5" s="46"/>
      <c r="Q5" s="46"/>
      <c r="R5" s="46"/>
    </row>
    <row r="6" spans="1:18" ht="15" customHeight="1" x14ac:dyDescent="0.2">
      <c r="A6" t="s">
        <v>891</v>
      </c>
      <c r="B6" t="b">
        <v>0</v>
      </c>
      <c r="E6" s="99"/>
      <c r="F6" t="s">
        <v>1704</v>
      </c>
      <c r="G6" s="47">
        <v>2.8</v>
      </c>
      <c r="J6" s="14"/>
      <c r="K6" s="14"/>
      <c r="L6" s="14"/>
      <c r="M6" s="14"/>
      <c r="N6" s="14"/>
      <c r="O6" s="14"/>
      <c r="P6" s="14"/>
      <c r="Q6" s="14"/>
      <c r="R6" s="14"/>
    </row>
    <row r="7" spans="1:18" ht="15.75" customHeight="1" x14ac:dyDescent="0.2">
      <c r="E7" s="99"/>
      <c r="F7" s="59" t="s">
        <v>1705</v>
      </c>
      <c r="G7" s="47">
        <v>10.6</v>
      </c>
      <c r="H7" s="59"/>
      <c r="J7" s="14"/>
      <c r="K7" s="14"/>
      <c r="L7" s="14"/>
      <c r="M7" s="14"/>
      <c r="N7" s="14"/>
      <c r="O7" s="14"/>
    </row>
    <row r="8" spans="1:18" x14ac:dyDescent="0.2">
      <c r="E8" s="99"/>
      <c r="F8" s="68" t="s">
        <v>1706</v>
      </c>
      <c r="G8" s="47">
        <v>6.6</v>
      </c>
      <c r="H8" s="59"/>
      <c r="J8" s="14"/>
      <c r="K8" s="14"/>
      <c r="L8" s="14"/>
      <c r="M8" s="14"/>
      <c r="N8" s="14"/>
      <c r="O8" s="14"/>
    </row>
    <row r="9" spans="1:18" x14ac:dyDescent="0.2">
      <c r="A9" s="98" t="s">
        <v>893</v>
      </c>
      <c r="B9" s="99"/>
      <c r="E9" s="99"/>
      <c r="F9" s="47" t="s">
        <v>1707</v>
      </c>
      <c r="G9" s="47">
        <v>21.1</v>
      </c>
      <c r="J9" s="46"/>
      <c r="K9" s="46"/>
      <c r="L9" s="46"/>
      <c r="M9" s="46"/>
      <c r="N9" s="46"/>
      <c r="O9" s="46"/>
      <c r="P9" s="46"/>
    </row>
    <row r="10" spans="1:18" x14ac:dyDescent="0.2">
      <c r="A10" t="s">
        <v>894</v>
      </c>
      <c r="B10" t="s">
        <v>1718</v>
      </c>
      <c r="E10" s="99"/>
      <c r="F10" s="47" t="s">
        <v>1708</v>
      </c>
      <c r="G10" s="47">
        <v>16.399999999999999</v>
      </c>
      <c r="H10" s="59"/>
      <c r="J10" s="47"/>
      <c r="K10" s="47"/>
      <c r="L10" s="47"/>
      <c r="M10" s="47"/>
      <c r="N10" s="47"/>
      <c r="O10" s="47"/>
      <c r="P10" s="46"/>
    </row>
    <row r="11" spans="1:18" x14ac:dyDescent="0.2">
      <c r="A11" t="s">
        <v>895</v>
      </c>
      <c r="E11" s="99"/>
      <c r="F11" s="68" t="s">
        <v>1709</v>
      </c>
      <c r="G11" s="47">
        <v>35</v>
      </c>
      <c r="H11" s="68"/>
      <c r="J11" s="47"/>
      <c r="K11" s="47"/>
      <c r="L11" s="47"/>
      <c r="M11" s="47"/>
      <c r="N11" s="47"/>
      <c r="O11" s="47"/>
      <c r="P11" s="46"/>
    </row>
    <row r="12" spans="1:18" x14ac:dyDescent="0.2">
      <c r="A12" t="s">
        <v>896</v>
      </c>
      <c r="E12" s="99"/>
      <c r="F12" s="68" t="s">
        <v>1710</v>
      </c>
      <c r="G12" s="47">
        <v>4.0999999999999996</v>
      </c>
      <c r="J12" s="46"/>
      <c r="K12" s="46"/>
      <c r="L12" s="46"/>
      <c r="M12" s="46"/>
      <c r="N12" s="46"/>
      <c r="O12" s="46"/>
      <c r="P12" s="46"/>
    </row>
    <row r="13" spans="1:18" x14ac:dyDescent="0.2">
      <c r="A13" t="s">
        <v>897</v>
      </c>
      <c r="E13" s="99"/>
      <c r="F13" s="68" t="s">
        <v>1711</v>
      </c>
      <c r="G13" s="47">
        <v>17.399999999999999</v>
      </c>
      <c r="I13" s="46"/>
      <c r="J13" s="46"/>
      <c r="K13" s="46"/>
      <c r="L13" s="46"/>
      <c r="M13" s="46"/>
      <c r="N13" s="46"/>
      <c r="O13" s="46"/>
      <c r="P13" s="46"/>
    </row>
    <row r="14" spans="1:18" x14ac:dyDescent="0.2">
      <c r="A14" t="s">
        <v>899</v>
      </c>
      <c r="B14" t="s">
        <v>1796</v>
      </c>
      <c r="E14" s="99"/>
      <c r="F14" s="68" t="s">
        <v>1717</v>
      </c>
      <c r="G14" s="47">
        <v>29.7</v>
      </c>
      <c r="I14" s="46"/>
      <c r="J14" s="47"/>
      <c r="K14" s="47"/>
      <c r="L14" s="47"/>
      <c r="M14" s="47"/>
      <c r="N14" s="47"/>
      <c r="O14" s="47"/>
      <c r="P14" s="46"/>
    </row>
    <row r="15" spans="1:18" x14ac:dyDescent="0.2">
      <c r="A15" t="s">
        <v>901</v>
      </c>
      <c r="B15" t="b">
        <v>1</v>
      </c>
      <c r="E15" s="99"/>
      <c r="F15" s="68" t="s">
        <v>1713</v>
      </c>
      <c r="G15" s="47">
        <v>41</v>
      </c>
      <c r="I15" s="46"/>
      <c r="J15" s="47"/>
      <c r="K15" s="47"/>
      <c r="L15" s="47"/>
      <c r="M15" s="47"/>
      <c r="N15" s="47"/>
      <c r="O15" s="47"/>
      <c r="P15" s="46"/>
    </row>
    <row r="16" spans="1:18" x14ac:dyDescent="0.2">
      <c r="A16" t="s">
        <v>1145</v>
      </c>
      <c r="E16" s="99"/>
      <c r="F16" s="68" t="s">
        <v>1714</v>
      </c>
      <c r="G16" s="47">
        <v>12.1</v>
      </c>
      <c r="I16" s="46"/>
      <c r="J16" s="47"/>
      <c r="K16" s="47"/>
      <c r="L16" s="47"/>
      <c r="M16" s="47"/>
      <c r="N16" s="47"/>
      <c r="O16" s="47"/>
      <c r="P16" s="46"/>
    </row>
    <row r="17" spans="1:16" x14ac:dyDescent="0.2">
      <c r="E17" s="99"/>
      <c r="F17" s="68" t="s">
        <v>1715</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1640</v>
      </c>
      <c r="G5" s="59">
        <v>73.3</v>
      </c>
      <c r="H5" s="46"/>
      <c r="I5" s="46"/>
      <c r="J5" s="46"/>
      <c r="K5" s="46"/>
      <c r="L5" s="46"/>
      <c r="M5" s="46"/>
      <c r="N5" s="46"/>
      <c r="O5" s="46"/>
    </row>
    <row r="6" spans="1:16" ht="15" customHeight="1" x14ac:dyDescent="0.2">
      <c r="A6" t="s">
        <v>891</v>
      </c>
      <c r="B6" t="b">
        <v>0</v>
      </c>
      <c r="E6" s="99"/>
      <c r="F6" t="s">
        <v>1721</v>
      </c>
      <c r="G6" s="55">
        <v>71.5</v>
      </c>
      <c r="J6" s="14"/>
      <c r="K6" s="14"/>
      <c r="L6" s="14"/>
      <c r="M6" s="14"/>
      <c r="N6" s="14"/>
    </row>
    <row r="7" spans="1:16" ht="15.75" customHeight="1" x14ac:dyDescent="0.2">
      <c r="E7" s="99"/>
      <c r="F7" s="59" t="s">
        <v>1722</v>
      </c>
      <c r="G7" s="59">
        <v>49.8</v>
      </c>
      <c r="H7" s="59"/>
      <c r="J7" s="14"/>
      <c r="K7" s="14"/>
      <c r="L7" s="14"/>
      <c r="M7" s="14"/>
      <c r="N7" s="14"/>
    </row>
    <row r="8" spans="1:16" x14ac:dyDescent="0.2">
      <c r="E8" s="99"/>
      <c r="F8" s="68" t="s">
        <v>1724</v>
      </c>
      <c r="G8" s="68">
        <v>45.2</v>
      </c>
      <c r="H8" s="59"/>
      <c r="J8" s="14"/>
      <c r="K8" s="14"/>
      <c r="L8" s="14"/>
      <c r="M8" s="14"/>
      <c r="N8" s="14"/>
    </row>
    <row r="9" spans="1:16" x14ac:dyDescent="0.2">
      <c r="A9" s="98" t="s">
        <v>893</v>
      </c>
      <c r="B9" s="99"/>
      <c r="E9" s="99"/>
      <c r="F9" s="47" t="s">
        <v>1728</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1733</v>
      </c>
      <c r="H5" s="46">
        <v>2</v>
      </c>
      <c r="I5" s="46">
        <v>3</v>
      </c>
      <c r="J5" s="46">
        <v>4</v>
      </c>
      <c r="K5" s="46" t="s">
        <v>1734</v>
      </c>
      <c r="L5" s="46" t="s">
        <v>1735</v>
      </c>
      <c r="M5" s="46"/>
      <c r="N5" s="46"/>
      <c r="O5" s="46"/>
    </row>
    <row r="6" spans="1:16" ht="15" customHeight="1" x14ac:dyDescent="0.2">
      <c r="A6" t="s">
        <v>891</v>
      </c>
      <c r="B6" t="b">
        <v>0</v>
      </c>
      <c r="E6" s="99"/>
      <c r="F6" s="72" t="s">
        <v>1730</v>
      </c>
      <c r="G6" s="73">
        <v>2.7</v>
      </c>
      <c r="H6" s="73">
        <v>5</v>
      </c>
      <c r="I6" s="73">
        <v>11.5</v>
      </c>
      <c r="J6" s="73">
        <v>16.3</v>
      </c>
      <c r="K6" s="73">
        <v>48</v>
      </c>
      <c r="L6" s="73">
        <v>16.5</v>
      </c>
      <c r="M6" s="71"/>
      <c r="N6" s="71"/>
    </row>
    <row r="7" spans="1:16" ht="15.75" customHeight="1" x14ac:dyDescent="0.2">
      <c r="E7" s="99"/>
      <c r="F7" s="53" t="s">
        <v>1731</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1732</v>
      </c>
      <c r="G9" s="55">
        <v>11.3</v>
      </c>
      <c r="H9" s="55">
        <v>12.9</v>
      </c>
      <c r="I9" s="55">
        <v>24</v>
      </c>
      <c r="J9" s="68" t="s">
        <v>1736</v>
      </c>
      <c r="K9" s="68" t="s">
        <v>1737</v>
      </c>
      <c r="L9" s="68" t="s">
        <v>1738</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1741</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1744</v>
      </c>
      <c r="G6" s="75">
        <v>6</v>
      </c>
      <c r="H6" s="75">
        <v>8.6</v>
      </c>
      <c r="I6" s="75">
        <v>17.899999999999999</v>
      </c>
      <c r="J6" s="75">
        <v>17.600000000000001</v>
      </c>
      <c r="K6" s="75">
        <v>40.4</v>
      </c>
      <c r="L6" s="75">
        <v>9.5</v>
      </c>
      <c r="M6" s="71"/>
      <c r="N6" s="71"/>
    </row>
    <row r="7" spans="1:16" ht="15.75" customHeight="1" x14ac:dyDescent="0.2">
      <c r="E7" s="99"/>
      <c r="F7" s="14" t="s">
        <v>1745</v>
      </c>
      <c r="G7" s="59">
        <v>6</v>
      </c>
      <c r="H7" s="59">
        <v>9.5</v>
      </c>
      <c r="I7" s="59">
        <v>11.6</v>
      </c>
      <c r="J7" s="59">
        <v>20.399999999999999</v>
      </c>
      <c r="K7" s="59">
        <v>44.5</v>
      </c>
      <c r="L7" s="59">
        <v>7.9</v>
      </c>
      <c r="M7" s="14"/>
      <c r="N7" s="14"/>
    </row>
    <row r="8" spans="1:16" x14ac:dyDescent="0.2">
      <c r="E8" s="99"/>
      <c r="F8" s="14" t="s">
        <v>1746</v>
      </c>
      <c r="G8" s="59">
        <v>3.2</v>
      </c>
      <c r="H8" s="59">
        <v>7.4</v>
      </c>
      <c r="I8" s="59">
        <v>15.1</v>
      </c>
      <c r="J8" s="59">
        <v>19.5</v>
      </c>
      <c r="K8" s="59">
        <v>47.3</v>
      </c>
      <c r="L8" s="59">
        <v>7.4</v>
      </c>
      <c r="M8" s="14"/>
      <c r="N8" s="14"/>
    </row>
    <row r="9" spans="1:16" x14ac:dyDescent="0.2">
      <c r="A9" s="98" t="s">
        <v>893</v>
      </c>
      <c r="B9" s="99"/>
      <c r="E9" s="99"/>
      <c r="F9" t="s">
        <v>1747</v>
      </c>
      <c r="G9" s="59">
        <v>7</v>
      </c>
      <c r="H9" s="59">
        <v>10.7</v>
      </c>
      <c r="I9" s="59">
        <v>25.8</v>
      </c>
      <c r="J9" s="59" t="s">
        <v>1751</v>
      </c>
      <c r="K9" s="59" t="s">
        <v>1752</v>
      </c>
      <c r="L9" s="59" t="s">
        <v>1753</v>
      </c>
      <c r="M9" s="46"/>
      <c r="N9" s="46"/>
      <c r="O9" s="46"/>
    </row>
    <row r="10" spans="1:16" x14ac:dyDescent="0.2">
      <c r="A10" t="s">
        <v>894</v>
      </c>
      <c r="B10" t="s">
        <v>1020</v>
      </c>
      <c r="E10" s="99"/>
      <c r="F10" s="14" t="s">
        <v>1748</v>
      </c>
      <c r="G10" s="59">
        <v>11.6</v>
      </c>
      <c r="H10" s="59">
        <v>12.5</v>
      </c>
      <c r="I10" s="59">
        <v>24.4</v>
      </c>
      <c r="J10" s="42" t="s">
        <v>1754</v>
      </c>
      <c r="K10" s="42" t="s">
        <v>1755</v>
      </c>
      <c r="L10" s="42" t="s">
        <v>1756</v>
      </c>
      <c r="M10" s="47"/>
      <c r="N10" s="47"/>
      <c r="O10" s="46"/>
    </row>
    <row r="11" spans="1:16" x14ac:dyDescent="0.2">
      <c r="A11" t="s">
        <v>895</v>
      </c>
      <c r="E11" s="99"/>
      <c r="F11" s="46" t="s">
        <v>1749</v>
      </c>
      <c r="G11" s="59" t="s">
        <v>1465</v>
      </c>
      <c r="H11" s="59" t="s">
        <v>1757</v>
      </c>
      <c r="I11" s="59">
        <v>23.4</v>
      </c>
      <c r="J11" s="42" t="s">
        <v>1758</v>
      </c>
      <c r="K11" s="42" t="s">
        <v>1759</v>
      </c>
      <c r="L11" s="42" t="s">
        <v>1760</v>
      </c>
      <c r="M11" s="47"/>
      <c r="N11" s="47"/>
      <c r="O11" s="46"/>
    </row>
    <row r="12" spans="1:16" x14ac:dyDescent="0.2">
      <c r="A12" t="s">
        <v>896</v>
      </c>
      <c r="E12" s="99"/>
      <c r="F12" s="74" t="s">
        <v>1750</v>
      </c>
      <c r="G12" s="42" t="s">
        <v>1761</v>
      </c>
      <c r="H12" s="42" t="s">
        <v>1762</v>
      </c>
      <c r="I12" s="59">
        <v>22.7</v>
      </c>
      <c r="J12" s="59" t="s">
        <v>1758</v>
      </c>
      <c r="K12" s="59" t="s">
        <v>1758</v>
      </c>
      <c r="L12" s="59" t="s">
        <v>1501</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1763</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1765</v>
      </c>
      <c r="G6" s="75">
        <v>2</v>
      </c>
      <c r="H6" s="75">
        <v>5.7</v>
      </c>
      <c r="I6" s="75">
        <v>16.3</v>
      </c>
      <c r="J6" s="75">
        <v>24.7</v>
      </c>
      <c r="K6" s="75">
        <v>40</v>
      </c>
      <c r="L6" s="75">
        <v>11.3</v>
      </c>
      <c r="M6" s="71"/>
      <c r="N6" s="71"/>
    </row>
    <row r="7" spans="1:16" ht="15.75" customHeight="1" x14ac:dyDescent="0.2">
      <c r="E7" s="99"/>
      <c r="F7" s="14" t="s">
        <v>1766</v>
      </c>
      <c r="G7" s="59">
        <v>4.3</v>
      </c>
      <c r="H7" s="59">
        <v>5.7</v>
      </c>
      <c r="I7" s="59">
        <v>19.3</v>
      </c>
      <c r="J7" s="59">
        <v>23.7</v>
      </c>
      <c r="K7" s="59">
        <v>38.700000000000003</v>
      </c>
      <c r="L7" s="59">
        <v>8.3000000000000007</v>
      </c>
      <c r="M7" s="14"/>
      <c r="N7" s="14"/>
    </row>
    <row r="8" spans="1:16" x14ac:dyDescent="0.2">
      <c r="E8" s="99"/>
      <c r="F8" s="14" t="s">
        <v>1767</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2167</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1552</v>
      </c>
      <c r="G7" s="59">
        <v>5</v>
      </c>
      <c r="H7" s="59">
        <v>21.2</v>
      </c>
      <c r="I7" s="59">
        <v>13</v>
      </c>
      <c r="J7" s="59">
        <v>11.3</v>
      </c>
      <c r="K7" s="59">
        <v>30.4</v>
      </c>
      <c r="L7" s="59">
        <v>16.3</v>
      </c>
      <c r="M7" s="14">
        <v>14.7</v>
      </c>
      <c r="N7" s="14">
        <v>19.3</v>
      </c>
      <c r="O7">
        <v>17.100000000000001</v>
      </c>
    </row>
    <row r="8" spans="1:16" x14ac:dyDescent="0.2">
      <c r="E8" s="99"/>
      <c r="F8" s="14" t="s">
        <v>1814</v>
      </c>
      <c r="G8" s="59">
        <v>7.2</v>
      </c>
      <c r="H8" s="59">
        <v>9.3000000000000007</v>
      </c>
      <c r="I8" s="59" t="s">
        <v>754</v>
      </c>
      <c r="J8" s="59">
        <v>14.7</v>
      </c>
      <c r="K8" s="59">
        <v>15.2</v>
      </c>
      <c r="L8" s="59" t="s">
        <v>1815</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1463</v>
      </c>
      <c r="N9" s="46" t="s">
        <v>1816</v>
      </c>
      <c r="O9" s="46" t="s">
        <v>1817</v>
      </c>
    </row>
    <row r="10" spans="1:16" x14ac:dyDescent="0.2">
      <c r="A10" t="s">
        <v>894</v>
      </c>
      <c r="B10" t="s">
        <v>983</v>
      </c>
      <c r="E10" s="99"/>
      <c r="F10" s="14"/>
      <c r="G10" s="59"/>
      <c r="H10" s="59"/>
      <c r="I10" s="59"/>
      <c r="J10" s="42"/>
      <c r="K10" s="42"/>
      <c r="L10" s="42"/>
      <c r="M10" s="47"/>
      <c r="N10" s="47"/>
      <c r="O10" s="46"/>
    </row>
    <row r="11" spans="1:16" x14ac:dyDescent="0.2">
      <c r="A11" t="s">
        <v>895</v>
      </c>
      <c r="B11" t="s">
        <v>2167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1818</v>
      </c>
      <c r="N10" s="46" t="s">
        <v>1819</v>
      </c>
      <c r="O10" s="46" t="s">
        <v>1820</v>
      </c>
    </row>
    <row r="11" spans="1:16" x14ac:dyDescent="0.2">
      <c r="A11" t="s">
        <v>895</v>
      </c>
      <c r="B11" t="s">
        <v>1821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1483</v>
      </c>
      <c r="N9" s="46" t="s">
        <v>1824</v>
      </c>
      <c r="O9" s="46" t="s">
        <v>1825</v>
      </c>
    </row>
    <row r="10" spans="1:16" x14ac:dyDescent="0.2">
      <c r="A10" t="s">
        <v>894</v>
      </c>
      <c r="B10" t="s">
        <v>972</v>
      </c>
      <c r="E10" s="99"/>
      <c r="F10" s="63"/>
      <c r="G10" s="59"/>
      <c r="H10" s="59"/>
      <c r="I10" s="59"/>
      <c r="J10" s="42"/>
      <c r="K10" s="42"/>
      <c r="L10" s="42"/>
      <c r="M10" s="47"/>
      <c r="N10" s="47"/>
      <c r="O10" s="46"/>
    </row>
    <row r="11" spans="1:16" x14ac:dyDescent="0.2">
      <c r="A11" t="s">
        <v>895</v>
      </c>
      <c r="B11" t="s">
        <v>1826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tabSelected="1"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G26" sqref="G2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1835</v>
      </c>
      <c r="G5" s="68" t="s">
        <v>1836</v>
      </c>
      <c r="H5" s="68"/>
      <c r="I5" s="68"/>
      <c r="J5" s="68"/>
      <c r="K5" s="68"/>
      <c r="L5" s="68"/>
      <c r="M5" s="46"/>
      <c r="N5" s="46"/>
      <c r="O5" s="46"/>
    </row>
    <row r="6" spans="1:16" ht="15" customHeight="1" x14ac:dyDescent="0.2">
      <c r="A6" t="s">
        <v>891</v>
      </c>
      <c r="B6" t="b">
        <v>0</v>
      </c>
      <c r="E6" s="99"/>
      <c r="F6" s="85" t="s">
        <v>1837</v>
      </c>
      <c r="G6" s="75" t="s">
        <v>1838</v>
      </c>
      <c r="H6" s="75"/>
      <c r="I6" s="75"/>
      <c r="J6" s="75"/>
      <c r="K6" s="75"/>
      <c r="L6" s="75"/>
      <c r="M6" s="71"/>
      <c r="N6" s="71"/>
    </row>
    <row r="7" spans="1:16" ht="15.75" customHeight="1" x14ac:dyDescent="0.2">
      <c r="E7" s="99"/>
      <c r="F7" s="63" t="s">
        <v>1839</v>
      </c>
      <c r="G7" s="59" t="s">
        <v>1838</v>
      </c>
      <c r="H7" s="59"/>
      <c r="I7" s="59"/>
      <c r="J7" s="59"/>
      <c r="K7" s="59"/>
      <c r="L7" s="59"/>
      <c r="M7" s="14"/>
      <c r="N7" s="14"/>
    </row>
    <row r="8" spans="1:16" x14ac:dyDescent="0.2">
      <c r="E8" s="99"/>
      <c r="F8" s="63" t="s">
        <v>1840</v>
      </c>
      <c r="G8" s="59" t="s">
        <v>1841</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1842</v>
      </c>
      <c r="N9" s="46" t="s">
        <v>1843</v>
      </c>
      <c r="O9" s="46" t="s">
        <v>1844</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1845</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1467</v>
      </c>
      <c r="N9" s="47" t="s">
        <v>1846</v>
      </c>
      <c r="O9" s="47" t="s">
        <v>1847</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1848</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1849</v>
      </c>
      <c r="N9" s="46" t="s">
        <v>1850</v>
      </c>
      <c r="O9" s="46" t="s">
        <v>1851</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1854</v>
      </c>
      <c r="G6" s="75">
        <v>39.6</v>
      </c>
      <c r="H6" s="75">
        <v>31.1</v>
      </c>
      <c r="I6" s="75">
        <v>19.8</v>
      </c>
      <c r="J6" s="75">
        <v>14.2</v>
      </c>
      <c r="K6" s="75">
        <v>62.5</v>
      </c>
      <c r="L6" s="75">
        <v>34.700000000000003</v>
      </c>
      <c r="M6" s="71">
        <v>15.5</v>
      </c>
      <c r="N6" s="71">
        <v>24.1</v>
      </c>
      <c r="O6">
        <v>27.3</v>
      </c>
      <c r="P6">
        <v>26.3</v>
      </c>
    </row>
    <row r="7" spans="1:16" ht="15.75" customHeight="1" x14ac:dyDescent="0.2">
      <c r="E7" s="99"/>
      <c r="F7" s="63" t="s">
        <v>1855</v>
      </c>
      <c r="G7" s="59">
        <v>3.5</v>
      </c>
      <c r="H7" s="59">
        <v>5.9</v>
      </c>
      <c r="I7" s="59">
        <v>2.2000000000000002</v>
      </c>
      <c r="J7" s="59">
        <v>2.2000000000000002</v>
      </c>
      <c r="K7" s="59">
        <v>10.1</v>
      </c>
      <c r="L7" s="59">
        <v>2.8</v>
      </c>
      <c r="M7" s="14">
        <v>2</v>
      </c>
      <c r="N7" s="14">
        <v>3.1</v>
      </c>
      <c r="O7">
        <v>2</v>
      </c>
      <c r="P7">
        <v>4.2</v>
      </c>
    </row>
    <row r="8" spans="1:16" x14ac:dyDescent="0.2">
      <c r="E8" s="99"/>
      <c r="F8" s="63" t="s">
        <v>1856</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v>31.9</v>
      </c>
      <c r="J6" s="75">
        <v>21.2</v>
      </c>
      <c r="K6" s="75">
        <v>99.9</v>
      </c>
      <c r="L6" s="75">
        <v>51.6</v>
      </c>
      <c r="M6" s="71">
        <v>24.4</v>
      </c>
      <c r="N6" s="71">
        <v>36.9</v>
      </c>
      <c r="O6">
        <v>42.4</v>
      </c>
      <c r="P6">
        <v>36.700000000000003</v>
      </c>
    </row>
    <row r="7" spans="1:16" ht="15.75" customHeight="1" x14ac:dyDescent="0.2">
      <c r="E7" s="99"/>
      <c r="F7" s="63" t="s">
        <v>1860</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t="s">
        <v>1768</v>
      </c>
      <c r="H6" s="75" t="s">
        <v>1861</v>
      </c>
      <c r="I6" s="75" t="s">
        <v>1862</v>
      </c>
      <c r="J6" s="75" t="s">
        <v>1863</v>
      </c>
      <c r="K6" s="75" t="s">
        <v>1864</v>
      </c>
      <c r="L6" s="75" t="s">
        <v>1246</v>
      </c>
      <c r="M6" s="71">
        <v>3.7</v>
      </c>
      <c r="N6" s="71">
        <v>4.4000000000000004</v>
      </c>
      <c r="O6">
        <v>3.1</v>
      </c>
      <c r="P6">
        <v>4.5</v>
      </c>
    </row>
    <row r="7" spans="1:16" ht="15.75" customHeight="1" x14ac:dyDescent="0.2">
      <c r="E7" s="99"/>
      <c r="F7" s="63" t="s">
        <v>1860</v>
      </c>
      <c r="G7" s="59" t="s">
        <v>1865</v>
      </c>
      <c r="H7" s="59">
        <v>10.8</v>
      </c>
      <c r="I7" s="59" t="s">
        <v>1866</v>
      </c>
      <c r="J7" s="59" t="s">
        <v>1867</v>
      </c>
      <c r="K7" s="59" t="s">
        <v>1868</v>
      </c>
      <c r="L7" s="59" t="s">
        <v>1869</v>
      </c>
      <c r="M7" s="14" t="s">
        <v>1785</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1870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t="s">
        <v>1871</v>
      </c>
      <c r="J6" s="75">
        <v>21.2</v>
      </c>
      <c r="K6" s="75">
        <v>99.9</v>
      </c>
      <c r="L6" s="75">
        <v>51.6</v>
      </c>
      <c r="M6" s="71">
        <v>24.4</v>
      </c>
      <c r="N6" s="71">
        <v>36.799999999999997</v>
      </c>
      <c r="O6">
        <v>41.9</v>
      </c>
      <c r="P6">
        <v>36.1</v>
      </c>
    </row>
    <row r="7" spans="1:16" ht="15.75" customHeight="1" x14ac:dyDescent="0.2">
      <c r="E7" s="99"/>
      <c r="F7" s="63" t="s">
        <v>1860</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Z47" sqref="Z47"/>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1873</v>
      </c>
      <c r="N9" s="46" t="s">
        <v>1874</v>
      </c>
      <c r="O9" s="46" t="s">
        <v>1875</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1872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1876</v>
      </c>
      <c r="N9" s="46" t="s">
        <v>1877</v>
      </c>
      <c r="O9" s="46" t="s">
        <v>1878</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c r="P5" s="119"/>
    </row>
    <row r="6" spans="1:16" ht="15" customHeight="1" x14ac:dyDescent="0.2">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1880</v>
      </c>
      <c r="G8" s="42" t="s">
        <v>1861</v>
      </c>
      <c r="H8" s="42" t="s">
        <v>1881</v>
      </c>
      <c r="I8" s="42" t="s">
        <v>1882</v>
      </c>
      <c r="J8" s="42" t="s">
        <v>1869</v>
      </c>
      <c r="K8" s="42" t="s">
        <v>1883</v>
      </c>
      <c r="L8" s="42" t="s">
        <v>1884</v>
      </c>
      <c r="M8" s="42" t="s">
        <v>1785</v>
      </c>
      <c r="N8" s="42" t="s">
        <v>1885</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1886</v>
      </c>
      <c r="N9" s="46" t="s">
        <v>1887</v>
      </c>
      <c r="O9" s="46" t="s">
        <v>1888</v>
      </c>
    </row>
    <row r="10" spans="1:16" x14ac:dyDescent="0.2">
      <c r="A10" t="s">
        <v>894</v>
      </c>
      <c r="B10" t="s">
        <v>972</v>
      </c>
      <c r="E10" s="99"/>
      <c r="F10" s="14">
        <v>2021</v>
      </c>
      <c r="G10" s="59">
        <v>12.7</v>
      </c>
      <c r="H10" s="59">
        <v>9</v>
      </c>
      <c r="I10" s="59">
        <v>7.3</v>
      </c>
      <c r="J10" s="42">
        <v>4.7</v>
      </c>
      <c r="K10" s="42">
        <v>12.9</v>
      </c>
      <c r="L10" s="42">
        <v>12.5</v>
      </c>
      <c r="M10" s="47" t="s">
        <v>1889</v>
      </c>
      <c r="N10" s="47" t="s">
        <v>1756</v>
      </c>
      <c r="O10" s="46" t="s">
        <v>1888</v>
      </c>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1890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1893</v>
      </c>
      <c r="G5" t="s">
        <v>1631</v>
      </c>
      <c r="H5" t="s">
        <v>1632</v>
      </c>
      <c r="I5" t="s">
        <v>1633</v>
      </c>
      <c r="J5" t="s">
        <v>1634</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1892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1628</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1552</v>
      </c>
      <c r="G7">
        <v>17.8</v>
      </c>
      <c r="H7">
        <v>21.4</v>
      </c>
      <c r="I7" t="s">
        <v>1906</v>
      </c>
      <c r="J7">
        <v>12.4</v>
      </c>
      <c r="K7" t="s">
        <v>1907</v>
      </c>
      <c r="L7">
        <v>40.700000000000003</v>
      </c>
      <c r="M7">
        <v>18.899999999999999</v>
      </c>
      <c r="N7">
        <v>22.8</v>
      </c>
      <c r="O7">
        <v>18.2</v>
      </c>
    </row>
    <row r="8" spans="1:16" x14ac:dyDescent="0.2">
      <c r="E8" s="99"/>
      <c r="F8" t="s">
        <v>1553</v>
      </c>
      <c r="G8" t="s">
        <v>1862</v>
      </c>
      <c r="H8" t="s">
        <v>1908</v>
      </c>
      <c r="I8" t="s">
        <v>1906</v>
      </c>
      <c r="J8" t="s">
        <v>1909</v>
      </c>
      <c r="K8" t="s">
        <v>1906</v>
      </c>
      <c r="L8" t="s">
        <v>1906</v>
      </c>
      <c r="M8">
        <v>5.3</v>
      </c>
      <c r="N8">
        <v>6</v>
      </c>
      <c r="O8">
        <v>7.5</v>
      </c>
      <c r="P8" s="14"/>
    </row>
    <row r="9" spans="1:16" x14ac:dyDescent="0.2">
      <c r="A9" s="98" t="s">
        <v>893</v>
      </c>
      <c r="B9" s="99"/>
      <c r="E9" s="99"/>
      <c r="F9" t="s">
        <v>927</v>
      </c>
      <c r="G9">
        <v>14.8</v>
      </c>
      <c r="H9">
        <v>12.5</v>
      </c>
      <c r="I9" t="s">
        <v>1910</v>
      </c>
      <c r="J9" t="s">
        <v>1911</v>
      </c>
      <c r="K9" t="s">
        <v>1912</v>
      </c>
      <c r="L9" t="s">
        <v>1913</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1915</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1915</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1552</v>
      </c>
      <c r="G7">
        <v>12.8</v>
      </c>
      <c r="H7">
        <v>29.4</v>
      </c>
      <c r="I7" t="s">
        <v>1918</v>
      </c>
      <c r="J7">
        <v>21.1</v>
      </c>
      <c r="K7">
        <v>36.5</v>
      </c>
      <c r="L7">
        <v>20.399999999999999</v>
      </c>
      <c r="M7">
        <v>27.8</v>
      </c>
      <c r="N7">
        <v>33.1</v>
      </c>
      <c r="O7">
        <v>27</v>
      </c>
    </row>
    <row r="8" spans="1:16" x14ac:dyDescent="0.2">
      <c r="E8" s="99"/>
      <c r="F8" t="s">
        <v>1814</v>
      </c>
      <c r="G8">
        <v>5</v>
      </c>
      <c r="H8">
        <v>16</v>
      </c>
      <c r="I8">
        <v>13.6</v>
      </c>
      <c r="J8">
        <v>6.9</v>
      </c>
      <c r="K8" t="s">
        <v>1919</v>
      </c>
      <c r="L8" t="s">
        <v>1920</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1921</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1921</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1552</v>
      </c>
      <c r="G7">
        <v>122.9</v>
      </c>
      <c r="H7">
        <v>298.3</v>
      </c>
      <c r="I7">
        <v>67.8</v>
      </c>
      <c r="J7">
        <v>251.3</v>
      </c>
      <c r="K7">
        <v>372.4</v>
      </c>
      <c r="L7">
        <v>251.8</v>
      </c>
      <c r="M7">
        <v>272.2</v>
      </c>
      <c r="N7">
        <v>334.5</v>
      </c>
      <c r="O7">
        <v>295.3</v>
      </c>
    </row>
    <row r="8" spans="1:16" x14ac:dyDescent="0.2">
      <c r="E8" s="99"/>
      <c r="F8" t="s">
        <v>1814</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1929</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1930</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1929</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1931</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1552</v>
      </c>
      <c r="G7">
        <v>40.799999999999997</v>
      </c>
      <c r="H7">
        <v>33.299999999999997</v>
      </c>
      <c r="I7" t="s">
        <v>1932</v>
      </c>
      <c r="J7">
        <v>29.4</v>
      </c>
      <c r="K7">
        <v>74.8</v>
      </c>
      <c r="L7" t="s">
        <v>1933</v>
      </c>
      <c r="M7">
        <v>30.7</v>
      </c>
      <c r="N7">
        <v>38.700000000000003</v>
      </c>
      <c r="O7">
        <v>33.6</v>
      </c>
    </row>
    <row r="8" spans="1:16" x14ac:dyDescent="0.2">
      <c r="E8" s="99"/>
      <c r="F8" t="s">
        <v>1814</v>
      </c>
      <c r="G8" t="s">
        <v>1934</v>
      </c>
      <c r="H8" t="s">
        <v>1908</v>
      </c>
      <c r="I8" t="s">
        <v>1935</v>
      </c>
      <c r="J8">
        <v>17.8</v>
      </c>
      <c r="K8" t="s">
        <v>1936</v>
      </c>
      <c r="L8" t="s">
        <v>1937</v>
      </c>
      <c r="M8">
        <v>8.1999999999999993</v>
      </c>
      <c r="N8">
        <v>16.5</v>
      </c>
      <c r="O8">
        <v>13.7</v>
      </c>
      <c r="P8" s="14"/>
    </row>
    <row r="9" spans="1:16" x14ac:dyDescent="0.2">
      <c r="A9" s="98" t="s">
        <v>893</v>
      </c>
      <c r="B9" s="99"/>
      <c r="E9" s="99"/>
      <c r="F9" t="s">
        <v>927</v>
      </c>
      <c r="G9">
        <v>4</v>
      </c>
      <c r="H9">
        <v>25.6</v>
      </c>
      <c r="I9" t="s">
        <v>1938</v>
      </c>
      <c r="J9">
        <v>11.8</v>
      </c>
      <c r="K9" t="s">
        <v>1939</v>
      </c>
      <c r="L9" t="s">
        <v>1939</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1940</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1940</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1941</v>
      </c>
      <c r="G6">
        <v>33.799999999999997</v>
      </c>
      <c r="H6">
        <v>33</v>
      </c>
      <c r="I6">
        <v>31.4</v>
      </c>
      <c r="J6">
        <v>34.200000000000003</v>
      </c>
      <c r="K6">
        <v>39</v>
      </c>
      <c r="L6">
        <v>37</v>
      </c>
      <c r="M6">
        <v>27.8</v>
      </c>
      <c r="N6">
        <v>33.9</v>
      </c>
    </row>
    <row r="7" spans="1:16" ht="15.75" customHeight="1" x14ac:dyDescent="0.2">
      <c r="E7" s="99"/>
      <c r="F7" t="s">
        <v>1942</v>
      </c>
      <c r="G7">
        <v>33.5</v>
      </c>
      <c r="H7">
        <v>36.200000000000003</v>
      </c>
      <c r="I7">
        <v>32.1</v>
      </c>
      <c r="J7">
        <v>33.9</v>
      </c>
      <c r="K7">
        <v>37.700000000000003</v>
      </c>
      <c r="L7">
        <v>37</v>
      </c>
      <c r="M7">
        <v>28.6</v>
      </c>
      <c r="N7">
        <v>33.700000000000003</v>
      </c>
    </row>
    <row r="8" spans="1:16" x14ac:dyDescent="0.2">
      <c r="E8" s="99"/>
      <c r="F8" t="s">
        <v>1618</v>
      </c>
      <c r="G8">
        <v>35.5</v>
      </c>
      <c r="H8">
        <v>35.200000000000003</v>
      </c>
      <c r="I8">
        <v>32.9</v>
      </c>
      <c r="J8">
        <v>34</v>
      </c>
      <c r="K8">
        <v>41.2</v>
      </c>
      <c r="L8">
        <v>38.200000000000003</v>
      </c>
      <c r="M8">
        <v>31</v>
      </c>
      <c r="N8">
        <v>34.799999999999997</v>
      </c>
      <c r="P8" s="14"/>
    </row>
    <row r="9" spans="1:16" x14ac:dyDescent="0.2">
      <c r="A9" s="98" t="s">
        <v>893</v>
      </c>
      <c r="B9" s="99"/>
      <c r="E9" s="99"/>
      <c r="F9" t="s">
        <v>1943</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1775</v>
      </c>
      <c r="H5" s="101"/>
      <c r="I5" s="101"/>
      <c r="J5" s="101"/>
      <c r="K5" s="101"/>
      <c r="L5" s="101"/>
      <c r="M5" s="101"/>
      <c r="N5" t="s">
        <v>1776</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1944</v>
      </c>
      <c r="G11" s="59">
        <v>4.9000000000000004</v>
      </c>
      <c r="H11" s="59">
        <v>7.5</v>
      </c>
      <c r="I11" s="59">
        <v>4.8</v>
      </c>
      <c r="J11" s="42">
        <v>4.7</v>
      </c>
      <c r="K11" s="42">
        <v>6.9</v>
      </c>
      <c r="L11" s="42">
        <v>7.3</v>
      </c>
      <c r="M11" s="47" t="s">
        <v>1945</v>
      </c>
      <c r="N11" s="47" t="s">
        <v>1466</v>
      </c>
      <c r="O11" s="46"/>
    </row>
    <row r="12" spans="1:16" x14ac:dyDescent="0.2">
      <c r="A12" t="s">
        <v>896</v>
      </c>
      <c r="E12" s="99"/>
      <c r="F12" s="74" t="s">
        <v>1946</v>
      </c>
      <c r="G12" s="42">
        <v>6.3</v>
      </c>
      <c r="H12" s="42">
        <v>7.3</v>
      </c>
      <c r="I12" s="59">
        <v>5.3</v>
      </c>
      <c r="J12" s="59">
        <v>4.3</v>
      </c>
      <c r="K12" s="59">
        <v>6.7</v>
      </c>
      <c r="L12" s="59">
        <v>7.5</v>
      </c>
      <c r="M12" s="46" t="s">
        <v>1947</v>
      </c>
      <c r="N12" s="46" t="s">
        <v>1466</v>
      </c>
      <c r="O12" s="46"/>
    </row>
    <row r="13" spans="1:16" x14ac:dyDescent="0.2">
      <c r="A13" t="s">
        <v>897</v>
      </c>
      <c r="B13" t="s">
        <v>1123</v>
      </c>
      <c r="E13" s="99"/>
      <c r="F13" s="47" t="s">
        <v>1948</v>
      </c>
      <c r="G13" s="47" t="s">
        <v>1464</v>
      </c>
      <c r="H13" s="47" t="s">
        <v>1949</v>
      </c>
      <c r="I13" s="46" t="s">
        <v>1463</v>
      </c>
      <c r="J13" s="46" t="s">
        <v>1950</v>
      </c>
      <c r="K13" s="46" t="s">
        <v>1951</v>
      </c>
      <c r="L13" s="46" t="s">
        <v>1466</v>
      </c>
      <c r="M13" s="46" t="s">
        <v>1760</v>
      </c>
      <c r="N13" s="46" t="s">
        <v>1467</v>
      </c>
      <c r="O13" s="46"/>
    </row>
    <row r="14" spans="1:16" x14ac:dyDescent="0.2">
      <c r="A14" t="s">
        <v>899</v>
      </c>
      <c r="B14" t="s">
        <v>715</v>
      </c>
      <c r="E14" s="99"/>
      <c r="F14" s="68" t="s">
        <v>1142</v>
      </c>
      <c r="G14" s="68" t="s">
        <v>1468</v>
      </c>
      <c r="H14" s="68" t="s">
        <v>1463</v>
      </c>
      <c r="I14" s="46" t="s">
        <v>1463</v>
      </c>
      <c r="J14" s="47" t="s">
        <v>1952</v>
      </c>
      <c r="K14" s="47" t="s">
        <v>1953</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1958</v>
      </c>
      <c r="G6">
        <v>458.2</v>
      </c>
      <c r="H6">
        <v>462.4</v>
      </c>
      <c r="I6">
        <v>483.6</v>
      </c>
      <c r="J6">
        <v>453.2</v>
      </c>
      <c r="K6">
        <v>438.4</v>
      </c>
      <c r="L6">
        <v>454.1</v>
      </c>
      <c r="M6">
        <v>444.7</v>
      </c>
      <c r="N6">
        <v>452.4</v>
      </c>
      <c r="O6">
        <v>458.2</v>
      </c>
    </row>
    <row r="7" spans="1:16" ht="15.75" customHeight="1" x14ac:dyDescent="0.2">
      <c r="E7" s="99"/>
      <c r="F7" t="s">
        <v>1821</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1954</v>
      </c>
      <c r="G6">
        <v>505</v>
      </c>
      <c r="H6">
        <v>505.8</v>
      </c>
      <c r="I6">
        <v>507.1</v>
      </c>
      <c r="J6">
        <v>502.8</v>
      </c>
      <c r="K6">
        <v>470.6</v>
      </c>
      <c r="L6">
        <v>481.5</v>
      </c>
      <c r="M6">
        <v>490.4</v>
      </c>
      <c r="N6">
        <v>506.1</v>
      </c>
      <c r="O6">
        <v>541.29999999999995</v>
      </c>
    </row>
    <row r="7" spans="1:16" ht="15.75" customHeight="1" x14ac:dyDescent="0.2">
      <c r="E7" s="99"/>
      <c r="F7" t="s">
        <v>1955</v>
      </c>
      <c r="G7">
        <v>445.6</v>
      </c>
      <c r="H7">
        <v>447.5</v>
      </c>
      <c r="I7">
        <v>493.6</v>
      </c>
      <c r="J7">
        <v>442.2</v>
      </c>
      <c r="K7">
        <v>433.4</v>
      </c>
      <c r="L7">
        <v>442.6</v>
      </c>
      <c r="M7">
        <v>440.2</v>
      </c>
      <c r="N7">
        <v>442</v>
      </c>
      <c r="O7">
        <v>471.2</v>
      </c>
    </row>
    <row r="8" spans="1:16" x14ac:dyDescent="0.2">
      <c r="E8" s="99"/>
      <c r="F8" t="s">
        <v>1956</v>
      </c>
      <c r="G8">
        <v>154.9</v>
      </c>
      <c r="H8">
        <v>186.5</v>
      </c>
      <c r="I8">
        <v>135.19999999999999</v>
      </c>
      <c r="J8">
        <v>116.1</v>
      </c>
      <c r="K8">
        <v>152.4</v>
      </c>
      <c r="L8">
        <v>163.30000000000001</v>
      </c>
      <c r="M8">
        <v>120.7</v>
      </c>
      <c r="N8">
        <v>146.69999999999999</v>
      </c>
      <c r="O8">
        <v>160.1</v>
      </c>
      <c r="P8" s="14"/>
    </row>
    <row r="9" spans="1:16" x14ac:dyDescent="0.2">
      <c r="A9" s="98" t="s">
        <v>893</v>
      </c>
      <c r="B9" s="99"/>
      <c r="E9" s="99"/>
      <c r="F9" t="s">
        <v>1957</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1958</v>
      </c>
      <c r="G6">
        <v>33.5</v>
      </c>
      <c r="H6">
        <v>35</v>
      </c>
      <c r="I6">
        <v>28.7</v>
      </c>
      <c r="J6">
        <v>36</v>
      </c>
      <c r="K6">
        <v>37.299999999999997</v>
      </c>
      <c r="L6">
        <v>37.200000000000003</v>
      </c>
      <c r="M6">
        <v>30.6</v>
      </c>
      <c r="N6">
        <v>33.1</v>
      </c>
      <c r="O6">
        <v>35</v>
      </c>
    </row>
    <row r="7" spans="1:16" ht="15.75" customHeight="1" x14ac:dyDescent="0.2">
      <c r="E7" s="99"/>
      <c r="F7" t="s">
        <v>1821</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1954</v>
      </c>
      <c r="G6">
        <v>39.6</v>
      </c>
      <c r="H6">
        <v>40.700000000000003</v>
      </c>
      <c r="I6">
        <v>27.3</v>
      </c>
      <c r="J6">
        <v>41</v>
      </c>
      <c r="K6">
        <v>47.3</v>
      </c>
      <c r="L6">
        <v>41.3</v>
      </c>
      <c r="M6">
        <v>35.799999999999997</v>
      </c>
      <c r="N6">
        <v>41.4</v>
      </c>
      <c r="O6">
        <v>40.700000000000003</v>
      </c>
    </row>
    <row r="7" spans="1:16" ht="15.75" customHeight="1" x14ac:dyDescent="0.2">
      <c r="E7" s="99"/>
      <c r="F7" t="s">
        <v>1955</v>
      </c>
      <c r="G7">
        <v>30.3</v>
      </c>
      <c r="H7">
        <v>31.8</v>
      </c>
      <c r="I7">
        <v>29.9</v>
      </c>
      <c r="J7">
        <v>33.299999999999997</v>
      </c>
      <c r="K7">
        <v>28.7</v>
      </c>
      <c r="L7">
        <v>31.7</v>
      </c>
      <c r="M7">
        <v>30.1</v>
      </c>
      <c r="N7">
        <v>32.799999999999997</v>
      </c>
      <c r="O7">
        <v>31.6</v>
      </c>
    </row>
    <row r="8" spans="1:16" x14ac:dyDescent="0.2">
      <c r="E8" s="99"/>
      <c r="F8" t="s">
        <v>1956</v>
      </c>
      <c r="G8">
        <v>10.3</v>
      </c>
      <c r="H8">
        <v>17.399999999999999</v>
      </c>
      <c r="I8">
        <v>10.3</v>
      </c>
      <c r="J8">
        <v>10.199999999999999</v>
      </c>
      <c r="K8">
        <v>12.3</v>
      </c>
      <c r="L8">
        <v>14.9</v>
      </c>
      <c r="M8">
        <v>10.3</v>
      </c>
      <c r="N8">
        <v>13.4</v>
      </c>
      <c r="O8">
        <v>12.9</v>
      </c>
      <c r="P8" s="14"/>
    </row>
    <row r="9" spans="1:16" x14ac:dyDescent="0.2">
      <c r="A9" s="98" t="s">
        <v>893</v>
      </c>
      <c r="B9" s="99"/>
      <c r="E9" s="99"/>
      <c r="F9" t="s">
        <v>1957</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2167</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1552</v>
      </c>
      <c r="G7">
        <v>30.5</v>
      </c>
      <c r="H7">
        <v>22.2</v>
      </c>
      <c r="I7">
        <v>0</v>
      </c>
      <c r="J7">
        <v>31.1</v>
      </c>
      <c r="K7" t="s">
        <v>754</v>
      </c>
      <c r="L7" t="s">
        <v>754</v>
      </c>
      <c r="M7">
        <v>30.9</v>
      </c>
      <c r="N7">
        <v>36.5</v>
      </c>
    </row>
    <row r="8" spans="1:16" x14ac:dyDescent="0.2">
      <c r="E8" s="99"/>
      <c r="F8" t="s">
        <v>1553</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1959</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1958</v>
      </c>
      <c r="G6">
        <v>56.5</v>
      </c>
      <c r="H6">
        <v>59.9</v>
      </c>
      <c r="I6">
        <v>57.6</v>
      </c>
      <c r="J6">
        <v>44.9</v>
      </c>
      <c r="K6">
        <v>62.9</v>
      </c>
      <c r="L6">
        <v>55.1</v>
      </c>
      <c r="M6">
        <v>42</v>
      </c>
      <c r="N6">
        <v>59.9</v>
      </c>
      <c r="O6">
        <v>52.4</v>
      </c>
    </row>
    <row r="7" spans="1:17" ht="15.75" customHeight="1" x14ac:dyDescent="0.2">
      <c r="E7" s="99"/>
      <c r="F7" t="s">
        <v>1821</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1960</v>
      </c>
      <c r="G6">
        <v>56.2</v>
      </c>
      <c r="H6">
        <v>63</v>
      </c>
      <c r="I6">
        <v>55.9</v>
      </c>
      <c r="J6">
        <v>45.2</v>
      </c>
      <c r="K6">
        <v>56.9</v>
      </c>
      <c r="L6">
        <v>57.8</v>
      </c>
      <c r="M6">
        <v>43</v>
      </c>
      <c r="N6">
        <v>62.2</v>
      </c>
      <c r="O6">
        <v>56.5</v>
      </c>
    </row>
    <row r="7" spans="1:17" ht="15.75" customHeight="1" x14ac:dyDescent="0.2">
      <c r="E7" s="99"/>
      <c r="F7" t="s">
        <v>1961</v>
      </c>
      <c r="G7">
        <v>56.8</v>
      </c>
      <c r="H7">
        <v>58.2</v>
      </c>
      <c r="I7">
        <v>59.5</v>
      </c>
      <c r="J7">
        <v>45.3</v>
      </c>
      <c r="K7">
        <v>69.2</v>
      </c>
      <c r="L7">
        <v>52.9</v>
      </c>
      <c r="M7">
        <v>41.6</v>
      </c>
      <c r="N7">
        <v>58.6</v>
      </c>
      <c r="O7">
        <v>49.6</v>
      </c>
    </row>
    <row r="8" spans="1:17" x14ac:dyDescent="0.2">
      <c r="E8" s="99"/>
      <c r="F8" t="s">
        <v>1962</v>
      </c>
      <c r="G8">
        <v>31.6</v>
      </c>
      <c r="H8">
        <v>42.9</v>
      </c>
      <c r="I8">
        <v>31</v>
      </c>
      <c r="J8">
        <v>25.1</v>
      </c>
      <c r="K8">
        <v>35.700000000000003</v>
      </c>
      <c r="L8">
        <v>38.799999999999997</v>
      </c>
      <c r="M8">
        <v>21.5</v>
      </c>
      <c r="N8">
        <v>35.5</v>
      </c>
      <c r="O8">
        <v>31.3</v>
      </c>
      <c r="P8" s="14"/>
    </row>
    <row r="9" spans="1:17" x14ac:dyDescent="0.2">
      <c r="A9" s="98" t="s">
        <v>893</v>
      </c>
      <c r="B9" s="99"/>
      <c r="E9" s="99"/>
      <c r="F9" t="s">
        <v>1963</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1552</v>
      </c>
      <c r="G7" s="55">
        <v>67.099999999999994</v>
      </c>
      <c r="H7" s="55">
        <v>40.700000000000003</v>
      </c>
      <c r="I7" s="55" t="s">
        <v>754</v>
      </c>
      <c r="J7" s="55">
        <v>30.2</v>
      </c>
      <c r="K7" s="55" t="s">
        <v>754</v>
      </c>
      <c r="L7" s="55">
        <v>61.7</v>
      </c>
      <c r="M7" s="55">
        <v>35.799999999999997</v>
      </c>
      <c r="N7" s="55">
        <v>53.4</v>
      </c>
      <c r="O7" s="55">
        <v>42.2</v>
      </c>
    </row>
    <row r="8" spans="1:17" x14ac:dyDescent="0.2">
      <c r="E8" s="99"/>
      <c r="F8" t="s">
        <v>1814</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1958</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1821</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1958</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1821</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1958</v>
      </c>
      <c r="G6" s="55">
        <v>6.1</v>
      </c>
      <c r="H6" s="55">
        <v>7.5</v>
      </c>
      <c r="I6" s="55" t="s">
        <v>754</v>
      </c>
      <c r="J6" s="55">
        <v>7.5</v>
      </c>
      <c r="K6" s="55">
        <v>14</v>
      </c>
      <c r="L6" s="55">
        <v>8.6999999999999993</v>
      </c>
      <c r="M6" s="55">
        <v>5.9</v>
      </c>
      <c r="N6" s="55">
        <v>6.9</v>
      </c>
      <c r="O6" s="55">
        <v>6.4</v>
      </c>
    </row>
    <row r="7" spans="1:17" ht="15.75" customHeight="1" x14ac:dyDescent="0.2">
      <c r="E7" s="99"/>
      <c r="F7" t="s">
        <v>1821</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1964</v>
      </c>
      <c r="G11" s="59">
        <v>65.2</v>
      </c>
      <c r="H11" s="59">
        <v>44.1</v>
      </c>
      <c r="I11" s="59">
        <v>66.2</v>
      </c>
      <c r="J11" s="42">
        <v>36.799999999999997</v>
      </c>
      <c r="K11" s="42">
        <v>48.1</v>
      </c>
      <c r="L11" s="42">
        <v>64</v>
      </c>
      <c r="M11" s="47" t="s">
        <v>1965</v>
      </c>
      <c r="N11" s="47" t="s">
        <v>1966</v>
      </c>
      <c r="O11" s="46" t="s">
        <v>1478</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1969</v>
      </c>
      <c r="H6" s="55">
        <v>74.8</v>
      </c>
      <c r="I6" s="55">
        <v>71.099999999999994</v>
      </c>
      <c r="J6" s="55" t="s">
        <v>1970</v>
      </c>
      <c r="K6" s="55" t="s">
        <v>1970</v>
      </c>
      <c r="L6" s="55">
        <v>60.7</v>
      </c>
      <c r="M6" s="55">
        <v>72.7</v>
      </c>
      <c r="N6" s="55">
        <v>73.8</v>
      </c>
      <c r="O6" s="55">
        <v>69.3</v>
      </c>
    </row>
    <row r="7" spans="1:17" ht="15.75" customHeight="1" x14ac:dyDescent="0.2">
      <c r="E7" s="99"/>
      <c r="F7">
        <v>2018</v>
      </c>
      <c r="G7" s="55">
        <v>75</v>
      </c>
      <c r="H7" s="55" t="s">
        <v>1971</v>
      </c>
      <c r="I7" s="55" t="s">
        <v>1972</v>
      </c>
      <c r="J7" s="55" t="s">
        <v>1972</v>
      </c>
      <c r="K7" s="55" t="s">
        <v>1973</v>
      </c>
      <c r="L7" s="55" t="s">
        <v>1974</v>
      </c>
      <c r="M7" s="55">
        <v>69.2</v>
      </c>
      <c r="N7" s="55">
        <v>69.400000000000006</v>
      </c>
      <c r="O7" s="55">
        <v>64</v>
      </c>
    </row>
    <row r="8" spans="1:17" x14ac:dyDescent="0.2">
      <c r="E8" s="99"/>
      <c r="F8">
        <v>2021</v>
      </c>
      <c r="G8" s="55">
        <v>65</v>
      </c>
      <c r="H8" s="55">
        <v>67</v>
      </c>
      <c r="I8" s="55">
        <v>75.7</v>
      </c>
      <c r="J8" s="55" t="s">
        <v>1975</v>
      </c>
      <c r="K8" s="55" t="s">
        <v>1976</v>
      </c>
      <c r="L8" s="55" t="s">
        <v>1977</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1776</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1978</v>
      </c>
      <c r="J7" s="55">
        <v>8.1999999999999993</v>
      </c>
      <c r="K7" s="55">
        <v>9.4</v>
      </c>
      <c r="L7" s="55">
        <v>5.5</v>
      </c>
      <c r="M7" s="55">
        <v>11.8</v>
      </c>
      <c r="N7" s="55">
        <v>7.8</v>
      </c>
      <c r="O7" s="55">
        <v>18</v>
      </c>
    </row>
    <row r="8" spans="1:17" x14ac:dyDescent="0.2">
      <c r="E8" s="99"/>
      <c r="F8">
        <v>2015</v>
      </c>
      <c r="G8" s="55">
        <v>7.7</v>
      </c>
      <c r="H8" s="55">
        <v>5.3</v>
      </c>
      <c r="I8" s="55" t="s">
        <v>1979</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1980</v>
      </c>
      <c r="J9" s="55">
        <v>7.1</v>
      </c>
      <c r="K9" s="55">
        <v>6.7</v>
      </c>
      <c r="L9" s="55">
        <v>4.4000000000000004</v>
      </c>
      <c r="M9" s="55">
        <v>11.7</v>
      </c>
      <c r="N9" s="55">
        <v>7</v>
      </c>
      <c r="O9" s="55">
        <v>15.7</v>
      </c>
    </row>
    <row r="10" spans="1:17" x14ac:dyDescent="0.2">
      <c r="A10" t="s">
        <v>894</v>
      </c>
      <c r="B10" t="s">
        <v>972</v>
      </c>
      <c r="E10" s="99"/>
      <c r="F10">
        <v>2017</v>
      </c>
      <c r="G10">
        <v>5.8</v>
      </c>
      <c r="H10">
        <v>8.4</v>
      </c>
      <c r="I10" t="s">
        <v>1981</v>
      </c>
      <c r="J10">
        <v>8.3000000000000007</v>
      </c>
      <c r="K10">
        <v>5.6</v>
      </c>
      <c r="L10">
        <v>5.7</v>
      </c>
      <c r="M10">
        <v>10.9</v>
      </c>
      <c r="N10">
        <v>6.8</v>
      </c>
      <c r="O10">
        <v>15.5</v>
      </c>
    </row>
    <row r="11" spans="1:17" x14ac:dyDescent="0.2">
      <c r="A11" t="s">
        <v>895</v>
      </c>
      <c r="B11" t="s">
        <v>887</v>
      </c>
      <c r="E11" s="99"/>
      <c r="F11" s="46" t="s">
        <v>1944</v>
      </c>
      <c r="G11" s="59">
        <v>5.4</v>
      </c>
      <c r="H11" s="59">
        <v>8.1</v>
      </c>
      <c r="I11" s="59">
        <v>3.5</v>
      </c>
      <c r="J11" s="42">
        <v>8.4</v>
      </c>
      <c r="K11" s="42">
        <v>5.2</v>
      </c>
      <c r="L11" s="42">
        <v>5.7</v>
      </c>
      <c r="M11" s="47" t="s">
        <v>1982</v>
      </c>
      <c r="N11" s="47" t="s">
        <v>1760</v>
      </c>
      <c r="O11" s="46" t="s">
        <v>1762</v>
      </c>
    </row>
    <row r="12" spans="1:17" x14ac:dyDescent="0.2">
      <c r="A12" t="s">
        <v>896</v>
      </c>
      <c r="E12" s="99"/>
      <c r="F12" s="74" t="s">
        <v>1946</v>
      </c>
      <c r="G12" s="42">
        <v>5.0999999999999996</v>
      </c>
      <c r="H12" s="42">
        <v>6</v>
      </c>
      <c r="I12" s="59">
        <v>3.5</v>
      </c>
      <c r="J12" s="59">
        <v>7.4</v>
      </c>
      <c r="K12" s="59">
        <v>5.2</v>
      </c>
      <c r="L12" s="59">
        <v>5.5</v>
      </c>
      <c r="M12" s="46" t="s">
        <v>1467</v>
      </c>
      <c r="N12" s="46" t="s">
        <v>1983</v>
      </c>
      <c r="O12" s="46" t="s">
        <v>1984</v>
      </c>
    </row>
    <row r="13" spans="1:17" x14ac:dyDescent="0.2">
      <c r="A13" t="s">
        <v>897</v>
      </c>
      <c r="E13" s="99"/>
      <c r="F13" s="47" t="s">
        <v>1948</v>
      </c>
      <c r="G13" s="47" t="s">
        <v>1985</v>
      </c>
      <c r="H13" s="47" t="s">
        <v>1760</v>
      </c>
      <c r="I13" s="46" t="s">
        <v>1986</v>
      </c>
      <c r="J13" s="46" t="s">
        <v>1987</v>
      </c>
      <c r="K13" s="46" t="s">
        <v>1988</v>
      </c>
      <c r="L13" s="46" t="s">
        <v>1501</v>
      </c>
      <c r="M13" s="46" t="s">
        <v>1989</v>
      </c>
      <c r="N13" s="46" t="s">
        <v>1990</v>
      </c>
      <c r="O13" s="46" t="s">
        <v>1991</v>
      </c>
    </row>
    <row r="14" spans="1:17" x14ac:dyDescent="0.2">
      <c r="A14" t="s">
        <v>899</v>
      </c>
      <c r="B14" t="s">
        <v>715</v>
      </c>
      <c r="E14" s="99"/>
      <c r="F14" s="68" t="s">
        <v>1142</v>
      </c>
      <c r="G14" s="68" t="s">
        <v>1992</v>
      </c>
      <c r="H14" s="68" t="s">
        <v>1993</v>
      </c>
      <c r="I14" s="46" t="s">
        <v>1866</v>
      </c>
      <c r="J14" s="47" t="s">
        <v>1952</v>
      </c>
      <c r="K14" s="47" t="s">
        <v>1994</v>
      </c>
      <c r="L14" s="47" t="s">
        <v>1995</v>
      </c>
      <c r="M14" s="47" t="s">
        <v>1996</v>
      </c>
      <c r="N14" s="47" t="s">
        <v>1506</v>
      </c>
      <c r="O14" s="46" t="s">
        <v>1997</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1650</v>
      </c>
      <c r="N11" s="47" t="s">
        <v>1998</v>
      </c>
      <c r="O11" s="46" t="s">
        <v>1999</v>
      </c>
    </row>
    <row r="12" spans="1:17" x14ac:dyDescent="0.2">
      <c r="A12" t="s">
        <v>896</v>
      </c>
      <c r="E12" s="99"/>
      <c r="F12" s="74" t="s">
        <v>1144</v>
      </c>
      <c r="G12" s="42">
        <v>147</v>
      </c>
      <c r="H12" s="42">
        <v>94</v>
      </c>
      <c r="I12" s="59">
        <v>41</v>
      </c>
      <c r="J12" s="59">
        <v>74</v>
      </c>
      <c r="K12" s="59">
        <v>85</v>
      </c>
      <c r="L12" s="59">
        <v>80</v>
      </c>
      <c r="M12" s="46" t="s">
        <v>2000</v>
      </c>
      <c r="N12" s="46" t="s">
        <v>2001</v>
      </c>
      <c r="O12" s="46" t="s">
        <v>2002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2003</v>
      </c>
      <c r="N11" s="47" t="s">
        <v>2004</v>
      </c>
      <c r="O11" s="46" t="s">
        <v>2005</v>
      </c>
    </row>
    <row r="12" spans="1:17" x14ac:dyDescent="0.2">
      <c r="A12" t="s">
        <v>896</v>
      </c>
      <c r="E12" s="99"/>
      <c r="F12" s="74" t="s">
        <v>1144</v>
      </c>
      <c r="G12" s="42">
        <v>374</v>
      </c>
      <c r="H12" s="42">
        <v>375</v>
      </c>
      <c r="I12" s="59">
        <v>237</v>
      </c>
      <c r="J12" s="59">
        <v>330</v>
      </c>
      <c r="K12" s="59">
        <v>346</v>
      </c>
      <c r="L12" s="59">
        <v>334</v>
      </c>
      <c r="M12" s="46" t="s">
        <v>2006</v>
      </c>
      <c r="N12" s="46" t="s">
        <v>2007</v>
      </c>
      <c r="O12" s="46" t="s">
        <v>2008</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2009</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2010</v>
      </c>
      <c r="N11" s="47" t="s">
        <v>2010</v>
      </c>
      <c r="O11" s="68" t="s">
        <v>2011</v>
      </c>
    </row>
    <row r="12" spans="1:17" x14ac:dyDescent="0.2">
      <c r="A12" t="s">
        <v>896</v>
      </c>
      <c r="E12" s="99"/>
      <c r="F12" s="47" t="s">
        <v>1144</v>
      </c>
      <c r="G12" s="42">
        <v>29</v>
      </c>
      <c r="H12" s="42">
        <v>22</v>
      </c>
      <c r="I12" s="59">
        <v>15</v>
      </c>
      <c r="J12" s="59">
        <v>13</v>
      </c>
      <c r="K12" s="59">
        <v>29</v>
      </c>
      <c r="L12" s="59">
        <v>11</v>
      </c>
      <c r="M12" s="68" t="s">
        <v>2012</v>
      </c>
      <c r="N12" s="68" t="s">
        <v>2012</v>
      </c>
      <c r="O12" s="68" t="s">
        <v>2013</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2009</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2010</v>
      </c>
      <c r="N11" s="47" t="s">
        <v>2010</v>
      </c>
      <c r="O11" s="46" t="s">
        <v>2011</v>
      </c>
    </row>
    <row r="12" spans="1:17" x14ac:dyDescent="0.2">
      <c r="A12" t="s">
        <v>896</v>
      </c>
      <c r="E12" s="99"/>
      <c r="F12" s="74" t="s">
        <v>1144</v>
      </c>
      <c r="G12" s="42">
        <v>29</v>
      </c>
      <c r="H12" s="42">
        <v>22</v>
      </c>
      <c r="I12" s="59">
        <v>15</v>
      </c>
      <c r="J12" s="59">
        <v>13</v>
      </c>
      <c r="K12" s="59">
        <v>29</v>
      </c>
      <c r="L12" s="59">
        <v>11</v>
      </c>
      <c r="M12" s="46" t="s">
        <v>2012</v>
      </c>
      <c r="N12" s="46" t="s">
        <v>2012</v>
      </c>
      <c r="O12" s="46" t="s">
        <v>2013</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2014</v>
      </c>
      <c r="H5" t="s">
        <v>2015</v>
      </c>
      <c r="I5" t="s">
        <v>2016</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2017</v>
      </c>
      <c r="H13" s="47" t="s">
        <v>2018</v>
      </c>
      <c r="I13" s="46" t="s">
        <v>1495</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2019</v>
      </c>
      <c r="H5" t="s">
        <v>2020</v>
      </c>
      <c r="I5" t="s">
        <v>2016</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2021</v>
      </c>
      <c r="H13" s="47" t="s">
        <v>2022</v>
      </c>
      <c r="I13" s="46" t="s">
        <v>1889</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1944</v>
      </c>
      <c r="G11" s="59">
        <v>84.4</v>
      </c>
      <c r="H11" s="59">
        <v>72.400000000000006</v>
      </c>
      <c r="I11" s="59">
        <v>86.8</v>
      </c>
      <c r="J11" s="42">
        <v>74.5</v>
      </c>
      <c r="K11" s="42">
        <v>67.7</v>
      </c>
      <c r="L11" s="42">
        <v>72.5</v>
      </c>
      <c r="M11" s="47" t="s">
        <v>2023</v>
      </c>
      <c r="N11" s="47" t="s">
        <v>2024</v>
      </c>
      <c r="O11" s="46" t="s">
        <v>2025</v>
      </c>
    </row>
    <row r="12" spans="1:17" x14ac:dyDescent="0.2">
      <c r="A12" t="s">
        <v>896</v>
      </c>
      <c r="E12" s="99"/>
      <c r="F12" s="74" t="s">
        <v>1946</v>
      </c>
      <c r="G12" s="42">
        <v>84.2</v>
      </c>
      <c r="H12" s="42">
        <v>70.900000000000006</v>
      </c>
      <c r="I12" s="59">
        <v>85.3</v>
      </c>
      <c r="J12" s="59">
        <v>74.5</v>
      </c>
      <c r="K12" s="59">
        <v>66.2</v>
      </c>
      <c r="L12" s="59">
        <v>72.900000000000006</v>
      </c>
      <c r="M12" s="46" t="s">
        <v>2026</v>
      </c>
      <c r="N12" s="46" t="s">
        <v>2027</v>
      </c>
      <c r="O12" s="46" t="s">
        <v>2028</v>
      </c>
    </row>
    <row r="13" spans="1:17" x14ac:dyDescent="0.2">
      <c r="A13" t="s">
        <v>897</v>
      </c>
      <c r="E13" s="99"/>
      <c r="F13" s="47" t="s">
        <v>1948</v>
      </c>
      <c r="G13" s="47" t="s">
        <v>2029</v>
      </c>
      <c r="H13" s="47" t="s">
        <v>2030</v>
      </c>
      <c r="I13" s="46" t="s">
        <v>2031</v>
      </c>
      <c r="J13" s="46" t="s">
        <v>2032</v>
      </c>
      <c r="K13" s="46" t="s">
        <v>2033</v>
      </c>
      <c r="L13" s="46" t="s">
        <v>2034</v>
      </c>
      <c r="M13" s="46" t="s">
        <v>2035</v>
      </c>
      <c r="N13" s="46" t="s">
        <v>2036</v>
      </c>
      <c r="O13" s="46" t="s">
        <v>2037</v>
      </c>
    </row>
    <row r="14" spans="1:17" x14ac:dyDescent="0.2">
      <c r="A14" t="s">
        <v>899</v>
      </c>
      <c r="B14" t="s">
        <v>715</v>
      </c>
      <c r="E14" s="99"/>
      <c r="F14" s="68" t="s">
        <v>1142</v>
      </c>
      <c r="G14" s="68" t="s">
        <v>2038</v>
      </c>
      <c r="H14" s="68" t="s">
        <v>2039</v>
      </c>
      <c r="I14" s="46" t="s">
        <v>2040</v>
      </c>
      <c r="J14" s="47" t="s">
        <v>2041</v>
      </c>
      <c r="K14" s="47" t="s">
        <v>2042</v>
      </c>
      <c r="L14" s="47" t="s">
        <v>2043</v>
      </c>
      <c r="M14" s="47" t="s">
        <v>2044</v>
      </c>
      <c r="N14" s="47" t="s">
        <v>2045</v>
      </c>
      <c r="O14" s="46" t="s">
        <v>2046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1944</v>
      </c>
      <c r="G11" s="59">
        <v>3.7</v>
      </c>
      <c r="H11" s="59">
        <v>5.3</v>
      </c>
      <c r="I11" s="59">
        <v>2.5</v>
      </c>
      <c r="J11" s="42">
        <v>3.8</v>
      </c>
      <c r="K11" s="42">
        <v>5.2</v>
      </c>
      <c r="L11" s="42">
        <v>5.2</v>
      </c>
      <c r="M11" s="47" t="s">
        <v>2047</v>
      </c>
      <c r="N11" s="47" t="s">
        <v>1992</v>
      </c>
      <c r="O11" s="46" t="s">
        <v>1985</v>
      </c>
    </row>
    <row r="12" spans="1:17" x14ac:dyDescent="0.2">
      <c r="A12" t="s">
        <v>896</v>
      </c>
      <c r="E12" s="99"/>
      <c r="F12" s="74" t="s">
        <v>1946</v>
      </c>
      <c r="G12" s="42">
        <v>3.7</v>
      </c>
      <c r="H12" s="42">
        <v>5.3</v>
      </c>
      <c r="I12" s="59">
        <v>2.4</v>
      </c>
      <c r="J12" s="59">
        <v>3.8</v>
      </c>
      <c r="K12" s="59">
        <v>5.8</v>
      </c>
      <c r="L12" s="59">
        <v>4.7</v>
      </c>
      <c r="M12" s="46" t="s">
        <v>1992</v>
      </c>
      <c r="N12" s="46" t="s">
        <v>2048</v>
      </c>
      <c r="O12" s="46" t="s">
        <v>2049</v>
      </c>
    </row>
    <row r="13" spans="1:17" x14ac:dyDescent="0.2">
      <c r="A13" t="s">
        <v>897</v>
      </c>
      <c r="E13" s="99"/>
      <c r="F13" s="47" t="s">
        <v>1948</v>
      </c>
      <c r="G13" s="47" t="s">
        <v>2050</v>
      </c>
      <c r="H13" s="47" t="s">
        <v>1947</v>
      </c>
      <c r="I13" s="46" t="s">
        <v>1507</v>
      </c>
      <c r="J13" s="46" t="s">
        <v>2051</v>
      </c>
      <c r="K13" s="46" t="s">
        <v>2052</v>
      </c>
      <c r="L13" s="46" t="s">
        <v>2053</v>
      </c>
      <c r="M13" s="46" t="s">
        <v>1950</v>
      </c>
      <c r="N13" s="46" t="s">
        <v>2054</v>
      </c>
      <c r="O13" s="46" t="s">
        <v>1990</v>
      </c>
    </row>
    <row r="14" spans="1:17" x14ac:dyDescent="0.2">
      <c r="A14" t="s">
        <v>899</v>
      </c>
      <c r="B14" t="s">
        <v>715</v>
      </c>
      <c r="E14" s="99"/>
      <c r="F14" s="68" t="s">
        <v>1142</v>
      </c>
      <c r="G14" s="68" t="s">
        <v>2048</v>
      </c>
      <c r="H14" s="68" t="s">
        <v>1951</v>
      </c>
      <c r="I14" s="46" t="s">
        <v>1485</v>
      </c>
      <c r="J14" s="47" t="s">
        <v>2048</v>
      </c>
      <c r="K14" s="47" t="s">
        <v>1467</v>
      </c>
      <c r="L14" s="47" t="s">
        <v>1506</v>
      </c>
      <c r="M14" s="47" t="s">
        <v>1952</v>
      </c>
      <c r="N14" s="47" t="s">
        <v>2048</v>
      </c>
      <c r="O14" s="46" t="s">
        <v>1985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1552</v>
      </c>
      <c r="G7" s="55">
        <v>75.5</v>
      </c>
      <c r="H7" s="55">
        <v>60.9</v>
      </c>
      <c r="I7" s="55">
        <v>86.4</v>
      </c>
      <c r="J7" s="55">
        <v>66.8</v>
      </c>
      <c r="K7" s="55">
        <v>53.2</v>
      </c>
      <c r="L7" s="55">
        <v>61.3</v>
      </c>
      <c r="M7" s="55">
        <v>69.5</v>
      </c>
      <c r="N7" s="55">
        <v>69.400000000000006</v>
      </c>
      <c r="O7" s="55">
        <v>65.2</v>
      </c>
    </row>
    <row r="8" spans="1:17" x14ac:dyDescent="0.2">
      <c r="E8" s="99"/>
      <c r="F8" t="s">
        <v>1553</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1944</v>
      </c>
      <c r="G11" s="59">
        <v>64.400000000000006</v>
      </c>
      <c r="H11" s="59">
        <v>92.4</v>
      </c>
      <c r="I11" s="59">
        <v>55.1</v>
      </c>
      <c r="J11" s="42">
        <v>104</v>
      </c>
      <c r="K11" s="42">
        <v>92.9</v>
      </c>
      <c r="L11" s="42">
        <v>64.900000000000006</v>
      </c>
      <c r="M11" s="47" t="s">
        <v>1493</v>
      </c>
      <c r="N11" s="47" t="s">
        <v>2055</v>
      </c>
      <c r="O11" s="46" t="s">
        <v>2056</v>
      </c>
    </row>
    <row r="12" spans="1:17" x14ac:dyDescent="0.2">
      <c r="A12" t="s">
        <v>896</v>
      </c>
      <c r="E12" s="99"/>
      <c r="F12" s="74" t="s">
        <v>1946</v>
      </c>
      <c r="G12" s="42">
        <v>62.5</v>
      </c>
      <c r="H12" s="42">
        <v>90.1</v>
      </c>
      <c r="I12" s="59">
        <v>55.2</v>
      </c>
      <c r="J12" s="59">
        <v>106</v>
      </c>
      <c r="K12" s="59">
        <v>91.3</v>
      </c>
      <c r="L12" s="59">
        <v>62.2</v>
      </c>
      <c r="M12" s="46" t="s">
        <v>2057</v>
      </c>
      <c r="N12" s="46" t="s">
        <v>2058</v>
      </c>
      <c r="O12" s="46" t="s">
        <v>2059</v>
      </c>
    </row>
    <row r="13" spans="1:17" x14ac:dyDescent="0.2">
      <c r="A13" t="s">
        <v>897</v>
      </c>
      <c r="E13" s="99"/>
      <c r="F13" s="47" t="s">
        <v>1948</v>
      </c>
      <c r="G13" s="47" t="s">
        <v>2060</v>
      </c>
      <c r="H13" s="47" t="s">
        <v>2061</v>
      </c>
      <c r="I13" s="46" t="s">
        <v>2062</v>
      </c>
      <c r="J13" s="46" t="s">
        <v>2063</v>
      </c>
      <c r="K13" s="46" t="s">
        <v>2064</v>
      </c>
      <c r="L13" s="46" t="s">
        <v>2065</v>
      </c>
      <c r="M13" s="46" t="s">
        <v>1493</v>
      </c>
      <c r="N13" s="46" t="s">
        <v>2066</v>
      </c>
      <c r="O13" s="46" t="s">
        <v>2067</v>
      </c>
    </row>
    <row r="14" spans="1:17" x14ac:dyDescent="0.2">
      <c r="A14" t="s">
        <v>899</v>
      </c>
      <c r="B14" t="s">
        <v>701</v>
      </c>
      <c r="E14" s="99"/>
      <c r="F14" s="68" t="s">
        <v>1142</v>
      </c>
      <c r="G14" s="68" t="s">
        <v>2068</v>
      </c>
      <c r="H14" s="68" t="s">
        <v>2069</v>
      </c>
      <c r="I14" s="46" t="s">
        <v>2070</v>
      </c>
      <c r="J14" s="47" t="s">
        <v>2071</v>
      </c>
      <c r="K14" s="47" t="s">
        <v>2072</v>
      </c>
      <c r="L14" s="47" t="s">
        <v>2073</v>
      </c>
      <c r="M14" s="47" t="s">
        <v>2074</v>
      </c>
      <c r="N14" s="47" t="s">
        <v>2075</v>
      </c>
      <c r="O14" s="46" t="s">
        <v>2076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1552</v>
      </c>
      <c r="G7" s="55">
        <v>71.7</v>
      </c>
      <c r="H7" s="55">
        <v>67.900000000000006</v>
      </c>
      <c r="I7" s="55">
        <v>40.200000000000003</v>
      </c>
      <c r="J7" s="55">
        <v>60.4</v>
      </c>
      <c r="K7" s="55">
        <v>57.4</v>
      </c>
      <c r="L7" s="55">
        <v>62</v>
      </c>
      <c r="M7" s="55">
        <v>79</v>
      </c>
      <c r="N7" s="55">
        <v>81.599999999999994</v>
      </c>
      <c r="O7" s="55">
        <v>82.1</v>
      </c>
    </row>
    <row r="8" spans="1:17" x14ac:dyDescent="0.2">
      <c r="E8" s="99"/>
      <c r="F8" t="s">
        <v>1553</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topLeftCell="AF1" workbookViewId="0">
      <selection activeCell="L43" sqref="L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2094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1944</v>
      </c>
      <c r="G11" s="59">
        <v>15.5</v>
      </c>
      <c r="H11" s="59">
        <v>22.4</v>
      </c>
      <c r="I11" s="59">
        <v>4.7</v>
      </c>
      <c r="J11" s="42">
        <v>14.4</v>
      </c>
      <c r="K11" s="42">
        <v>32.9</v>
      </c>
      <c r="L11" s="42">
        <v>20.2</v>
      </c>
      <c r="M11" s="47" t="s">
        <v>2077</v>
      </c>
      <c r="N11" s="47" t="s">
        <v>2078</v>
      </c>
      <c r="O11" s="46" t="s">
        <v>2079</v>
      </c>
    </row>
    <row r="12" spans="1:17" x14ac:dyDescent="0.2">
      <c r="A12" t="s">
        <v>896</v>
      </c>
      <c r="E12" s="99"/>
      <c r="F12" s="74" t="s">
        <v>1946</v>
      </c>
      <c r="G12" s="42">
        <v>14</v>
      </c>
      <c r="H12" s="42">
        <v>18.600000000000001</v>
      </c>
      <c r="I12" s="59">
        <v>4.8</v>
      </c>
      <c r="J12" s="59">
        <v>13.6</v>
      </c>
      <c r="K12" s="59">
        <v>30.6</v>
      </c>
      <c r="L12" s="59">
        <v>16.600000000000001</v>
      </c>
      <c r="M12" s="46" t="s">
        <v>2080</v>
      </c>
      <c r="N12" s="46" t="s">
        <v>2081</v>
      </c>
      <c r="O12" s="46" t="s">
        <v>1755</v>
      </c>
    </row>
    <row r="13" spans="1:17" x14ac:dyDescent="0.2">
      <c r="A13" t="s">
        <v>897</v>
      </c>
      <c r="E13" s="99"/>
      <c r="F13" s="47" t="s">
        <v>1948</v>
      </c>
      <c r="G13" s="47" t="s">
        <v>1753</v>
      </c>
      <c r="H13" s="47" t="s">
        <v>2082</v>
      </c>
      <c r="I13" s="46" t="s">
        <v>1990</v>
      </c>
      <c r="J13" s="46" t="s">
        <v>1824</v>
      </c>
      <c r="K13" s="46" t="s">
        <v>2083</v>
      </c>
      <c r="L13" s="46" t="s">
        <v>2080</v>
      </c>
      <c r="M13" s="46" t="s">
        <v>2084</v>
      </c>
      <c r="N13" s="46" t="s">
        <v>2085</v>
      </c>
      <c r="O13" s="46" t="s">
        <v>2086</v>
      </c>
    </row>
    <row r="14" spans="1:17" x14ac:dyDescent="0.2">
      <c r="A14" t="s">
        <v>899</v>
      </c>
      <c r="B14" t="s">
        <v>701</v>
      </c>
      <c r="E14" s="99"/>
      <c r="F14" s="68" t="s">
        <v>1142</v>
      </c>
      <c r="G14" s="68" t="s">
        <v>2087</v>
      </c>
      <c r="H14" s="68" t="s">
        <v>1761</v>
      </c>
      <c r="I14" s="46" t="s">
        <v>1951</v>
      </c>
      <c r="J14" s="47" t="s">
        <v>2088</v>
      </c>
      <c r="K14" s="47" t="s">
        <v>1967</v>
      </c>
      <c r="L14" s="47" t="s">
        <v>1846</v>
      </c>
      <c r="M14" s="47" t="s">
        <v>2089</v>
      </c>
      <c r="N14" s="47" t="s">
        <v>1816</v>
      </c>
      <c r="O14" s="46" t="s">
        <v>2090</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2091</v>
      </c>
      <c r="J6" s="55" t="s">
        <v>2092</v>
      </c>
      <c r="K6" s="55">
        <v>2.2999999999999998</v>
      </c>
      <c r="L6" s="55">
        <v>1.6</v>
      </c>
      <c r="M6" s="55">
        <v>0.6</v>
      </c>
      <c r="N6" s="55">
        <v>1.4</v>
      </c>
      <c r="O6" s="55">
        <v>1.3</v>
      </c>
    </row>
    <row r="7" spans="1:17" ht="15.75" customHeight="1" x14ac:dyDescent="0.2">
      <c r="E7" s="99"/>
      <c r="F7" t="s">
        <v>1552</v>
      </c>
      <c r="G7" s="55">
        <v>5.0999999999999996</v>
      </c>
      <c r="H7" s="55">
        <v>3.9</v>
      </c>
      <c r="I7" s="55" t="s">
        <v>1590</v>
      </c>
      <c r="J7" s="55">
        <v>2.1</v>
      </c>
      <c r="K7" s="55" t="s">
        <v>1867</v>
      </c>
      <c r="L7" s="55" t="s">
        <v>1785</v>
      </c>
      <c r="M7" s="55">
        <v>4.9000000000000004</v>
      </c>
      <c r="N7" s="55">
        <v>6.8</v>
      </c>
      <c r="O7" s="55">
        <v>6.4</v>
      </c>
    </row>
    <row r="8" spans="1:17" x14ac:dyDescent="0.2">
      <c r="E8" s="99"/>
      <c r="F8" t="s">
        <v>1553</v>
      </c>
      <c r="G8" s="55" t="s">
        <v>1590</v>
      </c>
      <c r="H8" s="55" t="s">
        <v>1979</v>
      </c>
      <c r="I8" s="55" t="s">
        <v>1590</v>
      </c>
      <c r="J8" s="55" t="s">
        <v>2093</v>
      </c>
      <c r="K8" s="55" t="s">
        <v>1590</v>
      </c>
      <c r="L8" s="55" t="s">
        <v>1590</v>
      </c>
      <c r="M8" s="55" t="s">
        <v>2092</v>
      </c>
      <c r="N8" s="55">
        <v>0.7</v>
      </c>
      <c r="O8" s="55">
        <v>0.6</v>
      </c>
      <c r="P8" s="14"/>
    </row>
    <row r="9" spans="1:17" x14ac:dyDescent="0.2">
      <c r="A9" s="98" t="s">
        <v>893</v>
      </c>
      <c r="B9" s="99"/>
      <c r="E9" s="99"/>
      <c r="F9" t="s">
        <v>927</v>
      </c>
      <c r="G9" s="55">
        <v>2.9</v>
      </c>
      <c r="H9" s="55">
        <v>4</v>
      </c>
      <c r="I9" s="55" t="s">
        <v>1994</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2095</v>
      </c>
      <c r="G5" t="s">
        <v>220</v>
      </c>
      <c r="H5" t="s">
        <v>18</v>
      </c>
      <c r="I5" t="s">
        <v>537</v>
      </c>
      <c r="J5" t="s">
        <v>449</v>
      </c>
      <c r="K5" t="s">
        <v>409</v>
      </c>
      <c r="L5" t="s">
        <v>421</v>
      </c>
      <c r="M5" t="s">
        <v>470</v>
      </c>
      <c r="N5" t="s">
        <v>898</v>
      </c>
      <c r="O5" t="s">
        <v>915</v>
      </c>
    </row>
    <row r="6" spans="1:17" ht="15" customHeight="1" x14ac:dyDescent="0.2">
      <c r="A6" t="s">
        <v>891</v>
      </c>
      <c r="B6" t="b">
        <v>0</v>
      </c>
      <c r="E6" s="99"/>
      <c r="F6" t="s">
        <v>2096</v>
      </c>
      <c r="G6" s="55">
        <v>32.4</v>
      </c>
      <c r="H6" s="55">
        <v>57.3</v>
      </c>
      <c r="I6" s="55">
        <v>23.7</v>
      </c>
      <c r="J6" s="55">
        <v>60.9</v>
      </c>
      <c r="K6" s="55">
        <v>66.599999999999994</v>
      </c>
      <c r="L6" s="55">
        <v>44.7</v>
      </c>
      <c r="M6" s="55">
        <v>32.5</v>
      </c>
      <c r="N6" s="55">
        <v>45.5</v>
      </c>
      <c r="O6" s="55">
        <v>49.8</v>
      </c>
    </row>
    <row r="7" spans="1:17" ht="15.75" customHeight="1" x14ac:dyDescent="0.2">
      <c r="E7" s="99"/>
      <c r="F7" t="s">
        <v>2097</v>
      </c>
      <c r="G7" s="55">
        <v>0.3</v>
      </c>
      <c r="H7" s="55">
        <v>0.8</v>
      </c>
      <c r="I7" s="55">
        <v>0.1</v>
      </c>
      <c r="J7" s="55">
        <v>0.7</v>
      </c>
      <c r="K7" s="55">
        <v>0.4</v>
      </c>
      <c r="L7" s="55">
        <v>0.3</v>
      </c>
      <c r="M7" s="55">
        <v>0.3</v>
      </c>
      <c r="N7" s="55">
        <v>0.5</v>
      </c>
      <c r="O7" s="55">
        <v>1</v>
      </c>
    </row>
    <row r="8" spans="1:17" x14ac:dyDescent="0.2">
      <c r="E8" s="99"/>
      <c r="F8" t="s">
        <v>2098</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1944</v>
      </c>
      <c r="G11" s="59">
        <v>9.1999999999999993</v>
      </c>
      <c r="H11" s="59">
        <v>8.1</v>
      </c>
      <c r="I11" s="59">
        <v>8.3000000000000007</v>
      </c>
      <c r="J11" s="42">
        <v>6.4</v>
      </c>
      <c r="K11" s="42">
        <v>9.1</v>
      </c>
      <c r="L11" s="42">
        <v>9</v>
      </c>
      <c r="M11" s="47" t="s">
        <v>2099</v>
      </c>
      <c r="N11" s="47" t="s">
        <v>2100</v>
      </c>
      <c r="O11" s="46" t="s">
        <v>2100</v>
      </c>
    </row>
    <row r="12" spans="1:17" x14ac:dyDescent="0.2">
      <c r="A12" t="s">
        <v>896</v>
      </c>
      <c r="E12" s="99"/>
      <c r="F12" s="74" t="s">
        <v>1946</v>
      </c>
      <c r="G12" s="42">
        <v>9</v>
      </c>
      <c r="H12" s="42">
        <v>8.3000000000000007</v>
      </c>
      <c r="I12" s="59">
        <v>8.6999999999999993</v>
      </c>
      <c r="J12" s="59">
        <v>6.3</v>
      </c>
      <c r="K12" s="59">
        <v>10.3</v>
      </c>
      <c r="L12" s="59">
        <v>9</v>
      </c>
      <c r="M12" s="46" t="s">
        <v>2099</v>
      </c>
      <c r="N12" s="46" t="s">
        <v>2101</v>
      </c>
      <c r="O12" s="46" t="s">
        <v>2102</v>
      </c>
    </row>
    <row r="13" spans="1:17" x14ac:dyDescent="0.2">
      <c r="A13" t="s">
        <v>897</v>
      </c>
      <c r="E13" s="99"/>
      <c r="F13" s="47" t="s">
        <v>1948</v>
      </c>
      <c r="G13" s="47" t="s">
        <v>2103</v>
      </c>
      <c r="H13" s="47" t="s">
        <v>1465</v>
      </c>
      <c r="I13" s="46" t="s">
        <v>2099</v>
      </c>
      <c r="J13" s="46" t="s">
        <v>1987</v>
      </c>
      <c r="K13" s="46" t="s">
        <v>2104</v>
      </c>
      <c r="L13" s="46" t="s">
        <v>2105</v>
      </c>
      <c r="M13" s="46" t="s">
        <v>2100</v>
      </c>
      <c r="N13" s="46" t="s">
        <v>2101</v>
      </c>
      <c r="O13" s="46" t="s">
        <v>2102</v>
      </c>
    </row>
    <row r="14" spans="1:17" x14ac:dyDescent="0.2">
      <c r="A14" t="s">
        <v>899</v>
      </c>
      <c r="B14" t="s">
        <v>694</v>
      </c>
      <c r="E14" s="99"/>
      <c r="F14" s="68" t="s">
        <v>1142</v>
      </c>
      <c r="G14" s="68" t="s">
        <v>2104</v>
      </c>
      <c r="H14" s="68" t="s">
        <v>1465</v>
      </c>
      <c r="I14" s="46" t="s">
        <v>2099</v>
      </c>
      <c r="J14" s="47" t="s">
        <v>1886</v>
      </c>
      <c r="K14" s="47" t="s">
        <v>2104</v>
      </c>
      <c r="L14" s="47" t="s">
        <v>2106</v>
      </c>
      <c r="M14" s="47" t="s">
        <v>2100</v>
      </c>
      <c r="N14" s="47" t="s">
        <v>1887</v>
      </c>
      <c r="O14" s="46" t="s">
        <v>2104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1944</v>
      </c>
      <c r="G11" s="59">
        <v>7.5</v>
      </c>
      <c r="H11" s="59">
        <v>6.6</v>
      </c>
      <c r="I11" s="59">
        <v>6.5</v>
      </c>
      <c r="J11" s="42">
        <v>5.8</v>
      </c>
      <c r="K11" s="42">
        <v>7.8</v>
      </c>
      <c r="L11" s="42">
        <v>7.6</v>
      </c>
      <c r="M11" s="47" t="s">
        <v>1949</v>
      </c>
      <c r="N11" s="47" t="s">
        <v>2107</v>
      </c>
      <c r="O11" s="46" t="s">
        <v>1464</v>
      </c>
    </row>
    <row r="12" spans="1:17" x14ac:dyDescent="0.2">
      <c r="A12" t="s">
        <v>896</v>
      </c>
      <c r="E12" s="99"/>
      <c r="F12" s="74" t="s">
        <v>1946</v>
      </c>
      <c r="G12" s="42">
        <v>7.3</v>
      </c>
      <c r="H12" s="42">
        <v>7</v>
      </c>
      <c r="I12" s="59">
        <v>6.6</v>
      </c>
      <c r="J12" s="59">
        <v>5.6</v>
      </c>
      <c r="K12" s="59">
        <v>8.6</v>
      </c>
      <c r="L12" s="59">
        <v>7.7</v>
      </c>
      <c r="M12" s="46" t="s">
        <v>1949</v>
      </c>
      <c r="N12" s="46" t="s">
        <v>2107</v>
      </c>
      <c r="O12" s="46" t="s">
        <v>1464</v>
      </c>
    </row>
    <row r="13" spans="1:17" x14ac:dyDescent="0.2">
      <c r="A13" t="s">
        <v>897</v>
      </c>
      <c r="E13" s="99"/>
      <c r="F13" s="47" t="s">
        <v>1948</v>
      </c>
      <c r="G13" s="47" t="s">
        <v>1949</v>
      </c>
      <c r="H13" s="47" t="s">
        <v>2052</v>
      </c>
      <c r="I13" s="46" t="s">
        <v>2052</v>
      </c>
      <c r="J13" s="46" t="s">
        <v>1738</v>
      </c>
      <c r="K13" s="46" t="s">
        <v>1463</v>
      </c>
      <c r="L13" s="46" t="s">
        <v>1888</v>
      </c>
      <c r="M13" s="46" t="s">
        <v>2107</v>
      </c>
      <c r="N13" s="46" t="s">
        <v>1949</v>
      </c>
      <c r="O13" s="46" t="s">
        <v>1447</v>
      </c>
    </row>
    <row r="14" spans="1:17" x14ac:dyDescent="0.2">
      <c r="A14" t="s">
        <v>899</v>
      </c>
      <c r="B14" t="s">
        <v>694</v>
      </c>
      <c r="E14" s="99"/>
      <c r="F14" s="68" t="s">
        <v>1142</v>
      </c>
      <c r="G14" s="68" t="s">
        <v>1949</v>
      </c>
      <c r="H14" s="68" t="s">
        <v>1449</v>
      </c>
      <c r="I14" s="46" t="s">
        <v>1889</v>
      </c>
      <c r="J14" s="47" t="s">
        <v>1738</v>
      </c>
      <c r="K14" s="47" t="s">
        <v>1464</v>
      </c>
      <c r="L14" s="47" t="s">
        <v>1888</v>
      </c>
      <c r="M14" s="47" t="s">
        <v>1949</v>
      </c>
      <c r="N14" s="47" t="s">
        <v>1467</v>
      </c>
      <c r="O14" s="46" t="s">
        <v>1465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1552</v>
      </c>
      <c r="G7" s="55">
        <v>13.4</v>
      </c>
      <c r="H7" s="55">
        <v>13.4</v>
      </c>
      <c r="I7" s="55" t="s">
        <v>2108</v>
      </c>
      <c r="J7" s="55">
        <v>10.4</v>
      </c>
      <c r="K7" s="55">
        <v>16.899999999999999</v>
      </c>
      <c r="L7" s="55">
        <v>11.8</v>
      </c>
      <c r="M7" s="55">
        <v>13</v>
      </c>
      <c r="N7" s="55">
        <v>14.2</v>
      </c>
      <c r="O7" s="55">
        <v>13.8</v>
      </c>
    </row>
    <row r="8" spans="1:17" x14ac:dyDescent="0.2">
      <c r="E8" s="99"/>
      <c r="F8" t="s">
        <v>1553</v>
      </c>
      <c r="G8" s="55">
        <v>8</v>
      </c>
      <c r="H8" s="55">
        <v>8.1</v>
      </c>
      <c r="I8" s="55" t="s">
        <v>2109</v>
      </c>
      <c r="J8" s="55">
        <v>9.3000000000000007</v>
      </c>
      <c r="K8" s="55" t="s">
        <v>1885</v>
      </c>
      <c r="L8" s="55" t="s">
        <v>1883</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2110</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2111</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2112</v>
      </c>
      <c r="J9" s="55">
        <v>3.6</v>
      </c>
      <c r="K9" s="55">
        <v>4.9000000000000004</v>
      </c>
      <c r="L9" s="55">
        <v>4.8</v>
      </c>
      <c r="M9" s="55">
        <v>3.1</v>
      </c>
      <c r="N9" s="55">
        <v>5</v>
      </c>
      <c r="O9" s="55">
        <v>4.4000000000000004</v>
      </c>
    </row>
    <row r="10" spans="1:17" x14ac:dyDescent="0.2">
      <c r="A10" t="s">
        <v>894</v>
      </c>
      <c r="B10" t="s">
        <v>972</v>
      </c>
      <c r="E10" s="99"/>
      <c r="F10">
        <v>2017</v>
      </c>
      <c r="G10">
        <v>4.5</v>
      </c>
      <c r="H10">
        <v>3.9</v>
      </c>
      <c r="I10" t="s">
        <v>2111</v>
      </c>
      <c r="J10">
        <v>3</v>
      </c>
      <c r="K10">
        <v>4.4000000000000004</v>
      </c>
      <c r="L10">
        <v>4</v>
      </c>
      <c r="M10">
        <v>3.6</v>
      </c>
      <c r="N10">
        <v>4.7</v>
      </c>
      <c r="O10">
        <v>4.5</v>
      </c>
    </row>
    <row r="11" spans="1:17" x14ac:dyDescent="0.2">
      <c r="A11" t="s">
        <v>895</v>
      </c>
      <c r="B11" t="s">
        <v>887</v>
      </c>
      <c r="E11" s="99"/>
      <c r="F11" s="46" t="s">
        <v>1944</v>
      </c>
      <c r="G11" s="59">
        <v>4.3</v>
      </c>
      <c r="H11" s="59">
        <v>3.6</v>
      </c>
      <c r="I11" s="59" t="s">
        <v>2113</v>
      </c>
      <c r="J11" s="42">
        <v>3</v>
      </c>
      <c r="K11" s="42" t="s">
        <v>2114</v>
      </c>
      <c r="L11" s="42">
        <v>3.3</v>
      </c>
      <c r="M11" s="47" t="s">
        <v>2050</v>
      </c>
      <c r="N11" s="47" t="s">
        <v>1952</v>
      </c>
      <c r="O11" s="46" t="s">
        <v>2048</v>
      </c>
    </row>
    <row r="12" spans="1:17" x14ac:dyDescent="0.2">
      <c r="A12" t="s">
        <v>896</v>
      </c>
      <c r="E12" s="99"/>
      <c r="F12" s="74" t="s">
        <v>1946</v>
      </c>
      <c r="G12" s="42">
        <v>4.2</v>
      </c>
      <c r="H12" s="42">
        <v>3.9</v>
      </c>
      <c r="I12" s="59" t="s">
        <v>1862</v>
      </c>
      <c r="J12" s="59">
        <v>2.8</v>
      </c>
      <c r="K12" s="59" t="s">
        <v>1988</v>
      </c>
      <c r="L12" s="59">
        <v>3.3</v>
      </c>
      <c r="M12" s="46" t="s">
        <v>2050</v>
      </c>
      <c r="N12" s="46" t="s">
        <v>2115</v>
      </c>
      <c r="O12" s="46" t="s">
        <v>2048</v>
      </c>
    </row>
    <row r="13" spans="1:17" x14ac:dyDescent="0.2">
      <c r="A13" t="s">
        <v>897</v>
      </c>
      <c r="E13" s="99"/>
      <c r="F13" s="47" t="s">
        <v>1948</v>
      </c>
      <c r="G13" s="47" t="s">
        <v>2116</v>
      </c>
      <c r="H13" s="47" t="s">
        <v>2047</v>
      </c>
      <c r="I13" s="46" t="s">
        <v>2117</v>
      </c>
      <c r="J13" s="46" t="s">
        <v>1485</v>
      </c>
      <c r="K13" s="46" t="s">
        <v>2054</v>
      </c>
      <c r="L13" s="46" t="s">
        <v>2047</v>
      </c>
      <c r="M13" s="46" t="s">
        <v>2118</v>
      </c>
      <c r="N13" s="46" t="s">
        <v>2119</v>
      </c>
      <c r="O13" s="46" t="s">
        <v>2120</v>
      </c>
    </row>
    <row r="14" spans="1:17" x14ac:dyDescent="0.2">
      <c r="A14" t="s">
        <v>899</v>
      </c>
      <c r="B14" t="s">
        <v>701</v>
      </c>
      <c r="E14" s="99"/>
      <c r="F14" s="68" t="s">
        <v>1142</v>
      </c>
      <c r="G14" s="68" t="s">
        <v>2116</v>
      </c>
      <c r="H14" s="68" t="s">
        <v>2121</v>
      </c>
      <c r="I14" s="46" t="s">
        <v>1785</v>
      </c>
      <c r="J14" s="47" t="s">
        <v>2122</v>
      </c>
      <c r="K14" s="47" t="s">
        <v>2123</v>
      </c>
      <c r="L14" s="47" t="s">
        <v>1993</v>
      </c>
      <c r="M14" s="47" t="s">
        <v>2118</v>
      </c>
      <c r="N14" s="47" t="s">
        <v>2119</v>
      </c>
      <c r="O14" s="46" t="s">
        <v>1992</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1944</v>
      </c>
      <c r="G11" s="59">
        <v>52.3</v>
      </c>
      <c r="H11" s="59">
        <v>37.700000000000003</v>
      </c>
      <c r="I11" s="59">
        <v>65.400000000000006</v>
      </c>
      <c r="J11" s="42">
        <v>31.2</v>
      </c>
      <c r="K11" s="42">
        <v>54.4</v>
      </c>
      <c r="L11" s="42">
        <v>61.3</v>
      </c>
      <c r="M11" s="47" t="s">
        <v>2124</v>
      </c>
      <c r="N11" s="47" t="s">
        <v>2125</v>
      </c>
      <c r="O11" s="46" t="s">
        <v>2126</v>
      </c>
    </row>
    <row r="12" spans="1:17" x14ac:dyDescent="0.2">
      <c r="A12" t="s">
        <v>896</v>
      </c>
      <c r="E12" s="99"/>
      <c r="F12" s="74" t="s">
        <v>1946</v>
      </c>
      <c r="G12" s="42">
        <v>49.6</v>
      </c>
      <c r="H12" s="42">
        <v>36.9</v>
      </c>
      <c r="I12" s="59">
        <v>53.4</v>
      </c>
      <c r="J12" s="59">
        <v>32.700000000000003</v>
      </c>
      <c r="K12" s="59">
        <v>50.7</v>
      </c>
      <c r="L12" s="59">
        <v>60.8</v>
      </c>
      <c r="M12" s="46" t="s">
        <v>2127</v>
      </c>
      <c r="N12" s="46" t="s">
        <v>2128</v>
      </c>
      <c r="O12" s="46" t="s">
        <v>2129</v>
      </c>
    </row>
    <row r="13" spans="1:17" x14ac:dyDescent="0.2">
      <c r="A13" t="s">
        <v>897</v>
      </c>
      <c r="E13" s="99"/>
      <c r="F13" s="47" t="s">
        <v>1948</v>
      </c>
      <c r="G13" s="47" t="s">
        <v>2130</v>
      </c>
      <c r="H13" s="47" t="s">
        <v>2131</v>
      </c>
      <c r="I13" s="46" t="s">
        <v>2132</v>
      </c>
      <c r="J13" s="46" t="s">
        <v>2133</v>
      </c>
      <c r="K13" s="46" t="s">
        <v>2134</v>
      </c>
      <c r="L13" s="46" t="s">
        <v>2135</v>
      </c>
      <c r="M13" s="46" t="s">
        <v>1454</v>
      </c>
      <c r="N13" s="46" t="s">
        <v>2136</v>
      </c>
      <c r="O13" s="46" t="s">
        <v>2137</v>
      </c>
    </row>
    <row r="14" spans="1:17" x14ac:dyDescent="0.2">
      <c r="A14" t="s">
        <v>899</v>
      </c>
      <c r="B14" t="s">
        <v>694</v>
      </c>
      <c r="E14" s="99"/>
      <c r="F14" s="68" t="s">
        <v>1142</v>
      </c>
      <c r="G14" s="68" t="s">
        <v>2138</v>
      </c>
      <c r="H14" s="68" t="s">
        <v>2139</v>
      </c>
      <c r="I14" s="46" t="s">
        <v>2140</v>
      </c>
      <c r="J14" s="47" t="s">
        <v>2141</v>
      </c>
      <c r="K14" s="47" t="s">
        <v>2142</v>
      </c>
      <c r="L14" s="47" t="s">
        <v>2143</v>
      </c>
      <c r="M14" s="47" t="s">
        <v>1473</v>
      </c>
      <c r="N14" s="47" t="s">
        <v>2144</v>
      </c>
      <c r="O14" s="46" t="s">
        <v>2145</v>
      </c>
    </row>
    <row r="15" spans="1:17" x14ac:dyDescent="0.2">
      <c r="A15" t="s">
        <v>901</v>
      </c>
      <c r="B15" t="b">
        <v>1</v>
      </c>
      <c r="E15" s="99"/>
      <c r="F15">
        <v>2022</v>
      </c>
      <c r="G15" s="68" t="s">
        <v>1454</v>
      </c>
      <c r="H15" s="68" t="s">
        <v>2146</v>
      </c>
      <c r="I15" s="46" t="s">
        <v>2147</v>
      </c>
      <c r="J15" s="47" t="s">
        <v>2148</v>
      </c>
      <c r="K15" s="47" t="s">
        <v>2149</v>
      </c>
      <c r="L15" s="47" t="s">
        <v>2042</v>
      </c>
      <c r="M15" s="47" t="s">
        <v>2150</v>
      </c>
      <c r="N15" s="47" t="s">
        <v>2146</v>
      </c>
      <c r="O15" s="46" t="s">
        <v>2151</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2152</v>
      </c>
      <c r="G6" s="55">
        <v>30.8</v>
      </c>
      <c r="H6" s="55">
        <v>35.799999999999997</v>
      </c>
      <c r="I6" s="55">
        <v>31.6</v>
      </c>
      <c r="J6" s="55">
        <v>45.5</v>
      </c>
      <c r="K6" s="55">
        <v>29.1</v>
      </c>
      <c r="L6" s="55">
        <v>28.5</v>
      </c>
      <c r="M6" s="55">
        <v>30.7</v>
      </c>
      <c r="N6" s="55">
        <v>30.2</v>
      </c>
      <c r="O6" s="55">
        <v>29.5</v>
      </c>
    </row>
    <row r="7" spans="1:17" ht="15.75" customHeight="1" x14ac:dyDescent="0.2">
      <c r="E7" s="99"/>
      <c r="F7" t="s">
        <v>2153</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2161</v>
      </c>
      <c r="H5" s="101"/>
      <c r="I5" s="101"/>
      <c r="J5" s="101"/>
      <c r="K5" s="101"/>
      <c r="L5" s="101"/>
      <c r="M5" s="101"/>
      <c r="N5" t="s">
        <v>1776</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1944</v>
      </c>
      <c r="G11" s="59">
        <v>4.9000000000000004</v>
      </c>
      <c r="H11" s="59">
        <v>7.5</v>
      </c>
      <c r="I11" s="59">
        <v>4.8</v>
      </c>
      <c r="J11" s="42">
        <v>4.7</v>
      </c>
      <c r="K11" s="42">
        <v>6.9</v>
      </c>
      <c r="L11" s="42">
        <v>7.3</v>
      </c>
      <c r="M11" s="47" t="s">
        <v>1945</v>
      </c>
      <c r="N11" s="47" t="s">
        <v>1466</v>
      </c>
      <c r="O11" s="46"/>
    </row>
    <row r="12" spans="1:17" x14ac:dyDescent="0.2">
      <c r="A12" t="s">
        <v>896</v>
      </c>
      <c r="E12" s="99"/>
      <c r="F12" s="74" t="s">
        <v>1946</v>
      </c>
      <c r="G12" s="42">
        <v>6.3</v>
      </c>
      <c r="H12" s="42">
        <v>7.3</v>
      </c>
      <c r="I12" s="59">
        <v>5.3</v>
      </c>
      <c r="J12" s="59">
        <v>4.3</v>
      </c>
      <c r="K12" s="59">
        <v>6.7</v>
      </c>
      <c r="L12" s="59">
        <v>7.5</v>
      </c>
      <c r="M12" s="46" t="s">
        <v>1947</v>
      </c>
      <c r="N12" s="46" t="s">
        <v>1466</v>
      </c>
      <c r="O12" s="46"/>
    </row>
    <row r="13" spans="1:17" x14ac:dyDescent="0.2">
      <c r="A13" t="s">
        <v>897</v>
      </c>
      <c r="E13" s="99"/>
      <c r="F13" s="47" t="s">
        <v>1948</v>
      </c>
      <c r="G13" s="47" t="s">
        <v>1464</v>
      </c>
      <c r="H13" s="47" t="s">
        <v>1949</v>
      </c>
      <c r="I13" s="46" t="s">
        <v>1463</v>
      </c>
      <c r="J13" s="46" t="s">
        <v>1950</v>
      </c>
      <c r="K13" s="46" t="s">
        <v>1951</v>
      </c>
      <c r="L13" s="46" t="s">
        <v>1466</v>
      </c>
      <c r="M13" s="46" t="s">
        <v>1760</v>
      </c>
      <c r="N13" s="46" t="s">
        <v>1467</v>
      </c>
      <c r="O13" s="46"/>
    </row>
    <row r="14" spans="1:17" x14ac:dyDescent="0.2">
      <c r="A14" t="s">
        <v>899</v>
      </c>
      <c r="B14" t="s">
        <v>694</v>
      </c>
      <c r="E14" s="99"/>
      <c r="F14" s="68" t="s">
        <v>1142</v>
      </c>
      <c r="G14" s="68" t="s">
        <v>1468</v>
      </c>
      <c r="H14" s="68" t="s">
        <v>1463</v>
      </c>
      <c r="I14" s="46" t="s">
        <v>1463</v>
      </c>
      <c r="J14" s="47" t="s">
        <v>1952</v>
      </c>
      <c r="K14" s="47" t="s">
        <v>2160</v>
      </c>
      <c r="L14" s="47" t="s">
        <v>1499</v>
      </c>
      <c r="M14" s="47" t="s">
        <v>1983</v>
      </c>
      <c r="N14" s="47" t="s">
        <v>1447</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2161</v>
      </c>
      <c r="H5" s="101"/>
      <c r="I5" s="101"/>
      <c r="J5" s="101"/>
      <c r="K5" s="101"/>
      <c r="L5" s="101"/>
      <c r="M5" s="101"/>
      <c r="N5" s="101" t="s">
        <v>1776</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1552</v>
      </c>
      <c r="G7" s="55">
        <v>5</v>
      </c>
      <c r="H7" s="55">
        <v>21.2</v>
      </c>
      <c r="I7" s="55">
        <v>13</v>
      </c>
      <c r="J7" s="55">
        <v>11.3</v>
      </c>
      <c r="K7" s="55">
        <v>30.4</v>
      </c>
      <c r="L7" s="55">
        <v>16.3</v>
      </c>
      <c r="M7" s="55">
        <v>14.7</v>
      </c>
      <c r="N7" s="55">
        <v>19.3</v>
      </c>
      <c r="O7" s="55">
        <v>17.100000000000001</v>
      </c>
    </row>
    <row r="8" spans="1:17" x14ac:dyDescent="0.2">
      <c r="E8" s="99"/>
      <c r="F8" t="s">
        <v>1814</v>
      </c>
      <c r="G8" s="55">
        <v>7.2</v>
      </c>
      <c r="H8" s="55">
        <v>9.3000000000000007</v>
      </c>
      <c r="I8" s="55" t="s">
        <v>754</v>
      </c>
      <c r="J8" s="55">
        <v>14.7</v>
      </c>
      <c r="K8" s="55">
        <v>15.2</v>
      </c>
      <c r="L8" s="55" t="s">
        <v>1815</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1959</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2026-05-18T17:56:52Z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