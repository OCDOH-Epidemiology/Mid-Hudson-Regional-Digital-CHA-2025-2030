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Crandell\Downloads\"/>
    </mc:Choice>
  </mc:AlternateContent>
  <xr:revisionPtr revIDLastSave="0" documentId="13_ncr:1_{7E6A9B50-8DA5-4DBF-A885-2BED0280CFBC}" xr6:coauthVersionLast="47" xr6:coauthVersionMax="47" xr10:uidLastSave="{00000000-0000-0000-0000-000000000000}"/>
  <bookViews>
    <workbookView xWindow="-120" yWindow="-120" windowWidth="29040" windowHeight="15720" firstSheet="235" activeTab="239"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89" l="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B4" i="259" s="1"/>
  <c r="H165" i="1"/>
  <c r="B4" i="257" s="1"/>
  <c r="H163" i="1"/>
  <c r="H162" i="1"/>
  <c r="H161" i="1"/>
  <c r="H160" i="1"/>
  <c r="H159" i="1"/>
  <c r="H158" i="1"/>
  <c r="H157" i="1"/>
  <c r="B4" i="250" s="1"/>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H124" i="1"/>
  <c r="H125" i="1"/>
  <c r="B4" i="230" s="1"/>
  <c r="H111" i="1"/>
  <c r="B4" i="163" s="1"/>
  <c r="B4" i="284" l="1"/>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<sst xmlns="http://schemas.openxmlformats.org/spreadsheetml/2006/main" count="14395" uniqueCount="2188">
  <si>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</si>
  <si>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</si>
  <si>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</si>
  <si>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</si>
  <si>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</si>
  <si>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</si>
  <si>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</si>
  <si>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</si>
  <si>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</si>
  <si>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</si>
  <si>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</si>
  <si>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</si>
  <si>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</si>
  <si>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</si>
  <si>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</si>
  <si>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</si>
  <si>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</si>
  <si>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</si>
  <si>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</si>
  <si>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</si>
  <si>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</si>
  <si>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</si>
  <si>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</si>
  <si>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</si>
  <si>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</si>
  <si>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</si>
  <si>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</si>
  <si>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</si>
  <si>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</si>
  <si>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</si>
  <si>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</si>
  <si>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</si>
  <si>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</si>
  <si>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</si>
  <si>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</si>
  <si>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</si>
  <si>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</si>
  <si>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</si>
  <si>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</si>
  <si>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</si>
  <si>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</si>
  <si>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</si>
  <si>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</si>
  <si>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</si>
  <si>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</si>
  <si>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</si>
  <si>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</si>
  <si>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</si>
  <si>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</si>
  <si>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</si>
  <si>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</si>
  <si>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</si>
  <si>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</si>
  <si>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</si>
  <si>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</si>
  <si>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</si>
  <si>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</si>
  <si>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</si>
  <si>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</si>
  <si>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</si>
  <si>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</si>
  <si>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</si>
  <si>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</si>
  <si>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</si>
  <si>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</si>
  <si>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</si>
  <si>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</si>
  <si>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</si>
  <si>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</si>
  <si>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</si>
  <si>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</si>
  <si>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</si>
  <si>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</si>
  <si>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</si>
  <si>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</si>
  <si>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</si>
  <si>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</si>
  <si>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</si>
  <si>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</si>
  <si>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</si>
  <si>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</si>
  <si>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</si>
  <si>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</si>
  <si>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</si>
  <si>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</si>
  <si>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</si>
  <si>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</si>
  <si>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</si>
  <si>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</si>
  <si>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</si>
  <si>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</si>
  <si>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</si>
  <si>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</si>
  <si>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</si>
  <si>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</si>
  <si>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</si>
  <si>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</si>
  <si>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</si>
  <si>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</si>
  <si>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</si>
  <si>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</si>
  <si>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</si>
  <si>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</si>
  <si>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</si>
  <si>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</si>
  <si>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</si>
  <si>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</si>
  <si>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</si>
  <si>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</si>
  <si>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</si>
  <si>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</si>
  <si>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</si>
  <si>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</si>
  <si>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</si>
  <si>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</si>
  <si>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</si>
  <si>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</si>
  <si>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</si>
  <si>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</si>
  <si>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</si>
  <si>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</si>
  <si>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</si>
  <si>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</si>
  <si>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</si>
  <si>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</si>
  <si>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</si>
  <si>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</si>
  <si>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</si>
  <si>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</si>
  <si>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</si>
  <si>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</si>
  <si>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</si>
  <si>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</si>
  <si>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</si>
  <si>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</si>
  <si>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</si>
  <si>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</si>
  <si>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</si>
  <si>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</si>
  <si>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</si>
  <si>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</si>
  <si>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</si>
  <si>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</si>
  <si>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</si>
  <si>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</si>
  <si>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</si>
  <si>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</si>
  <si>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</si>
  <si>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</si>
  <si>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</si>
  <si>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</si>
  <si>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</si>
  <si>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</si>
  <si>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</si>
  <si>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</si>
  <si>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</si>
  <si>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</si>
  <si>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</si>
  <si>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</si>
  <si>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</si>
  <si>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</si>
  <si>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</si>
  <si>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</si>
  <si>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</si>
  <si>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</si>
  <si>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</si>
  <si>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</si>
  <si>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</si>
  <si>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</si>
  <si>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</si>
  <si>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</si>
  <si>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</si>
  <si>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</si>
  <si>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</si>
  <si>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</si>
  <si>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</si>
  <si>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</si>
  <si>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</si>
  <si>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</si>
  <si>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</si>
  <si>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</si>
  <si>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</si>
  <si>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</si>
  <si>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</si>
  <si>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</si>
  <si>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</si>
  <si>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</si>
  <si>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</si>
  <si>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</si>
  <si>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</si>
  <si>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</si>
  <si>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</si>
  <si>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</si>
  <si>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</si>
  <si>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</si>
  <si>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</si>
  <si>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</si>
  <si>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</si>
  <si>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</si>
  <si>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</si>
  <si>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</si>
  <si>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</si>
  <si>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</si>
  <si>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</si>
  <si>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</si>
  <si>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</si>
  <si>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</si>
  <si>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</si>
  <si>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</si>
  <si>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</si>
  <si>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</si>
  <si>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</si>
  <si>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</si>
  <si>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</si>
  <si>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</si>
  <si>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</si>
  <si>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</si>
  <si>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</si>
  <si>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</si>
  <si>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</si>
  <si>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</si>
  <si>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</si>
  <si>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</si>
  <si>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</si>
  <si>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</si>
  <si>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</si>
  <si>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</si>
  <si>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</si>
  <si>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</si>
  <si>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</si>
  <si>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</si>
  <si>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</si>
  <si>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</si>
  <si>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</si>
  <si>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</si>
  <si>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</si>
  <si>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</si>
  <si>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</si>
  <si>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</si>
  <si>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</si>
  <si>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</si>
  <si>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</si>
  <si>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</si>
  <si>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</si>
  <si>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</si>
  <si>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</si>
  <si>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</si>
  <si>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</si>
  <si>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</si>
  <si>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</si>
  <si>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</si>
  <si>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</si>
  <si>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</si>
  <si>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</si>
  <si>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</si>
  <si>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</si>
  <si>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</si>
  <si>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</si>
  <si>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</si>
  <si>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</si>
  <si>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</si>
  <si>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</si>
  <si>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</si>
  <si>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</si>
  <si>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</si>
  <si>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</si>
  <si>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</si>
  <si>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</si>
  <si>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</si>
  <si>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</si>
  <si>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</si>
  <si>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</si>
  <si>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</si>
  <si>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</si>
  <si>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</si>
  <si>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</si>
  <si>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</si>
  <si>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</si>
  <si>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</si>
  <si>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</si>
  <si>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</si>
  <si>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</si>
  <si>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</si>
  <si>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</si>
  <si>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</si>
  <si>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</si>
  <si>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</si>
  <si>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</si>
  <si>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</si>
  <si>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</si>
  <si>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</si>
  <si>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</si>
  <si>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</si>
  <si>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</si>
  <si>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</si>
  <si>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</si>
  <si>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</si>
  <si>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</si>
  <si>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</si>
  <si>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</si>
  <si>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</si>
  <si>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</si>
  <si>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</si>
  <si>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</si>
  <si>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</si>
  <si>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</si>
  <si>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</si>
  <si>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</si>
  <si>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</si>
  <si>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</si>
  <si>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</si>
  <si>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</si>
  <si>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</si>
  <si>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</si>
  <si>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</si>
  <si>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</si>
  <si>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</si>
  <si>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</si>
  <si>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</si>
  <si>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</si>
  <si>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</si>
  <si>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</si>
  <si>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</si>
  <si>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</si>
  <si>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</si>
  <si>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</si>
  <si>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</si>
  <si>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</si>
  <si>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</si>
  <si>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</si>
  <si>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</si>
  <si>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</si>
  <si>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</si>
  <si>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</si>
  <si>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</si>
  <si>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</si>
  <si>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</si>
  <si>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</si>
  <si>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</si>
  <si>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</si>
  <si>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</si>
  <si>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</si>
  <si>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</si>
  <si>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</si>
  <si>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</si>
  <si>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</si>
  <si>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</si>
  <si>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</si>
  <si>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</si>
  <si>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</si>
  <si>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</si>
  <si>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</si>
  <si>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</si>
  <si>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</si>
  <si>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</si>
  <si>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</si>
  <si>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</si>
  <si>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</si>
  <si>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</si>
  <si>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</si>
  <si>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</si>
  <si>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</si>
  <si>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</si>
  <si>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</si>
  <si>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</si>
  <si>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</si>
  <si>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</si>
  <si>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</si>
  <si>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</si>
  <si>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</si>
  <si>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</si>
  <si>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</si>
  <si>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</si>
  <si>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</si>
  <si>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</si>
  <si>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</si>
  <si>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</si>
  <si>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</si>
  <si>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</si>
  <si>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</si>
  <si>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</si>
  <si>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</si>
  <si>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</si>
  <si>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</si>
  <si>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</si>
  <si>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</si>
  <si>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</si>
  <si>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</si>
  <si>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</si>
  <si>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</si>
  <si>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</si>
  <si>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</si>
  <si>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</si>
  <si>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</si>
  <si>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</si>
  <si>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</si>
  <si>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</si>
  <si>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</si>
  <si>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</si>
  <si>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</si>
  <si>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</si>
  <si>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</si>
  <si>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</si>
  <si>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</si>
  <si>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</si>
  <si>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</si>
  <si>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</si>
  <si>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</si>
  <si>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</si>
  <si>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</si>
  <si>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</si>
  <si>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</si>
  <si>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</si>
  <si>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</si>
  <si>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</si>
  <si>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</si>
  <si>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</si>
  <si>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</si>
  <si>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</si>
  <si>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</si>
  <si>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</si>
  <si>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</si>
  <si>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</si>
  <si>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</si>
  <si>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</si>
  <si>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</si>
  <si>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</si>
  <si>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</si>
  <si>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</si>
  <si>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</si>
  <si>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</si>
  <si>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</si>
  <si>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</si>
  <si>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</si>
  <si>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</si>
  <si>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</si>
  <si>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</si>
  <si>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</si>
  <si>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</si>
  <si>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</si>
  <si>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</si>
  <si>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</si>
  <si>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</si>
  <si>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</si>
  <si>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</si>
  <si>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</si>
  <si>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</si>
  <si>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</si>
  <si>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</si>
  <si>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</si>
  <si>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</si>
  <si>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</si>
  <si>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</si>
  <si>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</si>
  <si>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</si>
  <si>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</si>
  <si>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</si>
  <si>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</si>
  <si>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</si>
  <si>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</si>
  <si>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</si>
  <si>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</si>
  <si>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</si>
  <si>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</si>
  <si>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</si>
  <si>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</si>
  <si>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</si>
  <si>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</si>
  <si>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</si>
  <si>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</si>
  <si>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</si>
  <si>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</si>
  <si>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</si>
  <si>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</si>
  <si>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</si>
  <si>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</si>
  <si>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</si>
  <si>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</si>
  <si>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</si>
  <si>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</si>
  <si>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</si>
  <si>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</si>
  <si>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</si>
  <si>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</si>
  <si>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</si>
  <si>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</si>
  <si>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</si>
  <si>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</si>
  <si>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</si>
  <si>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</si>
  <si>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</si>
  <si>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</si>
  <si>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</si>
  <si>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</si>
  <si>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</si>
  <si>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</si>
  <si>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</si>
  <si>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</si>
  <si>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</si>
  <si>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</si>
  <si>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</si>
  <si>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</si>
  <si>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</si>
  <si>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</si>
  <si>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</si>
  <si>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</si>
  <si>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</si>
  <si>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</si>
  <si>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</si>
  <si>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</si>
  <si>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</si>
  <si>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</si>
  <si>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</si>
  <si>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</si>
  <si>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</si>
  <si>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</si>
  <si>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</si>
  <si>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</si>
  <si>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</si>
  <si>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</si>
  <si>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</si>
  <si>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</si>
  <si>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</si>
  <si>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</si>
  <si>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</si>
  <si>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</si>
  <si>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</si>
  <si>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</si>
  <si>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</si>
  <si>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</si>
  <si>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</si>
  <si>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</si>
  <si>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</si>
  <si>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</si>
  <si>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</si>
  <si>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</si>
  <si>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</si>
  <si>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</si>
  <si>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</si>
  <si>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</si>
  <si>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</si>
  <si>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</si>
  <si>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</si>
  <si>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</si>
  <si>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</si>
  <si>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</si>
  <si>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</si>
  <si>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</si>
  <si>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</si>
  <si>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</si>
  <si>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</si>
  <si>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</si>
  <si>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</si>
  <si>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</si>
  <si>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</si>
  <si>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</si>
  <si>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</si>
  <si>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</si>
  <si>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</si>
  <si>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</si>
  <si>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</si>
  <si>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</si>
  <si>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</si>
  <si>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</si>
  <si>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</si>
  <si>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</si>
  <si>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</si>
  <si>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</si>
  <si>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</si>
  <si>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</si>
  <si>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</si>
  <si>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</si>
  <si>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</si>
  <si>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</si>
  <si>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</si>
  <si>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</si>
  <si>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</si>
  <si>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</si>
  <si>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</si>
  <si>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</si>
  <si>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</si>
  <si>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</si>
  <si>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</si>
  <si>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</si>
  <si>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</si>
  <si>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</si>
  <si>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</si>
  <si>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</si>
  <si>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</si>
  <si>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</si>
  <si>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</si>
  <si>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</si>
  <si>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</si>
  <si>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</si>
  <si>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</si>
  <si>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</si>
  <si>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</si>
  <si>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</si>
  <si>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</si>
  <si>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</si>
  <si>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</si>
  <si>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</si>
  <si>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</si>
  <si>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</si>
  <si>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</si>
  <si>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</si>
  <si>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</si>
  <si>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</si>
  <si>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</si>
  <si>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</si>
  <si>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</si>
  <si>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</si>
  <si>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</si>
  <si>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</si>
  <si>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</si>
  <si>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</si>
  <si>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</si>
  <si>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</si>
  <si>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</si>
  <si>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</si>
  <si>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</si>
  <si>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</si>
  <si>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</si>
  <si>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</si>
  <si>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</si>
  <si>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</si>
  <si>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</si>
  <si>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</si>
  <si>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</si>
  <si>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</si>
  <si>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</si>
  <si>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</si>
  <si>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</si>
  <si>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</si>
  <si>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</si>
  <si>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</si>
  <si>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</si>
  <si>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</si>
  <si>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</si>
  <si>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</si>
  <si>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</si>
  <si>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</si>
  <si>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</si>
  <si>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</si>
  <si>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</si>
  <si>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</si>
  <si>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</si>
  <si>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</si>
  <si>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</si>
  <si>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</si>
  <si>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</si>
  <si>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</si>
  <si>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</si>
  <si>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</si>
  <si>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</si>
  <si>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</si>
  <si>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</si>
  <si>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</si>
  <si>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</si>
  <si>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</si>
  <si>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</si>
  <si>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</si>
  <si>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</si>
  <si>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</si>
  <si>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</si>
  <si>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</si>
  <si>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</si>
  <si>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</si>
  <si>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</si>
  <si>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</si>
  <si>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</si>
  <si>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</si>
  <si>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</si>
  <si>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</si>
  <si>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</si>
  <si>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</si>
  <si>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</si>
  <si>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</si>
  <si>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</si>
  <si>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</si>
  <si>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</si>
  <si>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</si>
  <si>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</si>
  <si>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</si>
  <si>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</si>
  <si>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</si>
  <si>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</si>
  <si>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</si>
  <si>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</si>
  <si>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</si>
  <si>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</si>
  <si>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</si>
  <si>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</si>
  <si>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</si>
  <si>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</si>
  <si>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</si>
  <si>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</si>
  <si>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</si>
  <si>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</si>
  <si>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</si>
  <si>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</si>
  <si>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</si>
  <si>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</si>
  <si>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</si>
  <si>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</si>
  <si>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</si>
  <si>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</si>
  <si>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</si>
  <si>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</si>
  <si>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</si>
  <si>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</si>
  <si>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</si>
  <si>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</si>
  <si>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</si>
  <si>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</si>
  <si>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</si>
  <si>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</si>
  <si>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</si>
  <si>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</si>
  <si>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</si>
  <si>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</si>
  <si>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</si>
  <si>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</si>
  <si>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</si>
  <si>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</si>
  <si>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</si>
  <si>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</si>
  <si>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</si>
  <si>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</si>
  <si>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</si>
  <si>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</si>
  <si>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</si>
  <si>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</si>
  <si>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</si>
  <si>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</si>
  <si>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</si>
  <si>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</si>
  <si>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</si>
  <si>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</si>
  <si>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</si>
  <si>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</si>
  <si>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</si>
  <si>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</si>
  <si>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</si>
  <si>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</si>
  <si>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</si>
  <si>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</si>
  <si>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</si>
  <si>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</si>
  <si>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</si>
  <si>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</si>
  <si>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</si>
  <si>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</si>
  <si>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</si>
  <si>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</si>
  <si>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</si>
  <si>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</si>
  <si>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</si>
  <si>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</si>
  <si>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</si>
  <si>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</si>
  <si>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</si>
  <si>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</si>
  <si>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</si>
  <si>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</si>
  <si>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</si>
  <si>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</si>
  <si>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</si>
  <si>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</si>
  <si>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</si>
  <si>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</si>
  <si>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</si>
  <si>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</si>
  <si>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</si>
  <si>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</si>
  <si>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</si>
  <si>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</si>
  <si>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</si>
  <si>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</si>
  <si>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</si>
  <si>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</si>
  <si>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</si>
  <si>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</si>
  <si>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</si>
  <si>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</si>
  <si>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</si>
  <si>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</si>
  <si>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</si>
  <si>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</si>
  <si>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</si>
  <si>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</si>
  <si>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</si>
  <si>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</si>
  <si>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</si>
  <si>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</si>
  <si>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</si>
  <si>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</si>
  <si>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</si>
  <si>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</si>
  <si>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</si>
  <si>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</si>
  <si>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</si>
  <si>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</si>
  <si>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</si>
  <si>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</si>
  <si>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</si>
  <si>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</si>
  <si>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</si>
  <si>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</si>
  <si>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</si>
  <si>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</si>
  <si>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</si>
  <si>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</si>
  <si>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</si>
  <si>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</si>
  <si>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</si>
  <si>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</si>
  <si>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</si>
  <si>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</si>
  <si>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</si>
  <si>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</si>
  <si>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</si>
  <si>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</si>
  <si>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</si>
  <si>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</si>
  <si>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</si>
  <si>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</si>
  <si>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</si>
  <si>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</si>
  <si>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</si>
  <si>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</si>
  <si>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</si>
  <si>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</si>
  <si>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</si>
  <si>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</si>
  <si>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</si>
  <si>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</si>
  <si>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</si>
  <si>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</si>
  <si>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</si>
  <si>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</si>
  <si>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</si>
  <si>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</si>
  <si>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</si>
  <si>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</si>
  <si>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</si>
  <si>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</si>
  <si>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</si>
  <si>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</si>
  <si>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</si>
  <si>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</si>
  <si>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</si>
  <si>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</si>
  <si>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</si>
  <si>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</si>
  <si>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</si>
  <si>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</si>
  <si>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</si>
  <si>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</si>
  <si>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</si>
  <si>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</si>
  <si>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</si>
  <si>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</si>
  <si>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</si>
  <si>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</si>
  <si>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</si>
  <si>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</si>
  <si>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</si>
  <si>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</si>
  <si>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</si>
  <si>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</si>
  <si>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</si>
  <si>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</si>
  <si>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</si>
  <si>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</si>
  <si>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</si>
  <si>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</si>
  <si>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</si>
  <si>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</si>
  <si>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</si>
  <si>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</si>
  <si>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</si>
  <si>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</si>
  <si>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</si>
  <si>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</si>
  <si>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</si>
  <si>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</si>
  <si>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</si>
  <si>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</si>
  <si>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</si>
  <si>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</si>
  <si>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</si>
  <si>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</si>
  <si>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</si>
  <si>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</si>
  <si>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</si>
  <si>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</si>
  <si>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</si>
  <si>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</si>
  <si>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</si>
  <si>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</si>
  <si>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</si>
  <si>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</si>
  <si>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</si>
  <si>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</si>
  <si>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</si>
  <si>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</si>
  <si>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</si>
  <si>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</si>
  <si>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</si>
  <si>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</si>
  <si>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</si>
  <si>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</si>
  <si>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</si>
  <si>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</si>
  <si>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</si>
  <si>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</si>
  <si>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</si>
  <si>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</si>
  <si>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</si>
  <si>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</si>
  <si>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</si>
  <si>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</si>
  <si>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</si>
  <si>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</si>
  <si>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</si>
  <si>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</si>
  <si>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</si>
  <si>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</si>
  <si>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</si>
  <si>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</si>
  <si>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</si>
  <si>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</si>
  <si>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</si>
  <si>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</si>
  <si>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</si>
  <si>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</si>
  <si>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</si>
  <si>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</si>
  <si>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</si>
  <si>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</si>
  <si>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</si>
  <si>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</si>
  <si>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</si>
  <si>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</si>
  <si>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</si>
  <si>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</si>
  <si>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</si>
  <si>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</si>
  <si>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</si>
  <si>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</si>
  <si>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</si>
  <si>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</si>
  <si>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</si>
  <si>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</si>
  <si>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</si>
  <si>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</si>
  <si>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</si>
  <si>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</si>
  <si>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</si>
  <si>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</si>
  <si>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</si>
  <si>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</si>
  <si>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</si>
  <si>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</si>
  <si>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</si>
  <si>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</si>
  <si>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</si>
  <si>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</si>
  <si>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</si>
  <si>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</si>
  <si>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</si>
  <si>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</si>
  <si>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</si>
  <si>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</si>
  <si>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</si>
  <si>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</si>
  <si>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</si>
  <si>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</si>
  <si>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</si>
  <si>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</si>
  <si>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</si>
  <si>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</si>
  <si>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</si>
  <si>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</si>
  <si>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</si>
  <si>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</si>
  <si>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</si>
  <si>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</si>
  <si>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</si>
  <si>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</si>
  <si>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</si>
  <si>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</si>
  <si>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</si>
  <si>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</si>
  <si>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</si>
  <si>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</si>
  <si>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</si>
  <si>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</si>
  <si>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</si>
  <si>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</si>
  <si>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</si>
  <si>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</si>
  <si>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</si>
  <si>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</si>
  <si>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</si>
  <si>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</si>
  <si>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</si>
  <si>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</si>
  <si>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</si>
  <si>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</si>
  <si>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</si>
  <si>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</si>
  <si>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</si>
  <si>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</si>
  <si>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</si>
  <si>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</si>
  <si>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</si>
  <si>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</si>
  <si>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</si>
  <si>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</si>
  <si>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</si>
  <si>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</si>
  <si>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</si>
  <si>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</si>
  <si>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</si>
  <si>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</si>
  <si>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</si>
  <si>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</si>
  <si>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</si>
  <si>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</si>
  <si>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</si>
  <si>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</si>
  <si>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</si>
  <si>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</si>
  <si>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</si>
  <si>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</si>
  <si>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</si>
  <si>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</si>
  <si>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</si>
  <si>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</si>
  <si>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</si>
  <si>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</si>
  <si>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</si>
  <si>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</si>
  <si>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</si>
  <si>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</si>
  <si>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</si>
  <si>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</si>
  <si>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</si>
  <si>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</si>
  <si>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</si>
  <si>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</si>
  <si>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</si>
  <si>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</si>
  <si>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</si>
  <si>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</si>
  <si>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</si>
  <si>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</si>
  <si>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</si>
  <si>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</si>
  <si>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</si>
  <si>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</si>
  <si>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</si>
  <si>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</si>
  <si>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</si>
  <si>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</si>
  <si>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</si>
  <si>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</si>
  <si>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</si>
  <si>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</si>
  <si>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</si>
  <si>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</si>
  <si>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</si>
  <si>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</si>
  <si>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</si>
  <si>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</si>
  <si>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</si>
  <si>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</si>
  <si>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</si>
  <si>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</si>
  <si>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</si>
  <si>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</si>
  <si>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</si>
  <si>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</si>
  <si>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</si>
  <si>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</si>
  <si>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</si>
  <si>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</si>
  <si>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</si>
  <si>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</si>
  <si>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</si>
  <si>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</si>
  <si>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</si>
  <si>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</si>
  <si>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</si>
  <si>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</si>
  <si>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</si>
  <si>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</si>
  <si>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</si>
  <si>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</si>
  <si>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</si>
  <si>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</si>
  <si>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</si>
  <si>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</si>
  <si>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</si>
  <si>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</si>
  <si>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</si>
  <si>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</si>
  <si>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</si>
  <si>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</si>
  <si>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</si>
  <si>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</si>
  <si>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</si>
  <si>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</si>
  <si>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</si>
  <si>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</si>
  <si>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</si>
  <si>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</si>
  <si>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</si>
  <si>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</si>
  <si>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</si>
  <si>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</si>
  <si>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</si>
  <si>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</si>
  <si>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</si>
  <si>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</si>
  <si>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</si>
  <si>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</si>
  <si>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</si>
  <si>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</si>
  <si>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</si>
  <si>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</si>
  <si>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</si>
  <si>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</si>
  <si>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</si>
  <si>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</si>
  <si>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</si>
  <si>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</si>
  <si>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</si>
  <si>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</si>
  <si>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</si>
  <si>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</si>
  <si>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</si>
  <si>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</si>
  <si>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</si>
  <si>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</si>
  <si>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</si>
  <si>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</si>
  <si>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</si>
  <si>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</si>
  <si>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</si>
  <si>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</si>
  <si>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</si>
  <si>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</si>
  <si>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</si>
  <si>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</si>
  <si>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</si>
  <si>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</si>
  <si>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</si>
  <si>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</si>
  <si>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</si>
  <si>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</si>
  <si>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</si>
  <si>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</si>
  <si>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</si>
  <si>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</si>
  <si>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</si>
  <si>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</si>
  <si>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</si>
  <si>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</si>
  <si>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</si>
  <si>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</si>
  <si>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</si>
  <si>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</si>
  <si>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</si>
  <si>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</si>
  <si>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</si>
  <si>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</si>
  <si>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</si>
  <si>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</si>
  <si>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</si>
  <si>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</si>
  <si>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</si>
  <si>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</si>
  <si>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</si>
  <si>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</si>
  <si>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</si>
  <si>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</si>
  <si>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</si>
  <si>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</si>
  <si>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</si>
  <si>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</si>
  <si>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</si>
  <si>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</si>
  <si>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</si>
  <si>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</si>
  <si>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</si>
  <si>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</si>
  <si>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</si>
  <si>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</si>
  <si>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</si>
  <si>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</si>
  <si>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</si>
  <si>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</si>
  <si>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</si>
  <si>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</si>
  <si>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</si>
  <si>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</si>
  <si>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</si>
  <si>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</si>
  <si>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</si>
  <si>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</si>
  <si>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</si>
  <si>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</si>
  <si>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</si>
  <si>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</si>
  <si>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</si>
  <si>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</si>
  <si>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</si>
  <si>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</si>
  <si>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</si>
  <si>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</si>
  <si>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</si>
  <si>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</si>
  <si>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</si>
  <si>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</si>
  <si>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</si>
  <si>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</si>
  <si>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</si>
  <si>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</si>
  <si>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</si>
  <si>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</si>
  <si>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</si>
  <si>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</si>
  <si>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</si>
  <si>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</si>
  <si>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</si>
  <si>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</si>
  <si>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</si>
  <si>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</si>
  <si>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</si>
  <si>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</si>
  <si>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</si>
  <si>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</si>
  <si>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</si>
  <si>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</si>
  <si>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</si>
  <si>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</si>
  <si>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</si>
  <si>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</si>
  <si>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</si>
  <si>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</si>
  <si>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</si>
  <si>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</si>
  <si>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</si>
  <si>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</si>
  <si>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</si>
  <si>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</si>
  <si>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</si>
  <si>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</si>
  <si>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</si>
  <si>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</si>
  <si>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</si>
  <si>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</si>
  <si>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</si>
  <si>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</si>
  <si>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</si>
  <si>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</si>
  <si>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</si>
  <si>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</si>
  <si>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</si>
  <si>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</si>
  <si>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</si>
  <si>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</si>
  <si>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</si>
  <si>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</si>
  <si>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</si>
  <si>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</si>
  <si>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</si>
  <si>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</si>
  <si>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</si>
  <si>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</si>
  <si>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</si>
  <si>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</si>
  <si>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</si>
  <si>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</si>
  <si>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</si>
  <si>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</si>
  <si>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</si>
  <si>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</si>
  <si>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</si>
  <si>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</si>
  <si>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</si>
  <si>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</si>
  <si>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</si>
  <si>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</si>
  <si>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</si>
  <si>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</si>
  <si>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</si>
  <si>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</si>
  <si>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</si>
  <si>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</si>
  <si>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</si>
  <si>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</si>
  <si>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</si>
  <si>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</si>
  <si>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</si>
  <si>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</si>
  <si>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</si>
  <si>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</si>
  <si>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</si>
  <si>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</si>
  <si>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</si>
  <si>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</si>
  <si>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</si>
  <si>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</si>
  <si>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</si>
  <si>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</si>
  <si>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</si>
  <si>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</si>
  <si>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</si>
  <si>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</si>
  <si>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</si>
  <si>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</si>
  <si>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</si>
  <si>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</si>
  <si>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</si>
  <si>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</si>
  <si>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</si>
  <si>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</si>
  <si>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</si>
  <si>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</si>
  <si>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</si>
  <si>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</si>
  <si>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</si>
  <si>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</si>
  <si>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</si>
  <si>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</si>
  <si>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</si>
  <si>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</si>
  <si>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</si>
  <si>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</si>
  <si>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</si>
  <si>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</si>
  <si>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</si>
  <si>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</si>
  <si>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</si>
  <si>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</si>
  <si>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</si>
  <si>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</si>
  <si>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</si>
  <si>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</si>
  <si>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</si>
  <si>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</si>
  <si>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</si>
  <si>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</si>
  <si>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</si>
  <si>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</si>
  <si>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</si>
  <si>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</si>
  <si>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</si>
  <si>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</si>
  <si>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</si>
  <si>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</si>
  <si>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</si>
  <si>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</si>
  <si>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</si>
  <si>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</si>
  <si>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</si>
  <si>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</si>
  <si>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</si>
  <si>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</si>
  <si>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</si>
  <si>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</si>
  <si>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</si>
  <si>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</si>
  <si>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</si>
  <si>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</si>
  <si>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</si>
  <si>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</si>
  <si>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</si>
  <si>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</si>
  <si>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</si>
  <si>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</si>
  <si>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</si>
  <si>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</si>
  <si>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</si>
  <si>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</si>
  <si>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</si>
  <si>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</si>
  <si>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</si>
  <si>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</si>
  <si>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</si>
  <si>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</si>
  <si>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</si>
  <si>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</si>
  <si>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</si>
  <si>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</si>
  <si>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</si>
  <si>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</si>
  <si>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</si>
  <si>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</si>
  <si>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</si>
  <si>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</si>
  <si>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</si>
  <si>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</si>
  <si>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</si>
  <si>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</si>
  <si>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</si>
  <si>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</si>
  <si>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</si>
  <si>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</si>
  <si>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</si>
  <si>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</si>
  <si>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</si>
  <si>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</si>
  <si>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</si>
  <si>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</si>
  <si>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</si>
  <si>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</si>
  <si>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</si>
  <si>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</si>
  <si>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</si>
  <si>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</si>
  <si>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</si>
  <si>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</si>
  <si>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</si>
  <si>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</si>
  <si>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</si>
  <si>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</si>
  <si>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</si>
  <si>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</si>
  <si>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</si>
  <si>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</si>
  <si>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</si>
  <si>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</si>
  <si>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</si>
  <si>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</si>
  <si>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</si>
  <si>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</si>
  <si>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</si>
  <si>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</si>
  <si>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</si>
  <si>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</si>
  <si>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</si>
  <si>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</si>
  <si>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</si>
  <si>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</si>
  <si>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</si>
  <si>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</si>
  <si>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</si>
  <si>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</si>
  <si>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</si>
  <si>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</si>
  <si>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</si>
  <si>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</si>
  <si>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</si>
  <si>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</si>
  <si>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</si>
  <si>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</si>
  <si>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</si>
  <si>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</si>
  <si>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</si>
  <si>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</si>
  <si>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</si>
  <si>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</si>
  <si>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</si>
  <si>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</si>
  <si>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</si>
  <si>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</si>
  <si>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</si>
  <si>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</si>
  <si>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</si>
  <si>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</si>
  <si>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</si>
  <si>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</si>
  <si>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</si>
  <si>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</si>
  <si>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</si>
  <si>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</si>
  <si>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</si>
  <si>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</si>
  <si>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</si>
  <si>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</si>
  <si>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</si>
  <si>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</si>
  <si>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</si>
  <si>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</si>
  <si>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</si>
  <si>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</si>
  <si>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</si>
  <si>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</si>
  <si>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</si>
  <si>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</si>
  <si>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</si>
  <si>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</si>
  <si>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</si>
  <si>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</si>
  <si>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</si>
  <si>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</si>
  <si>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</si>
  <si>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</si>
  <si>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</si>
  <si>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</si>
  <si>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</si>
  <si>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</si>
  <si>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</si>
  <si>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</si>
  <si>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</si>
  <si>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</si>
  <si>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</si>
  <si>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</si>
  <si>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</si>
  <si>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</si>
  <si>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</si>
  <si>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</si>
  <si>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</si>
  <si>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</si>
  <si>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</si>
  <si>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</si>
  <si>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</si>
  <si>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</si>
  <si>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</si>
  <si>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</si>
  <si>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</si>
  <si>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</si>
  <si>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</si>
  <si>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</si>
  <si>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</si>
  <si>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</si>
  <si>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</si>
  <si>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</si>
  <si>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</si>
  <si>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</si>
  <si>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</si>
  <si>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</si>
  <si>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</si>
  <si>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</si>
  <si>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</si>
  <si>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</si>
  <si>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</si>
  <si>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</si>
  <si>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</si>
  <si>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</si>
  <si>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</si>
  <si>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</si>
  <si>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</si>
  <si>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</si>
  <si>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</si>
  <si>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</si>
  <si>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</si>
  <si>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</si>
  <si>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</si>
  <si>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</si>
  <si>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</si>
  <si>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</si>
  <si>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</si>
  <si>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</si>
  <si>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</si>
  <si>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</si>
  <si>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</si>
  <si>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</si>
  <si>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</si>
  <si>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</si>
  <si>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</si>
  <si>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</si>
  <si>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</si>
  <si>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</si>
  <si>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</si>
  <si>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</si>
  <si>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</si>
  <si>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</si>
  <si>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</si>
  <si>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</si>
  <si>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</si>
  <si>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</si>
  <si>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</si>
  <si>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</si>
  <si>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</si>
  <si>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</si>
  <si>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</si>
  <si>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</si>
  <si>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</si>
  <si>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</si>
  <si>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</si>
  <si>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</si>
  <si>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</si>
  <si>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</si>
  <si>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</si>
  <si>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</si>
  <si>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</si>
  <si>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</si>
  <si>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</si>
  <si>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</si>
  <si>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</si>
  <si>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</si>
  <si>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</si>
  <si>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</si>
  <si>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</si>
  <si>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</si>
  <si>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</si>
  <si>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</si>
  <si>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</si>
  <si>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</si>
  <si>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</si>
  <si>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</si>
  <si>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</si>
  <si>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</si>
  <si>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</si>
  <si>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</si>
  <si>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</si>
  <si>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</si>
  <si>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</si>
  <si>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</si>
  <si>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</si>
  <si>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</si>
  <si>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</si>
  <si>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</si>
  <si>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</si>
  <si>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</si>
  <si>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</si>
  <si>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</si>
  <si>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</si>
  <si>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</si>
  <si>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</si>
  <si>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</si>
  <si>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</si>
  <si>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</si>
  <si>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</si>
  <si>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</si>
  <si>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</si>
  <si>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</si>
  <si>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</si>
  <si>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</si>
  <si>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</si>
  <si>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</si>
  <si>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</si>
  <si>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</si>
  <si>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</si>
  <si>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</si>
  <si>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</si>
  <si>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</si>
  <si>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</si>
  <si>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</si>
  <si>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</si>
  <si>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</si>
  <si>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</si>
  <si>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</si>
  <si>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</si>
  <si>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</si>
  <si>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</si>
  <si>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</si>
  <si>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</si>
  <si>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</si>
  <si>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</si>
  <si>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</si>
  <si>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</si>
  <si>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</si>
  <si>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</si>
  <si>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</si>
  <si>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</si>
  <si>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</si>
  <si>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</si>
  <si>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</si>
  <si>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</si>
  <si>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</si>
  <si>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</si>
  <si>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</si>
  <si>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</si>
  <si>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</si>
  <si>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</si>
  <si>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</si>
  <si>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</si>
  <si>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</si>
  <si>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</si>
  <si>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</si>
  <si>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</si>
  <si>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</si>
  <si>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</si>
  <si>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</si>
  <si>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</si>
  <si>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</si>
  <si>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</si>
  <si>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</si>
  <si>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</si>
  <si>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</si>
  <si>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</si>
  <si>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</si>
  <si>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</si>
  <si>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</si>
  <si>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</si>
  <si>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</si>
  <si>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</si>
  <si>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</si>
  <si>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</si>
  <si>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</si>
  <si>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</si>
  <si>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</si>
  <si>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</si>
  <si>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</si>
  <si>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</si>
  <si>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</si>
  <si>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</si>
  <si>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</si>
  <si>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</si>
  <si>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</si>
  <si>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</si>
  <si>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</si>
  <si>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</si>
  <si>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</si>
  <si>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</si>
  <si>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</si>
  <si>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</si>
  <si>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</si>
  <si>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</si>
  <si>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</si>
  <si>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</si>
  <si>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</si>
  <si>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</si>
  <si>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</si>
  <si>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</si>
  <si>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</si>
  <si>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</si>
  <si>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</si>
  <si>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</si>
  <si>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</si>
  <si>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</si>
  <si>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</si>
  <si>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</si>
  <si>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</si>
  <si>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</si>
  <si>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</si>
  <si>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</si>
  <si>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</si>
  <si>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</si>
  <si>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</si>
  <si>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</si>
  <si>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</si>
  <si>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</si>
  <si>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</si>
  <si>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</si>
  <si>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</si>
  <si>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</si>
  <si>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</si>
  <si>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</si>
  <si>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</si>
  <si>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</si>
  <si>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</si>
  <si>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</si>
  <si>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</si>
  <si>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</si>
  <si>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</si>
  <si>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</si>
  <si>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</si>
  <si>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</si>
  <si>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</si>
  <si>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</si>
  <si>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</si>
  <si>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</si>
  <si>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</si>
  <si>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</si>
  <si>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</si>
  <si>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</si>
  <si>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</si>
  <si>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</si>
  <si>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</si>
  <si>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</si>
  <si>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</si>
  <si>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</si>
  <si>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</si>
  <si>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</si>
  <si>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</si>
  <si>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</si>
  <si>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</si>
  <si>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</si>
  <si>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</si>
  <si>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</si>
  <si>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</si>
  <si>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</si>
  <si>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</si>
  <si>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</si>
  <si>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</si>
  <si>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</si>
  <si>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</si>
  <si>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</si>
  <si>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</si>
  <si>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</si>
  <si>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</si>
  <si>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</si>
  <si>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</si>
  <si>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</si>
  <si>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</si>
  <si>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</si>
  <si>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</si>
  <si>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</si>
  <si>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</si>
  <si>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</si>
  <si>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</si>
  <si>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</si>
  <si>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</si>
  <si>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</si>
  <si>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</si>
  <si>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</si>
  <si>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</si>
  <si>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</si>
  <si>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</si>
  <si>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</si>
  <si>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</si>
  <si>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</si>
  <si>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</si>
  <si>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</si>
  <si>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</si>
  <si>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</si>
  <si>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</si>
  <si>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</si>
  <si>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</si>
  <si>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</si>
  <si>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</si>
  <si>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</si>
  <si>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</si>
  <si>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</si>
  <si>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</si>
  <si>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</si>
  <si>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</si>
  <si>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</si>
  <si>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</si>
  <si>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</si>
  <si>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</si>
  <si>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</si>
  <si>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</si>
  <si>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</si>
  <si>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</si>
  <si>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</si>
  <si>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</si>
  <si>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</si>
  <si>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</si>
  <si>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</si>
  <si>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</si>
  <si>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</si>
  <si>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</si>
  <si>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</si>
  <si>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</si>
  <si>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</si>
  <si>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</si>
  <si>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</si>
  <si>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</si>
  <si>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</si>
  <si>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</si>
  <si>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</si>
  <si>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</si>
  <si>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</si>
  <si>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</si>
  <si>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</si>
  <si>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</si>
  <si>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</si>
  <si>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</si>
  <si>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</si>
  <si>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</si>
  <si>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</si>
  <si>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</si>
  <si>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</si>
  <si>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</si>
  <si>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</si>
  <si>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</si>
  <si>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</si>
  <si>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</si>
  <si>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</si>
  <si>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</si>
  <si>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</si>
  <si>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</si>
  <si>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</si>
  <si>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</si>
  <si>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</si>
  <si>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</si>
  <si>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</si>
  <si>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</si>
  <si>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</si>
  <si>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</si>
  <si>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</si>
  <si>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</si>
  <si>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</si>
  <si>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</si>
  <si>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</si>
  <si>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</si>
  <si>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</si>
  <si>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</si>
  <si>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</si>
  <si>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</si>
  <si>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</si>
  <si>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</si>
  <si>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</si>
  <si>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</si>
  <si>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</si>
  <si>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</si>
  <si>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</si>
  <si>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</si>
  <si>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</si>
  <si>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</si>
  <si>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</si>
  <si>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</si>
  <si>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</si>
  <si>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</si>
  <si>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</si>
  <si>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</si>
  <si>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</si>
  <si>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</si>
  <si>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</si>
  <si>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</si>
  <si>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</si>
  <si>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</si>
  <si>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</si>
  <si>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</si>
  <si>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</si>
  <si>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</si>
  <si>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</si>
  <si>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</si>
  <si>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</si>
  <si>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</si>
  <si>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</si>
  <si>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</si>
  <si>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</si>
  <si>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</si>
  <si>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</si>
  <si>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</si>
  <si>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</si>
  <si>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</si>
  <si>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</si>
  <si>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</si>
  <si>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</si>
  <si>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</si>
  <si>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</si>
  <si>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</si>
  <si>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</si>
  <si>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</si>
  <si>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</si>
  <si>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</si>
  <si>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</si>
  <si>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</si>
  <si>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</si>
  <si>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</si>
  <si>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</si>
  <si>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</si>
  <si>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</si>
  <si>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</si>
  <si>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</si>
  <si>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</si>
  <si>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</si>
  <si>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</si>
  <si>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</si>
  <si>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</si>
  <si>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</si>
  <si>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</si>
  <si>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</si>
  <si>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</si>
  <si>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</si>
  <si>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</si>
  <si>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tbl-cerbrovasdz-hospital-aar</t>
  </si>
  <si>
    <t>tbl-cerbrovasdz-hospital-rande-aar</t>
  </si>
  <si>
    <t>tbl-cerbrovasdz-mortal-aar</t>
  </si>
  <si>
    <t>tbl-cerbrovasdz-mortal-rande-aar</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</si>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</sst>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2">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0" fillId="0" borderId="0" xfId="0" applyAlignment="1"/>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customXml" Target="../customXml/item3.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worksheet" Target="worksheets/sheet166.xml"/><Relationship Id="rId182" Type="http://schemas.openxmlformats.org/officeDocument/2006/relationships/worksheet" Target="worksheets/sheet182.xml"/><Relationship Id="rId187" Type="http://schemas.openxmlformats.org/officeDocument/2006/relationships/worksheet" Target="worksheets/sheet187.xml"/><Relationship Id="rId217" Type="http://schemas.openxmlformats.org/officeDocument/2006/relationships/worksheet" Target="worksheets/sheet217.xml"/><Relationship Id="rId1" Type="http://schemas.openxmlformats.org/officeDocument/2006/relationships/worksheet" Target="worksheets/sheet1.xml"/><Relationship Id="rId6" Type="http://schemas.openxmlformats.org/officeDocument/2006/relationships/worksheet" Target="worksheets/sheet6.xml"/><Relationship Id="rId212" Type="http://schemas.openxmlformats.org/officeDocument/2006/relationships/worksheet" Target="worksheets/sheet212.xml"/><Relationship Id="rId233" Type="http://schemas.openxmlformats.org/officeDocument/2006/relationships/worksheet" Target="worksheets/sheet233.xml"/><Relationship Id="rId238" Type="http://schemas.openxmlformats.org/officeDocument/2006/relationships/worksheet" Target="worksheets/sheet238.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172" Type="http://schemas.openxmlformats.org/officeDocument/2006/relationships/worksheet" Target="worksheets/sheet172.xml"/><Relationship Id="rId193" Type="http://schemas.openxmlformats.org/officeDocument/2006/relationships/worksheet" Target="worksheets/sheet193.xml"/><Relationship Id="rId202" Type="http://schemas.openxmlformats.org/officeDocument/2006/relationships/worksheet" Target="worksheets/sheet202.xml"/><Relationship Id="rId207" Type="http://schemas.openxmlformats.org/officeDocument/2006/relationships/worksheet" Target="worksheets/sheet207.xml"/><Relationship Id="rId223" Type="http://schemas.openxmlformats.org/officeDocument/2006/relationships/worksheet" Target="worksheets/sheet223.xml"/><Relationship Id="rId228" Type="http://schemas.openxmlformats.org/officeDocument/2006/relationships/worksheet" Target="worksheets/sheet228.xml"/><Relationship Id="rId244"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13" Type="http://schemas.openxmlformats.org/officeDocument/2006/relationships/worksheet" Target="worksheets/sheet213.xml"/><Relationship Id="rId218" Type="http://schemas.openxmlformats.org/officeDocument/2006/relationships/worksheet" Target="worksheets/sheet218.xml"/><Relationship Id="rId234" Type="http://schemas.openxmlformats.org/officeDocument/2006/relationships/worksheet" Target="worksheets/sheet234.xml"/><Relationship Id="rId239" Type="http://schemas.openxmlformats.org/officeDocument/2006/relationships/worksheet" Target="worksheets/sheet239.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worksheet" Target="worksheets/sheet203.xml"/><Relationship Id="rId208" Type="http://schemas.openxmlformats.org/officeDocument/2006/relationships/worksheet" Target="worksheets/sheet208.xml"/><Relationship Id="rId229" Type="http://schemas.openxmlformats.org/officeDocument/2006/relationships/worksheet" Target="worksheets/sheet229.xml"/><Relationship Id="rId19" Type="http://schemas.openxmlformats.org/officeDocument/2006/relationships/worksheet" Target="worksheets/sheet19.xml"/><Relationship Id="rId224" Type="http://schemas.openxmlformats.org/officeDocument/2006/relationships/worksheet" Target="worksheets/sheet224.xml"/><Relationship Id="rId240" Type="http://schemas.openxmlformats.org/officeDocument/2006/relationships/worksheet" Target="worksheets/sheet240.xml"/><Relationship Id="rId245" Type="http://schemas.openxmlformats.org/officeDocument/2006/relationships/customXml" Target="../customXml/item1.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30" Type="http://schemas.openxmlformats.org/officeDocument/2006/relationships/worksheet" Target="worksheets/sheet230.xml"/><Relationship Id="rId235" Type="http://schemas.openxmlformats.org/officeDocument/2006/relationships/worksheet" Target="worksheets/sheet235.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241" Type="http://schemas.openxmlformats.org/officeDocument/2006/relationships/theme" Target="theme/theme1.xml"/><Relationship Id="rId246" Type="http://schemas.openxmlformats.org/officeDocument/2006/relationships/customXml" Target="../customXml/item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styles" Target="style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F217" zoomScale="200" workbookViewId="0">
      <selection activeCell="F227" sqref="F227"/>
    </sheetView>
  </sheetViews>
  <sheetFormatPr defaultColWidth="8.7109375" defaultRowHeight="15"/>
  <cols>
    <col min="1" max="2" width="19" customWidth="1"/>
    <col min="3" max="3" width="14.28515625" customWidth="1"/>
    <col min="4" max="4" width="16.28515625" customWidth="1"/>
    <col min="5" max="5" width="19.7109375" customWidth="1"/>
    <col min="6" max="6" width="121.7109375" bestFit="1" customWidth="1"/>
    <col min="7" max="7" width="38.7109375" bestFit="1" customWidth="1"/>
    <col min="8" max="8" width="96.42578125" bestFit="1" customWidth="1"/>
    <col min="9" max="9" width="83.7109375" bestFit="1" customWidth="1"/>
    <col min="10" max="10" width="20.7109375" customWidth="1"/>
    <col min="11" max="11" width="17.7109375" customWidth="1"/>
  </cols>
  <sheetData>
    <row r="1" spans="1:12">
      <c r="A1" t="s">
        <v>0</v>
      </c>
      <c r="B1" t="s">
        <v>1</v>
      </c>
      <c r="C1" t="s">
        <v>1555</v>
      </c>
      <c r="D1" t="s">
        <v>2</v>
      </c>
      <c r="E1" t="s">
        <v>3</v>
      </c>
      <c r="F1" t="s">
        <v>4</v>
      </c>
      <c r="G1" t="s">
        <v>5</v>
      </c>
      <c r="H1" t="s">
        <v>6</v>
      </c>
      <c r="I1" t="s">
        <v>7</v>
      </c>
      <c r="J1" t="s">
        <v>8</v>
      </c>
      <c r="K1" t="s">
        <v>9</v>
      </c>
      <c r="L1" t="s">
        <v>10</v>
      </c>
    </row>
    <row r="2" spans="1:12" s="64" customFormat="1">
      <c r="A2" s="64" t="s">
        <v>11</v>
      </c>
      <c r="B2" s="64">
        <v>1</v>
      </c>
      <c r="D2" s="64" t="s">
        <v>12</v>
      </c>
      <c r="E2" s="64" t="s">
        <v>13</v>
      </c>
      <c r="F2" s="64" t="s">
        <v>14</v>
      </c>
      <c r="G2" s="62" t="s">
        <v>15</v>
      </c>
      <c r="H2" s="62"/>
      <c r="I2" s="64" t="s">
        <v>16</v>
      </c>
      <c r="J2" s="64" t="s">
        <v>17</v>
      </c>
      <c r="L2" s="64" t="s">
        <v>18</v>
      </c>
    </row>
    <row r="3" spans="1:12" s="64" customFormat="1">
      <c r="A3" s="64" t="s">
        <v>11</v>
      </c>
      <c r="B3" s="64">
        <v>2</v>
      </c>
      <c r="D3" s="64" t="s">
        <v>12</v>
      </c>
      <c r="E3" s="64" t="s">
        <v>19</v>
      </c>
      <c r="F3" s="64" t="s">
        <v>20</v>
      </c>
      <c r="G3" s="62" t="s">
        <v>21</v>
      </c>
      <c r="H3" s="62"/>
      <c r="I3" s="64" t="s">
        <v>16</v>
      </c>
      <c r="J3" s="64" t="s">
        <v>17</v>
      </c>
      <c r="L3" s="64" t="s">
        <v>18</v>
      </c>
    </row>
    <row r="4" spans="1:12" s="64" customFormat="1" ht="15.75">
      <c r="A4" s="64" t="s">
        <v>11</v>
      </c>
      <c r="B4" s="64">
        <v>3</v>
      </c>
      <c r="D4" s="64" t="s">
        <v>12</v>
      </c>
      <c r="E4" s="64" t="s">
        <v>22</v>
      </c>
      <c r="F4" s="64" t="s">
        <v>23</v>
      </c>
      <c r="G4" s="95" t="s">
        <v>1954</v>
      </c>
      <c r="H4" s="62"/>
      <c r="I4" s="64" t="s">
        <v>16</v>
      </c>
      <c r="J4" s="64" t="s">
        <v>17</v>
      </c>
      <c r="L4" s="64" t="s">
        <v>18</v>
      </c>
    </row>
    <row r="5" spans="1:12" s="64" customFormat="1">
      <c r="A5" s="64" t="s">
        <v>11</v>
      </c>
      <c r="B5" s="64">
        <v>4</v>
      </c>
      <c r="D5" s="64" t="s">
        <v>12</v>
      </c>
      <c r="E5" s="64" t="s">
        <v>24</v>
      </c>
      <c r="F5" s="64" t="s">
        <v>25</v>
      </c>
      <c r="G5" s="62" t="s">
        <v>26</v>
      </c>
      <c r="H5" s="62"/>
      <c r="I5" s="64" t="s">
        <v>16</v>
      </c>
      <c r="J5" s="64" t="s">
        <v>27</v>
      </c>
      <c r="L5" s="64" t="s">
        <v>18</v>
      </c>
    </row>
    <row r="6" spans="1:12" s="64" customFormat="1">
      <c r="A6" s="64" t="s">
        <v>11</v>
      </c>
      <c r="B6" s="64">
        <v>5</v>
      </c>
      <c r="D6" s="64" t="s">
        <v>12</v>
      </c>
      <c r="E6" s="64" t="s">
        <v>28</v>
      </c>
      <c r="F6" s="64" t="s">
        <v>29</v>
      </c>
      <c r="G6" s="62" t="s">
        <v>30</v>
      </c>
      <c r="H6" s="62"/>
      <c r="I6" s="64" t="s">
        <v>16</v>
      </c>
      <c r="J6" s="64" t="s">
        <v>27</v>
      </c>
      <c r="L6" s="64" t="s">
        <v>18</v>
      </c>
    </row>
    <row r="7" spans="1:12" s="64" customFormat="1">
      <c r="A7" s="64" t="s">
        <v>11</v>
      </c>
      <c r="B7" s="64">
        <v>6</v>
      </c>
      <c r="D7" s="64" t="s">
        <v>12</v>
      </c>
      <c r="E7" s="64" t="s">
        <v>31</v>
      </c>
      <c r="F7" s="64" t="s">
        <v>32</v>
      </c>
      <c r="G7" s="62" t="s">
        <v>33</v>
      </c>
      <c r="H7" s="62"/>
      <c r="I7" s="64" t="s">
        <v>16</v>
      </c>
      <c r="J7" s="64" t="s">
        <v>34</v>
      </c>
      <c r="L7" s="64" t="s">
        <v>18</v>
      </c>
    </row>
    <row r="8" spans="1:12" s="64" customFormat="1">
      <c r="A8" s="64" t="s">
        <v>11</v>
      </c>
      <c r="B8" s="64">
        <v>7</v>
      </c>
      <c r="D8" s="64" t="s">
        <v>12</v>
      </c>
      <c r="E8" s="64" t="s">
        <v>35</v>
      </c>
      <c r="F8" s="64" t="s">
        <v>36</v>
      </c>
      <c r="G8" s="62" t="s">
        <v>37</v>
      </c>
      <c r="H8" s="62"/>
      <c r="I8" s="64" t="s">
        <v>16</v>
      </c>
      <c r="J8" s="64" t="s">
        <v>38</v>
      </c>
      <c r="L8" s="64" t="s">
        <v>18</v>
      </c>
    </row>
    <row r="9" spans="1:12" s="64" customFormat="1" ht="15.75">
      <c r="A9" s="64" t="s">
        <v>11</v>
      </c>
      <c r="B9" s="64">
        <v>8</v>
      </c>
      <c r="D9" s="64" t="s">
        <v>12</v>
      </c>
      <c r="E9" s="64" t="s">
        <v>39</v>
      </c>
      <c r="F9" s="64" t="s">
        <v>40</v>
      </c>
      <c r="G9" s="94" t="s">
        <v>1955</v>
      </c>
      <c r="H9" s="62"/>
      <c r="I9" s="64" t="s">
        <v>16</v>
      </c>
      <c r="J9" s="64" t="s">
        <v>38</v>
      </c>
      <c r="L9" s="64" t="s">
        <v>18</v>
      </c>
    </row>
    <row r="10" spans="1:12" s="64" customFormat="1">
      <c r="A10" s="64" t="s">
        <v>11</v>
      </c>
      <c r="B10" s="64">
        <v>9</v>
      </c>
      <c r="D10" s="64" t="s">
        <v>12</v>
      </c>
      <c r="E10" s="64" t="s">
        <v>41</v>
      </c>
      <c r="F10" s="64" t="s">
        <v>42</v>
      </c>
      <c r="G10" s="62" t="s">
        <v>43</v>
      </c>
      <c r="H10" s="62"/>
      <c r="I10" s="64" t="s">
        <v>16</v>
      </c>
      <c r="J10" s="64" t="s">
        <v>44</v>
      </c>
      <c r="L10" s="64" t="s">
        <v>18</v>
      </c>
    </row>
    <row r="11" spans="1:12" s="64" customFormat="1">
      <c r="A11" s="64" t="s">
        <v>11</v>
      </c>
      <c r="B11" s="64">
        <v>10</v>
      </c>
      <c r="D11" s="64" t="s">
        <v>12</v>
      </c>
      <c r="E11" s="64" t="s">
        <v>45</v>
      </c>
      <c r="F11" s="64" t="s">
        <v>46</v>
      </c>
      <c r="G11" s="62" t="s">
        <v>47</v>
      </c>
      <c r="H11" s="62"/>
      <c r="I11" s="64" t="s">
        <v>16</v>
      </c>
      <c r="J11" s="64" t="s">
        <v>44</v>
      </c>
      <c r="L11" s="64" t="s">
        <v>18</v>
      </c>
    </row>
    <row r="12" spans="1:12" s="64" customFormat="1">
      <c r="A12" s="64" t="s">
        <v>11</v>
      </c>
      <c r="B12" s="64">
        <v>11</v>
      </c>
      <c r="D12" s="64" t="s">
        <v>12</v>
      </c>
      <c r="E12" s="64" t="s">
        <v>48</v>
      </c>
      <c r="F12" s="64" t="s">
        <v>49</v>
      </c>
      <c r="G12" s="62" t="s">
        <v>50</v>
      </c>
      <c r="H12" s="62"/>
      <c r="I12" s="64" t="s">
        <v>16</v>
      </c>
      <c r="J12" s="64" t="s">
        <v>51</v>
      </c>
      <c r="L12" s="64" t="s">
        <v>18</v>
      </c>
    </row>
    <row r="13" spans="1:12" s="64" customFormat="1">
      <c r="A13" s="64" t="s">
        <v>11</v>
      </c>
      <c r="B13" s="64">
        <v>12</v>
      </c>
      <c r="D13" s="64" t="s">
        <v>12</v>
      </c>
      <c r="E13" s="64" t="s">
        <v>52</v>
      </c>
      <c r="F13" s="64" t="s">
        <v>53</v>
      </c>
      <c r="G13" s="62" t="s">
        <v>54</v>
      </c>
      <c r="H13" s="62"/>
      <c r="I13" s="64" t="s">
        <v>16</v>
      </c>
      <c r="J13" s="64" t="s">
        <v>55</v>
      </c>
      <c r="L13" s="64" t="s">
        <v>18</v>
      </c>
    </row>
    <row r="14" spans="1:12" s="64" customFormat="1">
      <c r="A14" s="64" t="s">
        <v>11</v>
      </c>
      <c r="B14" s="64">
        <v>13</v>
      </c>
      <c r="D14" s="64" t="s">
        <v>56</v>
      </c>
      <c r="E14" s="64" t="s">
        <v>57</v>
      </c>
      <c r="F14" s="64" t="s">
        <v>58</v>
      </c>
      <c r="G14" s="62" t="s">
        <v>59</v>
      </c>
      <c r="H14" s="62" t="s">
        <v>60</v>
      </c>
      <c r="I14" s="64" t="s">
        <v>16</v>
      </c>
      <c r="J14" s="64" t="s">
        <v>61</v>
      </c>
      <c r="L14" s="64" t="s">
        <v>18</v>
      </c>
    </row>
    <row r="15" spans="1:12" s="64" customFormat="1">
      <c r="A15" s="64" t="s">
        <v>11</v>
      </c>
      <c r="B15" s="64">
        <v>14</v>
      </c>
      <c r="D15" s="64" t="s">
        <v>56</v>
      </c>
      <c r="E15" s="64" t="s">
        <v>62</v>
      </c>
      <c r="F15" s="64" t="s">
        <v>63</v>
      </c>
      <c r="G15" s="62" t="s">
        <v>64</v>
      </c>
      <c r="H15" s="62" t="s">
        <v>65</v>
      </c>
      <c r="I15" s="64" t="s">
        <v>16</v>
      </c>
      <c r="J15" s="64" t="s">
        <v>61</v>
      </c>
      <c r="L15" s="64" t="s">
        <v>18</v>
      </c>
    </row>
    <row r="16" spans="1:12" s="64" customFormat="1">
      <c r="A16" s="64" t="s">
        <v>11</v>
      </c>
      <c r="B16" s="64">
        <v>15</v>
      </c>
      <c r="D16" s="64" t="s">
        <v>56</v>
      </c>
      <c r="E16" s="64" t="s">
        <v>66</v>
      </c>
      <c r="F16" s="64" t="s">
        <v>67</v>
      </c>
      <c r="G16" s="62" t="s">
        <v>68</v>
      </c>
      <c r="H16" s="62" t="s">
        <v>69</v>
      </c>
      <c r="I16" s="64" t="s">
        <v>70</v>
      </c>
      <c r="L16" s="64" t="s">
        <v>18</v>
      </c>
    </row>
    <row r="17" spans="1:12" s="64" customFormat="1" ht="15.75">
      <c r="A17" s="64" t="s">
        <v>11</v>
      </c>
      <c r="B17" s="64">
        <v>16</v>
      </c>
      <c r="D17" s="64" t="s">
        <v>56</v>
      </c>
      <c r="E17" s="64" t="s">
        <v>71</v>
      </c>
      <c r="F17" s="64" t="s">
        <v>1563</v>
      </c>
      <c r="G17" s="78" t="s">
        <v>1821</v>
      </c>
      <c r="H17" s="62" t="s">
        <v>73</v>
      </c>
      <c r="I17" s="64" t="s">
        <v>70</v>
      </c>
      <c r="L17" s="64" t="s">
        <v>18</v>
      </c>
    </row>
    <row r="18" spans="1:12" s="64" customFormat="1">
      <c r="A18" s="64" t="s">
        <v>11</v>
      </c>
      <c r="B18" s="64">
        <v>17</v>
      </c>
      <c r="D18" s="64" t="s">
        <v>56</v>
      </c>
      <c r="E18" s="64" t="s">
        <v>74</v>
      </c>
      <c r="F18" s="64" t="s">
        <v>75</v>
      </c>
      <c r="G18" s="62" t="s">
        <v>76</v>
      </c>
      <c r="H18" s="62" t="s">
        <v>77</v>
      </c>
      <c r="I18" s="64" t="s">
        <v>16</v>
      </c>
      <c r="J18" s="64" t="s">
        <v>78</v>
      </c>
      <c r="L18" s="64" t="s">
        <v>18</v>
      </c>
    </row>
    <row r="19" spans="1:12" s="64" customFormat="1">
      <c r="A19" s="64" t="s">
        <v>11</v>
      </c>
      <c r="B19" s="64">
        <v>18</v>
      </c>
      <c r="D19" s="64" t="s">
        <v>56</v>
      </c>
      <c r="E19" s="64" t="s">
        <v>79</v>
      </c>
      <c r="F19" s="64" t="s">
        <v>80</v>
      </c>
      <c r="G19" s="62" t="s">
        <v>81</v>
      </c>
      <c r="H19" s="62" t="s">
        <v>82</v>
      </c>
      <c r="I19" s="64" t="s">
        <v>83</v>
      </c>
      <c r="K19" s="64" t="s">
        <v>16</v>
      </c>
      <c r="L19" s="64" t="s">
        <v>18</v>
      </c>
    </row>
    <row r="20" spans="1:12" s="64" customFormat="1">
      <c r="A20" s="64" t="s">
        <v>11</v>
      </c>
      <c r="B20" s="64">
        <v>19</v>
      </c>
      <c r="D20" s="64" t="s">
        <v>12</v>
      </c>
      <c r="E20" s="64" t="s">
        <v>84</v>
      </c>
      <c r="F20" s="64" t="s">
        <v>85</v>
      </c>
      <c r="G20" s="62" t="s">
        <v>86</v>
      </c>
      <c r="H20" s="62" t="s">
        <v>87</v>
      </c>
      <c r="I20" s="64" t="s">
        <v>88</v>
      </c>
      <c r="L20" s="64" t="s">
        <v>18</v>
      </c>
    </row>
    <row r="21" spans="1:12" s="64" customFormat="1">
      <c r="A21" s="64" t="s">
        <v>11</v>
      </c>
      <c r="B21" s="64">
        <v>20</v>
      </c>
      <c r="D21" s="64" t="s">
        <v>12</v>
      </c>
      <c r="E21" s="64" t="s">
        <v>89</v>
      </c>
      <c r="F21" s="64" t="s">
        <v>90</v>
      </c>
      <c r="G21" s="62" t="s">
        <v>91</v>
      </c>
      <c r="H21" s="62"/>
      <c r="I21" s="64" t="s">
        <v>92</v>
      </c>
      <c r="L21" s="64" t="s">
        <v>18</v>
      </c>
    </row>
    <row r="22" spans="1:12" s="64" customFormat="1">
      <c r="A22" s="64" t="s">
        <v>11</v>
      </c>
      <c r="B22" s="64">
        <v>21</v>
      </c>
      <c r="D22" s="64" t="s">
        <v>56</v>
      </c>
      <c r="E22" s="64" t="s">
        <v>93</v>
      </c>
      <c r="F22" s="64" t="s">
        <v>94</v>
      </c>
      <c r="G22" s="62" t="s">
        <v>95</v>
      </c>
      <c r="H22" s="62" t="s">
        <v>96</v>
      </c>
      <c r="I22" s="64" t="s">
        <v>16</v>
      </c>
      <c r="J22" s="64" t="s">
        <v>97</v>
      </c>
      <c r="L22" s="64" t="s">
        <v>18</v>
      </c>
    </row>
    <row r="23" spans="1:12" s="64" customFormat="1">
      <c r="A23" s="64" t="s">
        <v>11</v>
      </c>
      <c r="B23" s="64">
        <v>22</v>
      </c>
      <c r="D23" s="64" t="s">
        <v>56</v>
      </c>
      <c r="E23" s="64" t="s">
        <v>98</v>
      </c>
      <c r="F23" s="64" t="s">
        <v>99</v>
      </c>
      <c r="G23" s="62" t="s">
        <v>100</v>
      </c>
      <c r="H23" s="62" t="s">
        <v>101</v>
      </c>
      <c r="I23" s="64" t="s">
        <v>102</v>
      </c>
      <c r="K23" s="64" t="s">
        <v>103</v>
      </c>
      <c r="L23" s="64" t="s">
        <v>18</v>
      </c>
    </row>
    <row r="24" spans="1:12" s="64" customFormat="1">
      <c r="A24" s="64" t="s">
        <v>11</v>
      </c>
      <c r="B24" s="64">
        <v>23</v>
      </c>
      <c r="D24" s="64" t="s">
        <v>56</v>
      </c>
      <c r="E24" s="64" t="s">
        <v>104</v>
      </c>
      <c r="F24" s="64" t="s">
        <v>105</v>
      </c>
      <c r="G24" s="62" t="s">
        <v>106</v>
      </c>
      <c r="H24" s="62" t="s">
        <v>107</v>
      </c>
      <c r="I24" s="64" t="s">
        <v>108</v>
      </c>
      <c r="L24" s="64" t="s">
        <v>18</v>
      </c>
    </row>
    <row r="25" spans="1:12" s="64" customFormat="1">
      <c r="A25" s="64" t="s">
        <v>11</v>
      </c>
      <c r="B25" s="64">
        <v>24</v>
      </c>
      <c r="D25" s="64" t="s">
        <v>12</v>
      </c>
      <c r="E25" s="64" t="s">
        <v>109</v>
      </c>
      <c r="F25" s="64" t="s">
        <v>110</v>
      </c>
      <c r="G25" s="62" t="s">
        <v>111</v>
      </c>
      <c r="H25" s="62"/>
      <c r="I25" s="64" t="s">
        <v>112</v>
      </c>
      <c r="L25" s="64" t="s">
        <v>18</v>
      </c>
    </row>
    <row r="26" spans="1:12" s="64" customFormat="1">
      <c r="A26" s="64" t="s">
        <v>11</v>
      </c>
      <c r="B26" s="64">
        <v>25</v>
      </c>
      <c r="D26" s="64" t="s">
        <v>56</v>
      </c>
      <c r="E26" s="64" t="s">
        <v>113</v>
      </c>
      <c r="F26" s="64" t="s">
        <v>114</v>
      </c>
      <c r="G26" s="62" t="s">
        <v>115</v>
      </c>
      <c r="H26" s="62" t="s">
        <v>116</v>
      </c>
      <c r="I26" s="64" t="s">
        <v>112</v>
      </c>
      <c r="L26" s="64" t="s">
        <v>18</v>
      </c>
    </row>
    <row r="27" spans="1:12" s="64" customFormat="1">
      <c r="A27" s="64" t="s">
        <v>11</v>
      </c>
      <c r="B27" s="64">
        <v>26</v>
      </c>
      <c r="D27" s="64" t="s">
        <v>56</v>
      </c>
      <c r="E27" s="64" t="s">
        <v>117</v>
      </c>
      <c r="F27" s="64" t="s">
        <v>118</v>
      </c>
      <c r="G27" s="62" t="s">
        <v>119</v>
      </c>
      <c r="H27" s="62" t="s">
        <v>120</v>
      </c>
      <c r="I27" s="64" t="s">
        <v>108</v>
      </c>
      <c r="L27" s="64" t="s">
        <v>18</v>
      </c>
    </row>
    <row r="28" spans="1:12" s="64" customFormat="1">
      <c r="A28" s="64" t="s">
        <v>11</v>
      </c>
      <c r="B28" s="64">
        <v>27</v>
      </c>
      <c r="D28" s="64" t="s">
        <v>56</v>
      </c>
      <c r="E28" s="64" t="s">
        <v>121</v>
      </c>
      <c r="F28" s="64" t="s">
        <v>122</v>
      </c>
      <c r="G28" s="62" t="s">
        <v>123</v>
      </c>
      <c r="H28" s="62" t="s">
        <v>124</v>
      </c>
      <c r="I28" s="64" t="s">
        <v>108</v>
      </c>
      <c r="L28" s="64" t="s">
        <v>18</v>
      </c>
    </row>
    <row r="29" spans="1:12" s="64" customFormat="1">
      <c r="A29" s="64" t="s">
        <v>11</v>
      </c>
      <c r="B29" s="64">
        <v>28</v>
      </c>
      <c r="D29" s="64" t="s">
        <v>56</v>
      </c>
      <c r="E29" s="64" t="s">
        <v>125</v>
      </c>
      <c r="F29" s="64" t="s">
        <v>126</v>
      </c>
      <c r="G29" s="62" t="s">
        <v>127</v>
      </c>
      <c r="H29" s="62" t="s">
        <v>128</v>
      </c>
      <c r="I29" s="64" t="s">
        <v>16</v>
      </c>
      <c r="J29" s="64" t="s">
        <v>38</v>
      </c>
      <c r="L29" s="64" t="s">
        <v>18</v>
      </c>
    </row>
    <row r="30" spans="1:12" s="64" customFormat="1">
      <c r="A30" s="64" t="s">
        <v>11</v>
      </c>
      <c r="B30" s="64">
        <v>29</v>
      </c>
      <c r="D30" s="64" t="s">
        <v>56</v>
      </c>
      <c r="E30" s="64" t="s">
        <v>129</v>
      </c>
      <c r="F30" s="64" t="s">
        <v>130</v>
      </c>
      <c r="G30" s="62" t="s">
        <v>131</v>
      </c>
      <c r="H30" s="62" t="s">
        <v>132</v>
      </c>
      <c r="I30" s="64" t="s">
        <v>16</v>
      </c>
      <c r="J30" s="64" t="s">
        <v>34</v>
      </c>
      <c r="L30" s="64" t="s">
        <v>18</v>
      </c>
    </row>
    <row r="31" spans="1:12" s="64" customFormat="1">
      <c r="A31" s="64" t="s">
        <v>11</v>
      </c>
      <c r="B31" s="64">
        <v>30</v>
      </c>
      <c r="D31" s="64" t="s">
        <v>56</v>
      </c>
      <c r="E31" s="64" t="s">
        <v>133</v>
      </c>
      <c r="F31" s="64" t="s">
        <v>134</v>
      </c>
      <c r="G31" s="62" t="s">
        <v>135</v>
      </c>
      <c r="H31" s="62" t="s">
        <v>136</v>
      </c>
      <c r="I31" s="64" t="s">
        <v>83</v>
      </c>
      <c r="L31" s="64" t="s">
        <v>18</v>
      </c>
    </row>
    <row r="32" spans="1:12" s="64" customFormat="1">
      <c r="A32" s="64" t="s">
        <v>11</v>
      </c>
      <c r="B32" s="64">
        <v>31</v>
      </c>
      <c r="D32" s="64" t="s">
        <v>56</v>
      </c>
      <c r="E32" s="64" t="s">
        <v>137</v>
      </c>
      <c r="F32" s="64" t="s">
        <v>138</v>
      </c>
      <c r="G32" s="62" t="s">
        <v>139</v>
      </c>
      <c r="H32" s="62" t="s">
        <v>140</v>
      </c>
      <c r="I32" s="64" t="s">
        <v>83</v>
      </c>
      <c r="L32" s="64" t="s">
        <v>18</v>
      </c>
    </row>
    <row r="33" spans="1:12" s="64" customFormat="1">
      <c r="A33" s="64" t="s">
        <v>11</v>
      </c>
      <c r="B33" s="64">
        <v>32</v>
      </c>
      <c r="D33" s="64" t="s">
        <v>56</v>
      </c>
      <c r="E33" s="64" t="s">
        <v>141</v>
      </c>
      <c r="F33" s="64" t="s">
        <v>142</v>
      </c>
      <c r="G33" s="66" t="s">
        <v>1579</v>
      </c>
      <c r="H33" s="66" t="s">
        <v>143</v>
      </c>
      <c r="I33" s="64" t="s">
        <v>144</v>
      </c>
      <c r="L33" s="64" t="s">
        <v>18</v>
      </c>
    </row>
    <row r="34" spans="1:12" s="64" customFormat="1">
      <c r="A34" s="64" t="s">
        <v>11</v>
      </c>
      <c r="B34" s="64">
        <v>33</v>
      </c>
      <c r="D34" s="64" t="s">
        <v>56</v>
      </c>
      <c r="E34" s="64" t="s">
        <v>145</v>
      </c>
      <c r="F34" s="64" t="s">
        <v>146</v>
      </c>
      <c r="G34" s="66" t="s">
        <v>147</v>
      </c>
      <c r="H34" s="66" t="s">
        <v>148</v>
      </c>
      <c r="I34" s="64" t="s">
        <v>83</v>
      </c>
      <c r="L34" s="64" t="s">
        <v>18</v>
      </c>
    </row>
    <row r="35" spans="1:12" s="64" customFormat="1">
      <c r="A35" s="64" t="s">
        <v>11</v>
      </c>
      <c r="B35" s="64">
        <v>34</v>
      </c>
      <c r="D35" s="64" t="s">
        <v>56</v>
      </c>
      <c r="E35" s="64" t="s">
        <v>149</v>
      </c>
      <c r="F35" s="64" t="s">
        <v>150</v>
      </c>
      <c r="G35" s="62" t="s">
        <v>1840</v>
      </c>
      <c r="H35" s="62" t="s">
        <v>1841</v>
      </c>
      <c r="I35" s="64" t="s">
        <v>92</v>
      </c>
      <c r="L35" s="64" t="s">
        <v>18</v>
      </c>
    </row>
    <row r="36" spans="1:12" s="64" customFormat="1">
      <c r="A36" s="64" t="s">
        <v>11</v>
      </c>
      <c r="B36" s="64">
        <v>35</v>
      </c>
      <c r="D36" s="64" t="s">
        <v>12</v>
      </c>
      <c r="E36" s="64" t="s">
        <v>151</v>
      </c>
      <c r="F36" s="64" t="s">
        <v>152</v>
      </c>
      <c r="G36" s="62" t="s">
        <v>153</v>
      </c>
      <c r="H36" s="62"/>
      <c r="I36" s="64" t="s">
        <v>154</v>
      </c>
      <c r="J36" s="64" t="s">
        <v>155</v>
      </c>
      <c r="L36" s="64" t="s">
        <v>18</v>
      </c>
    </row>
    <row r="37" spans="1:12" s="64" customFormat="1">
      <c r="A37" s="64" t="s">
        <v>11</v>
      </c>
      <c r="B37" s="64">
        <v>36</v>
      </c>
      <c r="E37" s="64" t="s">
        <v>156</v>
      </c>
      <c r="F37" s="64" t="s">
        <v>157</v>
      </c>
      <c r="G37" s="62" t="s">
        <v>158</v>
      </c>
      <c r="H37" s="62" t="s">
        <v>159</v>
      </c>
      <c r="I37" s="64" t="s">
        <v>83</v>
      </c>
      <c r="L37" s="64" t="s">
        <v>18</v>
      </c>
    </row>
    <row r="38" spans="1:12" s="64" customFormat="1">
      <c r="A38" s="64" t="s">
        <v>11</v>
      </c>
      <c r="B38" s="64">
        <v>37</v>
      </c>
      <c r="E38" s="64" t="s">
        <v>160</v>
      </c>
      <c r="F38" s="64" t="s">
        <v>161</v>
      </c>
      <c r="G38" s="62" t="s">
        <v>162</v>
      </c>
      <c r="H38" s="62" t="s">
        <v>163</v>
      </c>
      <c r="I38" s="64" t="s">
        <v>83</v>
      </c>
      <c r="L38" s="64" t="s">
        <v>18</v>
      </c>
    </row>
    <row r="39" spans="1:12" s="64" customFormat="1">
      <c r="A39" s="64" t="s">
        <v>11</v>
      </c>
      <c r="B39" s="64">
        <v>38</v>
      </c>
      <c r="E39" s="64" t="s">
        <v>164</v>
      </c>
      <c r="F39" s="64" t="s">
        <v>165</v>
      </c>
      <c r="G39" s="62" t="s">
        <v>166</v>
      </c>
      <c r="H39" s="62" t="s">
        <v>167</v>
      </c>
      <c r="I39" s="64" t="s">
        <v>83</v>
      </c>
      <c r="K39" s="64" t="s">
        <v>168</v>
      </c>
      <c r="L39" s="64" t="s">
        <v>18</v>
      </c>
    </row>
    <row r="40" spans="1:12" s="64" customFormat="1" ht="19.5" customHeight="1">
      <c r="A40" s="64" t="s">
        <v>11</v>
      </c>
      <c r="B40" s="64">
        <v>39</v>
      </c>
      <c r="E40" s="64" t="s">
        <v>169</v>
      </c>
      <c r="F40" s="64" t="s">
        <v>170</v>
      </c>
      <c r="G40" s="62" t="s">
        <v>1580</v>
      </c>
      <c r="H40" s="66" t="s">
        <v>171</v>
      </c>
      <c r="I40" s="64" t="s">
        <v>172</v>
      </c>
      <c r="K40" s="64" t="s">
        <v>144</v>
      </c>
      <c r="L40" s="64" t="s">
        <v>18</v>
      </c>
    </row>
    <row r="41" spans="1:12" s="64" customFormat="1">
      <c r="A41" s="64" t="s">
        <v>11</v>
      </c>
      <c r="B41" s="64">
        <v>40</v>
      </c>
      <c r="E41" s="64" t="s">
        <v>173</v>
      </c>
      <c r="F41" s="64" t="s">
        <v>174</v>
      </c>
      <c r="G41" s="62" t="s">
        <v>1407</v>
      </c>
      <c r="H41" s="62" t="s">
        <v>1409</v>
      </c>
      <c r="I41" s="64" t="s">
        <v>102</v>
      </c>
      <c r="K41" s="64" t="s">
        <v>175</v>
      </c>
      <c r="L41" s="64" t="s">
        <v>18</v>
      </c>
    </row>
    <row r="42" spans="1:12" s="64" customFormat="1">
      <c r="A42" s="64" t="s">
        <v>11</v>
      </c>
      <c r="B42" s="64">
        <v>41</v>
      </c>
      <c r="E42" s="64" t="s">
        <v>176</v>
      </c>
      <c r="F42" s="64" t="s">
        <v>177</v>
      </c>
      <c r="G42" s="62" t="s">
        <v>1406</v>
      </c>
      <c r="H42" s="62" t="s">
        <v>1410</v>
      </c>
      <c r="I42" s="64" t="s">
        <v>178</v>
      </c>
      <c r="K42" s="64" t="s">
        <v>175</v>
      </c>
      <c r="L42" s="64" t="s">
        <v>18</v>
      </c>
    </row>
    <row r="43" spans="1:12" s="64" customFormat="1">
      <c r="A43" s="64" t="s">
        <v>11</v>
      </c>
      <c r="B43" s="64">
        <v>42</v>
      </c>
      <c r="E43" s="64" t="s">
        <v>179</v>
      </c>
      <c r="F43" s="64" t="s">
        <v>180</v>
      </c>
      <c r="G43" s="62" t="s">
        <v>1408</v>
      </c>
      <c r="H43" s="62" t="s">
        <v>1411</v>
      </c>
      <c r="I43" s="64" t="s">
        <v>178</v>
      </c>
      <c r="K43" s="64" t="s">
        <v>175</v>
      </c>
      <c r="L43" s="64" t="s">
        <v>18</v>
      </c>
    </row>
    <row r="44" spans="1:12" s="64" customFormat="1" ht="18.75">
      <c r="A44" s="64" t="s">
        <v>11</v>
      </c>
      <c r="B44" s="64">
        <v>43</v>
      </c>
      <c r="E44" s="64" t="s">
        <v>181</v>
      </c>
      <c r="F44" s="64" t="s">
        <v>182</v>
      </c>
      <c r="G44" s="79" t="s">
        <v>1823</v>
      </c>
      <c r="H44" s="79" t="s">
        <v>1823</v>
      </c>
      <c r="I44" s="64" t="s">
        <v>83</v>
      </c>
      <c r="K44" s="64" t="s">
        <v>183</v>
      </c>
      <c r="L44" s="64" t="s">
        <v>18</v>
      </c>
    </row>
    <row r="45" spans="1:12" s="64" customFormat="1">
      <c r="A45" s="64" t="s">
        <v>11</v>
      </c>
      <c r="B45" s="64">
        <v>44</v>
      </c>
      <c r="E45" s="64" t="s">
        <v>184</v>
      </c>
      <c r="F45" s="64" t="s">
        <v>185</v>
      </c>
      <c r="G45" s="62" t="s">
        <v>186</v>
      </c>
      <c r="H45" s="62" t="s">
        <v>187</v>
      </c>
      <c r="I45" s="64" t="s">
        <v>83</v>
      </c>
      <c r="K45" s="64" t="s">
        <v>183</v>
      </c>
      <c r="L45" s="64" t="s">
        <v>18</v>
      </c>
    </row>
    <row r="46" spans="1:12" s="64" customFormat="1">
      <c r="A46" s="64" t="s">
        <v>11</v>
      </c>
      <c r="B46" s="64">
        <v>45</v>
      </c>
      <c r="E46" s="64" t="s">
        <v>188</v>
      </c>
      <c r="F46" s="64" t="s">
        <v>189</v>
      </c>
      <c r="G46" s="62" t="s">
        <v>1824</v>
      </c>
      <c r="H46" s="62" t="s">
        <v>1825</v>
      </c>
      <c r="I46" s="64" t="s">
        <v>190</v>
      </c>
      <c r="L46" s="64" t="s">
        <v>18</v>
      </c>
    </row>
    <row r="47" spans="1:12" s="64" customFormat="1">
      <c r="A47" s="64" t="s">
        <v>11</v>
      </c>
      <c r="B47" s="64">
        <v>46</v>
      </c>
      <c r="E47" s="64" t="s">
        <v>191</v>
      </c>
      <c r="F47" s="64" t="s">
        <v>192</v>
      </c>
      <c r="G47" s="62" t="s">
        <v>193</v>
      </c>
      <c r="H47" s="62" t="s">
        <v>194</v>
      </c>
      <c r="I47" s="64" t="s">
        <v>83</v>
      </c>
      <c r="K47" s="64" t="s">
        <v>195</v>
      </c>
      <c r="L47" s="64" t="s">
        <v>18</v>
      </c>
    </row>
    <row r="48" spans="1:12" s="64" customFormat="1">
      <c r="A48" s="64" t="s">
        <v>11</v>
      </c>
      <c r="B48" s="64">
        <v>47</v>
      </c>
      <c r="E48" s="64" t="s">
        <v>196</v>
      </c>
      <c r="F48" s="64" t="s">
        <v>197</v>
      </c>
      <c r="G48" s="62" t="s">
        <v>198</v>
      </c>
      <c r="H48" s="62" t="s">
        <v>199</v>
      </c>
      <c r="I48" s="64" t="s">
        <v>172</v>
      </c>
      <c r="K48" s="64" t="s">
        <v>200</v>
      </c>
      <c r="L48" s="64" t="s">
        <v>18</v>
      </c>
    </row>
    <row r="49" spans="1:12" s="64" customFormat="1" ht="18.75">
      <c r="A49" s="64" t="s">
        <v>11</v>
      </c>
      <c r="B49" s="64">
        <v>48</v>
      </c>
      <c r="E49" s="64" t="s">
        <v>201</v>
      </c>
      <c r="F49" s="64" t="s">
        <v>202</v>
      </c>
      <c r="G49" s="62" t="s">
        <v>1826</v>
      </c>
      <c r="H49" s="79" t="s">
        <v>1827</v>
      </c>
      <c r="I49" s="64" t="s">
        <v>83</v>
      </c>
      <c r="K49" s="64" t="s">
        <v>92</v>
      </c>
      <c r="L49" s="64" t="s">
        <v>18</v>
      </c>
    </row>
    <row r="50" spans="1:12" s="64" customFormat="1" ht="15.75" customHeight="1">
      <c r="A50" s="64" t="s">
        <v>11</v>
      </c>
      <c r="B50" s="64">
        <v>49</v>
      </c>
      <c r="E50" s="64" t="s">
        <v>203</v>
      </c>
      <c r="F50" s="64" t="s">
        <v>204</v>
      </c>
      <c r="G50" s="62" t="s">
        <v>1829</v>
      </c>
      <c r="H50" s="62" t="s">
        <v>1828</v>
      </c>
      <c r="I50" s="64" t="s">
        <v>16</v>
      </c>
      <c r="J50" s="64" t="s">
        <v>78</v>
      </c>
      <c r="K50" s="64" t="s">
        <v>92</v>
      </c>
      <c r="L50" s="64" t="s">
        <v>18</v>
      </c>
    </row>
    <row r="51" spans="1:12" s="64" customFormat="1">
      <c r="A51" s="64" t="s">
        <v>11</v>
      </c>
      <c r="B51" s="64">
        <v>50</v>
      </c>
      <c r="E51" s="64" t="s">
        <v>205</v>
      </c>
      <c r="F51" s="64" t="s">
        <v>206</v>
      </c>
      <c r="G51" s="62" t="s">
        <v>207</v>
      </c>
      <c r="H51" s="62" t="s">
        <v>208</v>
      </c>
      <c r="I51" s="64" t="s">
        <v>16</v>
      </c>
      <c r="J51" s="64" t="s">
        <v>209</v>
      </c>
      <c r="K51" s="64" t="s">
        <v>92</v>
      </c>
      <c r="L51" s="64" t="s">
        <v>18</v>
      </c>
    </row>
    <row r="52" spans="1:12" s="64" customFormat="1">
      <c r="A52" s="64" t="s">
        <v>11</v>
      </c>
      <c r="B52" s="64">
        <v>51</v>
      </c>
      <c r="E52" s="64" t="s">
        <v>210</v>
      </c>
      <c r="F52" s="64" t="s">
        <v>211</v>
      </c>
      <c r="G52" s="62" t="s">
        <v>212</v>
      </c>
      <c r="H52" s="62" t="s">
        <v>213</v>
      </c>
      <c r="I52" s="64" t="s">
        <v>16</v>
      </c>
      <c r="J52" s="64" t="s">
        <v>61</v>
      </c>
      <c r="K52" s="64" t="s">
        <v>92</v>
      </c>
      <c r="L52" s="64" t="s">
        <v>18</v>
      </c>
    </row>
    <row r="53" spans="1:12" s="64" customFormat="1">
      <c r="A53" s="64" t="s">
        <v>11</v>
      </c>
      <c r="B53" s="64">
        <v>52</v>
      </c>
      <c r="E53" s="64" t="s">
        <v>214</v>
      </c>
      <c r="F53" s="64" t="s">
        <v>215</v>
      </c>
      <c r="G53" s="62" t="s">
        <v>216</v>
      </c>
      <c r="H53" s="62" t="s">
        <v>217</v>
      </c>
      <c r="I53" s="64" t="s">
        <v>218</v>
      </c>
      <c r="K53" s="64" t="s">
        <v>219</v>
      </c>
      <c r="L53" s="64" t="s">
        <v>220</v>
      </c>
    </row>
    <row r="54" spans="1:12" s="64" customFormat="1">
      <c r="A54" s="64" t="s">
        <v>11</v>
      </c>
      <c r="B54" s="64">
        <v>53</v>
      </c>
      <c r="E54" s="64" t="s">
        <v>221</v>
      </c>
      <c r="F54" s="64" t="s">
        <v>222</v>
      </c>
      <c r="G54" s="62" t="s">
        <v>223</v>
      </c>
      <c r="H54" s="62" t="s">
        <v>224</v>
      </c>
      <c r="I54" s="64" t="s">
        <v>218</v>
      </c>
      <c r="K54" s="64" t="s">
        <v>219</v>
      </c>
      <c r="L54" s="64" t="s">
        <v>220</v>
      </c>
    </row>
    <row r="55" spans="1:12" s="64" customFormat="1">
      <c r="A55" s="64" t="s">
        <v>11</v>
      </c>
      <c r="B55" s="64">
        <v>54</v>
      </c>
      <c r="E55" s="64" t="s">
        <v>225</v>
      </c>
      <c r="F55" s="64" t="s">
        <v>226</v>
      </c>
      <c r="G55" s="62" t="s">
        <v>227</v>
      </c>
      <c r="H55" s="62" t="s">
        <v>228</v>
      </c>
      <c r="I55" s="64" t="s">
        <v>218</v>
      </c>
      <c r="K55" s="64" t="s">
        <v>219</v>
      </c>
      <c r="L55" s="64" t="s">
        <v>220</v>
      </c>
    </row>
    <row r="56" spans="1:12" s="64" customFormat="1">
      <c r="A56" s="64" t="s">
        <v>11</v>
      </c>
      <c r="B56" s="64">
        <v>55</v>
      </c>
      <c r="E56" s="64" t="s">
        <v>229</v>
      </c>
      <c r="F56" s="64" t="s">
        <v>230</v>
      </c>
      <c r="G56" s="62" t="s">
        <v>231</v>
      </c>
      <c r="H56" s="62" t="s">
        <v>232</v>
      </c>
      <c r="I56" s="64" t="s">
        <v>218</v>
      </c>
      <c r="K56" s="64" t="s">
        <v>219</v>
      </c>
      <c r="L56" s="64" t="s">
        <v>220</v>
      </c>
    </row>
    <row r="57" spans="1:12" s="64" customFormat="1">
      <c r="A57" s="64" t="s">
        <v>11</v>
      </c>
      <c r="B57" s="64">
        <v>56</v>
      </c>
      <c r="E57" s="64" t="s">
        <v>233</v>
      </c>
      <c r="F57" s="64" t="s">
        <v>234</v>
      </c>
      <c r="G57" s="62" t="s">
        <v>235</v>
      </c>
      <c r="H57" s="62" t="s">
        <v>236</v>
      </c>
      <c r="I57" s="64" t="s">
        <v>218</v>
      </c>
      <c r="K57" s="64" t="s">
        <v>219</v>
      </c>
      <c r="L57" s="64" t="s">
        <v>220</v>
      </c>
    </row>
    <row r="58" spans="1:12" s="64" customFormat="1">
      <c r="A58" s="64" t="s">
        <v>11</v>
      </c>
      <c r="B58" s="64">
        <v>57</v>
      </c>
      <c r="E58" s="64" t="s">
        <v>237</v>
      </c>
      <c r="F58" s="64" t="s">
        <v>238</v>
      </c>
      <c r="G58" s="62" t="s">
        <v>239</v>
      </c>
      <c r="H58" s="62" t="s">
        <v>240</v>
      </c>
      <c r="I58" s="64" t="s">
        <v>218</v>
      </c>
      <c r="K58" s="64" t="s">
        <v>219</v>
      </c>
      <c r="L58" s="64" t="s">
        <v>220</v>
      </c>
    </row>
    <row r="59" spans="1:12">
      <c r="A59" t="s">
        <v>11</v>
      </c>
      <c r="B59">
        <v>58</v>
      </c>
      <c r="E59" t="s">
        <v>241</v>
      </c>
      <c r="F59" t="s">
        <v>242</v>
      </c>
      <c r="G59" s="9" t="s">
        <v>243</v>
      </c>
      <c r="H59" s="9" t="s">
        <v>244</v>
      </c>
      <c r="I59" t="s">
        <v>218</v>
      </c>
      <c r="K59" t="s">
        <v>219</v>
      </c>
      <c r="L59" t="s">
        <v>220</v>
      </c>
    </row>
    <row r="60" spans="1:12">
      <c r="A60" t="s">
        <v>11</v>
      </c>
      <c r="B60">
        <v>59</v>
      </c>
      <c r="E60" t="s">
        <v>245</v>
      </c>
      <c r="F60" t="s">
        <v>246</v>
      </c>
      <c r="G60" s="9" t="s">
        <v>247</v>
      </c>
      <c r="H60" s="9" t="s">
        <v>248</v>
      </c>
      <c r="I60" t="s">
        <v>218</v>
      </c>
      <c r="K60" t="s">
        <v>219</v>
      </c>
      <c r="L60" t="s">
        <v>220</v>
      </c>
    </row>
    <row r="61" spans="1:12">
      <c r="A61" t="s">
        <v>11</v>
      </c>
      <c r="B61">
        <v>60</v>
      </c>
      <c r="E61" t="s">
        <v>249</v>
      </c>
      <c r="F61" t="s">
        <v>250</v>
      </c>
      <c r="G61" s="9" t="s">
        <v>251</v>
      </c>
      <c r="H61" s="9" t="s">
        <v>252</v>
      </c>
      <c r="I61" t="s">
        <v>218</v>
      </c>
      <c r="K61" t="s">
        <v>219</v>
      </c>
      <c r="L61" t="s">
        <v>220</v>
      </c>
    </row>
    <row r="62" spans="1:12">
      <c r="A62" t="s">
        <v>11</v>
      </c>
      <c r="B62">
        <v>61</v>
      </c>
      <c r="E62" t="s">
        <v>253</v>
      </c>
      <c r="F62" t="s">
        <v>254</v>
      </c>
      <c r="G62" s="9" t="s">
        <v>255</v>
      </c>
      <c r="H62" s="9" t="s">
        <v>256</v>
      </c>
      <c r="I62" t="s">
        <v>218</v>
      </c>
      <c r="K62" t="s">
        <v>219</v>
      </c>
      <c r="L62" t="s">
        <v>220</v>
      </c>
    </row>
    <row r="63" spans="1:12">
      <c r="A63" t="s">
        <v>11</v>
      </c>
      <c r="B63">
        <v>62</v>
      </c>
      <c r="E63" t="s">
        <v>257</v>
      </c>
      <c r="F63" t="s">
        <v>258</v>
      </c>
      <c r="G63" s="9" t="s">
        <v>259</v>
      </c>
      <c r="H63" s="9" t="s">
        <v>260</v>
      </c>
      <c r="I63" t="s">
        <v>218</v>
      </c>
      <c r="K63" t="s">
        <v>219</v>
      </c>
      <c r="L63" t="s">
        <v>220</v>
      </c>
    </row>
    <row r="64" spans="1:12">
      <c r="A64" t="s">
        <v>11</v>
      </c>
      <c r="B64">
        <v>63</v>
      </c>
      <c r="E64" t="s">
        <v>261</v>
      </c>
      <c r="F64" t="s">
        <v>262</v>
      </c>
      <c r="G64" s="9" t="s">
        <v>263</v>
      </c>
      <c r="H64" s="9" t="s">
        <v>264</v>
      </c>
      <c r="I64" t="s">
        <v>218</v>
      </c>
      <c r="K64" t="s">
        <v>219</v>
      </c>
      <c r="L64" t="s">
        <v>220</v>
      </c>
    </row>
    <row r="65" spans="1:12">
      <c r="A65" t="s">
        <v>11</v>
      </c>
      <c r="B65">
        <v>64</v>
      </c>
      <c r="E65" t="s">
        <v>265</v>
      </c>
      <c r="F65" t="s">
        <v>266</v>
      </c>
      <c r="G65" s="9" t="s">
        <v>267</v>
      </c>
      <c r="H65" s="9" t="s">
        <v>268</v>
      </c>
      <c r="I65" t="s">
        <v>218</v>
      </c>
      <c r="K65" t="s">
        <v>219</v>
      </c>
      <c r="L65" t="s">
        <v>220</v>
      </c>
    </row>
    <row r="66" spans="1:12">
      <c r="A66" t="s">
        <v>11</v>
      </c>
      <c r="B66">
        <v>65</v>
      </c>
      <c r="E66" t="s">
        <v>269</v>
      </c>
      <c r="F66" t="s">
        <v>270</v>
      </c>
      <c r="G66" s="9" t="s">
        <v>271</v>
      </c>
      <c r="H66" s="9" t="s">
        <v>272</v>
      </c>
      <c r="I66" t="s">
        <v>218</v>
      </c>
      <c r="K66" t="s">
        <v>219</v>
      </c>
      <c r="L66" t="s">
        <v>220</v>
      </c>
    </row>
    <row r="67" spans="1:12">
      <c r="A67" t="s">
        <v>11</v>
      </c>
      <c r="B67">
        <v>66</v>
      </c>
      <c r="E67" t="s">
        <v>273</v>
      </c>
      <c r="F67" t="s">
        <v>274</v>
      </c>
      <c r="G67" s="9" t="s">
        <v>275</v>
      </c>
      <c r="H67" s="9" t="s">
        <v>276</v>
      </c>
      <c r="I67" t="s">
        <v>218</v>
      </c>
      <c r="K67" t="s">
        <v>219</v>
      </c>
      <c r="L67" t="s">
        <v>220</v>
      </c>
    </row>
    <row r="68" spans="1:12">
      <c r="A68" t="s">
        <v>11</v>
      </c>
      <c r="B68">
        <v>67</v>
      </c>
      <c r="E68" t="s">
        <v>277</v>
      </c>
      <c r="F68" t="s">
        <v>278</v>
      </c>
      <c r="G68" s="9" t="s">
        <v>279</v>
      </c>
      <c r="H68" s="9" t="s">
        <v>280</v>
      </c>
      <c r="I68" t="s">
        <v>218</v>
      </c>
      <c r="K68" t="s">
        <v>219</v>
      </c>
      <c r="L68" t="s">
        <v>220</v>
      </c>
    </row>
    <row r="69" spans="1:12">
      <c r="A69" t="s">
        <v>11</v>
      </c>
      <c r="B69">
        <v>68</v>
      </c>
      <c r="E69" t="s">
        <v>281</v>
      </c>
      <c r="F69" t="s">
        <v>1081</v>
      </c>
      <c r="G69" s="9" t="s">
        <v>282</v>
      </c>
      <c r="H69" s="9" t="s">
        <v>283</v>
      </c>
      <c r="I69" t="s">
        <v>218</v>
      </c>
      <c r="K69" t="s">
        <v>219</v>
      </c>
      <c r="L69" t="s">
        <v>220</v>
      </c>
    </row>
    <row r="70" spans="1:12">
      <c r="A70" t="s">
        <v>11</v>
      </c>
      <c r="B70">
        <v>69</v>
      </c>
      <c r="E70" t="s">
        <v>284</v>
      </c>
      <c r="F70" t="s">
        <v>285</v>
      </c>
      <c r="G70" s="9" t="s">
        <v>286</v>
      </c>
      <c r="H70" s="9" t="s">
        <v>287</v>
      </c>
      <c r="I70" t="s">
        <v>218</v>
      </c>
      <c r="K70" t="s">
        <v>219</v>
      </c>
      <c r="L70" t="s">
        <v>220</v>
      </c>
    </row>
    <row r="71" spans="1:12">
      <c r="A71" t="s">
        <v>11</v>
      </c>
      <c r="B71">
        <v>70</v>
      </c>
      <c r="E71" t="s">
        <v>288</v>
      </c>
      <c r="F71" t="s">
        <v>289</v>
      </c>
      <c r="G71" s="9" t="s">
        <v>290</v>
      </c>
      <c r="H71" s="9" t="s">
        <v>291</v>
      </c>
      <c r="I71" t="s">
        <v>218</v>
      </c>
      <c r="K71" t="s">
        <v>219</v>
      </c>
      <c r="L71" t="s">
        <v>220</v>
      </c>
    </row>
    <row r="72" spans="1:12">
      <c r="A72" t="s">
        <v>11</v>
      </c>
      <c r="B72">
        <v>71</v>
      </c>
      <c r="E72" t="s">
        <v>292</v>
      </c>
      <c r="F72" t="s">
        <v>293</v>
      </c>
      <c r="G72" s="9" t="s">
        <v>294</v>
      </c>
      <c r="H72" s="9" t="s">
        <v>295</v>
      </c>
      <c r="I72" t="s">
        <v>218</v>
      </c>
      <c r="K72" t="s">
        <v>219</v>
      </c>
      <c r="L72" t="s">
        <v>220</v>
      </c>
    </row>
    <row r="73" spans="1:12">
      <c r="A73" t="s">
        <v>11</v>
      </c>
      <c r="B73">
        <v>72</v>
      </c>
      <c r="E73" t="s">
        <v>296</v>
      </c>
      <c r="F73" t="s">
        <v>297</v>
      </c>
      <c r="G73" s="9" t="s">
        <v>298</v>
      </c>
      <c r="H73" s="9" t="s">
        <v>299</v>
      </c>
      <c r="I73" t="s">
        <v>218</v>
      </c>
      <c r="K73" t="s">
        <v>219</v>
      </c>
      <c r="L73" t="s">
        <v>220</v>
      </c>
    </row>
    <row r="74" spans="1:12">
      <c r="A74" t="s">
        <v>11</v>
      </c>
      <c r="B74">
        <v>73</v>
      </c>
      <c r="E74" t="s">
        <v>300</v>
      </c>
      <c r="F74" t="s">
        <v>301</v>
      </c>
      <c r="G74" s="9" t="s">
        <v>302</v>
      </c>
      <c r="H74" s="9" t="s">
        <v>303</v>
      </c>
      <c r="I74" t="s">
        <v>218</v>
      </c>
      <c r="K74" t="s">
        <v>219</v>
      </c>
      <c r="L74" t="s">
        <v>220</v>
      </c>
    </row>
    <row r="75" spans="1:12">
      <c r="A75" t="s">
        <v>11</v>
      </c>
      <c r="B75">
        <v>74</v>
      </c>
      <c r="E75" t="s">
        <v>304</v>
      </c>
      <c r="F75" t="s">
        <v>305</v>
      </c>
      <c r="G75" s="9" t="s">
        <v>306</v>
      </c>
      <c r="H75" s="9" t="s">
        <v>307</v>
      </c>
      <c r="I75" t="s">
        <v>218</v>
      </c>
      <c r="K75" t="s">
        <v>219</v>
      </c>
      <c r="L75" t="s">
        <v>220</v>
      </c>
    </row>
    <row r="76" spans="1:12">
      <c r="A76" t="s">
        <v>11</v>
      </c>
      <c r="B76">
        <v>75</v>
      </c>
      <c r="E76" t="s">
        <v>308</v>
      </c>
      <c r="F76" t="s">
        <v>309</v>
      </c>
      <c r="G76" s="9" t="s">
        <v>310</v>
      </c>
      <c r="H76" s="9" t="s">
        <v>311</v>
      </c>
      <c r="I76" t="s">
        <v>218</v>
      </c>
      <c r="K76" t="s">
        <v>219</v>
      </c>
      <c r="L76" t="s">
        <v>220</v>
      </c>
    </row>
    <row r="77" spans="1:12">
      <c r="A77" t="s">
        <v>11</v>
      </c>
      <c r="B77">
        <v>76</v>
      </c>
      <c r="E77" t="s">
        <v>312</v>
      </c>
      <c r="F77" t="s">
        <v>313</v>
      </c>
      <c r="G77" s="9" t="s">
        <v>314</v>
      </c>
      <c r="H77" s="9" t="s">
        <v>315</v>
      </c>
      <c r="I77" t="s">
        <v>218</v>
      </c>
      <c r="K77" t="s">
        <v>219</v>
      </c>
      <c r="L77" t="s">
        <v>220</v>
      </c>
    </row>
    <row r="78" spans="1:12">
      <c r="A78" t="s">
        <v>11</v>
      </c>
      <c r="B78">
        <v>77</v>
      </c>
      <c r="E78" t="s">
        <v>316</v>
      </c>
      <c r="F78" t="s">
        <v>317</v>
      </c>
      <c r="G78" s="9" t="s">
        <v>318</v>
      </c>
      <c r="H78" s="9" t="s">
        <v>319</v>
      </c>
      <c r="I78" t="s">
        <v>218</v>
      </c>
      <c r="K78" t="s">
        <v>219</v>
      </c>
      <c r="L78" t="s">
        <v>220</v>
      </c>
    </row>
    <row r="79" spans="1:12">
      <c r="A79" t="s">
        <v>11</v>
      </c>
      <c r="B79">
        <v>78</v>
      </c>
      <c r="E79" t="s">
        <v>320</v>
      </c>
      <c r="F79" t="s">
        <v>321</v>
      </c>
      <c r="G79" s="9" t="s">
        <v>322</v>
      </c>
      <c r="H79" s="9" t="s">
        <v>323</v>
      </c>
      <c r="I79" t="s">
        <v>218</v>
      </c>
      <c r="K79" t="s">
        <v>219</v>
      </c>
      <c r="L79" t="s">
        <v>220</v>
      </c>
    </row>
    <row r="80" spans="1:12">
      <c r="A80" t="s">
        <v>11</v>
      </c>
      <c r="B80">
        <v>79</v>
      </c>
      <c r="E80" t="s">
        <v>324</v>
      </c>
      <c r="F80" t="s">
        <v>325</v>
      </c>
      <c r="G80" s="9" t="s">
        <v>326</v>
      </c>
      <c r="H80" s="9" t="s">
        <v>327</v>
      </c>
      <c r="I80" t="s">
        <v>218</v>
      </c>
      <c r="K80" t="s">
        <v>219</v>
      </c>
      <c r="L80" t="s">
        <v>220</v>
      </c>
    </row>
    <row r="81" spans="1:12">
      <c r="A81" t="s">
        <v>11</v>
      </c>
      <c r="B81">
        <v>80</v>
      </c>
      <c r="E81" t="s">
        <v>328</v>
      </c>
      <c r="F81" t="s">
        <v>329</v>
      </c>
      <c r="G81" s="9" t="s">
        <v>330</v>
      </c>
      <c r="H81" s="9" t="s">
        <v>331</v>
      </c>
      <c r="I81" t="s">
        <v>218</v>
      </c>
      <c r="K81" t="s">
        <v>219</v>
      </c>
      <c r="L81" t="s">
        <v>220</v>
      </c>
    </row>
    <row r="82" spans="1:12">
      <c r="A82" t="s">
        <v>11</v>
      </c>
      <c r="B82">
        <v>81</v>
      </c>
      <c r="E82" t="s">
        <v>332</v>
      </c>
      <c r="F82" t="s">
        <v>333</v>
      </c>
      <c r="G82" s="9" t="s">
        <v>334</v>
      </c>
      <c r="H82" s="9" t="s">
        <v>335</v>
      </c>
      <c r="I82" t="s">
        <v>218</v>
      </c>
      <c r="K82" t="s">
        <v>219</v>
      </c>
      <c r="L82" t="s">
        <v>220</v>
      </c>
    </row>
    <row r="83" spans="1:12">
      <c r="A83" t="s">
        <v>11</v>
      </c>
      <c r="B83">
        <v>82</v>
      </c>
      <c r="E83" t="s">
        <v>336</v>
      </c>
      <c r="F83" t="s">
        <v>337</v>
      </c>
      <c r="G83" s="9" t="s">
        <v>338</v>
      </c>
      <c r="H83" s="9" t="s">
        <v>339</v>
      </c>
      <c r="I83" t="s">
        <v>218</v>
      </c>
      <c r="K83" t="s">
        <v>219</v>
      </c>
      <c r="L83" t="s">
        <v>220</v>
      </c>
    </row>
    <row r="84" spans="1:12">
      <c r="A84" t="s">
        <v>11</v>
      </c>
      <c r="B84">
        <v>83</v>
      </c>
      <c r="E84" t="s">
        <v>340</v>
      </c>
      <c r="F84" t="s">
        <v>341</v>
      </c>
      <c r="G84" s="9" t="s">
        <v>342</v>
      </c>
      <c r="H84" s="9" t="s">
        <v>343</v>
      </c>
      <c r="I84" t="s">
        <v>218</v>
      </c>
      <c r="K84" t="s">
        <v>219</v>
      </c>
      <c r="L84" t="s">
        <v>220</v>
      </c>
    </row>
    <row r="85" spans="1:12">
      <c r="A85" t="s">
        <v>11</v>
      </c>
      <c r="B85">
        <v>84</v>
      </c>
      <c r="E85" t="s">
        <v>344</v>
      </c>
      <c r="F85" t="s">
        <v>345</v>
      </c>
      <c r="G85" s="9" t="s">
        <v>346</v>
      </c>
      <c r="H85" s="9" t="s">
        <v>347</v>
      </c>
      <c r="I85" t="s">
        <v>218</v>
      </c>
      <c r="K85" t="s">
        <v>219</v>
      </c>
      <c r="L85" t="s">
        <v>220</v>
      </c>
    </row>
    <row r="86" spans="1:12">
      <c r="A86" t="s">
        <v>11</v>
      </c>
      <c r="B86">
        <v>85</v>
      </c>
      <c r="E86" t="s">
        <v>348</v>
      </c>
      <c r="F86" t="s">
        <v>349</v>
      </c>
      <c r="G86" s="9" t="s">
        <v>350</v>
      </c>
      <c r="H86" s="9" t="s">
        <v>351</v>
      </c>
      <c r="I86" t="s">
        <v>218</v>
      </c>
      <c r="K86" t="s">
        <v>219</v>
      </c>
      <c r="L86" t="s">
        <v>220</v>
      </c>
    </row>
    <row r="87" spans="1:12">
      <c r="A87" t="s">
        <v>11</v>
      </c>
      <c r="B87">
        <v>86</v>
      </c>
      <c r="E87" t="s">
        <v>352</v>
      </c>
      <c r="F87" t="s">
        <v>353</v>
      </c>
      <c r="G87" s="9" t="s">
        <v>354</v>
      </c>
      <c r="H87" s="9" t="s">
        <v>355</v>
      </c>
      <c r="I87" t="s">
        <v>218</v>
      </c>
      <c r="K87" t="s">
        <v>219</v>
      </c>
      <c r="L87" t="s">
        <v>220</v>
      </c>
    </row>
    <row r="88" spans="1:12">
      <c r="A88" t="s">
        <v>11</v>
      </c>
      <c r="B88">
        <v>87</v>
      </c>
      <c r="E88" t="s">
        <v>356</v>
      </c>
      <c r="F88" t="s">
        <v>357</v>
      </c>
      <c r="G88" s="9" t="s">
        <v>358</v>
      </c>
      <c r="H88" s="9" t="s">
        <v>359</v>
      </c>
      <c r="I88" t="s">
        <v>218</v>
      </c>
      <c r="K88" t="s">
        <v>219</v>
      </c>
      <c r="L88" t="s">
        <v>220</v>
      </c>
    </row>
    <row r="89" spans="1:12">
      <c r="A89" t="s">
        <v>11</v>
      </c>
      <c r="B89">
        <v>88</v>
      </c>
      <c r="E89" t="s">
        <v>360</v>
      </c>
      <c r="F89" t="s">
        <v>361</v>
      </c>
      <c r="G89" s="9" t="s">
        <v>362</v>
      </c>
      <c r="H89" s="9" t="s">
        <v>363</v>
      </c>
      <c r="I89" t="s">
        <v>218</v>
      </c>
      <c r="K89" t="s">
        <v>219</v>
      </c>
      <c r="L89" t="s">
        <v>220</v>
      </c>
    </row>
    <row r="90" spans="1:12">
      <c r="A90" t="s">
        <v>11</v>
      </c>
      <c r="B90">
        <v>89</v>
      </c>
      <c r="E90" t="s">
        <v>364</v>
      </c>
      <c r="F90" t="s">
        <v>365</v>
      </c>
      <c r="G90" s="9" t="s">
        <v>366</v>
      </c>
      <c r="H90" s="9" t="s">
        <v>367</v>
      </c>
      <c r="I90" t="s">
        <v>218</v>
      </c>
      <c r="K90" t="s">
        <v>219</v>
      </c>
      <c r="L90" t="s">
        <v>220</v>
      </c>
    </row>
    <row r="91" spans="1:12">
      <c r="A91" t="s">
        <v>11</v>
      </c>
      <c r="B91">
        <v>90</v>
      </c>
      <c r="E91" t="s">
        <v>368</v>
      </c>
      <c r="F91" t="s">
        <v>369</v>
      </c>
      <c r="G91" s="9" t="s">
        <v>370</v>
      </c>
      <c r="H91" s="9" t="s">
        <v>371</v>
      </c>
      <c r="I91" t="s">
        <v>218</v>
      </c>
      <c r="K91" t="s">
        <v>219</v>
      </c>
      <c r="L91" t="s">
        <v>220</v>
      </c>
    </row>
    <row r="92" spans="1:12">
      <c r="A92" t="s">
        <v>11</v>
      </c>
      <c r="B92">
        <v>91</v>
      </c>
      <c r="E92" t="s">
        <v>372</v>
      </c>
      <c r="F92" t="s">
        <v>373</v>
      </c>
      <c r="G92" s="9" t="s">
        <v>374</v>
      </c>
      <c r="H92" s="9" t="s">
        <v>375</v>
      </c>
      <c r="I92" t="s">
        <v>218</v>
      </c>
      <c r="K92" t="s">
        <v>219</v>
      </c>
      <c r="L92" t="s">
        <v>220</v>
      </c>
    </row>
    <row r="93" spans="1:12">
      <c r="A93" t="s">
        <v>11</v>
      </c>
      <c r="B93">
        <v>92</v>
      </c>
      <c r="E93" t="s">
        <v>376</v>
      </c>
      <c r="F93" t="s">
        <v>377</v>
      </c>
      <c r="G93" s="9" t="s">
        <v>378</v>
      </c>
      <c r="H93" s="9" t="s">
        <v>379</v>
      </c>
      <c r="I93" t="s">
        <v>218</v>
      </c>
      <c r="K93" t="s">
        <v>219</v>
      </c>
      <c r="L93" t="s">
        <v>220</v>
      </c>
    </row>
    <row r="94" spans="1:12">
      <c r="A94" t="s">
        <v>11</v>
      </c>
      <c r="B94">
        <v>93</v>
      </c>
      <c r="E94" t="s">
        <v>380</v>
      </c>
      <c r="F94" t="s">
        <v>381</v>
      </c>
      <c r="G94" s="9" t="s">
        <v>382</v>
      </c>
      <c r="H94" s="9" t="s">
        <v>383</v>
      </c>
      <c r="I94" t="s">
        <v>218</v>
      </c>
      <c r="K94" t="s">
        <v>219</v>
      </c>
      <c r="L94" t="s">
        <v>220</v>
      </c>
    </row>
    <row r="95" spans="1:12">
      <c r="A95" t="s">
        <v>11</v>
      </c>
      <c r="B95">
        <v>94</v>
      </c>
      <c r="E95" t="s">
        <v>384</v>
      </c>
      <c r="F95" t="s">
        <v>385</v>
      </c>
      <c r="G95" s="9" t="s">
        <v>386</v>
      </c>
      <c r="H95" s="9" t="s">
        <v>387</v>
      </c>
      <c r="I95" t="s">
        <v>218</v>
      </c>
      <c r="K95" t="s">
        <v>219</v>
      </c>
      <c r="L95" t="s">
        <v>220</v>
      </c>
    </row>
    <row r="96" spans="1:12">
      <c r="A96" t="s">
        <v>11</v>
      </c>
      <c r="B96">
        <v>95</v>
      </c>
      <c r="E96" t="s">
        <v>388</v>
      </c>
      <c r="F96" t="s">
        <v>389</v>
      </c>
      <c r="G96" s="9" t="s">
        <v>390</v>
      </c>
      <c r="H96" s="9" t="s">
        <v>391</v>
      </c>
      <c r="I96" t="s">
        <v>218</v>
      </c>
      <c r="K96" t="s">
        <v>219</v>
      </c>
      <c r="L96" t="s">
        <v>220</v>
      </c>
    </row>
    <row r="97" spans="1:12">
      <c r="A97" t="s">
        <v>11</v>
      </c>
      <c r="B97">
        <v>96</v>
      </c>
      <c r="E97" t="s">
        <v>392</v>
      </c>
      <c r="F97" t="s">
        <v>393</v>
      </c>
      <c r="G97" s="9" t="s">
        <v>394</v>
      </c>
      <c r="H97" s="9" t="s">
        <v>395</v>
      </c>
      <c r="I97" t="s">
        <v>218</v>
      </c>
      <c r="K97" t="s">
        <v>219</v>
      </c>
      <c r="L97" t="s">
        <v>220</v>
      </c>
    </row>
    <row r="98" spans="1:12">
      <c r="A98" t="s">
        <v>11</v>
      </c>
      <c r="B98">
        <v>97</v>
      </c>
      <c r="E98" t="s">
        <v>396</v>
      </c>
      <c r="F98" t="s">
        <v>397</v>
      </c>
      <c r="G98" s="9" t="s">
        <v>398</v>
      </c>
      <c r="H98" s="9" t="s">
        <v>399</v>
      </c>
      <c r="I98" t="s">
        <v>218</v>
      </c>
      <c r="K98" t="s">
        <v>219</v>
      </c>
      <c r="L98" t="s">
        <v>220</v>
      </c>
    </row>
    <row r="99" spans="1:12">
      <c r="A99" t="s">
        <v>11</v>
      </c>
      <c r="B99">
        <v>98</v>
      </c>
      <c r="E99" t="s">
        <v>400</v>
      </c>
      <c r="F99" t="s">
        <v>401</v>
      </c>
      <c r="G99" s="9" t="s">
        <v>402</v>
      </c>
      <c r="H99" s="9" t="s">
        <v>403</v>
      </c>
      <c r="I99" t="s">
        <v>218</v>
      </c>
      <c r="K99" t="s">
        <v>219</v>
      </c>
      <c r="L99" t="s">
        <v>220</v>
      </c>
    </row>
    <row r="100" spans="1:12">
      <c r="A100" t="s">
        <v>11</v>
      </c>
      <c r="B100">
        <v>99</v>
      </c>
      <c r="E100" t="s">
        <v>404</v>
      </c>
      <c r="F100" s="50" t="s">
        <v>405</v>
      </c>
      <c r="G100" s="9" t="s">
        <v>1581</v>
      </c>
      <c r="H100" s="9" t="s">
        <v>406</v>
      </c>
      <c r="I100" t="s">
        <v>407</v>
      </c>
      <c r="K100" t="s">
        <v>408</v>
      </c>
      <c r="L100" t="s">
        <v>409</v>
      </c>
    </row>
    <row r="101" spans="1:12">
      <c r="A101" t="s">
        <v>11</v>
      </c>
      <c r="B101">
        <v>100</v>
      </c>
      <c r="E101" t="s">
        <v>410</v>
      </c>
      <c r="F101" t="s">
        <v>411</v>
      </c>
      <c r="G101" s="9" t="s">
        <v>1582</v>
      </c>
      <c r="H101" s="9" t="s">
        <v>412</v>
      </c>
      <c r="I101" t="s">
        <v>407</v>
      </c>
      <c r="K101" t="s">
        <v>408</v>
      </c>
      <c r="L101" t="s">
        <v>409</v>
      </c>
    </row>
    <row r="102" spans="1:12">
      <c r="A102" t="s">
        <v>11</v>
      </c>
      <c r="B102">
        <v>101</v>
      </c>
      <c r="E102" t="s">
        <v>413</v>
      </c>
      <c r="F102" t="s">
        <v>414</v>
      </c>
      <c r="G102" s="9" t="s">
        <v>1583</v>
      </c>
      <c r="H102" s="9" t="s">
        <v>415</v>
      </c>
      <c r="I102" t="s">
        <v>407</v>
      </c>
      <c r="K102" t="s">
        <v>408</v>
      </c>
      <c r="L102" t="s">
        <v>409</v>
      </c>
    </row>
    <row r="103" spans="1:12">
      <c r="A103" t="s">
        <v>11</v>
      </c>
      <c r="B103">
        <v>102</v>
      </c>
      <c r="E103" t="s">
        <v>416</v>
      </c>
      <c r="F103" t="s">
        <v>417</v>
      </c>
      <c r="G103" s="9" t="s">
        <v>1416</v>
      </c>
      <c r="H103" s="9" t="s">
        <v>1413</v>
      </c>
      <c r="I103" t="s">
        <v>418</v>
      </c>
      <c r="J103" t="s">
        <v>419</v>
      </c>
      <c r="K103" t="s">
        <v>420</v>
      </c>
      <c r="L103" t="s">
        <v>421</v>
      </c>
    </row>
    <row r="104" spans="1:1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c r="A105" t="s">
        <v>11</v>
      </c>
      <c r="B105">
        <v>104</v>
      </c>
      <c r="E105" t="s">
        <v>424</v>
      </c>
      <c r="F105" t="s">
        <v>425</v>
      </c>
      <c r="G105" s="9" t="s">
        <v>1414</v>
      </c>
      <c r="H105" s="9" t="str">
        <f t="shared" si="0"/>
        <v>fig-premature-death-percent-diff-BNHvsWNH</v>
      </c>
      <c r="I105" t="s">
        <v>178</v>
      </c>
      <c r="K105" t="s">
        <v>420</v>
      </c>
      <c r="L105" t="s">
        <v>421</v>
      </c>
    </row>
    <row r="106" spans="1:12">
      <c r="A106" t="s">
        <v>11</v>
      </c>
      <c r="B106">
        <v>105</v>
      </c>
      <c r="E106" t="s">
        <v>426</v>
      </c>
      <c r="F106" t="s">
        <v>427</v>
      </c>
      <c r="G106" s="9" t="s">
        <v>1415</v>
      </c>
      <c r="H106" s="9" t="str">
        <f t="shared" si="0"/>
        <v>fig-premature-death-percent-diff-HvsWNH</v>
      </c>
      <c r="I106" t="s">
        <v>178</v>
      </c>
      <c r="K106" t="s">
        <v>428</v>
      </c>
      <c r="L106" t="s">
        <v>421</v>
      </c>
    </row>
    <row r="107" spans="1:12">
      <c r="A107" t="s">
        <v>11</v>
      </c>
      <c r="B107">
        <v>106</v>
      </c>
      <c r="E107" t="s">
        <v>429</v>
      </c>
      <c r="F107" t="s">
        <v>430</v>
      </c>
      <c r="G107" s="9" t="s">
        <v>1417</v>
      </c>
      <c r="H107" s="9" t="str">
        <f t="shared" si="0"/>
        <v>fig-clrd-hospital-aar</v>
      </c>
    </row>
    <row r="108" spans="1:12">
      <c r="A108" t="s">
        <v>11</v>
      </c>
      <c r="B108">
        <v>107</v>
      </c>
      <c r="E108" t="s">
        <v>431</v>
      </c>
      <c r="F108" t="s">
        <v>432</v>
      </c>
      <c r="G108" s="9" t="s">
        <v>1418</v>
      </c>
      <c r="H108" s="9" t="str">
        <f t="shared" si="0"/>
        <v>fig-clrd-mortal-aar</v>
      </c>
      <c r="I108" t="s">
        <v>172</v>
      </c>
      <c r="K108" t="s">
        <v>175</v>
      </c>
      <c r="L108" t="s">
        <v>220</v>
      </c>
    </row>
    <row r="109" spans="1:12">
      <c r="A109" t="s">
        <v>11</v>
      </c>
      <c r="B109">
        <v>108</v>
      </c>
      <c r="E109" t="s">
        <v>433</v>
      </c>
      <c r="F109" t="s">
        <v>434</v>
      </c>
      <c r="G109" s="9" t="s">
        <v>1428</v>
      </c>
      <c r="H109" s="9" t="str">
        <f t="shared" si="0"/>
        <v>fig-clrd-hospital-rande-aar</v>
      </c>
    </row>
    <row r="110" spans="1:12">
      <c r="A110" t="s">
        <v>11</v>
      </c>
      <c r="B110">
        <v>109</v>
      </c>
      <c r="E110" t="s">
        <v>435</v>
      </c>
      <c r="F110" t="s">
        <v>436</v>
      </c>
      <c r="G110" s="9" t="s">
        <v>1419</v>
      </c>
      <c r="H110" s="9" t="str">
        <f t="shared" si="0"/>
        <v>fig-clrd-mortal-rande-aar</v>
      </c>
      <c r="I110" t="s">
        <v>172</v>
      </c>
      <c r="K110" t="s">
        <v>420</v>
      </c>
      <c r="L110" t="s">
        <v>220</v>
      </c>
    </row>
    <row r="111" spans="1:12">
      <c r="A111" t="s">
        <v>11</v>
      </c>
      <c r="B111">
        <v>110</v>
      </c>
      <c r="E111" t="s">
        <v>437</v>
      </c>
      <c r="F111" t="s">
        <v>438</v>
      </c>
      <c r="G111" s="9" t="s">
        <v>1420</v>
      </c>
      <c r="H111" s="9" t="str">
        <f>IF(LEFT(G111,4)="tbl-","fig-" &amp; MID(G111,5,LEN(G111)-4),"")</f>
        <v>fig-brfss-adult-asthma</v>
      </c>
      <c r="I111" t="s">
        <v>144</v>
      </c>
      <c r="L111" t="s">
        <v>220</v>
      </c>
    </row>
    <row r="112" spans="1:1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c r="A113" t="s">
        <v>11</v>
      </c>
      <c r="B113">
        <v>112</v>
      </c>
      <c r="E113" t="s">
        <v>441</v>
      </c>
      <c r="F113" t="s">
        <v>442</v>
      </c>
      <c r="G113" s="9" t="s">
        <v>1422</v>
      </c>
      <c r="H113" s="9" t="str">
        <f t="shared" si="1"/>
        <v>fig-asthma-hopsital-rande-aar</v>
      </c>
      <c r="I113" t="s">
        <v>102</v>
      </c>
      <c r="K113" t="s">
        <v>175</v>
      </c>
      <c r="L113" t="s">
        <v>220</v>
      </c>
    </row>
    <row r="114" spans="1:12">
      <c r="A114" t="s">
        <v>11</v>
      </c>
      <c r="B114">
        <v>113</v>
      </c>
      <c r="E114" t="s">
        <v>443</v>
      </c>
      <c r="F114" t="s">
        <v>444</v>
      </c>
      <c r="G114" s="9" t="s">
        <v>1439</v>
      </c>
      <c r="H114" s="9" t="str">
        <f t="shared" si="1"/>
        <v>fig-0to17-asthma-ed-rate</v>
      </c>
      <c r="I114" t="s">
        <v>445</v>
      </c>
      <c r="K114" t="s">
        <v>175</v>
      </c>
      <c r="L114" t="s">
        <v>220</v>
      </c>
    </row>
    <row r="115" spans="1:12">
      <c r="A115" t="s">
        <v>11</v>
      </c>
      <c r="B115">
        <v>114</v>
      </c>
      <c r="E115" t="s">
        <v>446</v>
      </c>
      <c r="F115" t="s">
        <v>447</v>
      </c>
      <c r="G115" s="9" t="s">
        <v>1424</v>
      </c>
      <c r="H115" s="9" t="str">
        <f t="shared" si="1"/>
        <v>fig-adult-cardiovasdz-percent</v>
      </c>
    </row>
    <row r="116" spans="1:12">
      <c r="A116" t="s">
        <v>11</v>
      </c>
      <c r="B116">
        <v>115</v>
      </c>
      <c r="E116" t="s">
        <v>448</v>
      </c>
      <c r="F116" t="s">
        <v>1944</v>
      </c>
      <c r="G116" s="9" t="s">
        <v>1425</v>
      </c>
      <c r="H116" s="9" t="str">
        <f t="shared" si="1"/>
        <v>fig-cardiovasdz-hospi-aar</v>
      </c>
      <c r="I116" t="s">
        <v>172</v>
      </c>
      <c r="K116" t="s">
        <v>175</v>
      </c>
      <c r="L116" t="s">
        <v>449</v>
      </c>
    </row>
    <row r="117" spans="1:12">
      <c r="A117" t="s">
        <v>11</v>
      </c>
      <c r="B117">
        <v>116</v>
      </c>
      <c r="E117" t="s">
        <v>450</v>
      </c>
      <c r="F117" t="s">
        <v>451</v>
      </c>
      <c r="G117" s="9" t="s">
        <v>1426</v>
      </c>
      <c r="H117" s="9" t="str">
        <f t="shared" si="1"/>
        <v>fig-cardiovasdz-mortal-aar</v>
      </c>
      <c r="I117" t="s">
        <v>172</v>
      </c>
      <c r="K117" t="s">
        <v>428</v>
      </c>
      <c r="L117" t="s">
        <v>449</v>
      </c>
    </row>
    <row r="118" spans="1:12">
      <c r="A118" t="s">
        <v>11</v>
      </c>
      <c r="B118">
        <v>117</v>
      </c>
      <c r="E118" t="s">
        <v>452</v>
      </c>
      <c r="F118" t="s">
        <v>453</v>
      </c>
      <c r="G118" s="9" t="s">
        <v>1427</v>
      </c>
      <c r="H118" s="9" t="str">
        <f t="shared" si="1"/>
        <v>fig-adult-highbp-mddx-percent</v>
      </c>
      <c r="I118" t="s">
        <v>144</v>
      </c>
      <c r="L118" t="s">
        <v>449</v>
      </c>
    </row>
    <row r="119" spans="1:12">
      <c r="A119" t="s">
        <v>11</v>
      </c>
      <c r="B119">
        <v>118</v>
      </c>
      <c r="E119" t="s">
        <v>454</v>
      </c>
      <c r="F119" t="s">
        <v>455</v>
      </c>
      <c r="G119" s="9" t="s">
        <v>1957</v>
      </c>
      <c r="H119" s="9" t="str">
        <f t="shared" si="1"/>
        <v>fig-cerbrovasdz-hospital-aar</v>
      </c>
      <c r="I119" t="s">
        <v>172</v>
      </c>
      <c r="K119" t="s">
        <v>456</v>
      </c>
      <c r="L119" t="s">
        <v>449</v>
      </c>
    </row>
    <row r="120" spans="1:12">
      <c r="A120" t="s">
        <v>11</v>
      </c>
      <c r="B120">
        <v>119</v>
      </c>
      <c r="E120" t="s">
        <v>457</v>
      </c>
      <c r="F120" t="s">
        <v>458</v>
      </c>
      <c r="G120" s="65" t="s">
        <v>1958</v>
      </c>
      <c r="H120" s="9" t="str">
        <f t="shared" si="1"/>
        <v>fig-cerbrovasdz-hospital-rande-aar</v>
      </c>
      <c r="I120" t="s">
        <v>102</v>
      </c>
      <c r="K120" t="s">
        <v>456</v>
      </c>
      <c r="L120" t="s">
        <v>449</v>
      </c>
    </row>
    <row r="121" spans="1:12">
      <c r="A121" t="s">
        <v>11</v>
      </c>
      <c r="B121">
        <v>120</v>
      </c>
      <c r="E121" t="s">
        <v>459</v>
      </c>
      <c r="F121" t="s">
        <v>460</v>
      </c>
      <c r="G121" s="65" t="s">
        <v>1959</v>
      </c>
      <c r="H121" s="9" t="str">
        <f t="shared" si="1"/>
        <v>fig-cerbrovasdz-mortal-aar</v>
      </c>
      <c r="I121" t="s">
        <v>172</v>
      </c>
      <c r="K121" t="s">
        <v>428</v>
      </c>
      <c r="L121" t="s">
        <v>449</v>
      </c>
    </row>
    <row r="122" spans="1:12">
      <c r="A122" t="s">
        <v>11</v>
      </c>
      <c r="B122">
        <v>121</v>
      </c>
      <c r="E122" t="s">
        <v>461</v>
      </c>
      <c r="F122" t="s">
        <v>462</v>
      </c>
      <c r="G122" s="65" t="s">
        <v>1960</v>
      </c>
      <c r="H122" s="9" t="str">
        <f t="shared" si="1"/>
        <v>fig-cerbrovasdz-mortal-rande-aar</v>
      </c>
      <c r="I122" t="s">
        <v>102</v>
      </c>
      <c r="K122" t="s">
        <v>428</v>
      </c>
      <c r="L122" t="s">
        <v>449</v>
      </c>
    </row>
    <row r="123" spans="1:12">
      <c r="A123" t="s">
        <v>11</v>
      </c>
      <c r="B123">
        <v>122</v>
      </c>
      <c r="E123" t="s">
        <v>463</v>
      </c>
      <c r="F123" t="s">
        <v>1564</v>
      </c>
      <c r="G123" s="65" t="s">
        <v>1961</v>
      </c>
      <c r="H123" s="9" t="str">
        <f t="shared" si="1"/>
        <v>fig-coronary-heart-disease-hospital-aar</v>
      </c>
    </row>
    <row r="124" spans="1:12">
      <c r="A124" t="s">
        <v>11</v>
      </c>
      <c r="B124">
        <v>123</v>
      </c>
      <c r="E124" t="s">
        <v>464</v>
      </c>
      <c r="F124" t="s">
        <v>465</v>
      </c>
      <c r="G124" s="65" t="s">
        <v>1962</v>
      </c>
      <c r="H124" s="9" t="str">
        <f t="shared" si="1"/>
        <v>fig-coronary-heart-disease-hospital-rande-aar</v>
      </c>
    </row>
    <row r="125" spans="1:12">
      <c r="A125" t="s">
        <v>11</v>
      </c>
      <c r="B125">
        <v>124</v>
      </c>
      <c r="E125" t="s">
        <v>466</v>
      </c>
      <c r="F125" t="s">
        <v>1565</v>
      </c>
      <c r="G125" s="65" t="s">
        <v>1429</v>
      </c>
      <c r="H125" s="9" t="str">
        <f t="shared" si="1"/>
        <v>fig-heartattack-hospital-aar</v>
      </c>
    </row>
    <row r="126" spans="1:12">
      <c r="A126" t="s">
        <v>11</v>
      </c>
      <c r="B126">
        <v>125</v>
      </c>
      <c r="E126" t="s">
        <v>467</v>
      </c>
      <c r="F126" t="s">
        <v>468</v>
      </c>
      <c r="G126" s="65" t="s">
        <v>1430</v>
      </c>
      <c r="H126" s="9" t="str">
        <f t="shared" si="1"/>
        <v>fig-congheartfail-mortal-aar</v>
      </c>
      <c r="I126" t="s">
        <v>172</v>
      </c>
      <c r="K126" t="s">
        <v>469</v>
      </c>
      <c r="L126" t="s">
        <v>470</v>
      </c>
    </row>
    <row r="127" spans="1:12">
      <c r="A127" t="s">
        <v>11</v>
      </c>
      <c r="B127">
        <v>126</v>
      </c>
      <c r="E127" t="s">
        <v>471</v>
      </c>
      <c r="F127" t="s">
        <v>472</v>
      </c>
      <c r="G127" s="9"/>
      <c r="H127" s="9"/>
    </row>
    <row r="128" spans="1:12">
      <c r="F128" t="s">
        <v>1842</v>
      </c>
      <c r="G128" s="65" t="s">
        <v>1843</v>
      </c>
      <c r="H128" s="9" t="str">
        <f t="shared" si="1"/>
        <v>fig-congheartfail-mortal-rande</v>
      </c>
    </row>
    <row r="129" spans="1:12">
      <c r="F129" t="s">
        <v>1852</v>
      </c>
      <c r="G129" s="84" t="s">
        <v>1853</v>
      </c>
      <c r="H129" s="9" t="str">
        <f t="shared" si="1"/>
        <v>fig-heartattack-mortal-aar</v>
      </c>
    </row>
    <row r="130" spans="1:12">
      <c r="A130" t="s">
        <v>11</v>
      </c>
      <c r="B130">
        <v>127</v>
      </c>
      <c r="E130">
        <v>204</v>
      </c>
      <c r="F130" t="s">
        <v>473</v>
      </c>
      <c r="G130" s="65" t="s">
        <v>1431</v>
      </c>
      <c r="H130" s="9" t="str">
        <f t="shared" si="1"/>
        <v>fig-mddx-predm-dm-percent</v>
      </c>
      <c r="I130" t="s">
        <v>144</v>
      </c>
      <c r="L130" t="s">
        <v>470</v>
      </c>
    </row>
    <row r="131" spans="1:12">
      <c r="A131" t="s">
        <v>11</v>
      </c>
      <c r="B131">
        <v>128</v>
      </c>
      <c r="E131" t="s">
        <v>474</v>
      </c>
      <c r="F131" t="s">
        <v>472</v>
      </c>
      <c r="G131" s="9"/>
      <c r="H131" s="9"/>
    </row>
    <row r="132" spans="1:12">
      <c r="A132" t="s">
        <v>11</v>
      </c>
      <c r="B132">
        <v>129</v>
      </c>
      <c r="E132">
        <v>206</v>
      </c>
      <c r="F132" t="s">
        <v>475</v>
      </c>
      <c r="G132" s="65" t="s">
        <v>1432</v>
      </c>
      <c r="H132" s="9" t="str">
        <f t="shared" si="1"/>
        <v>fig-dm-hospital-aar</v>
      </c>
      <c r="I132" t="s">
        <v>172</v>
      </c>
      <c r="K132" t="s">
        <v>456</v>
      </c>
      <c r="L132" t="s">
        <v>470</v>
      </c>
    </row>
    <row r="133" spans="1:12">
      <c r="A133" t="s">
        <v>11</v>
      </c>
      <c r="B133">
        <v>130</v>
      </c>
      <c r="E133">
        <v>207</v>
      </c>
      <c r="F133" t="s">
        <v>476</v>
      </c>
      <c r="G133" s="65" t="s">
        <v>1433</v>
      </c>
      <c r="H133" s="9" t="str">
        <f t="shared" si="1"/>
        <v>fig-dm-hospital-rande-aar</v>
      </c>
      <c r="I133" t="s">
        <v>102</v>
      </c>
      <c r="L133" t="s">
        <v>470</v>
      </c>
    </row>
    <row r="134" spans="1:12">
      <c r="A134" t="s">
        <v>11</v>
      </c>
      <c r="B134">
        <v>131</v>
      </c>
      <c r="E134">
        <v>208</v>
      </c>
      <c r="F134" t="s">
        <v>477</v>
      </c>
      <c r="G134" s="65" t="s">
        <v>1434</v>
      </c>
      <c r="H134" s="9" t="str">
        <f t="shared" si="1"/>
        <v>fig-highbs-dm-percent</v>
      </c>
      <c r="I134" t="s">
        <v>144</v>
      </c>
      <c r="L134" t="s">
        <v>470</v>
      </c>
    </row>
    <row r="135" spans="1:12">
      <c r="A135" t="s">
        <v>11</v>
      </c>
      <c r="B135">
        <v>132</v>
      </c>
      <c r="E135">
        <v>209</v>
      </c>
      <c r="F135" t="s">
        <v>478</v>
      </c>
      <c r="G135" s="9" t="s">
        <v>1435</v>
      </c>
      <c r="H135" s="9" t="str">
        <f t="shared" si="1"/>
        <v>fig-dm-mortal-aar</v>
      </c>
      <c r="I135" t="s">
        <v>172</v>
      </c>
      <c r="K135" t="s">
        <v>456</v>
      </c>
      <c r="L135" t="s">
        <v>470</v>
      </c>
    </row>
    <row r="136" spans="1:12">
      <c r="A136" t="s">
        <v>11</v>
      </c>
      <c r="B136">
        <v>133</v>
      </c>
      <c r="E136" t="s">
        <v>479</v>
      </c>
      <c r="F136" t="s">
        <v>472</v>
      </c>
      <c r="G136" s="9"/>
      <c r="H136" s="9"/>
    </row>
    <row r="137" spans="1:12">
      <c r="A137" t="s">
        <v>11</v>
      </c>
      <c r="B137">
        <v>134</v>
      </c>
      <c r="E137">
        <v>211</v>
      </c>
      <c r="F137" t="s">
        <v>480</v>
      </c>
      <c r="G137" s="65" t="s">
        <v>1436</v>
      </c>
      <c r="H137" s="9" t="str">
        <f t="shared" si="1"/>
        <v>fig-dm-mortal-rande-aar</v>
      </c>
      <c r="I137" t="s">
        <v>102</v>
      </c>
      <c r="K137" t="s">
        <v>428</v>
      </c>
      <c r="L137" t="s">
        <v>470</v>
      </c>
    </row>
    <row r="138" spans="1:12">
      <c r="A138" t="s">
        <v>11</v>
      </c>
      <c r="B138">
        <v>135</v>
      </c>
      <c r="E138">
        <v>212</v>
      </c>
      <c r="F138" t="s">
        <v>481</v>
      </c>
      <c r="G138" s="9" t="s">
        <v>1437</v>
      </c>
      <c r="H138" s="9" t="str">
        <f t="shared" si="1"/>
        <v>fig-adult-oando-percent</v>
      </c>
      <c r="I138" t="s">
        <v>144</v>
      </c>
      <c r="K138" t="s">
        <v>482</v>
      </c>
      <c r="L138" t="s">
        <v>470</v>
      </c>
    </row>
    <row r="139" spans="1:12">
      <c r="A139" t="s">
        <v>11</v>
      </c>
      <c r="B139">
        <v>136</v>
      </c>
      <c r="E139">
        <v>213</v>
      </c>
      <c r="F139" t="s">
        <v>483</v>
      </c>
      <c r="G139" s="65" t="s">
        <v>1438</v>
      </c>
      <c r="H139" s="9" t="str">
        <f t="shared" si="1"/>
        <v>fig-adult-obese-percent</v>
      </c>
      <c r="I139" t="s">
        <v>144</v>
      </c>
      <c r="L139" t="s">
        <v>470</v>
      </c>
    </row>
    <row r="140" spans="1:12">
      <c r="A140" t="s">
        <v>11</v>
      </c>
      <c r="B140">
        <v>137</v>
      </c>
      <c r="E140">
        <v>214</v>
      </c>
      <c r="F140" t="s">
        <v>484</v>
      </c>
      <c r="G140" s="9" t="s">
        <v>1440</v>
      </c>
      <c r="H140" s="9" t="str">
        <f t="shared" si="1"/>
        <v>fig-child-oando-percent</v>
      </c>
      <c r="I140" t="s">
        <v>172</v>
      </c>
      <c r="L140" t="s">
        <v>470</v>
      </c>
    </row>
    <row r="141" spans="1:12">
      <c r="A141" t="s">
        <v>11</v>
      </c>
      <c r="B141">
        <v>138</v>
      </c>
      <c r="E141" t="s">
        <v>485</v>
      </c>
      <c r="F141" t="s">
        <v>472</v>
      </c>
      <c r="G141" s="9"/>
      <c r="H141" s="9"/>
    </row>
    <row r="142" spans="1:12">
      <c r="A142" t="s">
        <v>11</v>
      </c>
      <c r="B142">
        <v>139</v>
      </c>
      <c r="E142" t="s">
        <v>486</v>
      </c>
      <c r="F142" t="s">
        <v>472</v>
      </c>
      <c r="G142" s="9"/>
      <c r="H142" s="9"/>
    </row>
    <row r="143" spans="1:12">
      <c r="A143" t="s">
        <v>11</v>
      </c>
      <c r="B143">
        <v>140</v>
      </c>
      <c r="E143" t="s">
        <v>487</v>
      </c>
      <c r="F143" t="s">
        <v>472</v>
      </c>
      <c r="G143" s="9"/>
      <c r="H143" s="9"/>
    </row>
    <row r="144" spans="1:1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c r="A145" t="s">
        <v>11</v>
      </c>
      <c r="B145">
        <v>142</v>
      </c>
      <c r="E145">
        <v>219</v>
      </c>
      <c r="F145" t="s">
        <v>489</v>
      </c>
      <c r="G145" s="9" t="s">
        <v>1857</v>
      </c>
      <c r="H145" s="9" t="str">
        <f t="shared" si="2"/>
        <v>fig-cirrhosis-mortal-aar</v>
      </c>
      <c r="I145" t="s">
        <v>172</v>
      </c>
      <c r="K145" t="s">
        <v>456</v>
      </c>
      <c r="L145" t="s">
        <v>220</v>
      </c>
    </row>
    <row r="146" spans="1:12">
      <c r="A146" t="s">
        <v>11</v>
      </c>
      <c r="B146">
        <v>143</v>
      </c>
      <c r="E146" t="s">
        <v>490</v>
      </c>
      <c r="F146" t="s">
        <v>472</v>
      </c>
      <c r="G146" s="9"/>
      <c r="H146" s="9"/>
    </row>
    <row r="147" spans="1:12">
      <c r="A147" t="s">
        <v>11</v>
      </c>
      <c r="B147">
        <v>144</v>
      </c>
      <c r="E147">
        <v>221</v>
      </c>
      <c r="F147" t="s">
        <v>491</v>
      </c>
      <c r="G147" s="9" t="s">
        <v>1858</v>
      </c>
      <c r="H147" s="9" t="str">
        <f t="shared" ref="H147" si="3">IF(LEFT(G147,4)="tbl-","fig-" &amp; MID(G147,5,LEN(G147)-4),"")</f>
        <v>fig-allca-incident-mortal-aar</v>
      </c>
      <c r="I147" t="s">
        <v>172</v>
      </c>
      <c r="K147" t="s">
        <v>492</v>
      </c>
      <c r="L147" t="s">
        <v>220</v>
      </c>
    </row>
    <row r="148" spans="1:12">
      <c r="A148" t="s">
        <v>11</v>
      </c>
      <c r="B148">
        <v>145</v>
      </c>
      <c r="E148" t="s">
        <v>493</v>
      </c>
      <c r="F148" t="s">
        <v>472</v>
      </c>
      <c r="G148" s="9"/>
      <c r="H148" s="9"/>
    </row>
    <row r="149" spans="1:12">
      <c r="A149" t="s">
        <v>11</v>
      </c>
      <c r="B149">
        <v>146</v>
      </c>
      <c r="E149" t="s">
        <v>494</v>
      </c>
      <c r="F149" t="s">
        <v>472</v>
      </c>
      <c r="G149" s="9"/>
      <c r="H149" s="9"/>
    </row>
    <row r="150" spans="1:1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c r="A151" t="s">
        <v>11</v>
      </c>
      <c r="B151">
        <v>148</v>
      </c>
      <c r="E151">
        <v>225</v>
      </c>
      <c r="F151" t="s">
        <v>497</v>
      </c>
      <c r="G151" s="9" t="s">
        <v>1530</v>
      </c>
      <c r="H151" s="9" t="str">
        <f t="shared" si="4"/>
        <v>fig-colonrectca-incident-mortal-aar</v>
      </c>
      <c r="I151" t="s">
        <v>172</v>
      </c>
      <c r="K151" t="s">
        <v>492</v>
      </c>
      <c r="L151" t="s">
        <v>220</v>
      </c>
    </row>
    <row r="152" spans="1:1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c r="A153" t="s">
        <v>11</v>
      </c>
      <c r="B153">
        <v>150</v>
      </c>
      <c r="E153">
        <v>227</v>
      </c>
      <c r="F153" t="s">
        <v>499</v>
      </c>
      <c r="G153" s="65" t="s">
        <v>1531</v>
      </c>
      <c r="H153" s="9" t="str">
        <f t="shared" si="5"/>
        <v>fig-colorectalca-incidence-rande-aar</v>
      </c>
      <c r="I153" t="s">
        <v>102</v>
      </c>
      <c r="K153" t="s">
        <v>500</v>
      </c>
      <c r="L153" t="s">
        <v>220</v>
      </c>
    </row>
    <row r="154" spans="1:12">
      <c r="A154" t="s">
        <v>11</v>
      </c>
      <c r="B154">
        <v>151</v>
      </c>
      <c r="E154">
        <v>228</v>
      </c>
      <c r="F154" t="s">
        <v>501</v>
      </c>
      <c r="G154" s="65" t="s">
        <v>1539</v>
      </c>
      <c r="H154" s="9" t="str">
        <f t="shared" si="5"/>
        <v>fig-adult-50to64-colorectalca-screening-percent</v>
      </c>
      <c r="I154" t="s">
        <v>502</v>
      </c>
      <c r="K154" t="s">
        <v>503</v>
      </c>
      <c r="L154" t="s">
        <v>220</v>
      </c>
    </row>
    <row r="155" spans="1:12">
      <c r="A155" t="s">
        <v>11</v>
      </c>
      <c r="B155">
        <v>152</v>
      </c>
      <c r="E155" t="s">
        <v>504</v>
      </c>
      <c r="F155" t="s">
        <v>505</v>
      </c>
      <c r="G155" s="9"/>
      <c r="H155" s="9" t="str">
        <f t="shared" si="5"/>
        <v/>
      </c>
      <c r="I155" t="s">
        <v>172</v>
      </c>
      <c r="K155" t="s">
        <v>503</v>
      </c>
      <c r="L155" t="s">
        <v>220</v>
      </c>
    </row>
    <row r="156" spans="1:12">
      <c r="A156" t="s">
        <v>11</v>
      </c>
      <c r="B156">
        <v>153</v>
      </c>
      <c r="E156">
        <v>229</v>
      </c>
      <c r="F156" t="s">
        <v>506</v>
      </c>
      <c r="G156" s="65" t="s">
        <v>1859</v>
      </c>
      <c r="H156" s="9" t="str">
        <f t="shared" si="5"/>
        <v>fig-lungbronchca-incident-mortal-aar</v>
      </c>
      <c r="I156" t="s">
        <v>507</v>
      </c>
      <c r="K156" t="s">
        <v>500</v>
      </c>
      <c r="L156" t="s">
        <v>470</v>
      </c>
    </row>
    <row r="157" spans="1:12">
      <c r="A157" t="s">
        <v>11</v>
      </c>
      <c r="B157">
        <v>154</v>
      </c>
      <c r="E157">
        <v>230</v>
      </c>
      <c r="F157" t="s">
        <v>508</v>
      </c>
      <c r="G157" s="65" t="s">
        <v>1532</v>
      </c>
      <c r="H157" s="9" t="str">
        <f t="shared" si="5"/>
        <v>fig-lungbronchca-incident-rande-aar</v>
      </c>
      <c r="I157" t="s">
        <v>507</v>
      </c>
      <c r="K157" t="s">
        <v>500</v>
      </c>
      <c r="L157" t="s">
        <v>470</v>
      </c>
    </row>
    <row r="158" spans="1:12">
      <c r="A158" t="s">
        <v>11</v>
      </c>
      <c r="B158">
        <v>155</v>
      </c>
      <c r="E158">
        <v>231</v>
      </c>
      <c r="F158" t="s">
        <v>509</v>
      </c>
      <c r="G158" s="65" t="s">
        <v>1533</v>
      </c>
      <c r="H158" s="9" t="str">
        <f t="shared" si="5"/>
        <v>fig-lungca-incidence-rande-aar</v>
      </c>
      <c r="I158" t="s">
        <v>102</v>
      </c>
      <c r="K158" t="s">
        <v>500</v>
      </c>
      <c r="L158" t="s">
        <v>470</v>
      </c>
    </row>
    <row r="159" spans="1:12">
      <c r="A159" t="s">
        <v>11</v>
      </c>
      <c r="B159">
        <v>156</v>
      </c>
      <c r="E159">
        <v>232</v>
      </c>
      <c r="F159" t="s">
        <v>510</v>
      </c>
      <c r="G159" s="65" t="s">
        <v>1534</v>
      </c>
      <c r="H159" s="9" t="str">
        <f t="shared" si="5"/>
        <v>fig-male-prostateca-incidence-mortal-aar</v>
      </c>
      <c r="I159" t="s">
        <v>511</v>
      </c>
      <c r="K159" t="s">
        <v>500</v>
      </c>
      <c r="L159" t="s">
        <v>470</v>
      </c>
    </row>
    <row r="160" spans="1:12">
      <c r="A160" t="s">
        <v>11</v>
      </c>
      <c r="B160">
        <v>157</v>
      </c>
      <c r="E160">
        <v>233</v>
      </c>
      <c r="F160" t="s">
        <v>512</v>
      </c>
      <c r="G160" s="65" t="s">
        <v>1535</v>
      </c>
      <c r="H160" s="9" t="str">
        <f t="shared" si="5"/>
        <v>fig-female-breastca-incidence-mortal-aar</v>
      </c>
      <c r="I160" t="s">
        <v>511</v>
      </c>
      <c r="K160" t="s">
        <v>500</v>
      </c>
      <c r="L160" t="s">
        <v>470</v>
      </c>
    </row>
    <row r="161" spans="1:12">
      <c r="A161" t="s">
        <v>11</v>
      </c>
      <c r="B161">
        <v>158</v>
      </c>
      <c r="E161">
        <v>234</v>
      </c>
      <c r="F161" t="s">
        <v>513</v>
      </c>
      <c r="G161" s="65" t="s">
        <v>1538</v>
      </c>
      <c r="H161" s="9" t="str">
        <f t="shared" si="5"/>
        <v>fig-female-50to74-breastca-screening-percent</v>
      </c>
      <c r="I161" t="s">
        <v>144</v>
      </c>
      <c r="L161" t="s">
        <v>470</v>
      </c>
    </row>
    <row r="162" spans="1:12">
      <c r="A162" t="s">
        <v>11</v>
      </c>
      <c r="B162">
        <v>159</v>
      </c>
      <c r="E162">
        <v>235</v>
      </c>
      <c r="F162" t="s">
        <v>514</v>
      </c>
      <c r="G162" s="65" t="s">
        <v>1536</v>
      </c>
      <c r="H162" s="9" t="str">
        <f t="shared" si="5"/>
        <v>fig-cervutca-incident-mortal-aar</v>
      </c>
      <c r="I162" t="s">
        <v>515</v>
      </c>
      <c r="K162" t="s">
        <v>500</v>
      </c>
      <c r="L162" t="s">
        <v>220</v>
      </c>
    </row>
    <row r="163" spans="1:12">
      <c r="A163" t="s">
        <v>11</v>
      </c>
      <c r="B163">
        <v>160</v>
      </c>
      <c r="E163">
        <v>236</v>
      </c>
      <c r="F163" t="s">
        <v>516</v>
      </c>
      <c r="G163" s="65" t="s">
        <v>1537</v>
      </c>
      <c r="H163" s="9" t="str">
        <f t="shared" si="5"/>
        <v>fig-female-21to65-cervixca-screen-percent</v>
      </c>
      <c r="I163" t="s">
        <v>172</v>
      </c>
      <c r="K163" t="s">
        <v>503</v>
      </c>
      <c r="L163" t="s">
        <v>220</v>
      </c>
    </row>
    <row r="164" spans="1:12">
      <c r="A164" t="s">
        <v>11</v>
      </c>
      <c r="B164">
        <v>161</v>
      </c>
      <c r="E164" t="s">
        <v>517</v>
      </c>
      <c r="F164" t="s">
        <v>472</v>
      </c>
      <c r="G164" s="9"/>
      <c r="H164" s="9"/>
    </row>
    <row r="165" spans="1:12">
      <c r="A165" t="s">
        <v>11</v>
      </c>
      <c r="B165">
        <v>162</v>
      </c>
      <c r="E165">
        <v>238</v>
      </c>
      <c r="F165" t="s">
        <v>518</v>
      </c>
      <c r="G165" s="65" t="s">
        <v>1540</v>
      </c>
      <c r="H165" s="9" t="str">
        <f t="shared" ref="H165" si="6">IF(LEFT(G165,4)="tbl-","fig-" &amp; MID(G165,5,LEN(G165)-4),"")</f>
        <v>fig-24to35mo-child-vaccine-series-percent</v>
      </c>
      <c r="I165" t="s">
        <v>502</v>
      </c>
      <c r="K165" t="s">
        <v>519</v>
      </c>
      <c r="L165" t="s">
        <v>449</v>
      </c>
    </row>
    <row r="166" spans="1:12">
      <c r="A166" t="s">
        <v>11</v>
      </c>
      <c r="B166">
        <v>163</v>
      </c>
      <c r="E166" t="s">
        <v>520</v>
      </c>
      <c r="F166" t="s">
        <v>472</v>
      </c>
      <c r="G166" s="9"/>
      <c r="H166" s="9"/>
    </row>
    <row r="167" spans="1:12">
      <c r="A167" t="s">
        <v>11</v>
      </c>
      <c r="B167">
        <v>164</v>
      </c>
      <c r="E167" t="s">
        <v>521</v>
      </c>
      <c r="F167" t="s">
        <v>472</v>
      </c>
      <c r="G167" s="9"/>
      <c r="H167" s="9"/>
    </row>
    <row r="168" spans="1:12">
      <c r="A168" t="s">
        <v>11</v>
      </c>
      <c r="B168">
        <v>165</v>
      </c>
      <c r="E168" t="s">
        <v>522</v>
      </c>
      <c r="F168" t="s">
        <v>472</v>
      </c>
      <c r="G168" s="9"/>
      <c r="H168" s="9"/>
    </row>
    <row r="169" spans="1:12">
      <c r="A169" t="s">
        <v>11</v>
      </c>
      <c r="B169">
        <v>166</v>
      </c>
      <c r="E169" t="s">
        <v>523</v>
      </c>
      <c r="F169" t="s">
        <v>472</v>
      </c>
      <c r="G169" s="9"/>
      <c r="H169" s="9"/>
    </row>
    <row r="170" spans="1:12">
      <c r="A170" t="s">
        <v>11</v>
      </c>
      <c r="B170">
        <v>167</v>
      </c>
      <c r="E170" t="s">
        <v>524</v>
      </c>
      <c r="F170" t="s">
        <v>472</v>
      </c>
      <c r="G170" s="9"/>
      <c r="H170" s="9"/>
    </row>
    <row r="171" spans="1:12">
      <c r="A171" t="s">
        <v>11</v>
      </c>
      <c r="B171">
        <v>168</v>
      </c>
      <c r="E171" t="s">
        <v>525</v>
      </c>
      <c r="F171" t="s">
        <v>472</v>
      </c>
      <c r="G171" s="9"/>
      <c r="H171" s="9"/>
    </row>
    <row r="172" spans="1:12">
      <c r="A172" t="s">
        <v>11</v>
      </c>
      <c r="B172">
        <v>169</v>
      </c>
      <c r="E172" t="s">
        <v>526</v>
      </c>
      <c r="F172" t="s">
        <v>472</v>
      </c>
      <c r="G172" s="9"/>
      <c r="H172" s="9"/>
    </row>
    <row r="173" spans="1:12">
      <c r="A173" t="s">
        <v>11</v>
      </c>
      <c r="B173">
        <v>170</v>
      </c>
      <c r="E173" t="s">
        <v>527</v>
      </c>
      <c r="F173" t="s">
        <v>472</v>
      </c>
      <c r="G173" s="9"/>
      <c r="H173" s="9"/>
    </row>
    <row r="174" spans="1:12">
      <c r="A174" t="s">
        <v>11</v>
      </c>
      <c r="B174">
        <v>171</v>
      </c>
      <c r="E174" t="s">
        <v>528</v>
      </c>
      <c r="F174" t="s">
        <v>472</v>
      </c>
      <c r="G174" s="9"/>
      <c r="H174" s="9"/>
    </row>
    <row r="175" spans="1:12">
      <c r="A175" t="s">
        <v>11</v>
      </c>
      <c r="B175">
        <v>172</v>
      </c>
      <c r="E175" t="s">
        <v>529</v>
      </c>
      <c r="F175" t="s">
        <v>472</v>
      </c>
      <c r="G175" s="9"/>
      <c r="H175" s="9"/>
    </row>
    <row r="176" spans="1:12">
      <c r="F176" t="s">
        <v>1860</v>
      </c>
      <c r="G176" s="9" t="s">
        <v>1861</v>
      </c>
      <c r="H176" s="9" t="str">
        <f t="shared" ref="H176" si="7">IF(LEFT(G176,4)="tbl-","fig-" &amp; MID(G176,5,LEN(G176)-4),"")</f>
        <v>fig-covid-mort-aar</v>
      </c>
    </row>
    <row r="177" spans="1:12">
      <c r="A177" t="s">
        <v>11</v>
      </c>
      <c r="B177">
        <v>173</v>
      </c>
      <c r="E177">
        <v>249</v>
      </c>
      <c r="F177" t="s">
        <v>530</v>
      </c>
      <c r="G177" s="65" t="s">
        <v>1542</v>
      </c>
      <c r="H177" s="9" t="str">
        <f t="shared" ref="H177:H180" si="8">IF(LEFT(G177,4)="tbl-","fig-" &amp; MID(G177,5,LEN(G177)-4),"")</f>
        <v>fig-13yo+-hpv-vaccine-complete-percent</v>
      </c>
      <c r="I177" t="s">
        <v>502</v>
      </c>
      <c r="K177" t="s">
        <v>519</v>
      </c>
      <c r="L177" t="s">
        <v>449</v>
      </c>
    </row>
    <row r="178" spans="1:12">
      <c r="A178" t="s">
        <v>11</v>
      </c>
      <c r="B178">
        <v>174</v>
      </c>
      <c r="E178">
        <v>250</v>
      </c>
      <c r="F178" t="s">
        <v>531</v>
      </c>
      <c r="G178" s="65" t="s">
        <v>1541</v>
      </c>
      <c r="H178" s="9" t="str">
        <f t="shared" si="8"/>
        <v>fig-adult-flu-immi-lastyear-percent</v>
      </c>
      <c r="I178" t="s">
        <v>144</v>
      </c>
      <c r="L178" t="s">
        <v>449</v>
      </c>
    </row>
    <row r="179" spans="1:12">
      <c r="A179" t="s">
        <v>11</v>
      </c>
      <c r="B179">
        <v>175</v>
      </c>
      <c r="E179">
        <v>251</v>
      </c>
      <c r="F179" t="s">
        <v>532</v>
      </c>
      <c r="G179" s="65" t="s">
        <v>1543</v>
      </c>
      <c r="H179" s="9" t="str">
        <f t="shared" si="8"/>
        <v>fig-65+-flu-immi-percent</v>
      </c>
      <c r="I179" t="s">
        <v>144</v>
      </c>
      <c r="L179" t="s">
        <v>449</v>
      </c>
    </row>
    <row r="180" spans="1:12">
      <c r="A180" t="s">
        <v>11</v>
      </c>
      <c r="B180">
        <v>176</v>
      </c>
      <c r="E180">
        <v>252</v>
      </c>
      <c r="F180" t="s">
        <v>533</v>
      </c>
      <c r="G180" s="9" t="s">
        <v>1544</v>
      </c>
      <c r="H180" s="9" t="str">
        <f t="shared" si="8"/>
        <v>fig-65+-pneumo-immi-percent</v>
      </c>
      <c r="I180" t="s">
        <v>144</v>
      </c>
      <c r="L180" t="s">
        <v>449</v>
      </c>
    </row>
    <row r="181" spans="1:12">
      <c r="A181" t="s">
        <v>11</v>
      </c>
      <c r="B181">
        <v>177</v>
      </c>
      <c r="E181" t="s">
        <v>534</v>
      </c>
      <c r="F181" t="s">
        <v>472</v>
      </c>
      <c r="G181" s="9"/>
      <c r="H181" s="9"/>
    </row>
    <row r="182" spans="1:12">
      <c r="A182" t="s">
        <v>11</v>
      </c>
      <c r="B182">
        <v>178</v>
      </c>
      <c r="E182">
        <v>254</v>
      </c>
      <c r="F182" t="s">
        <v>535</v>
      </c>
      <c r="G182" s="65" t="s">
        <v>1545</v>
      </c>
      <c r="H182" s="9" t="str">
        <f t="shared" ref="H182" si="9">IF(LEFT(G182,4)="tbl-","fig-" &amp; MID(G182,5,LEN(G182)-4),"")</f>
        <v>fig-hiv-incident-aar</v>
      </c>
      <c r="I182" t="s">
        <v>172</v>
      </c>
      <c r="K182" t="s">
        <v>536</v>
      </c>
      <c r="L182" t="s">
        <v>537</v>
      </c>
    </row>
    <row r="183" spans="1:12">
      <c r="A183" t="s">
        <v>11</v>
      </c>
      <c r="B183">
        <v>179</v>
      </c>
      <c r="E183" t="s">
        <v>538</v>
      </c>
      <c r="F183" t="s">
        <v>472</v>
      </c>
      <c r="G183" s="9"/>
      <c r="H183" s="9"/>
    </row>
    <row r="184" spans="1:12">
      <c r="A184" t="s">
        <v>11</v>
      </c>
      <c r="B184">
        <v>180</v>
      </c>
      <c r="E184" t="s">
        <v>539</v>
      </c>
      <c r="F184" t="s">
        <v>472</v>
      </c>
      <c r="G184" s="9"/>
      <c r="H184" s="9"/>
    </row>
    <row r="185" spans="1:12">
      <c r="A185" t="s">
        <v>11</v>
      </c>
      <c r="B185">
        <v>181</v>
      </c>
      <c r="E185" t="s">
        <v>540</v>
      </c>
      <c r="F185" t="s">
        <v>472</v>
      </c>
      <c r="G185" s="9"/>
      <c r="H185" s="9"/>
    </row>
    <row r="186" spans="1:12">
      <c r="A186" t="s">
        <v>11</v>
      </c>
      <c r="B186">
        <v>182</v>
      </c>
      <c r="E186" t="s">
        <v>541</v>
      </c>
      <c r="F186" t="s">
        <v>472</v>
      </c>
      <c r="G186" s="9"/>
      <c r="H186" s="9"/>
    </row>
    <row r="187" spans="1:12">
      <c r="A187" t="s">
        <v>11</v>
      </c>
      <c r="B187">
        <v>183</v>
      </c>
      <c r="E187" t="s">
        <v>542</v>
      </c>
      <c r="F187" t="s">
        <v>472</v>
      </c>
      <c r="G187" s="9"/>
      <c r="H187" s="9"/>
    </row>
    <row r="188" spans="1:12">
      <c r="A188" t="s">
        <v>11</v>
      </c>
      <c r="B188">
        <v>184</v>
      </c>
      <c r="E188" t="s">
        <v>504</v>
      </c>
      <c r="F188" t="s">
        <v>543</v>
      </c>
      <c r="G188" s="65" t="s">
        <v>1546</v>
      </c>
      <c r="H188" s="9" t="str">
        <f t="shared" ref="H188" si="10">IF(LEFT(G188,4)="tbl-","fig-" &amp; MID(G188,5,LEN(G188)-4),"")</f>
        <v>fig-gono-incident-aar</v>
      </c>
      <c r="I188" t="s">
        <v>544</v>
      </c>
      <c r="K188" t="s">
        <v>545</v>
      </c>
      <c r="L188" t="s">
        <v>537</v>
      </c>
    </row>
    <row r="189" spans="1:12">
      <c r="A189" t="s">
        <v>11</v>
      </c>
      <c r="B189">
        <v>185</v>
      </c>
      <c r="E189">
        <v>260</v>
      </c>
      <c r="F189" t="s">
        <v>472</v>
      </c>
      <c r="G189" s="9"/>
      <c r="H189" s="9"/>
    </row>
    <row r="190" spans="1:12">
      <c r="A190" t="s">
        <v>11</v>
      </c>
      <c r="B190">
        <v>186</v>
      </c>
      <c r="E190" t="s">
        <v>546</v>
      </c>
      <c r="F190" t="s">
        <v>472</v>
      </c>
      <c r="G190" s="9"/>
      <c r="H190" s="9"/>
    </row>
    <row r="191" spans="1:12">
      <c r="A191" t="s">
        <v>11</v>
      </c>
      <c r="B191">
        <v>187</v>
      </c>
      <c r="E191" t="s">
        <v>547</v>
      </c>
      <c r="F191" t="s">
        <v>472</v>
      </c>
      <c r="G191" s="9"/>
      <c r="H191" s="9"/>
    </row>
    <row r="192" spans="1:12">
      <c r="A192" t="s">
        <v>11</v>
      </c>
      <c r="B192">
        <v>188</v>
      </c>
      <c r="E192" t="s">
        <v>548</v>
      </c>
      <c r="F192" t="s">
        <v>472</v>
      </c>
      <c r="G192" s="9"/>
      <c r="H192" s="9"/>
    </row>
    <row r="193" spans="1:12">
      <c r="A193" t="s">
        <v>11</v>
      </c>
      <c r="B193">
        <v>189</v>
      </c>
      <c r="E193" t="s">
        <v>549</v>
      </c>
      <c r="F193" t="s">
        <v>472</v>
      </c>
      <c r="G193" s="9"/>
      <c r="H193" s="9"/>
    </row>
    <row r="194" spans="1:12">
      <c r="A194" t="s">
        <v>11</v>
      </c>
      <c r="B194">
        <v>190</v>
      </c>
      <c r="E194" t="s">
        <v>550</v>
      </c>
      <c r="F194" t="s">
        <v>472</v>
      </c>
      <c r="G194" s="9"/>
      <c r="H194" s="9"/>
    </row>
    <row r="195" spans="1:12">
      <c r="A195" t="s">
        <v>11</v>
      </c>
      <c r="B195">
        <v>191</v>
      </c>
      <c r="E195" t="s">
        <v>551</v>
      </c>
      <c r="F195" t="s">
        <v>472</v>
      </c>
      <c r="G195" s="9"/>
      <c r="H195" s="9"/>
    </row>
    <row r="196" spans="1:12">
      <c r="A196" t="s">
        <v>11</v>
      </c>
      <c r="B196">
        <v>192</v>
      </c>
      <c r="E196" t="s">
        <v>552</v>
      </c>
      <c r="F196" t="s">
        <v>472</v>
      </c>
      <c r="G196" s="9"/>
      <c r="H196" s="9"/>
    </row>
    <row r="197" spans="1:12">
      <c r="A197" t="s">
        <v>11</v>
      </c>
      <c r="B197">
        <v>193</v>
      </c>
      <c r="E197" t="s">
        <v>553</v>
      </c>
      <c r="F197" t="s">
        <v>472</v>
      </c>
      <c r="G197" s="9"/>
      <c r="H197" s="9"/>
    </row>
    <row r="198" spans="1:12">
      <c r="A198" t="s">
        <v>11</v>
      </c>
      <c r="B198">
        <v>194</v>
      </c>
      <c r="E198" t="s">
        <v>554</v>
      </c>
      <c r="F198" t="s">
        <v>472</v>
      </c>
      <c r="G198" s="9"/>
      <c r="H198" s="9"/>
    </row>
    <row r="199" spans="1:12">
      <c r="A199" t="s">
        <v>11</v>
      </c>
      <c r="B199">
        <v>195</v>
      </c>
      <c r="E199">
        <v>270</v>
      </c>
      <c r="F199" t="s">
        <v>472</v>
      </c>
      <c r="G199" s="9"/>
      <c r="H199" s="9"/>
    </row>
    <row r="200" spans="1:12">
      <c r="A200" t="s">
        <v>11</v>
      </c>
      <c r="B200">
        <v>196</v>
      </c>
      <c r="E200" t="s">
        <v>504</v>
      </c>
      <c r="F200" t="s">
        <v>555</v>
      </c>
      <c r="G200" s="9" t="s">
        <v>1635</v>
      </c>
      <c r="H200" s="9" t="str">
        <f t="shared" ref="H200" si="11">IF(LEFT(G200,4)="tbl-","fig-" &amp; MID(G200,5,LEN(G200)-4),"")</f>
        <v>fig-chlamy-incident-aar</v>
      </c>
      <c r="I200" t="s">
        <v>544</v>
      </c>
      <c r="K200" t="s">
        <v>545</v>
      </c>
      <c r="L200" t="s">
        <v>537</v>
      </c>
    </row>
    <row r="201" spans="1:12">
      <c r="A201" t="s">
        <v>11</v>
      </c>
      <c r="B201">
        <v>197</v>
      </c>
      <c r="E201">
        <v>271</v>
      </c>
      <c r="G201" s="9"/>
      <c r="H201" s="9"/>
    </row>
    <row r="202" spans="1:12">
      <c r="A202" t="s">
        <v>11</v>
      </c>
      <c r="B202">
        <v>198</v>
      </c>
      <c r="E202">
        <v>272</v>
      </c>
      <c r="G202" s="9"/>
      <c r="H202" s="9"/>
    </row>
    <row r="203" spans="1:12">
      <c r="A203" t="s">
        <v>11</v>
      </c>
      <c r="B203">
        <v>199</v>
      </c>
      <c r="F203" t="s">
        <v>556</v>
      </c>
      <c r="G203" s="9" t="s">
        <v>1554</v>
      </c>
      <c r="H203" s="9" t="str">
        <f t="shared" ref="H203" si="12">IF(LEFT(G203,4)="tbl-","fig-" &amp; MID(G203,5,LEN(G203)-4),"")</f>
        <v>fig-syph-early-aar</v>
      </c>
      <c r="I203" t="s">
        <v>557</v>
      </c>
      <c r="K203" t="s">
        <v>558</v>
      </c>
      <c r="L203" t="s">
        <v>537</v>
      </c>
    </row>
    <row r="204" spans="1:12">
      <c r="A204" t="s">
        <v>11</v>
      </c>
      <c r="B204">
        <v>200</v>
      </c>
      <c r="E204" t="s">
        <v>559</v>
      </c>
      <c r="F204" t="s">
        <v>472</v>
      </c>
      <c r="G204" s="9"/>
      <c r="H204" s="9"/>
    </row>
    <row r="205" spans="1:12">
      <c r="A205" t="s">
        <v>11</v>
      </c>
      <c r="B205">
        <v>201</v>
      </c>
      <c r="E205" t="s">
        <v>560</v>
      </c>
      <c r="F205" t="s">
        <v>472</v>
      </c>
      <c r="G205" s="9"/>
      <c r="H205" s="9"/>
    </row>
    <row r="206" spans="1:12">
      <c r="A206" t="s">
        <v>11</v>
      </c>
      <c r="B206">
        <v>202</v>
      </c>
      <c r="E206">
        <v>275</v>
      </c>
      <c r="F206" t="s">
        <v>561</v>
      </c>
      <c r="G206" s="9" t="s">
        <v>1553</v>
      </c>
      <c r="H206" s="9" t="str">
        <f t="shared" ref="H206" si="13">IF(LEFT(G206,4)="tbl-","fig-" &amp; MID(G206,5,LEN(G206)-4),"")</f>
        <v>fig-lyme-disease</v>
      </c>
      <c r="I206" t="s">
        <v>562</v>
      </c>
      <c r="J206" t="s">
        <v>563</v>
      </c>
      <c r="K206" t="s">
        <v>564</v>
      </c>
      <c r="L206" t="s">
        <v>449</v>
      </c>
    </row>
    <row r="207" spans="1:12">
      <c r="A207" t="s">
        <v>11</v>
      </c>
      <c r="B207">
        <v>203</v>
      </c>
      <c r="E207" t="s">
        <v>565</v>
      </c>
      <c r="F207" t="s">
        <v>472</v>
      </c>
      <c r="G207" s="9"/>
      <c r="H207" s="9"/>
    </row>
    <row r="208" spans="1:12">
      <c r="A208" t="s">
        <v>11</v>
      </c>
      <c r="B208">
        <v>204</v>
      </c>
      <c r="E208">
        <v>277</v>
      </c>
      <c r="F208" t="s">
        <v>566</v>
      </c>
      <c r="G208" s="9" t="s">
        <v>1552</v>
      </c>
      <c r="H208" s="9" t="str">
        <f t="shared" ref="H208" si="14">IF(LEFT(G208,4)="tbl-","fig-" &amp; MID(G208,5,LEN(G208)-4),"")</f>
        <v>fig-anaplasmosis</v>
      </c>
      <c r="I208" t="s">
        <v>562</v>
      </c>
      <c r="J208" t="s">
        <v>563</v>
      </c>
      <c r="K208" t="s">
        <v>564</v>
      </c>
      <c r="L208" t="s">
        <v>449</v>
      </c>
    </row>
    <row r="209" spans="1:12">
      <c r="A209" t="s">
        <v>11</v>
      </c>
      <c r="B209">
        <v>205</v>
      </c>
      <c r="E209" t="s">
        <v>567</v>
      </c>
      <c r="F209" t="s">
        <v>472</v>
      </c>
      <c r="G209" s="9"/>
      <c r="H209" s="9"/>
    </row>
    <row r="210" spans="1:12">
      <c r="A210" t="s">
        <v>11</v>
      </c>
      <c r="B210">
        <v>206</v>
      </c>
      <c r="E210">
        <v>279</v>
      </c>
      <c r="F210" t="s">
        <v>568</v>
      </c>
      <c r="G210" s="9" t="s">
        <v>1551</v>
      </c>
      <c r="H210" s="9" t="str">
        <f t="shared" ref="H210" si="15">IF(LEFT(G210,4)="tbl-","fig-" &amp; MID(G210,5,LEN(G210)-4),"")</f>
        <v>fig-babesiosis</v>
      </c>
      <c r="I210" t="s">
        <v>562</v>
      </c>
      <c r="J210" t="s">
        <v>563</v>
      </c>
      <c r="K210" t="s">
        <v>564</v>
      </c>
      <c r="L210" t="s">
        <v>449</v>
      </c>
    </row>
    <row r="211" spans="1:12">
      <c r="A211" t="s">
        <v>11</v>
      </c>
      <c r="B211">
        <v>207</v>
      </c>
      <c r="E211" t="s">
        <v>569</v>
      </c>
      <c r="F211" t="s">
        <v>472</v>
      </c>
      <c r="G211" s="9"/>
      <c r="H211" s="9"/>
    </row>
    <row r="212" spans="1:12">
      <c r="A212" t="s">
        <v>11</v>
      </c>
      <c r="B212">
        <v>208</v>
      </c>
      <c r="E212" t="s">
        <v>570</v>
      </c>
      <c r="F212" t="s">
        <v>472</v>
      </c>
      <c r="G212" s="9"/>
      <c r="H212" s="9"/>
    </row>
    <row r="213" spans="1:12">
      <c r="A213" t="s">
        <v>11</v>
      </c>
      <c r="B213">
        <v>209</v>
      </c>
      <c r="E213" t="s">
        <v>571</v>
      </c>
      <c r="F213" t="s">
        <v>572</v>
      </c>
      <c r="G213" s="9" t="s">
        <v>1550</v>
      </c>
      <c r="H213" s="9" t="str">
        <f t="shared" ref="H213:H218" si="16">IF(LEFT(G213,4)="tbl-","fig-" &amp; MID(G213,5,LEN(G213)-4),"")</f>
        <v>fig-rabies-test-domestic</v>
      </c>
      <c r="I213" t="s">
        <v>573</v>
      </c>
      <c r="L213" t="s">
        <v>537</v>
      </c>
    </row>
    <row r="214" spans="1:12">
      <c r="A214" t="s">
        <v>11</v>
      </c>
      <c r="B214">
        <v>210</v>
      </c>
      <c r="E214" t="s">
        <v>574</v>
      </c>
      <c r="F214" t="s">
        <v>575</v>
      </c>
      <c r="G214" s="9" t="s">
        <v>1549</v>
      </c>
      <c r="H214" s="9" t="str">
        <f t="shared" si="16"/>
        <v>fig-rabies-test-wild</v>
      </c>
      <c r="I214" t="s">
        <v>573</v>
      </c>
      <c r="L214" t="s">
        <v>537</v>
      </c>
    </row>
    <row r="215" spans="1:12">
      <c r="A215" t="s">
        <v>11</v>
      </c>
      <c r="B215">
        <v>211</v>
      </c>
      <c r="E215">
        <v>282</v>
      </c>
      <c r="F215" t="s">
        <v>576</v>
      </c>
      <c r="G215" s="9" t="s">
        <v>1634</v>
      </c>
      <c r="H215" s="9" t="str">
        <f t="shared" si="16"/>
        <v>fig-rabies-pep-rate</v>
      </c>
      <c r="I215" t="s">
        <v>577</v>
      </c>
      <c r="L215" t="s">
        <v>537</v>
      </c>
    </row>
    <row r="216" spans="1:12">
      <c r="A216" t="s">
        <v>11</v>
      </c>
      <c r="B216">
        <v>212</v>
      </c>
      <c r="E216" t="s">
        <v>578</v>
      </c>
      <c r="F216" t="s">
        <v>579</v>
      </c>
      <c r="G216" s="9" t="s">
        <v>1633</v>
      </c>
      <c r="H216" s="9" t="str">
        <f t="shared" si="16"/>
        <v>fig-early-late-no-pnc-percent</v>
      </c>
      <c r="L216" t="s">
        <v>409</v>
      </c>
    </row>
    <row r="217" spans="1:12">
      <c r="A217" t="s">
        <v>11</v>
      </c>
      <c r="B217">
        <v>213</v>
      </c>
      <c r="E217">
        <v>284</v>
      </c>
      <c r="F217" t="s">
        <v>580</v>
      </c>
      <c r="G217" s="9" t="s">
        <v>1632</v>
      </c>
      <c r="H217" s="9" t="str">
        <f t="shared" si="16"/>
        <v>fig-early-pnc-percent</v>
      </c>
      <c r="I217" t="s">
        <v>172</v>
      </c>
      <c r="K217" t="s">
        <v>428</v>
      </c>
      <c r="L217" t="s">
        <v>409</v>
      </c>
    </row>
    <row r="218" spans="1:12">
      <c r="A218" t="s">
        <v>11</v>
      </c>
      <c r="B218">
        <v>214</v>
      </c>
      <c r="E218">
        <v>285</v>
      </c>
      <c r="F218" t="s">
        <v>581</v>
      </c>
      <c r="G218" s="9" t="s">
        <v>1631</v>
      </c>
      <c r="H218" s="9" t="str">
        <f t="shared" si="16"/>
        <v>fig-late-no-pnc-percent</v>
      </c>
      <c r="I218" t="s">
        <v>172</v>
      </c>
      <c r="K218" t="s">
        <v>428</v>
      </c>
      <c r="L218" t="s">
        <v>409</v>
      </c>
    </row>
    <row r="219" spans="1:12">
      <c r="A219" t="s">
        <v>11</v>
      </c>
      <c r="B219">
        <v>215</v>
      </c>
      <c r="E219">
        <v>286</v>
      </c>
      <c r="F219" t="s">
        <v>582</v>
      </c>
      <c r="G219" s="9" t="s">
        <v>1630</v>
      </c>
      <c r="H219" s="9" t="str">
        <f>IF(LEFT(G219,4)="tbl-","fig-" &amp; MID(G219,5,LEN(G219)-4),"")</f>
        <v>fig-epc-rande-percent</v>
      </c>
      <c r="I219" t="s">
        <v>102</v>
      </c>
      <c r="K219" t="s">
        <v>428</v>
      </c>
      <c r="L219" t="s">
        <v>409</v>
      </c>
    </row>
    <row r="220" spans="1:12">
      <c r="A220" t="s">
        <v>11</v>
      </c>
      <c r="B220">
        <v>216</v>
      </c>
      <c r="E220" t="s">
        <v>583</v>
      </c>
      <c r="F220" t="s">
        <v>472</v>
      </c>
      <c r="G220" s="9"/>
      <c r="H220" s="9"/>
    </row>
    <row r="221" spans="1:12">
      <c r="A221" t="s">
        <v>11</v>
      </c>
      <c r="B221">
        <v>217</v>
      </c>
      <c r="E221">
        <v>288</v>
      </c>
      <c r="F221" t="s">
        <v>584</v>
      </c>
      <c r="G221" s="9" t="s">
        <v>1628</v>
      </c>
      <c r="H221" s="9" t="str">
        <f t="shared" ref="H221:H222" si="17">IF(LEFT(G221,4)="tbl-","fig-" &amp; MID(G221,5,LEN(G221)-4),"")</f>
        <v>fig-15to44-preg-rate</v>
      </c>
      <c r="I221" t="s">
        <v>172</v>
      </c>
      <c r="K221" t="s">
        <v>428</v>
      </c>
      <c r="L221" t="s">
        <v>409</v>
      </c>
    </row>
    <row r="222" spans="1:12">
      <c r="A222" t="s">
        <v>11</v>
      </c>
      <c r="B222">
        <v>218</v>
      </c>
      <c r="E222">
        <v>289</v>
      </c>
      <c r="F222" t="s">
        <v>585</v>
      </c>
      <c r="G222" s="9" t="s">
        <v>1629</v>
      </c>
      <c r="H222" s="9" t="str">
        <f t="shared" si="17"/>
        <v>fig-15to44-preg-rande-rate</v>
      </c>
      <c r="I222" t="s">
        <v>102</v>
      </c>
      <c r="K222" t="s">
        <v>428</v>
      </c>
      <c r="L222" t="s">
        <v>409</v>
      </c>
    </row>
    <row r="223" spans="1:12">
      <c r="A223" t="s">
        <v>11</v>
      </c>
      <c r="B223">
        <v>219</v>
      </c>
      <c r="E223" t="s">
        <v>586</v>
      </c>
      <c r="F223" t="s">
        <v>472</v>
      </c>
      <c r="G223" s="9"/>
      <c r="H223" s="9"/>
    </row>
    <row r="224" spans="1:12">
      <c r="A224" t="s">
        <v>11</v>
      </c>
      <c r="B224">
        <v>220</v>
      </c>
      <c r="E224" t="s">
        <v>587</v>
      </c>
      <c r="F224" t="s">
        <v>472</v>
      </c>
      <c r="G224" s="9"/>
      <c r="H224" s="9"/>
    </row>
    <row r="225" spans="1:12">
      <c r="A225" t="s">
        <v>11</v>
      </c>
      <c r="B225">
        <v>221</v>
      </c>
      <c r="E225" t="s">
        <v>588</v>
      </c>
      <c r="F225" t="s">
        <v>472</v>
      </c>
      <c r="G225" s="9"/>
      <c r="H225" s="9"/>
    </row>
    <row r="226" spans="1:12">
      <c r="A226" t="s">
        <v>11</v>
      </c>
      <c r="B226">
        <v>222</v>
      </c>
      <c r="E226">
        <v>293</v>
      </c>
      <c r="F226" t="s">
        <v>2128</v>
      </c>
      <c r="G226" s="9" t="s">
        <v>1627</v>
      </c>
      <c r="H226" s="9" t="str">
        <f t="shared" ref="H226:H227" si="18">IF(LEFT(G226,4)="tbl-","fig-" &amp; MID(G226,5,LEN(G226)-4),"")</f>
        <v>fig-15to19-teenpreg-rate</v>
      </c>
      <c r="I226" t="s">
        <v>172</v>
      </c>
      <c r="K226" t="s">
        <v>428</v>
      </c>
      <c r="L226" t="s">
        <v>409</v>
      </c>
    </row>
    <row r="227" spans="1:12">
      <c r="A227" t="s">
        <v>11</v>
      </c>
      <c r="B227">
        <v>223</v>
      </c>
      <c r="E227">
        <v>294</v>
      </c>
      <c r="F227" t="s">
        <v>589</v>
      </c>
      <c r="G227" s="9" t="s">
        <v>1636</v>
      </c>
      <c r="H227" s="9" t="str">
        <f t="shared" si="18"/>
        <v>fig-17+-teenpreg-rande-rate</v>
      </c>
      <c r="I227" t="s">
        <v>102</v>
      </c>
      <c r="K227" t="s">
        <v>428</v>
      </c>
      <c r="L227" t="s">
        <v>409</v>
      </c>
    </row>
    <row r="228" spans="1:12">
      <c r="A228" t="s">
        <v>11</v>
      </c>
      <c r="B228">
        <v>224</v>
      </c>
      <c r="E228">
        <v>295</v>
      </c>
      <c r="F228" t="s">
        <v>590</v>
      </c>
      <c r="G228" s="9" t="s">
        <v>1626</v>
      </c>
      <c r="H228" s="9" t="str">
        <f>IF(LEFT(G228,4)="tbl-","fig-" &amp; MID(G228,5,LEN(G228)-4),"")</f>
        <v>fig-financial-coverage-liveb-percent</v>
      </c>
    </row>
    <row r="229" spans="1:12">
      <c r="A229" t="s">
        <v>11</v>
      </c>
      <c r="B229">
        <v>225</v>
      </c>
      <c r="G229" s="9"/>
      <c r="H229" s="9"/>
      <c r="I229" t="s">
        <v>591</v>
      </c>
      <c r="K229" t="s">
        <v>428</v>
      </c>
      <c r="L229" t="s">
        <v>409</v>
      </c>
    </row>
    <row r="230" spans="1:12">
      <c r="A230" t="s">
        <v>11</v>
      </c>
      <c r="B230">
        <v>226</v>
      </c>
      <c r="E230" t="s">
        <v>504</v>
      </c>
      <c r="F230" t="s">
        <v>592</v>
      </c>
      <c r="G230" s="9" t="s">
        <v>1625</v>
      </c>
      <c r="H230" s="9" t="str">
        <f t="shared" ref="H230" si="19">IF(LEFT(G230,4)="tbl-","fig-" &amp; MID(G230,5,LEN(G230)-4),"")</f>
        <v>fig-hospital-exclusive-bf-percent</v>
      </c>
      <c r="I230" t="s">
        <v>593</v>
      </c>
      <c r="K230" t="s">
        <v>428</v>
      </c>
      <c r="L230" t="s">
        <v>409</v>
      </c>
    </row>
    <row r="231" spans="1:12">
      <c r="A231" t="s">
        <v>11</v>
      </c>
      <c r="B231">
        <v>227</v>
      </c>
      <c r="E231" t="s">
        <v>594</v>
      </c>
      <c r="F231" t="s">
        <v>472</v>
      </c>
      <c r="G231" s="9"/>
      <c r="H231" s="9"/>
    </row>
    <row r="232" spans="1:12">
      <c r="A232" t="s">
        <v>11</v>
      </c>
      <c r="B232">
        <v>228</v>
      </c>
      <c r="E232">
        <v>297</v>
      </c>
      <c r="F232" t="s">
        <v>595</v>
      </c>
      <c r="G232" s="9" t="s">
        <v>1548</v>
      </c>
      <c r="H232" s="9" t="str">
        <f t="shared" ref="H232" si="20">IF(LEFT(G232,4)="tbl-","fig-" &amp; MID(G232,5,LEN(G232)-4),"")</f>
        <v>fig-preterm-birth</v>
      </c>
      <c r="I232" t="s">
        <v>172</v>
      </c>
      <c r="L232" t="s">
        <v>409</v>
      </c>
    </row>
    <row r="233" spans="1:12">
      <c r="A233" t="s">
        <v>11</v>
      </c>
      <c r="B233">
        <v>229</v>
      </c>
      <c r="E233" t="s">
        <v>596</v>
      </c>
      <c r="F233" t="s">
        <v>472</v>
      </c>
      <c r="G233" s="9"/>
      <c r="H233" s="9"/>
    </row>
    <row r="234" spans="1:12">
      <c r="A234" t="s">
        <v>11</v>
      </c>
      <c r="B234">
        <v>230</v>
      </c>
      <c r="E234">
        <v>299</v>
      </c>
      <c r="F234" t="s">
        <v>597</v>
      </c>
      <c r="G234" s="9" t="s">
        <v>1568</v>
      </c>
      <c r="H234" s="9" t="str">
        <f t="shared" ref="H234:H235" si="21">IF(LEFT(G234,4)="tbl-","fig-" &amp; MID(G234,5,LEN(G234)-4),"")</f>
        <v>fig-lbw-percent</v>
      </c>
      <c r="I234" t="s">
        <v>172</v>
      </c>
      <c r="K234" t="s">
        <v>428</v>
      </c>
      <c r="L234" t="s">
        <v>409</v>
      </c>
    </row>
    <row r="235" spans="1:12">
      <c r="A235" t="s">
        <v>11</v>
      </c>
      <c r="B235">
        <v>231</v>
      </c>
      <c r="E235">
        <v>300</v>
      </c>
      <c r="F235" t="s">
        <v>598</v>
      </c>
      <c r="G235" s="9" t="s">
        <v>1569</v>
      </c>
      <c r="H235" s="9" t="str">
        <f t="shared" si="21"/>
        <v>fig-lbw-rande-percent</v>
      </c>
      <c r="I235" t="s">
        <v>102</v>
      </c>
      <c r="K235" t="s">
        <v>428</v>
      </c>
      <c r="L235" t="s">
        <v>409</v>
      </c>
    </row>
    <row r="236" spans="1:12">
      <c r="A236" t="s">
        <v>11</v>
      </c>
      <c r="B236">
        <v>232</v>
      </c>
      <c r="E236" t="s">
        <v>599</v>
      </c>
      <c r="F236" t="s">
        <v>472</v>
      </c>
      <c r="G236" s="9"/>
      <c r="H236" s="9"/>
    </row>
    <row r="237" spans="1:12">
      <c r="A237" t="s">
        <v>11</v>
      </c>
      <c r="B237">
        <v>233</v>
      </c>
      <c r="E237">
        <v>302</v>
      </c>
      <c r="F237" t="s">
        <v>600</v>
      </c>
      <c r="G237" s="9" t="s">
        <v>1637</v>
      </c>
      <c r="H237" s="9" t="str">
        <f t="shared" ref="H237:H238" si="22">IF(LEFT(G237,4)="tbl-","fig-" &amp; MID(G237,5,LEN(G237)-4),"")</f>
        <v>fig-infant-mortal-rate</v>
      </c>
      <c r="I237" t="s">
        <v>172</v>
      </c>
      <c r="K237" t="s">
        <v>428</v>
      </c>
      <c r="L237" t="s">
        <v>409</v>
      </c>
    </row>
    <row r="238" spans="1:12">
      <c r="A238" t="s">
        <v>11</v>
      </c>
      <c r="B238">
        <v>234</v>
      </c>
      <c r="E238" t="s">
        <v>504</v>
      </c>
      <c r="F238" t="s">
        <v>601</v>
      </c>
      <c r="G238" s="9" t="s">
        <v>1603</v>
      </c>
      <c r="H238" s="9" t="str">
        <f t="shared" si="22"/>
        <v>fig-maternal-mortal-rate</v>
      </c>
      <c r="I238" t="s">
        <v>502</v>
      </c>
      <c r="K238" t="s">
        <v>428</v>
      </c>
      <c r="L238" t="s">
        <v>409</v>
      </c>
    </row>
    <row r="239" spans="1:12">
      <c r="A239" t="s">
        <v>11</v>
      </c>
      <c r="B239">
        <v>235</v>
      </c>
      <c r="E239" t="s">
        <v>602</v>
      </c>
      <c r="F239" t="s">
        <v>472</v>
      </c>
      <c r="G239" s="9"/>
      <c r="H239" s="9"/>
    </row>
    <row r="240" spans="1:12">
      <c r="A240" t="s">
        <v>11</v>
      </c>
      <c r="B240">
        <v>236</v>
      </c>
      <c r="E240" t="s">
        <v>603</v>
      </c>
      <c r="F240" t="s">
        <v>472</v>
      </c>
      <c r="G240" s="9"/>
      <c r="H240" s="9"/>
    </row>
    <row r="241" spans="1:12">
      <c r="A241" t="s">
        <v>11</v>
      </c>
      <c r="B241">
        <v>237</v>
      </c>
      <c r="E241" t="s">
        <v>604</v>
      </c>
      <c r="F241" t="s">
        <v>472</v>
      </c>
      <c r="G241" s="9"/>
      <c r="H241" s="9"/>
    </row>
    <row r="242" spans="1:12">
      <c r="A242" t="s">
        <v>11</v>
      </c>
      <c r="B242">
        <v>238</v>
      </c>
      <c r="E242">
        <v>306</v>
      </c>
      <c r="F242" t="s">
        <v>605</v>
      </c>
      <c r="G242" s="9"/>
      <c r="H242" s="9"/>
      <c r="I242" t="s">
        <v>172</v>
      </c>
      <c r="L242" t="s">
        <v>409</v>
      </c>
    </row>
    <row r="243" spans="1:12">
      <c r="A243" t="s">
        <v>11</v>
      </c>
      <c r="B243">
        <v>239</v>
      </c>
      <c r="E243" t="s">
        <v>606</v>
      </c>
      <c r="F243" t="s">
        <v>472</v>
      </c>
      <c r="G243" s="9"/>
      <c r="H243" s="9"/>
    </row>
    <row r="244" spans="1:12">
      <c r="A244" t="s">
        <v>11</v>
      </c>
      <c r="B244">
        <v>240</v>
      </c>
      <c r="E244">
        <v>308</v>
      </c>
      <c r="F244" t="s">
        <v>607</v>
      </c>
      <c r="G244" s="9" t="s">
        <v>1604</v>
      </c>
      <c r="H244" s="9" t="str">
        <f t="shared" ref="H244:H245" si="23">IF(LEFT(G244,4)="tbl-","fig-" &amp; MID(G244,5,LEN(G244)-4),"")</f>
        <v>fig-medicaid-1dental-visit-percent</v>
      </c>
      <c r="I244" t="s">
        <v>172</v>
      </c>
      <c r="K244" t="s">
        <v>608</v>
      </c>
      <c r="L244" t="s">
        <v>470</v>
      </c>
    </row>
    <row r="245" spans="1:12">
      <c r="A245" t="s">
        <v>11</v>
      </c>
      <c r="B245">
        <v>241</v>
      </c>
      <c r="E245">
        <v>309</v>
      </c>
      <c r="F245" t="s">
        <v>609</v>
      </c>
      <c r="G245" s="9" t="s">
        <v>1605</v>
      </c>
      <c r="H245" s="9" t="str">
        <f t="shared" si="23"/>
        <v>fig-medicaid-dental-past12-percent</v>
      </c>
      <c r="I245" t="s">
        <v>172</v>
      </c>
      <c r="K245" t="s">
        <v>610</v>
      </c>
      <c r="L245" t="s">
        <v>470</v>
      </c>
    </row>
    <row r="246" spans="1:12">
      <c r="A246" t="s">
        <v>11</v>
      </c>
      <c r="B246">
        <v>242</v>
      </c>
      <c r="E246" t="s">
        <v>611</v>
      </c>
      <c r="F246" t="s">
        <v>472</v>
      </c>
      <c r="G246" s="9"/>
      <c r="H246" s="9"/>
    </row>
    <row r="247" spans="1:12">
      <c r="A247" t="s">
        <v>11</v>
      </c>
      <c r="B247">
        <v>243</v>
      </c>
      <c r="E247">
        <v>311</v>
      </c>
      <c r="F247" t="s">
        <v>612</v>
      </c>
      <c r="G247" s="9" t="s">
        <v>1606</v>
      </c>
      <c r="H247" s="9" t="str">
        <f t="shared" ref="H247:H248" si="24">IF(LEFT(G247,4)="tbl-","fig-" &amp; MID(G247,5,LEN(G247)-4),"")</f>
        <v>fig-adult-poormh-14ormore-percent</v>
      </c>
      <c r="I247" t="s">
        <v>144</v>
      </c>
      <c r="L247" t="s">
        <v>421</v>
      </c>
    </row>
    <row r="248" spans="1:12">
      <c r="A248" t="s">
        <v>11</v>
      </c>
      <c r="B248">
        <v>244</v>
      </c>
      <c r="E248">
        <v>312</v>
      </c>
      <c r="F248" t="s">
        <v>613</v>
      </c>
      <c r="G248" s="9" t="s">
        <v>1608</v>
      </c>
      <c r="H248" s="9" t="str">
        <f t="shared" si="24"/>
        <v>fig-adult-depressive-do-percent</v>
      </c>
      <c r="I248" t="s">
        <v>144</v>
      </c>
      <c r="L248" t="s">
        <v>421</v>
      </c>
    </row>
    <row r="249" spans="1:12">
      <c r="A249" t="s">
        <v>11</v>
      </c>
      <c r="B249">
        <v>245</v>
      </c>
      <c r="E249" t="s">
        <v>504</v>
      </c>
      <c r="F249" t="s">
        <v>614</v>
      </c>
      <c r="G249" s="9"/>
      <c r="H249" s="9"/>
      <c r="I249" t="s">
        <v>615</v>
      </c>
      <c r="K249" t="s">
        <v>469</v>
      </c>
      <c r="L249" t="s">
        <v>421</v>
      </c>
    </row>
    <row r="250" spans="1:12">
      <c r="A250" t="s">
        <v>11</v>
      </c>
      <c r="B250">
        <v>246</v>
      </c>
      <c r="E250" t="s">
        <v>616</v>
      </c>
      <c r="F250" t="s">
        <v>617</v>
      </c>
      <c r="G250" s="9" t="s">
        <v>1547</v>
      </c>
      <c r="H250" s="9" t="str">
        <f t="shared" ref="H250:H251" si="25">IF(LEFT(G250,4)="tbl-","fig-" &amp; MID(G250,5,LEN(G250)-4),"")</f>
        <v>fig-smoke-risk</v>
      </c>
      <c r="I250" t="s">
        <v>618</v>
      </c>
      <c r="K250" t="s">
        <v>619</v>
      </c>
      <c r="L250" t="s">
        <v>421</v>
      </c>
    </row>
    <row r="251" spans="1:12">
      <c r="A251" t="s">
        <v>11</v>
      </c>
      <c r="B251">
        <v>247</v>
      </c>
      <c r="E251">
        <v>313</v>
      </c>
      <c r="F251" t="s">
        <v>620</v>
      </c>
      <c r="G251" s="9"/>
      <c r="H251" s="9" t="str">
        <f t="shared" si="25"/>
        <v/>
      </c>
      <c r="I251" t="s">
        <v>621</v>
      </c>
      <c r="L251" t="s">
        <v>421</v>
      </c>
    </row>
    <row r="252" spans="1:12">
      <c r="A252" t="s">
        <v>11</v>
      </c>
      <c r="B252">
        <v>248</v>
      </c>
      <c r="E252">
        <v>314</v>
      </c>
      <c r="F252" t="s">
        <v>622</v>
      </c>
      <c r="G252" t="s">
        <v>1573</v>
      </c>
      <c r="H252" s="9" t="str">
        <f>IF(LEFT(G252,4)="tbl-","fig-" &amp; MID(G252,5,LEN(G252)-4),"")</f>
        <v>fig-adult-currsmoke-percent</v>
      </c>
      <c r="I252" t="s">
        <v>144</v>
      </c>
      <c r="L252" t="s">
        <v>421</v>
      </c>
    </row>
    <row r="253" spans="1:12">
      <c r="A253" t="s">
        <v>11</v>
      </c>
      <c r="B253">
        <v>249</v>
      </c>
      <c r="E253">
        <v>315</v>
      </c>
      <c r="F253" t="s">
        <v>623</v>
      </c>
      <c r="G253" t="s">
        <v>1574</v>
      </c>
      <c r="H253" s="9" t="str">
        <f>IF(LEFT(G253,4)="tbl-","fig-" &amp; MID(G253,5,LEN(G253)-4),"")</f>
        <v>fig-adult-cigsmoke-poormh-percent</v>
      </c>
      <c r="I253" t="s">
        <v>144</v>
      </c>
      <c r="K253" t="s">
        <v>469</v>
      </c>
      <c r="L253" t="s">
        <v>421</v>
      </c>
    </row>
    <row r="254" spans="1:12">
      <c r="A254" t="s">
        <v>11</v>
      </c>
      <c r="B254">
        <v>250</v>
      </c>
      <c r="E254">
        <v>316</v>
      </c>
      <c r="F254" t="s">
        <v>624</v>
      </c>
      <c r="G254" t="s">
        <v>1575</v>
      </c>
      <c r="H254" s="9" t="str">
        <f>IF(LEFT(G254,4)="tbl-","fig-" &amp; MID(G254,5,LEN(G254)-4),"")</f>
        <v>fig-adult-bingedrink-percent</v>
      </c>
      <c r="I254" t="s">
        <v>144</v>
      </c>
      <c r="L254" t="s">
        <v>421</v>
      </c>
    </row>
    <row r="255" spans="1:12">
      <c r="A255" t="s">
        <v>11</v>
      </c>
      <c r="B255">
        <v>251</v>
      </c>
      <c r="E255" t="s">
        <v>504</v>
      </c>
      <c r="F255" t="s">
        <v>625</v>
      </c>
      <c r="G255" t="s">
        <v>1525</v>
      </c>
      <c r="H255" s="9" t="str">
        <f>IF(LEFT(G255,4)="tbl-","fig-" &amp; MID(G255,5,LEN(G255)-4),"")</f>
        <v>fig-oddeath-anydrug-crude-rate</v>
      </c>
    </row>
    <row r="256" spans="1:12">
      <c r="A256" t="s">
        <v>11</v>
      </c>
      <c r="B256">
        <v>252</v>
      </c>
      <c r="E256">
        <v>317</v>
      </c>
      <c r="F256" t="s">
        <v>605</v>
      </c>
      <c r="G256" t="s">
        <v>1526</v>
      </c>
      <c r="H256" s="9"/>
      <c r="I256" t="s">
        <v>626</v>
      </c>
      <c r="K256" t="s">
        <v>456</v>
      </c>
      <c r="L256" t="s">
        <v>421</v>
      </c>
    </row>
    <row r="257" spans="1:12">
      <c r="A257" t="s">
        <v>11</v>
      </c>
      <c r="B257">
        <v>253</v>
      </c>
      <c r="E257" t="s">
        <v>627</v>
      </c>
      <c r="F257" t="s">
        <v>472</v>
      </c>
      <c r="G257" t="s">
        <v>1527</v>
      </c>
      <c r="H257" s="9"/>
    </row>
    <row r="258" spans="1:12">
      <c r="A258" t="s">
        <v>11</v>
      </c>
      <c r="B258">
        <v>254</v>
      </c>
      <c r="E258">
        <v>319</v>
      </c>
      <c r="F258" t="s">
        <v>628</v>
      </c>
      <c r="G258" t="s">
        <v>1610</v>
      </c>
      <c r="H258" s="9" t="str">
        <f>IF(LEFT(G258,4)="tbl-","fig-" &amp; MID(G258,5,LEN(G258)-4),"")</f>
        <v>fig-ed-visit-opioid-aar</v>
      </c>
      <c r="I258" t="s">
        <v>626</v>
      </c>
      <c r="K258" t="s">
        <v>456</v>
      </c>
      <c r="L258" t="s">
        <v>421</v>
      </c>
    </row>
    <row r="259" spans="1:12">
      <c r="A259" t="s">
        <v>11</v>
      </c>
      <c r="B259">
        <v>255</v>
      </c>
      <c r="E259" t="s">
        <v>504</v>
      </c>
      <c r="F259" t="s">
        <v>629</v>
      </c>
      <c r="G259" s="9" t="s">
        <v>1611</v>
      </c>
      <c r="H259" s="9" t="str">
        <f>IF(LEFT(G259,4)="tbl-","fig-" &amp; MID(G259,5,LEN(G259)-4),"")</f>
        <v>fig-hospital-dc-opioid-aar</v>
      </c>
    </row>
    <row r="260" spans="1:12">
      <c r="A260" t="s">
        <v>11</v>
      </c>
      <c r="B260">
        <v>256</v>
      </c>
      <c r="E260" t="s">
        <v>504</v>
      </c>
      <c r="F260" t="s">
        <v>630</v>
      </c>
      <c r="G260" s="9" t="s">
        <v>1612</v>
      </c>
      <c r="H260" s="9" t="str">
        <f>IF(LEFT(G260,4)="tbl-","fig-" &amp; MID(G260,5,LEN(G260)-4),"")</f>
        <v>fig-treat-prog-opioid-crude</v>
      </c>
      <c r="I260" t="s">
        <v>631</v>
      </c>
      <c r="K260" t="s">
        <v>632</v>
      </c>
      <c r="L260" t="s">
        <v>421</v>
      </c>
    </row>
    <row r="261" spans="1:12">
      <c r="A261" t="s">
        <v>11</v>
      </c>
      <c r="B261">
        <v>257</v>
      </c>
      <c r="E261" t="s">
        <v>504</v>
      </c>
      <c r="F261" t="s">
        <v>633</v>
      </c>
      <c r="G261" s="9" t="s">
        <v>1614</v>
      </c>
      <c r="H261" s="9" t="str">
        <f>IF(LEFT(G261,4)="tbl-","fig-" &amp; MID(G261,5,LEN(G261)-4),"")</f>
        <v>fig-treat-prog-alcohol-crude</v>
      </c>
    </row>
    <row r="262" spans="1:12">
      <c r="A262" t="s">
        <v>11</v>
      </c>
      <c r="B262">
        <v>258</v>
      </c>
      <c r="E262" t="s">
        <v>634</v>
      </c>
      <c r="F262" t="s">
        <v>472</v>
      </c>
      <c r="G262" s="9"/>
      <c r="H262" s="9"/>
    </row>
    <row r="263" spans="1:12">
      <c r="A263" t="s">
        <v>11</v>
      </c>
      <c r="B263">
        <v>259</v>
      </c>
      <c r="E263">
        <v>321</v>
      </c>
      <c r="F263" t="s">
        <v>635</v>
      </c>
      <c r="G263" s="9" t="s">
        <v>1617</v>
      </c>
      <c r="H263" s="9" t="str">
        <f t="shared" ref="H263:H269" si="26">IF(LEFT(G263,4)="tbl-","fig-" &amp; MID(G263,5,LEN(G263)-4),"")</f>
        <v>fig-OD-anyopioid-crude</v>
      </c>
      <c r="I263" t="s">
        <v>626</v>
      </c>
      <c r="K263" t="s">
        <v>428</v>
      </c>
      <c r="L263" t="s">
        <v>421</v>
      </c>
    </row>
    <row r="264" spans="1:12">
      <c r="A264" t="s">
        <v>11</v>
      </c>
      <c r="B264">
        <v>260</v>
      </c>
      <c r="E264">
        <v>322</v>
      </c>
      <c r="F264" t="s">
        <v>636</v>
      </c>
      <c r="G264" s="9" t="s">
        <v>1619</v>
      </c>
      <c r="H264" s="9" t="str">
        <f t="shared" si="26"/>
        <v>fig-OD-multiple-opioid-aar</v>
      </c>
      <c r="I264" t="s">
        <v>626</v>
      </c>
      <c r="K264" t="s">
        <v>469</v>
      </c>
      <c r="L264" t="s">
        <v>421</v>
      </c>
    </row>
    <row r="265" spans="1:12">
      <c r="A265" t="s">
        <v>11</v>
      </c>
      <c r="B265">
        <v>261</v>
      </c>
      <c r="E265">
        <v>323</v>
      </c>
      <c r="F265" t="s">
        <v>1862</v>
      </c>
      <c r="G265" s="9" t="s">
        <v>1620</v>
      </c>
      <c r="H265" s="9" t="str">
        <f t="shared" si="26"/>
        <v>fig-18to64-anyop-od-crude</v>
      </c>
      <c r="I265" t="s">
        <v>626</v>
      </c>
      <c r="K265" t="s">
        <v>428</v>
      </c>
      <c r="L265" t="s">
        <v>421</v>
      </c>
    </row>
    <row r="266" spans="1:12">
      <c r="A266" t="s">
        <v>11</v>
      </c>
      <c r="B266">
        <v>262</v>
      </c>
      <c r="E266">
        <v>324</v>
      </c>
      <c r="F266" t="s">
        <v>1863</v>
      </c>
      <c r="G266" s="9" t="s">
        <v>1621</v>
      </c>
      <c r="H266" s="9" t="str">
        <f t="shared" si="26"/>
        <v>fig-18to64-heroin-od-crude</v>
      </c>
      <c r="I266" t="s">
        <v>626</v>
      </c>
      <c r="K266" t="s">
        <v>428</v>
      </c>
      <c r="L266" t="s">
        <v>421</v>
      </c>
    </row>
    <row r="267" spans="1:12">
      <c r="A267" t="s">
        <v>11</v>
      </c>
      <c r="B267">
        <v>263</v>
      </c>
      <c r="E267">
        <v>325</v>
      </c>
      <c r="F267" s="50" t="s">
        <v>1900</v>
      </c>
      <c r="G267" s="9" t="s">
        <v>1622</v>
      </c>
      <c r="H267" s="9" t="str">
        <f t="shared" si="26"/>
        <v>fig-18to64-opioid-pain-crude</v>
      </c>
      <c r="I267" t="s">
        <v>626</v>
      </c>
      <c r="K267" t="s">
        <v>428</v>
      </c>
      <c r="L267" t="s">
        <v>421</v>
      </c>
    </row>
    <row r="268" spans="1:12">
      <c r="A268" t="s">
        <v>11</v>
      </c>
      <c r="B268">
        <v>264</v>
      </c>
      <c r="E268">
        <v>326</v>
      </c>
      <c r="F268" t="s">
        <v>637</v>
      </c>
      <c r="G268" s="9" t="s">
        <v>1601</v>
      </c>
      <c r="H268" s="9" t="str">
        <f t="shared" si="26"/>
        <v>fig-opioid-analgesic-rx-aar</v>
      </c>
      <c r="I268" t="s">
        <v>626</v>
      </c>
      <c r="K268" t="s">
        <v>638</v>
      </c>
      <c r="L268" t="s">
        <v>421</v>
      </c>
    </row>
    <row r="269" spans="1:12">
      <c r="A269" t="s">
        <v>11</v>
      </c>
      <c r="B269">
        <v>265</v>
      </c>
      <c r="E269">
        <v>327</v>
      </c>
      <c r="F269" t="s">
        <v>639</v>
      </c>
      <c r="G269" s="9" t="s">
        <v>1599</v>
      </c>
      <c r="H269" s="9" t="str">
        <f t="shared" si="26"/>
        <v>fig-at-least-1-bup-aar</v>
      </c>
      <c r="I269" t="s">
        <v>626</v>
      </c>
      <c r="K269" t="s">
        <v>638</v>
      </c>
      <c r="L269" t="s">
        <v>421</v>
      </c>
    </row>
    <row r="270" spans="1:12">
      <c r="A270" t="s">
        <v>11</v>
      </c>
      <c r="B270">
        <v>266</v>
      </c>
      <c r="E270">
        <v>328</v>
      </c>
      <c r="F270" t="s">
        <v>472</v>
      </c>
      <c r="G270" s="9"/>
      <c r="H270" s="9"/>
      <c r="I270" t="s">
        <v>626</v>
      </c>
      <c r="L270" t="s">
        <v>421</v>
      </c>
    </row>
    <row r="271" spans="1:12">
      <c r="A271" t="s">
        <v>11</v>
      </c>
      <c r="B271">
        <v>267</v>
      </c>
      <c r="E271">
        <v>329</v>
      </c>
      <c r="F271" t="s">
        <v>1909</v>
      </c>
      <c r="G271" s="9" t="s">
        <v>1598</v>
      </c>
      <c r="H271" s="9" t="str">
        <f>IF(LEFT(G271,4)="tbl-","fig-" &amp; MID(G271,5,LEN(G271)-4),"")</f>
        <v>fig-15to19-suicide-mortal-crude</v>
      </c>
      <c r="I271" t="s">
        <v>172</v>
      </c>
      <c r="K271" t="s">
        <v>428</v>
      </c>
      <c r="L271" t="s">
        <v>421</v>
      </c>
    </row>
    <row r="272" spans="1:12">
      <c r="A272" t="s">
        <v>11</v>
      </c>
      <c r="B272">
        <v>268</v>
      </c>
      <c r="E272">
        <v>330</v>
      </c>
      <c r="F272" t="s">
        <v>640</v>
      </c>
      <c r="G272" s="9" t="s">
        <v>1597</v>
      </c>
      <c r="H272" s="9" t="str">
        <f>IF(LEFT(G272,4)="tbl-","fig-" &amp; MID(G272,5,LEN(G272)-4),"")</f>
        <v>fig-suicide-mortal-aar</v>
      </c>
      <c r="I272" t="s">
        <v>172</v>
      </c>
      <c r="K272" t="s">
        <v>428</v>
      </c>
      <c r="L272" t="s">
        <v>421</v>
      </c>
    </row>
    <row r="273" spans="1:12">
      <c r="A273" t="s">
        <v>11</v>
      </c>
      <c r="B273">
        <v>269</v>
      </c>
      <c r="E273">
        <v>331</v>
      </c>
      <c r="F273" t="s">
        <v>641</v>
      </c>
      <c r="G273" s="9" t="s">
        <v>1596</v>
      </c>
      <c r="H273" s="9" t="str">
        <f>IF(LEFT(G273,4)="tbl-","fig-" &amp; MID(G273,5,LEN(G273)-4),"")</f>
        <v>fig-0to4-hosp-asthma-gastor-om-pnu-rate</v>
      </c>
      <c r="I273" t="s">
        <v>172</v>
      </c>
      <c r="K273" t="s">
        <v>456</v>
      </c>
      <c r="L273" t="s">
        <v>449</v>
      </c>
    </row>
    <row r="274" spans="1:12">
      <c r="A274" t="s">
        <v>11</v>
      </c>
      <c r="B274">
        <v>270</v>
      </c>
      <c r="E274">
        <v>332</v>
      </c>
      <c r="F274" t="s">
        <v>642</v>
      </c>
      <c r="G274" s="9"/>
      <c r="H274" s="9"/>
      <c r="I274" t="s">
        <v>172</v>
      </c>
      <c r="K274" t="s">
        <v>456</v>
      </c>
      <c r="L274" t="s">
        <v>449</v>
      </c>
    </row>
    <row r="275" spans="1:12">
      <c r="A275" t="s">
        <v>11</v>
      </c>
      <c r="B275">
        <v>271</v>
      </c>
      <c r="E275">
        <v>333</v>
      </c>
      <c r="F275" t="s">
        <v>642</v>
      </c>
      <c r="G275" s="9"/>
      <c r="H275" s="9"/>
      <c r="I275" t="s">
        <v>643</v>
      </c>
      <c r="K275" t="s">
        <v>175</v>
      </c>
      <c r="L275" t="s">
        <v>449</v>
      </c>
    </row>
    <row r="276" spans="1:12">
      <c r="A276" t="s">
        <v>11</v>
      </c>
      <c r="B276">
        <v>272</v>
      </c>
      <c r="E276">
        <v>334</v>
      </c>
      <c r="F276" t="s">
        <v>644</v>
      </c>
      <c r="G276" s="9" t="s">
        <v>1595</v>
      </c>
      <c r="H276" s="9" t="str">
        <f>IF(LEFT(G276,4)="tbl-","fig-" &amp; MID(G276,5,LEN(G276)-4),"")</f>
        <v>fig-unint-injury-mortal-aar</v>
      </c>
      <c r="I276" t="s">
        <v>643</v>
      </c>
      <c r="K276" t="s">
        <v>428</v>
      </c>
      <c r="L276" t="s">
        <v>537</v>
      </c>
    </row>
    <row r="277" spans="1:12">
      <c r="A277" t="s">
        <v>11</v>
      </c>
      <c r="B277">
        <v>273</v>
      </c>
      <c r="E277" t="s">
        <v>504</v>
      </c>
      <c r="F277" t="s">
        <v>1924</v>
      </c>
      <c r="G277" s="9" t="s">
        <v>1590</v>
      </c>
      <c r="H277" s="9" t="str">
        <f>IF(LEFT(G277,4)="tbl-","fig-" &amp; MID(G277,5,LEN(G277)-4),"")</f>
        <v>fig-poison-control-calls</v>
      </c>
      <c r="I277" t="s">
        <v>646</v>
      </c>
      <c r="L277" t="s">
        <v>537</v>
      </c>
    </row>
    <row r="278" spans="1:12">
      <c r="A278" t="s">
        <v>11</v>
      </c>
      <c r="B278">
        <v>274</v>
      </c>
      <c r="E278" t="s">
        <v>504</v>
      </c>
      <c r="F278" t="s">
        <v>647</v>
      </c>
      <c r="G278" s="9" t="s">
        <v>1589</v>
      </c>
      <c r="H278" s="9" t="str">
        <f>IF(LEFT(G278,4)="tbl-","fig-" &amp; MID(G278,5,LEN(G278)-4),"")</f>
        <v>fig-poison-control-cannabis</v>
      </c>
      <c r="I278" t="s">
        <v>646</v>
      </c>
      <c r="L278" t="s">
        <v>537</v>
      </c>
    </row>
    <row r="279" spans="1:12">
      <c r="A279" t="s">
        <v>11</v>
      </c>
      <c r="B279">
        <v>275</v>
      </c>
      <c r="E279">
        <v>335</v>
      </c>
      <c r="F279" t="s">
        <v>1925</v>
      </c>
      <c r="G279" s="9" t="s">
        <v>1584</v>
      </c>
      <c r="H279" s="9" t="str">
        <f>IF(LEFT(G279,4)="tbl-","fig-" &amp; MID(G279,5,LEN(G279)-4),"")</f>
        <v>fig-child-under5-poison-control</v>
      </c>
      <c r="I279" t="s">
        <v>649</v>
      </c>
      <c r="L279" t="s">
        <v>537</v>
      </c>
    </row>
    <row r="280" spans="1:12">
      <c r="A280" t="s">
        <v>11</v>
      </c>
      <c r="B280">
        <v>276</v>
      </c>
      <c r="E280">
        <v>336</v>
      </c>
      <c r="F280" t="s">
        <v>644</v>
      </c>
      <c r="G280" s="9"/>
      <c r="H280" s="9" t="str">
        <f t="shared" ref="H280:H282" si="27">IF(LEFT(G280,4)="tbl-","fig-" &amp; MID(G280,5,LEN(G280)-4),"")</f>
        <v/>
      </c>
      <c r="I280" t="s">
        <v>643</v>
      </c>
      <c r="K280" t="s">
        <v>428</v>
      </c>
      <c r="L280" t="s">
        <v>537</v>
      </c>
    </row>
    <row r="281" spans="1:12">
      <c r="A281" t="s">
        <v>11</v>
      </c>
      <c r="B281">
        <v>277</v>
      </c>
      <c r="E281">
        <v>337</v>
      </c>
      <c r="F281" t="s">
        <v>650</v>
      </c>
      <c r="G281" s="9" t="s">
        <v>1588</v>
      </c>
      <c r="H281" s="9" t="str">
        <f t="shared" si="27"/>
        <v>fig-mva-alcohol-injury-death-crude</v>
      </c>
    </row>
    <row r="282" spans="1:12">
      <c r="A282" t="s">
        <v>11</v>
      </c>
      <c r="B282">
        <v>278</v>
      </c>
      <c r="E282">
        <v>338</v>
      </c>
      <c r="F282" t="s">
        <v>651</v>
      </c>
      <c r="G282" s="9" t="s">
        <v>1587</v>
      </c>
      <c r="H282" s="9" t="str">
        <f t="shared" si="27"/>
        <v>fig-mva-mortal-rate</v>
      </c>
      <c r="I282" t="s">
        <v>643</v>
      </c>
      <c r="K282" t="s">
        <v>428</v>
      </c>
      <c r="L282" t="s">
        <v>537</v>
      </c>
    </row>
    <row r="283" spans="1:12">
      <c r="A283" t="s">
        <v>11</v>
      </c>
      <c r="B283">
        <v>279</v>
      </c>
      <c r="E283" t="s">
        <v>504</v>
      </c>
      <c r="F283" t="s">
        <v>652</v>
      </c>
      <c r="G283" s="9" t="s">
        <v>1591</v>
      </c>
      <c r="H283" s="9" t="str">
        <f>IF(LEFT(G283,4)="tbl-","fig-" &amp; MID(G283,5,LEN(G283)-4),"")</f>
        <v>fig-mva-mortal-rande-aar</v>
      </c>
      <c r="L283" t="s">
        <v>537</v>
      </c>
    </row>
    <row r="284" spans="1:12">
      <c r="A284" t="s">
        <v>11</v>
      </c>
      <c r="B284">
        <v>280</v>
      </c>
      <c r="E284">
        <v>339</v>
      </c>
      <c r="F284" t="s">
        <v>653</v>
      </c>
      <c r="G284" s="9" t="s">
        <v>1927</v>
      </c>
      <c r="H284" s="9" t="str">
        <f>IF(LEFT(G284,4)="tbl-","fig-" &amp; MID(G284,5,LEN(G284)-4),"")</f>
        <v>fig-falls-hospital-aar</v>
      </c>
    </row>
    <row r="285" spans="1:12">
      <c r="A285" t="s">
        <v>11</v>
      </c>
      <c r="B285">
        <v>281</v>
      </c>
      <c r="F285" t="s">
        <v>472</v>
      </c>
      <c r="G285" s="9"/>
      <c r="H285" s="9"/>
      <c r="I285" t="s">
        <v>643</v>
      </c>
      <c r="K285" t="s">
        <v>456</v>
      </c>
      <c r="L285" t="s">
        <v>537</v>
      </c>
    </row>
    <row r="286" spans="1:12">
      <c r="A286" t="s">
        <v>11</v>
      </c>
      <c r="B286">
        <v>282</v>
      </c>
      <c r="E286">
        <v>340</v>
      </c>
      <c r="F286" t="s">
        <v>654</v>
      </c>
      <c r="G286" s="9" t="s">
        <v>1592</v>
      </c>
      <c r="H286" s="9" t="str">
        <f t="shared" ref="H286:H287" si="28">IF(LEFT(G286,4)="tbl-","fig-" &amp; MID(G286,5,LEN(G286)-4),"")</f>
        <v>fig-85+-falls-hospital</v>
      </c>
      <c r="I286" t="s">
        <v>643</v>
      </c>
      <c r="K286" t="s">
        <v>655</v>
      </c>
      <c r="L286" t="s">
        <v>537</v>
      </c>
    </row>
    <row r="287" spans="1:12" ht="15.75">
      <c r="A287" t="s">
        <v>11</v>
      </c>
      <c r="B287">
        <v>283</v>
      </c>
      <c r="E287">
        <v>341</v>
      </c>
      <c r="F287" t="s">
        <v>656</v>
      </c>
      <c r="G287" s="92" t="s">
        <v>1928</v>
      </c>
      <c r="H287" s="9" t="str">
        <f t="shared" si="28"/>
        <v>fig-65+-falls-hospital-rande-rate</v>
      </c>
      <c r="I287" t="s">
        <v>102</v>
      </c>
      <c r="K287" t="s">
        <v>456</v>
      </c>
      <c r="L287" t="s">
        <v>537</v>
      </c>
    </row>
    <row r="288" spans="1:12">
      <c r="A288" t="s">
        <v>11</v>
      </c>
      <c r="B288">
        <v>284</v>
      </c>
      <c r="E288" t="s">
        <v>657</v>
      </c>
      <c r="F288" t="s">
        <v>472</v>
      </c>
      <c r="G288" s="9"/>
      <c r="H288" s="9"/>
    </row>
    <row r="289" spans="1:12">
      <c r="A289" t="s">
        <v>11</v>
      </c>
      <c r="B289">
        <v>285</v>
      </c>
      <c r="E289" t="s">
        <v>658</v>
      </c>
      <c r="F289" t="s">
        <v>472</v>
      </c>
      <c r="G289" s="9"/>
      <c r="H289" s="9"/>
    </row>
    <row r="290" spans="1:12">
      <c r="A290" t="s">
        <v>11</v>
      </c>
      <c r="B290">
        <v>286</v>
      </c>
      <c r="E290" t="s">
        <v>659</v>
      </c>
      <c r="F290" t="s">
        <v>472</v>
      </c>
      <c r="G290" s="9"/>
      <c r="H290" s="9"/>
    </row>
    <row r="291" spans="1:12">
      <c r="A291" t="s">
        <v>11</v>
      </c>
      <c r="B291">
        <v>287</v>
      </c>
      <c r="E291">
        <v>345</v>
      </c>
      <c r="F291" t="s">
        <v>660</v>
      </c>
      <c r="G291" t="s">
        <v>1593</v>
      </c>
      <c r="H291" s="9" t="str">
        <f t="shared" ref="H291:H294" si="29">IF(LEFT(G291,4)="tbl-","fig-" &amp; MID(G291,5,LEN(G291)-4),"")</f>
        <v>fig-mortal-homicide-aar</v>
      </c>
    </row>
    <row r="292" spans="1:12">
      <c r="A292" t="s">
        <v>11</v>
      </c>
      <c r="B292">
        <v>288</v>
      </c>
      <c r="E292">
        <v>346</v>
      </c>
      <c r="F292" t="s">
        <v>661</v>
      </c>
      <c r="G292" t="s">
        <v>1524</v>
      </c>
      <c r="H292" s="9" t="str">
        <f t="shared" si="29"/>
        <v>fig-assault-hospital-aar</v>
      </c>
      <c r="I292" t="s">
        <v>172</v>
      </c>
      <c r="K292" t="s">
        <v>456</v>
      </c>
      <c r="L292" t="s">
        <v>537</v>
      </c>
    </row>
    <row r="293" spans="1:12">
      <c r="A293" t="s">
        <v>11</v>
      </c>
      <c r="B293">
        <v>289</v>
      </c>
      <c r="E293">
        <v>347</v>
      </c>
      <c r="F293" t="s">
        <v>662</v>
      </c>
      <c r="G293" t="s">
        <v>1594</v>
      </c>
      <c r="H293" s="9" t="str">
        <f t="shared" si="29"/>
        <v>fig-dv-victim-rate</v>
      </c>
      <c r="I293" t="s">
        <v>190</v>
      </c>
      <c r="K293" t="s">
        <v>663</v>
      </c>
      <c r="L293" t="s">
        <v>537</v>
      </c>
    </row>
    <row r="294" spans="1:12">
      <c r="F294" t="s">
        <v>1655</v>
      </c>
      <c r="G294" s="9" t="s">
        <v>1656</v>
      </c>
      <c r="H294" s="9" t="str">
        <f t="shared" si="29"/>
        <v>fig-dc-pav</v>
      </c>
    </row>
    <row r="295" spans="1:12">
      <c r="F295" t="s">
        <v>1661</v>
      </c>
      <c r="G295" s="9" t="s">
        <v>1662</v>
      </c>
      <c r="H295" s="9" t="str">
        <f t="shared" ref="H295:H306" si="30">IF(LEFT(G295,4)="tbl-","fig-" &amp; MID(G295,5,LEN(G295)-4),"")</f>
        <v>fig-rccha-demo</v>
      </c>
    </row>
    <row r="296" spans="1:12">
      <c r="F296" t="s">
        <v>1718</v>
      </c>
      <c r="G296" s="9" t="s">
        <v>1719</v>
      </c>
      <c r="H296" s="9" t="str">
        <f t="shared" si="30"/>
        <v>fig-resp-zip</v>
      </c>
    </row>
    <row r="297" spans="1:12">
      <c r="F297" t="s">
        <v>1721</v>
      </c>
      <c r="G297" s="9" t="s">
        <v>1722</v>
      </c>
      <c r="H297" s="9" t="str">
        <f t="shared" si="30"/>
        <v>fig-resp-qol-rc</v>
      </c>
    </row>
    <row r="298" spans="1:12">
      <c r="F298" t="s">
        <v>1724</v>
      </c>
      <c r="G298" s="9" t="s">
        <v>1723</v>
      </c>
      <c r="H298" s="9" t="str">
        <f t="shared" si="30"/>
        <v>fig-t3-pos-rc</v>
      </c>
    </row>
    <row r="299" spans="1:12">
      <c r="F299" t="s">
        <v>1742</v>
      </c>
      <c r="G299" s="9" t="s">
        <v>1743</v>
      </c>
      <c r="H299" s="9" t="str">
        <f t="shared" si="30"/>
        <v>fig-top-need-improve</v>
      </c>
    </row>
    <row r="300" spans="1:12">
      <c r="F300" t="s">
        <v>1762</v>
      </c>
      <c r="G300" s="9" t="s">
        <v>1763</v>
      </c>
      <c r="H300" s="9" t="str">
        <f t="shared" si="30"/>
        <v>fig-econ-need-improve</v>
      </c>
    </row>
    <row r="301" spans="1:12">
      <c r="F301" t="s">
        <v>1764</v>
      </c>
      <c r="G301" s="9" t="s">
        <v>1765</v>
      </c>
      <c r="H301" s="9" t="str">
        <f t="shared" si="30"/>
        <v>fig-safe-health-need-improve</v>
      </c>
    </row>
    <row r="302" spans="1:12">
      <c r="F302" t="s">
        <v>1786</v>
      </c>
      <c r="G302" s="9" t="s">
        <v>1787</v>
      </c>
      <c r="H302" s="9" t="str">
        <f t="shared" si="30"/>
        <v>fig-educat-need-improv</v>
      </c>
    </row>
    <row r="303" spans="1:12">
      <c r="F303" t="s">
        <v>72</v>
      </c>
      <c r="G303" s="9" t="s">
        <v>1821</v>
      </c>
      <c r="H303" s="9" t="str">
        <f t="shared" si="30"/>
        <v>fig-childhood-food-insecurity</v>
      </c>
    </row>
    <row r="304" spans="1:12" ht="15.75">
      <c r="F304" t="s">
        <v>1864</v>
      </c>
      <c r="G304" s="86" t="s">
        <v>1606</v>
      </c>
      <c r="H304" s="9" t="str">
        <f t="shared" si="30"/>
        <v>fig-adult-poormh-14ormore-percent</v>
      </c>
    </row>
    <row r="305" spans="6:8">
      <c r="F305" t="s">
        <v>1920</v>
      </c>
      <c r="G305" s="9" t="s">
        <v>1921</v>
      </c>
      <c r="H305" s="9" t="str">
        <f t="shared" si="30"/>
        <v>fig-agop-hosp-0-4</v>
      </c>
    </row>
    <row r="306" spans="6:8">
      <c r="F306" s="87" t="s">
        <v>1925</v>
      </c>
      <c r="G306" s="9" t="s">
        <v>1926</v>
      </c>
      <c r="H306" s="9" t="str">
        <f t="shared" si="30"/>
        <v>fig-poison-cc-5yo</v>
      </c>
    </row>
    <row r="307" spans="6:8">
      <c r="F307" s="87"/>
      <c r="G307" s="9"/>
      <c r="H307" s="9"/>
    </row>
    <row r="308" spans="6:8" ht="15.75">
      <c r="F308" s="93" t="s">
        <v>1946</v>
      </c>
      <c r="G308" s="9" t="s">
        <v>1427</v>
      </c>
      <c r="H308" s="94" t="s">
        <v>1947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defaultColWidth="8.7109375" defaultRowHeight="15"/>
  <cols>
    <col min="2" max="2" width="16.140625" customWidth="1"/>
    <col min="3" max="3" width="6.28515625" customWidth="1"/>
    <col min="4" max="5" width="16.140625" customWidth="1"/>
    <col min="6" max="6" width="134.7109375" bestFit="1" customWidth="1"/>
    <col min="7" max="7" width="16.140625" customWidth="1"/>
    <col min="8" max="8" width="255.7109375" bestFit="1" customWidth="1"/>
  </cols>
  <sheetData>
    <row r="1" spans="1:8">
      <c r="A1" t="s">
        <v>664</v>
      </c>
      <c r="B1" s="55" t="s">
        <v>665</v>
      </c>
      <c r="C1" s="2"/>
      <c r="D1" s="2" t="s">
        <v>666</v>
      </c>
      <c r="E1" s="2" t="s">
        <v>667</v>
      </c>
      <c r="F1" s="2" t="s">
        <v>668</v>
      </c>
      <c r="G1" s="2" t="s">
        <v>669</v>
      </c>
      <c r="H1" s="2" t="s">
        <v>670</v>
      </c>
    </row>
    <row r="2" spans="1:8">
      <c r="A2" t="s">
        <v>671</v>
      </c>
      <c r="B2" t="s">
        <v>672</v>
      </c>
      <c r="C2" t="s">
        <v>673</v>
      </c>
      <c r="D2" t="s">
        <v>674</v>
      </c>
      <c r="E2" s="3" t="s">
        <v>675</v>
      </c>
      <c r="F2" s="4" t="s">
        <v>676</v>
      </c>
      <c r="G2" s="5" t="s">
        <v>677</v>
      </c>
      <c r="H2" s="6" t="s">
        <v>678</v>
      </c>
    </row>
    <row r="3" spans="1:8">
      <c r="A3" t="s">
        <v>679</v>
      </c>
      <c r="B3" t="s">
        <v>680</v>
      </c>
      <c r="C3" t="s">
        <v>673</v>
      </c>
      <c r="D3" t="s">
        <v>681</v>
      </c>
      <c r="E3" s="7" t="s">
        <v>682</v>
      </c>
      <c r="F3" s="4" t="s">
        <v>683</v>
      </c>
      <c r="G3" s="5" t="s">
        <v>684</v>
      </c>
      <c r="H3" s="6" t="s">
        <v>685</v>
      </c>
    </row>
    <row r="4" spans="1:8">
      <c r="A4" t="s">
        <v>686</v>
      </c>
      <c r="B4" t="s">
        <v>687</v>
      </c>
      <c r="C4" t="s">
        <v>673</v>
      </c>
      <c r="D4" t="s">
        <v>688</v>
      </c>
      <c r="E4" s="7" t="s">
        <v>689</v>
      </c>
      <c r="F4" s="4" t="s">
        <v>690</v>
      </c>
      <c r="G4" s="5" t="s">
        <v>691</v>
      </c>
      <c r="H4" s="6" t="s">
        <v>692</v>
      </c>
    </row>
    <row r="5" spans="1:8">
      <c r="A5" t="s">
        <v>693</v>
      </c>
      <c r="B5" t="s">
        <v>694</v>
      </c>
      <c r="C5" t="s">
        <v>673</v>
      </c>
      <c r="D5" t="s">
        <v>695</v>
      </c>
      <c r="E5" s="7" t="s">
        <v>696</v>
      </c>
      <c r="F5" s="4" t="s">
        <v>697</v>
      </c>
      <c r="G5" s="5" t="s">
        <v>698</v>
      </c>
      <c r="H5" s="6" t="s">
        <v>699</v>
      </c>
    </row>
    <row r="6" spans="1:8">
      <c r="A6" t="s">
        <v>700</v>
      </c>
      <c r="B6" t="s">
        <v>701</v>
      </c>
      <c r="C6" t="s">
        <v>673</v>
      </c>
      <c r="D6" t="s">
        <v>702</v>
      </c>
      <c r="E6" s="7" t="s">
        <v>703</v>
      </c>
      <c r="F6" s="4" t="s">
        <v>704</v>
      </c>
      <c r="G6" s="5" t="s">
        <v>705</v>
      </c>
      <c r="H6" s="6" t="s">
        <v>706</v>
      </c>
    </row>
    <row r="7" spans="1:8">
      <c r="A7" t="s">
        <v>707</v>
      </c>
      <c r="B7" t="s">
        <v>708</v>
      </c>
      <c r="C7" t="s">
        <v>673</v>
      </c>
      <c r="D7" t="s">
        <v>709</v>
      </c>
      <c r="E7" s="7" t="s">
        <v>710</v>
      </c>
      <c r="F7" s="4" t="s">
        <v>711</v>
      </c>
      <c r="G7" s="5" t="s">
        <v>712</v>
      </c>
      <c r="H7" s="6" t="s">
        <v>713</v>
      </c>
    </row>
    <row r="8" spans="1:8">
      <c r="A8" t="s">
        <v>714</v>
      </c>
      <c r="B8" t="s">
        <v>715</v>
      </c>
      <c r="C8" t="s">
        <v>673</v>
      </c>
      <c r="D8" t="s">
        <v>716</v>
      </c>
      <c r="E8" s="7" t="s">
        <v>717</v>
      </c>
      <c r="F8" s="4" t="s">
        <v>718</v>
      </c>
      <c r="G8" s="5" t="s">
        <v>719</v>
      </c>
      <c r="H8" s="6" t="s">
        <v>720</v>
      </c>
    </row>
    <row r="9" spans="1:8">
      <c r="B9" t="s">
        <v>721</v>
      </c>
      <c r="C9" t="s">
        <v>722</v>
      </c>
      <c r="D9" t="s">
        <v>723</v>
      </c>
      <c r="E9" s="7" t="s">
        <v>724</v>
      </c>
      <c r="F9" s="4" t="s">
        <v>725</v>
      </c>
      <c r="G9" s="5" t="s">
        <v>726</v>
      </c>
      <c r="H9" s="6" t="s">
        <v>727</v>
      </c>
    </row>
    <row r="10" spans="1:8">
      <c r="C10" s="8" t="s">
        <v>728</v>
      </c>
      <c r="D10" s="6" t="s">
        <v>729</v>
      </c>
      <c r="E10" s="7" t="s">
        <v>730</v>
      </c>
      <c r="F10" s="4" t="s">
        <v>731</v>
      </c>
      <c r="G10" s="5" t="s">
        <v>732</v>
      </c>
      <c r="H10" s="6" t="s">
        <v>733</v>
      </c>
    </row>
    <row r="11" spans="1:8">
      <c r="C11" s="8" t="s">
        <v>728</v>
      </c>
      <c r="D11" s="6" t="s">
        <v>734</v>
      </c>
      <c r="E11" s="7" t="s">
        <v>735</v>
      </c>
      <c r="F11" s="4" t="s">
        <v>736</v>
      </c>
      <c r="G11" s="5" t="s">
        <v>737</v>
      </c>
      <c r="H11" s="6" t="s">
        <v>738</v>
      </c>
    </row>
    <row r="12" spans="1:8">
      <c r="C12" s="8" t="s">
        <v>728</v>
      </c>
      <c r="D12" s="6" t="s">
        <v>739</v>
      </c>
      <c r="E12" s="7" t="s">
        <v>740</v>
      </c>
      <c r="F12" s="4" t="s">
        <v>741</v>
      </c>
      <c r="G12" s="5" t="s">
        <v>742</v>
      </c>
      <c r="H12" s="6" t="s">
        <v>743</v>
      </c>
    </row>
    <row r="13" spans="1:8">
      <c r="C13" s="8" t="s">
        <v>728</v>
      </c>
      <c r="D13" s="6" t="s">
        <v>744</v>
      </c>
      <c r="E13" s="7" t="s">
        <v>745</v>
      </c>
      <c r="F13" s="4" t="s">
        <v>746</v>
      </c>
      <c r="G13" s="5" t="s">
        <v>747</v>
      </c>
      <c r="H13" s="6" t="s">
        <v>748</v>
      </c>
    </row>
    <row r="14" spans="1:8">
      <c r="C14" s="8" t="s">
        <v>728</v>
      </c>
      <c r="D14" s="6" t="s">
        <v>749</v>
      </c>
      <c r="E14" s="3" t="s">
        <v>750</v>
      </c>
      <c r="F14" s="4" t="s">
        <v>751</v>
      </c>
      <c r="G14" s="5" t="s">
        <v>752</v>
      </c>
      <c r="H14" s="6" t="s">
        <v>753</v>
      </c>
    </row>
    <row r="15" spans="1:8">
      <c r="C15" t="s">
        <v>754</v>
      </c>
      <c r="D15" t="s">
        <v>755</v>
      </c>
      <c r="E15" s="3" t="s">
        <v>756</v>
      </c>
      <c r="F15" s="4" t="s">
        <v>757</v>
      </c>
      <c r="G15" s="5" t="s">
        <v>758</v>
      </c>
      <c r="H15" s="6" t="s">
        <v>759</v>
      </c>
    </row>
    <row r="16" spans="1:8">
      <c r="C16" t="s">
        <v>754</v>
      </c>
      <c r="D16" t="s">
        <v>760</v>
      </c>
      <c r="E16" s="3" t="s">
        <v>761</v>
      </c>
      <c r="F16" s="4" t="s">
        <v>762</v>
      </c>
      <c r="G16" s="5" t="s">
        <v>763</v>
      </c>
      <c r="H16" s="6" t="s">
        <v>764</v>
      </c>
    </row>
    <row r="17" spans="3:8">
      <c r="C17" t="s">
        <v>754</v>
      </c>
      <c r="D17" s="9" t="s">
        <v>765</v>
      </c>
      <c r="E17" s="3" t="s">
        <v>766</v>
      </c>
      <c r="F17" s="4" t="s">
        <v>767</v>
      </c>
      <c r="G17" s="5" t="s">
        <v>768</v>
      </c>
      <c r="H17" s="6" t="s">
        <v>769</v>
      </c>
    </row>
    <row r="18" spans="3:8">
      <c r="C18" t="s">
        <v>754</v>
      </c>
      <c r="D18" t="s">
        <v>770</v>
      </c>
      <c r="E18" s="7" t="s">
        <v>771</v>
      </c>
      <c r="F18" s="4" t="s">
        <v>772</v>
      </c>
      <c r="G18" s="5" t="s">
        <v>773</v>
      </c>
      <c r="H18" s="6" t="s">
        <v>774</v>
      </c>
    </row>
    <row r="19" spans="3:8">
      <c r="C19" t="s">
        <v>754</v>
      </c>
      <c r="D19" t="s">
        <v>775</v>
      </c>
      <c r="E19" s="3" t="s">
        <v>776</v>
      </c>
      <c r="F19" s="4" t="s">
        <v>777</v>
      </c>
      <c r="G19" s="5" t="s">
        <v>778</v>
      </c>
      <c r="H19" s="6" t="s">
        <v>779</v>
      </c>
    </row>
    <row r="20" spans="3:8">
      <c r="C20" s="2"/>
      <c r="D20" s="2"/>
      <c r="E20" s="7" t="s">
        <v>780</v>
      </c>
      <c r="F20" s="4" t="s">
        <v>781</v>
      </c>
      <c r="G20" s="5" t="s">
        <v>782</v>
      </c>
      <c r="H20" s="6" t="s">
        <v>783</v>
      </c>
    </row>
    <row r="21" spans="3:8">
      <c r="C21" s="2"/>
      <c r="D21" s="2"/>
      <c r="E21" s="7" t="s">
        <v>784</v>
      </c>
      <c r="F21" s="4" t="s">
        <v>785</v>
      </c>
      <c r="G21" s="5" t="s">
        <v>786</v>
      </c>
      <c r="H21" s="6" t="s">
        <v>787</v>
      </c>
    </row>
    <row r="22" spans="3:8">
      <c r="C22" s="2"/>
      <c r="D22" s="2"/>
      <c r="E22" s="7" t="s">
        <v>788</v>
      </c>
      <c r="F22" s="4" t="s">
        <v>789</v>
      </c>
      <c r="G22" s="5" t="s">
        <v>790</v>
      </c>
      <c r="H22" s="6" t="s">
        <v>791</v>
      </c>
    </row>
    <row r="23" spans="3:8">
      <c r="C23" s="2"/>
      <c r="D23" s="2"/>
      <c r="E23" s="7" t="s">
        <v>792</v>
      </c>
      <c r="F23" s="4" t="s">
        <v>793</v>
      </c>
      <c r="G23" s="5" t="s">
        <v>794</v>
      </c>
      <c r="H23" s="6" t="s">
        <v>795</v>
      </c>
    </row>
    <row r="24" spans="3:8">
      <c r="C24" s="2"/>
      <c r="D24" s="2"/>
      <c r="E24" s="7" t="s">
        <v>796</v>
      </c>
      <c r="F24" s="4" t="s">
        <v>797</v>
      </c>
      <c r="G24" s="5" t="s">
        <v>798</v>
      </c>
      <c r="H24" s="6" t="s">
        <v>799</v>
      </c>
    </row>
    <row r="25" spans="3:8">
      <c r="C25" s="2"/>
      <c r="D25" s="2"/>
      <c r="E25" s="7" t="s">
        <v>800</v>
      </c>
      <c r="F25" s="4" t="s">
        <v>801</v>
      </c>
      <c r="G25" s="5" t="s">
        <v>802</v>
      </c>
      <c r="H25" s="6" t="s">
        <v>803</v>
      </c>
    </row>
    <row r="26" spans="3:8">
      <c r="C26" s="2"/>
      <c r="D26" s="2"/>
      <c r="E26" s="7" t="s">
        <v>804</v>
      </c>
      <c r="F26" s="4" t="s">
        <v>805</v>
      </c>
      <c r="G26" s="5" t="s">
        <v>806</v>
      </c>
      <c r="H26" s="10" t="s">
        <v>807</v>
      </c>
    </row>
    <row r="27" spans="3:8">
      <c r="C27" s="2"/>
      <c r="D27" s="2"/>
      <c r="E27" s="7" t="s">
        <v>808</v>
      </c>
      <c r="F27" s="4" t="s">
        <v>809</v>
      </c>
      <c r="G27" s="5" t="s">
        <v>810</v>
      </c>
      <c r="H27" s="6" t="s">
        <v>811</v>
      </c>
    </row>
    <row r="28" spans="3:8">
      <c r="C28" s="2"/>
      <c r="D28" s="2"/>
      <c r="E28" s="7" t="s">
        <v>812</v>
      </c>
      <c r="F28" s="4" t="s">
        <v>813</v>
      </c>
      <c r="G28" s="5" t="s">
        <v>814</v>
      </c>
      <c r="H28" s="6" t="s">
        <v>815</v>
      </c>
    </row>
    <row r="29" spans="3:8">
      <c r="C29" s="2"/>
      <c r="D29" s="2"/>
      <c r="E29" s="2"/>
      <c r="F29" s="4" t="s">
        <v>816</v>
      </c>
      <c r="G29" s="5" t="s">
        <v>817</v>
      </c>
      <c r="H29" s="6" t="s">
        <v>818</v>
      </c>
    </row>
    <row r="30" spans="3:8">
      <c r="C30" s="2"/>
      <c r="D30" s="2"/>
      <c r="E30" s="2"/>
      <c r="F30" s="4" t="s">
        <v>819</v>
      </c>
      <c r="G30" s="5" t="s">
        <v>820</v>
      </c>
      <c r="H30" s="6" t="s">
        <v>821</v>
      </c>
    </row>
    <row r="31" spans="3:8">
      <c r="C31" s="2"/>
      <c r="D31" s="2"/>
      <c r="E31" s="2"/>
      <c r="F31" s="4" t="s">
        <v>822</v>
      </c>
      <c r="G31" s="5" t="s">
        <v>823</v>
      </c>
      <c r="H31" s="10" t="s">
        <v>824</v>
      </c>
    </row>
    <row r="32" spans="3:8">
      <c r="C32" s="2"/>
      <c r="D32" s="2"/>
      <c r="E32" s="2"/>
      <c r="F32" s="4" t="s">
        <v>825</v>
      </c>
      <c r="G32" s="5" t="s">
        <v>826</v>
      </c>
      <c r="H32" s="10" t="s">
        <v>827</v>
      </c>
    </row>
    <row r="33" spans="3:8">
      <c r="C33" s="2"/>
      <c r="D33" s="2"/>
      <c r="E33" s="2"/>
      <c r="F33" s="4" t="s">
        <v>828</v>
      </c>
      <c r="G33" s="5" t="s">
        <v>829</v>
      </c>
      <c r="H33" s="6" t="s">
        <v>830</v>
      </c>
    </row>
    <row r="34" spans="3:8">
      <c r="C34" s="2"/>
      <c r="D34" s="2"/>
      <c r="E34" s="2"/>
      <c r="F34" s="4" t="s">
        <v>831</v>
      </c>
      <c r="G34" s="5" t="s">
        <v>832</v>
      </c>
      <c r="H34" s="6" t="s">
        <v>833</v>
      </c>
    </row>
    <row r="35" spans="3:8">
      <c r="C35" s="2"/>
      <c r="D35" s="2"/>
      <c r="E35" s="2"/>
      <c r="F35" s="4" t="s">
        <v>834</v>
      </c>
      <c r="G35" s="5" t="s">
        <v>835</v>
      </c>
      <c r="H35" s="6" t="s">
        <v>836</v>
      </c>
    </row>
    <row r="36" spans="3:8">
      <c r="C36" s="2"/>
      <c r="D36" s="2"/>
      <c r="E36" s="2"/>
      <c r="F36" s="4" t="s">
        <v>837</v>
      </c>
      <c r="G36" s="5" t="s">
        <v>838</v>
      </c>
      <c r="H36" s="6" t="s">
        <v>839</v>
      </c>
    </row>
    <row r="37" spans="3:8">
      <c r="C37" s="2"/>
      <c r="D37" s="2"/>
      <c r="E37" s="2"/>
      <c r="F37" s="4" t="s">
        <v>840</v>
      </c>
      <c r="G37" s="5" t="s">
        <v>841</v>
      </c>
      <c r="H37" s="6" t="s">
        <v>842</v>
      </c>
    </row>
    <row r="38" spans="3:8">
      <c r="C38" s="2"/>
      <c r="D38" s="2"/>
      <c r="E38" s="2"/>
      <c r="F38" s="4" t="s">
        <v>843</v>
      </c>
      <c r="G38" s="5" t="s">
        <v>844</v>
      </c>
      <c r="H38" s="6" t="s">
        <v>845</v>
      </c>
    </row>
    <row r="39" spans="3:8">
      <c r="C39" s="2"/>
      <c r="D39" s="2"/>
      <c r="E39" s="2"/>
      <c r="F39" s="4" t="s">
        <v>757</v>
      </c>
      <c r="G39" s="5" t="s">
        <v>846</v>
      </c>
      <c r="H39" s="6" t="s">
        <v>847</v>
      </c>
    </row>
    <row r="40" spans="3:8">
      <c r="C40" s="2"/>
      <c r="D40" s="2"/>
      <c r="E40" s="2"/>
      <c r="F40" s="4" t="s">
        <v>848</v>
      </c>
      <c r="G40" s="5" t="s">
        <v>849</v>
      </c>
      <c r="H40" s="6" t="s">
        <v>850</v>
      </c>
    </row>
    <row r="41" spans="3:8">
      <c r="C41" s="2"/>
      <c r="D41" s="2"/>
      <c r="E41" s="2"/>
      <c r="F41" s="4" t="s">
        <v>851</v>
      </c>
      <c r="G41" s="5" t="s">
        <v>852</v>
      </c>
      <c r="H41" s="6" t="s">
        <v>853</v>
      </c>
    </row>
    <row r="42" spans="3:8">
      <c r="C42" s="2"/>
      <c r="D42" s="2"/>
      <c r="E42" s="2"/>
      <c r="F42" s="2"/>
      <c r="G42" s="5" t="s">
        <v>854</v>
      </c>
      <c r="H42" s="6" t="s">
        <v>855</v>
      </c>
    </row>
    <row r="43" spans="3:8">
      <c r="C43" s="2"/>
      <c r="D43" s="2"/>
      <c r="E43" s="2"/>
      <c r="F43" s="2"/>
      <c r="G43" s="5" t="s">
        <v>856</v>
      </c>
      <c r="H43" s="6" t="s">
        <v>857</v>
      </c>
    </row>
    <row r="44" spans="3:8">
      <c r="C44" s="2"/>
      <c r="D44" s="2"/>
      <c r="E44" s="2"/>
      <c r="F44" s="2"/>
      <c r="G44" s="5" t="s">
        <v>858</v>
      </c>
      <c r="H44" s="11" t="s">
        <v>859</v>
      </c>
    </row>
    <row r="45" spans="3:8">
      <c r="C45" s="2"/>
      <c r="D45" s="2"/>
      <c r="E45" s="2"/>
      <c r="F45" s="2"/>
      <c r="G45" s="5" t="s">
        <v>860</v>
      </c>
      <c r="H45" s="6" t="s">
        <v>861</v>
      </c>
    </row>
    <row r="46" spans="3:8">
      <c r="C46" s="2"/>
      <c r="D46" s="2"/>
      <c r="E46" s="2"/>
      <c r="F46" s="2"/>
      <c r="G46" s="5" t="s">
        <v>862</v>
      </c>
      <c r="H46" s="6" t="s">
        <v>863</v>
      </c>
    </row>
    <row r="47" spans="3:8">
      <c r="C47" s="2"/>
      <c r="D47" s="2"/>
      <c r="E47" s="2"/>
      <c r="F47" s="2"/>
      <c r="G47" s="5" t="s">
        <v>864</v>
      </c>
      <c r="H47" s="12" t="s">
        <v>865</v>
      </c>
    </row>
    <row r="48" spans="3:8">
      <c r="C48" s="2"/>
      <c r="D48" s="2"/>
      <c r="E48" s="2"/>
      <c r="F48" s="2"/>
      <c r="G48" s="5" t="s">
        <v>866</v>
      </c>
      <c r="H48" s="6" t="s">
        <v>867</v>
      </c>
    </row>
    <row r="49" spans="3:8">
      <c r="C49" s="2"/>
      <c r="D49" s="2"/>
      <c r="E49" s="2"/>
      <c r="F49" s="2"/>
      <c r="G49" s="5" t="s">
        <v>868</v>
      </c>
      <c r="H49" s="6" t="s">
        <v>869</v>
      </c>
    </row>
    <row r="50" spans="3:8">
      <c r="C50" s="2"/>
      <c r="D50" s="2"/>
      <c r="E50" s="2"/>
      <c r="F50" s="2"/>
      <c r="G50" s="5" t="s">
        <v>870</v>
      </c>
      <c r="H50" s="6" t="s">
        <v>871</v>
      </c>
    </row>
    <row r="51" spans="3:8">
      <c r="C51" s="2"/>
      <c r="D51" s="2"/>
      <c r="E51" s="2"/>
      <c r="F51" s="2"/>
      <c r="G51" s="2"/>
      <c r="H51" s="6" t="s">
        <v>872</v>
      </c>
    </row>
    <row r="52" spans="3:8">
      <c r="C52" s="2"/>
      <c r="D52" s="2"/>
      <c r="E52" s="2"/>
      <c r="F52" s="2"/>
      <c r="G52" s="2"/>
      <c r="H52" s="6" t="s">
        <v>873</v>
      </c>
    </row>
    <row r="53" spans="3:8">
      <c r="C53" s="2"/>
      <c r="D53" s="2"/>
      <c r="E53" s="2"/>
      <c r="F53" s="2"/>
      <c r="G53" s="2"/>
      <c r="H53" s="6" t="s">
        <v>874</v>
      </c>
    </row>
    <row r="54" spans="3:8">
      <c r="C54" s="2"/>
      <c r="D54" s="2"/>
      <c r="E54" s="2"/>
      <c r="F54" s="2"/>
      <c r="G54" s="2"/>
      <c r="H54" s="6" t="s">
        <v>875</v>
      </c>
    </row>
    <row r="55" spans="3:8">
      <c r="C55" s="2"/>
      <c r="D55" s="2"/>
      <c r="E55" s="2"/>
      <c r="F55" s="2"/>
      <c r="G55" s="2"/>
      <c r="H55" s="6" t="s">
        <v>876</v>
      </c>
    </row>
    <row r="56" spans="3:8">
      <c r="C56" s="2"/>
      <c r="D56" s="2"/>
      <c r="E56" s="2"/>
      <c r="F56" s="2"/>
      <c r="G56" s="2"/>
      <c r="H56" s="6" t="s">
        <v>877</v>
      </c>
    </row>
    <row r="57" spans="3:8">
      <c r="C57" s="2"/>
      <c r="D57" s="2"/>
      <c r="E57" s="2"/>
      <c r="F57" s="2"/>
      <c r="G57" s="2"/>
      <c r="H57" s="6" t="s">
        <v>878</v>
      </c>
    </row>
    <row r="58" spans="3:8">
      <c r="C58" s="2"/>
      <c r="D58" s="2"/>
      <c r="E58" s="2"/>
      <c r="F58" s="2"/>
      <c r="G58" s="2"/>
      <c r="H58" s="6" t="s">
        <v>879</v>
      </c>
    </row>
    <row r="59" spans="3:8">
      <c r="C59" s="2"/>
      <c r="D59" s="2"/>
      <c r="E59" s="2"/>
      <c r="F59" s="2"/>
      <c r="G59" s="2"/>
      <c r="H59" s="6" t="s">
        <v>880</v>
      </c>
    </row>
    <row r="60" spans="3:8">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defaultColWidth="11.42578125"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defaultColWidth="8.7109375" defaultRowHeight="15"/>
  <cols>
    <col min="1" max="1" width="20" bestFit="1" customWidth="1"/>
    <col min="2" max="2" width="16.7109375" customWidth="1"/>
    <col min="5" max="5" width="6.7109375" customWidth="1"/>
    <col min="6" max="6" width="12.140625" bestFit="1" customWidth="1"/>
    <col min="7" max="7" width="13.7109375" bestFit="1" customWidth="1"/>
    <col min="8" max="8" width="24.28515625" bestFit="1"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02" t="s">
        <v>14</v>
      </c>
      <c r="C1" s="99"/>
      <c r="D1" s="99"/>
      <c r="E1" s="99"/>
      <c r="F1" s="99"/>
      <c r="G1" s="99"/>
      <c r="H1" s="99"/>
      <c r="I1" s="99"/>
      <c r="J1" s="99"/>
      <c r="K1" s="99"/>
      <c r="L1" s="99"/>
      <c r="M1" s="99"/>
      <c r="N1" s="99"/>
      <c r="O1" s="99"/>
    </row>
    <row r="2" spans="1:15">
      <c r="A2" s="58" t="s">
        <v>883</v>
      </c>
      <c r="B2" t="s">
        <v>12</v>
      </c>
    </row>
    <row r="3" spans="1:15" ht="15.75">
      <c r="A3" s="58" t="s">
        <v>884</v>
      </c>
      <c r="B3" s="27" t="s">
        <v>15</v>
      </c>
    </row>
    <row r="4" spans="1:15">
      <c r="E4" s="13"/>
      <c r="F4" s="13"/>
      <c r="G4" s="16" t="s">
        <v>664</v>
      </c>
      <c r="H4" s="16" t="s">
        <v>679</v>
      </c>
      <c r="I4" s="16" t="s">
        <v>679</v>
      </c>
      <c r="J4" s="16"/>
      <c r="K4" s="16"/>
      <c r="L4" s="16"/>
      <c r="M4" s="16"/>
      <c r="N4" s="16"/>
      <c r="O4" s="16"/>
    </row>
    <row r="5" spans="1:15">
      <c r="A5" s="98" t="s">
        <v>885</v>
      </c>
      <c r="B5" s="99"/>
      <c r="E5" s="100" t="s">
        <v>886</v>
      </c>
      <c r="F5" t="s">
        <v>887</v>
      </c>
      <c r="G5" t="s">
        <v>888</v>
      </c>
      <c r="H5" t="s">
        <v>889</v>
      </c>
      <c r="I5" t="s">
        <v>890</v>
      </c>
    </row>
    <row r="6" spans="1:15" ht="15" customHeight="1">
      <c r="A6" t="s">
        <v>891</v>
      </c>
      <c r="E6" s="99"/>
      <c r="F6" s="1" t="s">
        <v>220</v>
      </c>
      <c r="G6">
        <v>297144</v>
      </c>
      <c r="H6" s="55">
        <v>12.4</v>
      </c>
      <c r="I6" s="55">
        <v>1.5</v>
      </c>
    </row>
    <row r="7" spans="1:15" ht="15.75" customHeight="1">
      <c r="A7" t="s">
        <v>892</v>
      </c>
      <c r="E7" s="99"/>
      <c r="F7" s="1" t="s">
        <v>18</v>
      </c>
      <c r="G7">
        <v>403840</v>
      </c>
      <c r="H7" s="55">
        <v>16.899999999999999</v>
      </c>
      <c r="I7" s="55">
        <v>2</v>
      </c>
    </row>
    <row r="8" spans="1:15">
      <c r="E8" s="99"/>
      <c r="F8" s="1" t="s">
        <v>537</v>
      </c>
      <c r="G8">
        <v>97988</v>
      </c>
      <c r="H8" s="55">
        <v>4.0999999999999996</v>
      </c>
      <c r="I8" s="55">
        <v>0.5</v>
      </c>
    </row>
    <row r="9" spans="1:15">
      <c r="A9" s="98" t="s">
        <v>893</v>
      </c>
      <c r="B9" s="99"/>
      <c r="E9" s="99"/>
      <c r="F9" s="1" t="s">
        <v>449</v>
      </c>
      <c r="G9">
        <v>338936</v>
      </c>
      <c r="H9" s="55">
        <v>14.1</v>
      </c>
      <c r="I9" s="55">
        <v>1.7</v>
      </c>
    </row>
    <row r="10" spans="1:15">
      <c r="A10" t="s">
        <v>894</v>
      </c>
      <c r="E10" s="99"/>
      <c r="F10" s="1" t="s">
        <v>409</v>
      </c>
      <c r="G10">
        <v>79147</v>
      </c>
      <c r="H10" s="55">
        <v>3.3</v>
      </c>
      <c r="I10" s="55">
        <v>0.4</v>
      </c>
    </row>
    <row r="11" spans="1:15">
      <c r="A11" t="s">
        <v>895</v>
      </c>
      <c r="E11" s="99"/>
      <c r="F11" s="1" t="s">
        <v>421</v>
      </c>
      <c r="G11">
        <v>182109</v>
      </c>
      <c r="H11" s="55">
        <v>7.6</v>
      </c>
      <c r="I11" s="55">
        <v>0.9</v>
      </c>
    </row>
    <row r="12" spans="1:15">
      <c r="A12" t="s">
        <v>896</v>
      </c>
      <c r="E12" s="99"/>
      <c r="F12" s="1" t="s">
        <v>470</v>
      </c>
      <c r="G12">
        <v>996888</v>
      </c>
      <c r="H12" s="55">
        <v>41.6</v>
      </c>
      <c r="I12" s="55">
        <v>5</v>
      </c>
    </row>
    <row r="13" spans="1:15">
      <c r="A13" t="s">
        <v>897</v>
      </c>
      <c r="E13" s="99"/>
      <c r="F13" s="1" t="s">
        <v>898</v>
      </c>
      <c r="G13">
        <v>2396052</v>
      </c>
      <c r="H13" s="55">
        <v>100</v>
      </c>
      <c r="I13" s="55">
        <v>12.1</v>
      </c>
    </row>
    <row r="14" spans="1:15">
      <c r="A14" t="s">
        <v>899</v>
      </c>
      <c r="E14" s="99"/>
      <c r="F14" s="1" t="s">
        <v>914</v>
      </c>
      <c r="G14">
        <v>11356117</v>
      </c>
      <c r="H14" s="55" t="s">
        <v>900</v>
      </c>
      <c r="I14" s="55">
        <v>57.1</v>
      </c>
    </row>
    <row r="15" spans="1:15">
      <c r="A15" t="s">
        <v>901</v>
      </c>
      <c r="E15" s="99"/>
      <c r="F15" s="15" t="s">
        <v>1952</v>
      </c>
      <c r="G15">
        <v>19872318</v>
      </c>
      <c r="H15" s="55" t="s">
        <v>900</v>
      </c>
      <c r="I15" s="55">
        <v>100</v>
      </c>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defaultColWidth="8.7109375" defaultRowHeight="15"/>
  <cols>
    <col min="1" max="1" width="20" bestFit="1" customWidth="1"/>
    <col min="2" max="2" width="16.7109375" customWidth="1"/>
    <col min="5" max="5" width="6.7109375" customWidth="1"/>
    <col min="7" max="7" width="12" bestFit="1"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28" t="s">
        <v>882</v>
      </c>
      <c r="B1" s="103" t="s">
        <v>20</v>
      </c>
      <c r="C1" s="104"/>
      <c r="D1" s="104"/>
      <c r="E1" s="104"/>
      <c r="F1" s="104"/>
      <c r="G1" s="104"/>
      <c r="H1" s="104"/>
      <c r="I1" s="104"/>
      <c r="J1" s="104"/>
      <c r="K1" s="104"/>
      <c r="L1" s="104"/>
      <c r="M1" s="104"/>
      <c r="N1" s="104"/>
      <c r="O1" s="104"/>
    </row>
    <row r="2" spans="1:15">
      <c r="A2" s="28" t="s">
        <v>883</v>
      </c>
      <c r="B2" s="56" t="s">
        <v>12</v>
      </c>
      <c r="C2" s="56"/>
      <c r="D2" s="56"/>
      <c r="E2" s="56"/>
      <c r="F2" s="56"/>
      <c r="G2" s="56"/>
      <c r="H2" s="56"/>
      <c r="I2" s="56"/>
      <c r="J2" s="56"/>
      <c r="K2" s="56"/>
      <c r="L2" s="56"/>
      <c r="M2" s="56"/>
      <c r="N2" s="56"/>
      <c r="O2" s="56"/>
    </row>
    <row r="3" spans="1:15">
      <c r="A3" s="28" t="s">
        <v>884</v>
      </c>
      <c r="B3" t="str">
        <f>IF($B$1="","",_xlfn.XLOOKUP($B$1,Master!$F$2:$F$308,Master!$G$2:$G$308,""))</f>
        <v>tbl-sex</v>
      </c>
      <c r="C3" s="56"/>
      <c r="D3" s="56"/>
      <c r="E3" s="56"/>
      <c r="F3" s="56"/>
      <c r="G3" s="56"/>
      <c r="H3" s="56"/>
      <c r="I3" s="56"/>
      <c r="J3" s="56"/>
      <c r="K3" s="56"/>
      <c r="L3" s="56"/>
      <c r="M3" s="56"/>
      <c r="N3" s="56"/>
      <c r="O3" s="56"/>
    </row>
    <row r="4" spans="1:15">
      <c r="A4" s="56"/>
      <c r="B4" s="56"/>
      <c r="C4" s="56"/>
      <c r="D4" s="56"/>
      <c r="E4" s="29"/>
      <c r="F4" s="29"/>
      <c r="G4" s="30" t="s">
        <v>664</v>
      </c>
      <c r="H4" s="30" t="s">
        <v>679</v>
      </c>
      <c r="I4" s="30" t="s">
        <v>664</v>
      </c>
      <c r="J4" s="30" t="s">
        <v>679</v>
      </c>
      <c r="K4" s="30"/>
      <c r="L4" s="30"/>
      <c r="M4" s="30"/>
      <c r="N4" s="30"/>
      <c r="O4" s="30"/>
    </row>
    <row r="5" spans="1:15">
      <c r="A5" s="105" t="s">
        <v>885</v>
      </c>
      <c r="B5" s="104"/>
      <c r="C5" s="56"/>
      <c r="D5" s="56"/>
      <c r="E5" s="106" t="s">
        <v>886</v>
      </c>
      <c r="F5" s="109" t="s">
        <v>1956</v>
      </c>
      <c r="G5" s="108" t="s">
        <v>911</v>
      </c>
      <c r="H5" s="108"/>
      <c r="I5" s="108" t="s">
        <v>912</v>
      </c>
      <c r="J5" s="108"/>
      <c r="K5" s="56"/>
      <c r="L5" s="56"/>
      <c r="M5" s="56"/>
      <c r="N5" s="56"/>
      <c r="O5" s="56"/>
    </row>
    <row r="6" spans="1:15" ht="15" customHeight="1">
      <c r="A6" s="56" t="s">
        <v>891</v>
      </c>
      <c r="B6" s="56" t="b">
        <v>1</v>
      </c>
      <c r="C6" s="56"/>
      <c r="D6" s="56"/>
      <c r="E6" s="104"/>
      <c r="F6" s="109"/>
      <c r="G6" s="18" t="s">
        <v>888</v>
      </c>
      <c r="H6" s="18" t="s">
        <v>913</v>
      </c>
      <c r="I6" s="18" t="s">
        <v>888</v>
      </c>
      <c r="J6" s="18" t="s">
        <v>913</v>
      </c>
      <c r="K6" s="56"/>
      <c r="L6" s="56"/>
      <c r="M6" s="56"/>
      <c r="N6" s="56"/>
      <c r="O6" s="56"/>
    </row>
    <row r="7" spans="1:15" ht="15.75" customHeight="1">
      <c r="A7" s="56"/>
      <c r="B7" s="56"/>
      <c r="C7" s="56"/>
      <c r="D7" s="56"/>
      <c r="E7" s="104"/>
      <c r="F7" s="17" t="s">
        <v>220</v>
      </c>
      <c r="G7" s="19">
        <v>147902</v>
      </c>
      <c r="H7" s="20">
        <v>49.8</v>
      </c>
      <c r="I7" s="19">
        <v>149242</v>
      </c>
      <c r="J7" s="20">
        <v>50.2</v>
      </c>
      <c r="K7" s="56"/>
      <c r="L7" s="56"/>
      <c r="M7" s="56"/>
      <c r="N7" s="56"/>
      <c r="O7" s="56"/>
    </row>
    <row r="8" spans="1:15">
      <c r="A8" s="56"/>
      <c r="B8" s="56"/>
      <c r="C8" s="56"/>
      <c r="D8" s="56"/>
      <c r="E8" s="104"/>
      <c r="F8" s="17" t="s">
        <v>18</v>
      </c>
      <c r="G8" s="19">
        <v>201512</v>
      </c>
      <c r="H8" s="20">
        <v>49.9</v>
      </c>
      <c r="I8" s="19">
        <v>202328</v>
      </c>
      <c r="J8" s="20">
        <v>50.1</v>
      </c>
      <c r="K8" s="56"/>
      <c r="L8" s="56"/>
      <c r="M8" s="56"/>
      <c r="N8" s="56"/>
      <c r="O8" s="56"/>
    </row>
    <row r="9" spans="1:15">
      <c r="A9" s="105" t="s">
        <v>893</v>
      </c>
      <c r="B9" s="104"/>
      <c r="C9" s="56"/>
      <c r="D9" s="56"/>
      <c r="E9" s="104"/>
      <c r="F9" s="17" t="s">
        <v>537</v>
      </c>
      <c r="G9" s="19">
        <v>49503</v>
      </c>
      <c r="H9" s="20">
        <v>50.5</v>
      </c>
      <c r="I9" s="19">
        <v>48485</v>
      </c>
      <c r="J9" s="20">
        <v>49.5</v>
      </c>
      <c r="K9" s="56"/>
      <c r="L9" s="56"/>
      <c r="M9" s="56"/>
      <c r="N9" s="56"/>
      <c r="O9" s="56"/>
    </row>
    <row r="10" spans="1:15">
      <c r="A10" s="56" t="s">
        <v>894</v>
      </c>
      <c r="B10" s="56"/>
      <c r="C10" s="56"/>
      <c r="D10" s="56"/>
      <c r="E10" s="104"/>
      <c r="F10" s="17" t="s">
        <v>449</v>
      </c>
      <c r="G10" s="19">
        <v>167624</v>
      </c>
      <c r="H10" s="20">
        <v>49.5</v>
      </c>
      <c r="I10" s="19">
        <v>171312</v>
      </c>
      <c r="J10" s="20">
        <v>50.5</v>
      </c>
      <c r="K10" s="56"/>
      <c r="L10" s="56"/>
      <c r="M10" s="56"/>
      <c r="N10" s="56"/>
      <c r="O10" s="56"/>
    </row>
    <row r="11" spans="1:15">
      <c r="A11" s="56" t="s">
        <v>895</v>
      </c>
      <c r="B11" s="56"/>
      <c r="C11" s="56"/>
      <c r="D11" s="56"/>
      <c r="E11" s="104"/>
      <c r="F11" s="17" t="s">
        <v>409</v>
      </c>
      <c r="G11" s="19">
        <v>40993</v>
      </c>
      <c r="H11" s="20">
        <v>51.8</v>
      </c>
      <c r="I11" s="19">
        <v>38154</v>
      </c>
      <c r="J11" s="20">
        <v>48.2</v>
      </c>
      <c r="K11" s="56"/>
      <c r="L11" s="56"/>
      <c r="M11" s="56"/>
      <c r="N11" s="56"/>
      <c r="O11" s="56"/>
    </row>
    <row r="12" spans="1:15">
      <c r="A12" s="56" t="s">
        <v>896</v>
      </c>
      <c r="B12" s="56"/>
      <c r="C12" s="56"/>
      <c r="D12" s="56"/>
      <c r="E12" s="104"/>
      <c r="F12" s="17" t="s">
        <v>421</v>
      </c>
      <c r="G12" s="19">
        <v>90719</v>
      </c>
      <c r="H12" s="20">
        <v>49.8</v>
      </c>
      <c r="I12" s="19">
        <v>91390</v>
      </c>
      <c r="J12" s="20">
        <v>50.2</v>
      </c>
      <c r="K12" s="56"/>
      <c r="L12" s="56"/>
      <c r="M12" s="56"/>
      <c r="N12" s="56"/>
      <c r="O12" s="56"/>
    </row>
    <row r="13" spans="1:15">
      <c r="A13" s="56" t="s">
        <v>897</v>
      </c>
      <c r="B13" s="56"/>
      <c r="C13" s="56"/>
      <c r="D13" s="56"/>
      <c r="E13" s="104"/>
      <c r="F13" s="17" t="s">
        <v>470</v>
      </c>
      <c r="G13" s="19">
        <v>485985</v>
      </c>
      <c r="H13" s="20">
        <v>48.8</v>
      </c>
      <c r="I13" s="19">
        <v>510903</v>
      </c>
      <c r="J13" s="20">
        <v>51.2</v>
      </c>
      <c r="K13" s="56"/>
      <c r="L13" s="56"/>
      <c r="M13" s="56"/>
      <c r="N13" s="56"/>
      <c r="O13" s="56"/>
    </row>
    <row r="14" spans="1:15">
      <c r="A14" s="56" t="s">
        <v>899</v>
      </c>
      <c r="B14" s="56"/>
      <c r="C14" s="56"/>
      <c r="D14" s="56"/>
      <c r="E14" s="104"/>
      <c r="F14" s="17" t="s">
        <v>898</v>
      </c>
      <c r="G14" s="19">
        <v>1184238</v>
      </c>
      <c r="H14" s="20">
        <v>49.4</v>
      </c>
      <c r="I14" s="19">
        <v>1211814</v>
      </c>
      <c r="J14" s="20">
        <v>50.6</v>
      </c>
      <c r="K14" s="56"/>
      <c r="L14" s="56"/>
      <c r="M14" s="56"/>
      <c r="N14" s="56"/>
      <c r="O14" s="56"/>
    </row>
    <row r="15" spans="1:15">
      <c r="A15" s="56" t="s">
        <v>901</v>
      </c>
      <c r="B15" s="56"/>
      <c r="C15" s="56"/>
      <c r="D15" s="56"/>
      <c r="E15" s="104"/>
      <c r="F15" s="17" t="s">
        <v>914</v>
      </c>
      <c r="G15" s="19">
        <v>5614391</v>
      </c>
      <c r="H15" s="20">
        <v>49.4</v>
      </c>
      <c r="I15" s="19">
        <v>5741726</v>
      </c>
      <c r="J15" s="20">
        <v>50.6</v>
      </c>
      <c r="K15" s="56"/>
      <c r="L15" s="56"/>
      <c r="M15" s="56"/>
      <c r="N15" s="56"/>
      <c r="O15" s="56"/>
    </row>
    <row r="16" spans="1:15">
      <c r="A16" s="56"/>
      <c r="B16" s="56"/>
      <c r="C16" s="56"/>
      <c r="D16" s="56"/>
      <c r="E16" s="104"/>
      <c r="F16" s="17" t="s">
        <v>915</v>
      </c>
      <c r="G16" s="19">
        <v>9702417</v>
      </c>
      <c r="H16" s="20">
        <v>48.8</v>
      </c>
      <c r="I16" s="19">
        <v>10169902</v>
      </c>
      <c r="J16" s="20">
        <v>51.2</v>
      </c>
      <c r="K16" s="56"/>
      <c r="L16" s="56"/>
      <c r="M16" s="56"/>
      <c r="N16" s="56"/>
      <c r="O16" s="56"/>
    </row>
    <row r="17" spans="1:15">
      <c r="A17" s="56"/>
      <c r="B17" s="56"/>
      <c r="C17" s="56"/>
      <c r="D17" s="56"/>
      <c r="E17" s="104"/>
      <c r="F17" s="56"/>
      <c r="G17" s="56"/>
      <c r="H17" s="56"/>
      <c r="I17" s="56"/>
      <c r="J17" s="56"/>
      <c r="K17" s="56"/>
      <c r="L17" s="56"/>
      <c r="M17" s="56"/>
      <c r="N17" s="56"/>
      <c r="O17" s="56"/>
    </row>
    <row r="18" spans="1:15">
      <c r="A18" s="105" t="s">
        <v>902</v>
      </c>
      <c r="B18" s="104"/>
      <c r="C18" s="56"/>
      <c r="D18" s="56"/>
      <c r="E18" s="104"/>
      <c r="F18" s="56"/>
      <c r="G18" s="56"/>
      <c r="H18" s="56"/>
      <c r="I18" s="56"/>
      <c r="J18" s="56"/>
      <c r="K18" s="56"/>
      <c r="L18" s="56"/>
      <c r="M18" s="56"/>
      <c r="N18" s="56"/>
      <c r="O18" s="56"/>
    </row>
    <row r="19" spans="1:15">
      <c r="A19" s="56" t="s">
        <v>903</v>
      </c>
      <c r="B19" s="56"/>
      <c r="C19" s="56"/>
      <c r="D19" s="56"/>
      <c r="E19" s="104"/>
      <c r="F19" s="56"/>
      <c r="G19" s="56"/>
      <c r="H19" s="56"/>
      <c r="I19" s="56"/>
      <c r="J19" s="56"/>
      <c r="K19" s="56"/>
      <c r="L19" s="56"/>
      <c r="M19" s="56"/>
      <c r="N19" s="56"/>
      <c r="O19" s="56"/>
    </row>
    <row r="20" spans="1:15">
      <c r="A20" s="56" t="s">
        <v>904</v>
      </c>
      <c r="B20" s="56"/>
      <c r="C20" s="56"/>
      <c r="D20" s="56"/>
      <c r="E20" s="104"/>
      <c r="F20" s="56"/>
      <c r="G20" s="56"/>
      <c r="H20" s="56"/>
      <c r="I20" s="56"/>
      <c r="J20" s="56"/>
      <c r="K20" s="56"/>
      <c r="L20" s="56"/>
      <c r="M20" s="56"/>
      <c r="N20" s="56"/>
      <c r="O20" s="56"/>
    </row>
    <row r="21" spans="1:15">
      <c r="A21" s="56" t="s">
        <v>905</v>
      </c>
      <c r="B21" s="56"/>
      <c r="C21" s="56"/>
      <c r="D21" s="56"/>
      <c r="E21" s="104"/>
      <c r="F21" s="56"/>
      <c r="G21" s="56"/>
      <c r="H21" s="56"/>
      <c r="I21" s="56"/>
      <c r="J21" s="56"/>
      <c r="K21" s="56"/>
      <c r="L21" s="56"/>
      <c r="M21" s="56"/>
      <c r="N21" s="56"/>
      <c r="O21" s="56"/>
    </row>
    <row r="22" spans="1:15">
      <c r="A22" s="56" t="s">
        <v>906</v>
      </c>
      <c r="B22" s="56"/>
      <c r="C22" s="56"/>
      <c r="D22" s="56"/>
      <c r="E22" s="104"/>
      <c r="F22" s="56"/>
      <c r="G22" s="56"/>
      <c r="H22" s="56"/>
      <c r="I22" s="56"/>
      <c r="J22" s="56"/>
      <c r="K22" s="56"/>
      <c r="L22" s="56"/>
      <c r="M22" s="56"/>
      <c r="N22" s="56"/>
      <c r="O22" s="56"/>
    </row>
    <row r="23" spans="1:15">
      <c r="A23" s="56" t="s">
        <v>907</v>
      </c>
      <c r="B23" s="56"/>
      <c r="C23" s="56"/>
      <c r="D23" s="56"/>
      <c r="E23" s="104"/>
      <c r="F23" s="56"/>
      <c r="G23" s="56"/>
      <c r="H23" s="56"/>
      <c r="I23" s="56"/>
      <c r="J23" s="56"/>
      <c r="K23" s="56"/>
      <c r="L23" s="56"/>
      <c r="M23" s="56"/>
      <c r="N23" s="56"/>
      <c r="O23" s="56"/>
    </row>
    <row r="24" spans="1:15">
      <c r="A24" s="56" t="s">
        <v>908</v>
      </c>
      <c r="B24" s="56"/>
      <c r="C24" s="56"/>
      <c r="D24" s="56"/>
      <c r="E24" s="104"/>
      <c r="F24" s="56"/>
      <c r="G24" s="56"/>
      <c r="H24" s="56"/>
      <c r="I24" s="56"/>
      <c r="J24" s="56"/>
      <c r="K24" s="56"/>
      <c r="L24" s="56"/>
      <c r="M24" s="56"/>
      <c r="N24" s="56"/>
      <c r="O24" s="56"/>
    </row>
    <row r="25" spans="1:15">
      <c r="A25" s="56" t="s">
        <v>909</v>
      </c>
      <c r="B25" s="56"/>
      <c r="C25" s="56"/>
      <c r="D25" s="56"/>
      <c r="E25" s="104"/>
      <c r="F25" s="56"/>
      <c r="G25" s="56"/>
      <c r="H25" s="56"/>
      <c r="I25" s="56"/>
      <c r="J25" s="56"/>
      <c r="K25" s="56"/>
      <c r="L25" s="56"/>
      <c r="M25" s="56"/>
      <c r="N25" s="56"/>
      <c r="O25" s="56"/>
    </row>
    <row r="26" spans="1:15">
      <c r="A26" s="56"/>
      <c r="B26" s="56"/>
      <c r="C26" s="56"/>
      <c r="D26" s="56"/>
      <c r="E26" s="104"/>
      <c r="F26" s="56"/>
      <c r="G26" s="56"/>
      <c r="H26" s="56"/>
      <c r="I26" s="56"/>
      <c r="J26" s="56"/>
      <c r="K26" s="56"/>
      <c r="L26" s="56"/>
      <c r="M26" s="56"/>
      <c r="N26" s="56"/>
      <c r="O26" s="56"/>
    </row>
    <row r="27" spans="1:15">
      <c r="A27" s="107" t="s">
        <v>910</v>
      </c>
      <c r="B27" s="104"/>
      <c r="C27" s="56"/>
      <c r="D27" s="56"/>
      <c r="E27" s="104"/>
      <c r="F27" s="56"/>
      <c r="G27" s="56"/>
      <c r="H27" s="56"/>
      <c r="I27" s="56"/>
      <c r="J27" s="56"/>
      <c r="K27" s="56"/>
      <c r="L27" s="56"/>
      <c r="M27" s="56"/>
      <c r="N27" s="56"/>
      <c r="O27" s="56"/>
    </row>
    <row r="28" spans="1:15">
      <c r="A28" s="56"/>
      <c r="B28" s="56"/>
      <c r="C28" s="56"/>
      <c r="D28" s="56"/>
      <c r="E28" s="104"/>
      <c r="F28" s="56"/>
      <c r="G28" s="56"/>
      <c r="H28" s="56"/>
      <c r="I28" s="56"/>
      <c r="J28" s="56"/>
      <c r="K28" s="56"/>
      <c r="L28" s="56"/>
      <c r="M28" s="56"/>
      <c r="N28" s="56"/>
      <c r="O28" s="56"/>
    </row>
    <row r="29" spans="1:15">
      <c r="A29" s="56"/>
      <c r="B29" s="56"/>
      <c r="C29" s="56"/>
      <c r="D29" s="56"/>
      <c r="E29" s="104"/>
      <c r="F29" s="56"/>
      <c r="G29" s="56"/>
      <c r="H29" s="56"/>
      <c r="I29" s="56"/>
      <c r="J29" s="56"/>
      <c r="K29" s="56"/>
      <c r="L29" s="56"/>
      <c r="M29" s="56"/>
      <c r="N29" s="56"/>
      <c r="O29" s="56"/>
    </row>
    <row r="30" spans="1:15">
      <c r="A30" s="56"/>
      <c r="B30" s="56"/>
      <c r="C30" s="56"/>
      <c r="D30" s="56"/>
      <c r="E30" s="104"/>
      <c r="F30" s="56"/>
      <c r="G30" s="56"/>
      <c r="H30" s="56"/>
      <c r="I30" s="56"/>
      <c r="J30" s="56"/>
      <c r="K30" s="56"/>
      <c r="L30" s="56"/>
      <c r="M30" s="56"/>
      <c r="N30" s="56"/>
      <c r="O30" s="56"/>
    </row>
    <row r="31" spans="1:15">
      <c r="A31" s="56"/>
      <c r="B31" s="56"/>
      <c r="C31" s="56"/>
      <c r="D31" s="56"/>
      <c r="E31" s="104"/>
      <c r="F31" s="56"/>
      <c r="G31" s="56"/>
      <c r="H31" s="56"/>
      <c r="I31" s="56"/>
      <c r="J31" s="56"/>
      <c r="K31" s="56"/>
      <c r="L31" s="56"/>
      <c r="M31" s="56"/>
      <c r="N31" s="56"/>
      <c r="O31" s="56"/>
    </row>
    <row r="32" spans="1:15">
      <c r="A32" s="56"/>
      <c r="B32" s="56"/>
      <c r="C32" s="56"/>
      <c r="D32" s="56"/>
      <c r="E32" s="104"/>
      <c r="F32" s="56"/>
      <c r="G32" s="56"/>
      <c r="H32" s="56"/>
      <c r="I32" s="56"/>
      <c r="J32" s="56"/>
      <c r="K32" s="56"/>
      <c r="L32" s="56"/>
      <c r="M32" s="56"/>
      <c r="N32" s="56"/>
      <c r="O32" s="56"/>
    </row>
    <row r="33" spans="1:15">
      <c r="A33" s="56"/>
      <c r="B33" s="56"/>
      <c r="C33" s="56"/>
      <c r="D33" s="56"/>
      <c r="E33" s="104"/>
      <c r="F33" s="56"/>
      <c r="G33" s="56"/>
      <c r="H33" s="56"/>
      <c r="I33" s="56"/>
      <c r="J33" s="56"/>
      <c r="K33" s="56"/>
      <c r="L33" s="56"/>
      <c r="M33" s="56"/>
      <c r="N33" s="56"/>
      <c r="O33" s="56"/>
    </row>
    <row r="34" spans="1:15">
      <c r="A34" s="56"/>
      <c r="B34" s="56"/>
      <c r="C34" s="56"/>
      <c r="D34" s="56"/>
      <c r="E34" s="104"/>
      <c r="F34" s="56"/>
      <c r="G34" s="56"/>
      <c r="H34" s="56"/>
      <c r="I34" s="56"/>
      <c r="J34" s="56"/>
      <c r="K34" s="56"/>
      <c r="L34" s="56"/>
      <c r="M34" s="56"/>
      <c r="N34" s="56"/>
      <c r="O34" s="56"/>
    </row>
    <row r="35" spans="1:15">
      <c r="A35" s="56"/>
      <c r="B35" s="56"/>
      <c r="C35" s="56"/>
      <c r="D35" s="56"/>
      <c r="E35" s="104"/>
      <c r="F35" s="56"/>
      <c r="G35" s="56"/>
      <c r="H35" s="56"/>
      <c r="I35" s="56"/>
      <c r="J35" s="56"/>
      <c r="K35" s="56"/>
      <c r="L35" s="56"/>
      <c r="M35" s="56"/>
      <c r="N35" s="56"/>
      <c r="O35" s="56"/>
    </row>
    <row r="36" spans="1:15">
      <c r="A36" s="56"/>
      <c r="B36" s="56"/>
      <c r="C36" s="56"/>
      <c r="D36" s="56"/>
      <c r="E36" s="104"/>
      <c r="F36" s="56"/>
      <c r="G36" s="56"/>
      <c r="H36" s="56"/>
      <c r="I36" s="56"/>
      <c r="J36" s="56"/>
      <c r="K36" s="56"/>
      <c r="L36" s="56"/>
      <c r="M36" s="56"/>
      <c r="N36" s="56"/>
      <c r="O36" s="56"/>
    </row>
    <row r="37" spans="1:15">
      <c r="A37" s="56"/>
      <c r="B37" s="56"/>
      <c r="C37" s="56"/>
      <c r="D37" s="56"/>
      <c r="E37" s="104"/>
      <c r="F37" s="56"/>
      <c r="G37" s="56"/>
      <c r="H37" s="56"/>
      <c r="I37" s="56"/>
      <c r="J37" s="56"/>
      <c r="K37" s="56"/>
      <c r="L37" s="56"/>
      <c r="M37" s="56"/>
      <c r="N37" s="56"/>
      <c r="O37" s="56"/>
    </row>
    <row r="38" spans="1:15">
      <c r="A38" s="56"/>
      <c r="B38" s="56"/>
      <c r="C38" s="56"/>
      <c r="D38" s="56"/>
      <c r="E38" s="104"/>
      <c r="F38" s="56"/>
      <c r="G38" s="56"/>
      <c r="H38" s="56"/>
      <c r="I38" s="56"/>
      <c r="J38" s="56"/>
      <c r="K38" s="56"/>
      <c r="L38" s="56"/>
      <c r="M38" s="56"/>
      <c r="N38" s="56"/>
      <c r="O38" s="56"/>
    </row>
    <row r="39" spans="1:15">
      <c r="A39" s="56"/>
      <c r="B39" s="56"/>
      <c r="C39" s="56"/>
      <c r="D39" s="56"/>
      <c r="E39" s="104"/>
      <c r="F39" s="56"/>
      <c r="G39" s="56"/>
      <c r="H39" s="56"/>
      <c r="I39" s="56"/>
      <c r="J39" s="56"/>
      <c r="K39" s="56"/>
      <c r="L39" s="56"/>
      <c r="M39" s="56"/>
      <c r="N39" s="56"/>
      <c r="O39" s="56"/>
    </row>
    <row r="40" spans="1:15">
      <c r="A40" s="56"/>
      <c r="B40" s="56"/>
      <c r="C40" s="56"/>
      <c r="D40" s="56"/>
      <c r="E40" s="104"/>
      <c r="F40" s="56"/>
      <c r="G40" s="56"/>
      <c r="H40" s="56"/>
      <c r="I40" s="56"/>
      <c r="J40" s="56"/>
      <c r="K40" s="56"/>
      <c r="L40" s="56"/>
      <c r="M40" s="56"/>
      <c r="N40" s="56"/>
      <c r="O40" s="56"/>
    </row>
    <row r="41" spans="1:15">
      <c r="A41" s="56"/>
      <c r="B41" s="56"/>
      <c r="C41" s="56"/>
      <c r="D41" s="56"/>
      <c r="E41" s="104"/>
      <c r="F41" s="56"/>
      <c r="G41" s="56"/>
      <c r="H41" s="56"/>
      <c r="I41" s="56"/>
      <c r="J41" s="56"/>
      <c r="K41" s="56"/>
      <c r="L41" s="56"/>
      <c r="M41" s="56"/>
      <c r="N41" s="56"/>
      <c r="O41" s="56"/>
    </row>
    <row r="42" spans="1:15">
      <c r="A42" s="56"/>
      <c r="B42" s="56"/>
      <c r="C42" s="56"/>
      <c r="D42" s="56"/>
      <c r="E42" s="104"/>
      <c r="F42" s="56"/>
      <c r="G42" s="56"/>
      <c r="H42" s="56"/>
      <c r="I42" s="56"/>
      <c r="J42" s="56"/>
      <c r="K42" s="56"/>
      <c r="L42" s="56"/>
      <c r="M42" s="56"/>
      <c r="N42" s="56"/>
      <c r="O42" s="56"/>
    </row>
    <row r="43" spans="1:15">
      <c r="A43" s="56"/>
      <c r="B43" s="56"/>
      <c r="C43" s="56"/>
      <c r="D43" s="56"/>
      <c r="E43" s="104"/>
      <c r="F43" s="56"/>
      <c r="G43" s="56"/>
      <c r="H43" s="56"/>
      <c r="I43" s="56"/>
      <c r="J43" s="56"/>
      <c r="K43" s="56"/>
      <c r="L43" s="56"/>
      <c r="M43" s="56"/>
      <c r="N43" s="56"/>
      <c r="O43" s="56"/>
    </row>
    <row r="44" spans="1:15">
      <c r="A44" s="56"/>
      <c r="B44" s="56"/>
      <c r="C44" s="56"/>
      <c r="D44" s="56"/>
      <c r="E44" s="104"/>
      <c r="F44" s="56"/>
      <c r="G44" s="56"/>
      <c r="H44" s="56"/>
      <c r="I44" s="56"/>
      <c r="J44" s="56"/>
      <c r="K44" s="56"/>
      <c r="L44" s="56"/>
      <c r="M44" s="56"/>
      <c r="N44" s="56"/>
      <c r="O44" s="56"/>
    </row>
    <row r="45" spans="1:15">
      <c r="A45" s="56"/>
      <c r="B45" s="56"/>
      <c r="C45" s="56"/>
      <c r="D45" s="56"/>
      <c r="E45" s="104"/>
      <c r="F45" s="56"/>
      <c r="G45" s="56"/>
      <c r="H45" s="56"/>
      <c r="I45" s="56"/>
      <c r="J45" s="56"/>
      <c r="K45" s="56"/>
      <c r="L45" s="56"/>
      <c r="M45" s="56"/>
      <c r="N45" s="56"/>
      <c r="O45" s="56"/>
    </row>
    <row r="46" spans="1:15">
      <c r="A46" s="56"/>
      <c r="B46" s="56"/>
      <c r="C46" s="56"/>
      <c r="D46" s="56"/>
      <c r="E46" s="104"/>
      <c r="F46" s="56"/>
      <c r="G46" s="56"/>
      <c r="H46" s="56"/>
      <c r="I46" s="56"/>
      <c r="J46" s="56"/>
      <c r="K46" s="56"/>
      <c r="L46" s="56"/>
      <c r="M46" s="56"/>
      <c r="N46" s="56"/>
      <c r="O46" s="56"/>
    </row>
    <row r="47" spans="1:15">
      <c r="A47" s="56"/>
      <c r="B47" s="56"/>
      <c r="C47" s="56"/>
      <c r="D47" s="56"/>
      <c r="E47" s="104"/>
      <c r="F47" s="56"/>
      <c r="G47" s="56"/>
      <c r="H47" s="56"/>
      <c r="I47" s="56"/>
      <c r="J47" s="56"/>
      <c r="K47" s="56"/>
      <c r="L47" s="56"/>
      <c r="M47" s="56"/>
      <c r="N47" s="56"/>
      <c r="O47" s="56"/>
    </row>
    <row r="48" spans="1:15">
      <c r="A48" s="56"/>
      <c r="B48" s="56"/>
      <c r="C48" s="56"/>
      <c r="D48" s="56"/>
      <c r="E48" s="104"/>
      <c r="F48" s="56"/>
      <c r="G48" s="56"/>
      <c r="H48" s="56"/>
      <c r="I48" s="56"/>
      <c r="J48" s="56"/>
      <c r="K48" s="56"/>
      <c r="L48" s="56"/>
      <c r="M48" s="56"/>
      <c r="N48" s="56"/>
      <c r="O48" s="56"/>
    </row>
    <row r="49" spans="1:15">
      <c r="A49" s="56"/>
      <c r="B49" s="56"/>
      <c r="C49" s="56"/>
      <c r="D49" s="56"/>
      <c r="E49" s="104"/>
      <c r="F49" s="56"/>
      <c r="G49" s="56"/>
      <c r="H49" s="56"/>
      <c r="I49" s="56"/>
      <c r="J49" s="56"/>
      <c r="K49" s="56"/>
      <c r="L49" s="56"/>
      <c r="M49" s="56"/>
      <c r="N49" s="56"/>
      <c r="O49" s="56"/>
    </row>
    <row r="50" spans="1:15">
      <c r="A50" s="56"/>
      <c r="B50" s="56"/>
      <c r="C50" s="56"/>
      <c r="D50" s="56"/>
      <c r="E50" s="104"/>
      <c r="F50" s="56"/>
      <c r="G50" s="56"/>
      <c r="H50" s="56"/>
      <c r="I50" s="56"/>
      <c r="J50" s="56"/>
      <c r="K50" s="56"/>
      <c r="L50" s="56"/>
      <c r="M50" s="56"/>
      <c r="N50" s="56"/>
      <c r="O50" s="56"/>
    </row>
    <row r="51" spans="1:15">
      <c r="A51" s="56"/>
      <c r="B51" s="56"/>
      <c r="C51" s="56"/>
      <c r="D51" s="56"/>
      <c r="E51" s="104"/>
      <c r="F51" s="56"/>
      <c r="G51" s="56"/>
      <c r="H51" s="56"/>
      <c r="I51" s="56"/>
      <c r="J51" s="56"/>
      <c r="K51" s="56"/>
      <c r="L51" s="56"/>
      <c r="M51" s="56"/>
      <c r="N51" s="56"/>
      <c r="O51" s="56"/>
    </row>
    <row r="52" spans="1:15">
      <c r="A52" s="56"/>
      <c r="B52" s="56"/>
      <c r="C52" s="56"/>
      <c r="D52" s="56"/>
      <c r="E52" s="104"/>
      <c r="F52" s="56"/>
      <c r="G52" s="56"/>
      <c r="H52" s="56"/>
      <c r="I52" s="56"/>
      <c r="J52" s="56"/>
      <c r="K52" s="56"/>
      <c r="L52" s="56"/>
      <c r="M52" s="56"/>
      <c r="N52" s="56"/>
      <c r="O52" s="56"/>
    </row>
    <row r="53" spans="1:15">
      <c r="A53" s="56"/>
      <c r="B53" s="56"/>
      <c r="C53" s="56"/>
      <c r="D53" s="56"/>
      <c r="E53" s="104"/>
      <c r="F53" s="56"/>
      <c r="G53" s="56"/>
      <c r="H53" s="56"/>
      <c r="I53" s="56"/>
      <c r="J53" s="56"/>
      <c r="K53" s="56"/>
      <c r="L53" s="56"/>
      <c r="M53" s="56"/>
      <c r="N53" s="56"/>
      <c r="O53" s="56"/>
    </row>
    <row r="54" spans="1:15">
      <c r="A54" s="56"/>
      <c r="B54" s="56"/>
      <c r="C54" s="56"/>
      <c r="D54" s="56"/>
      <c r="E54" s="104"/>
      <c r="F54" s="56"/>
      <c r="G54" s="56"/>
      <c r="H54" s="56"/>
      <c r="I54" s="56"/>
      <c r="J54" s="56"/>
      <c r="K54" s="56"/>
      <c r="L54" s="56"/>
      <c r="M54" s="56"/>
      <c r="N54" s="56"/>
      <c r="O54" s="56"/>
    </row>
    <row r="55" spans="1:15">
      <c r="A55" s="56"/>
      <c r="B55" s="56"/>
      <c r="C55" s="56"/>
      <c r="D55" s="56"/>
      <c r="E55" s="104"/>
      <c r="F55" s="56"/>
      <c r="G55" s="56"/>
      <c r="H55" s="56"/>
      <c r="I55" s="56"/>
      <c r="J55" s="56"/>
      <c r="K55" s="56"/>
      <c r="L55" s="56"/>
      <c r="M55" s="56"/>
      <c r="N55" s="56"/>
      <c r="O55" s="56"/>
    </row>
    <row r="56" spans="1:15">
      <c r="A56" s="56"/>
      <c r="B56" s="56"/>
      <c r="C56" s="56"/>
      <c r="D56" s="56"/>
      <c r="E56" s="104"/>
      <c r="F56" s="56"/>
      <c r="G56" s="56"/>
      <c r="H56" s="56"/>
      <c r="I56" s="56"/>
      <c r="J56" s="56"/>
      <c r="K56" s="56"/>
      <c r="L56" s="56"/>
      <c r="M56" s="56"/>
      <c r="N56" s="56"/>
      <c r="O56" s="56"/>
    </row>
    <row r="57" spans="1:15">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defaultColWidth="8.7109375" defaultRowHeight="15"/>
  <cols>
    <col min="1" max="1" width="20" bestFit="1" customWidth="1"/>
    <col min="2" max="2" width="16.7109375" customWidth="1"/>
    <col min="5" max="5" width="12.7109375" bestFit="1" customWidth="1"/>
    <col min="6" max="6" width="10.140625" bestFit="1" customWidth="1"/>
    <col min="7" max="7" width="11.7109375" bestFit="1" customWidth="1"/>
    <col min="8" max="8" width="8.28515625" bestFit="1" customWidth="1"/>
    <col min="9" max="9" width="11.7109375" bestFit="1" customWidth="1"/>
    <col min="10" max="10" width="8.28515625" bestFit="1" customWidth="1"/>
    <col min="11" max="11" width="11.7109375" bestFit="1" customWidth="1"/>
    <col min="12" max="12" width="8.28515625" bestFit="1" customWidth="1"/>
    <col min="13" max="13" width="11.7109375" bestFit="1" customWidth="1"/>
    <col min="14" max="14" width="8.28515625" bestFit="1" customWidth="1"/>
    <col min="15" max="15" width="11.7109375" bestFit="1" customWidth="1"/>
    <col min="16" max="16" width="8.28515625" bestFit="1" customWidth="1"/>
    <col min="17" max="17" width="11.7109375" bestFit="1" customWidth="1"/>
    <col min="18" max="18" width="8.28515625" bestFit="1" customWidth="1"/>
    <col min="19" max="19" width="11.7109375" bestFit="1" customWidth="1"/>
    <col min="20" max="20" width="8.28515625" bestFit="1" customWidth="1"/>
    <col min="21" max="21" width="11.7109375" bestFit="1" customWidth="1"/>
    <col min="22" max="22" width="8.28515625" bestFit="1" customWidth="1"/>
    <col min="23" max="23" width="11.7109375" bestFit="1" customWidth="1"/>
    <col min="24" max="24" width="8.28515625" bestFit="1" customWidth="1"/>
    <col min="25" max="25" width="11.7109375" bestFit="1" customWidth="1"/>
    <col min="26" max="26" width="8.28515625" bestFit="1" customWidth="1"/>
    <col min="27" max="27" width="11.7109375" bestFit="1" customWidth="1"/>
    <col min="28" max="28" width="8.28515625" bestFit="1" customWidth="1"/>
  </cols>
  <sheetData>
    <row r="1" spans="1:28">
      <c r="A1" s="58" t="s">
        <v>882</v>
      </c>
      <c r="B1" s="102" t="s">
        <v>23</v>
      </c>
      <c r="C1" s="99"/>
      <c r="D1" s="99"/>
      <c r="E1" s="99"/>
      <c r="F1" s="99"/>
      <c r="G1" s="99"/>
      <c r="H1" s="99"/>
      <c r="I1" s="99"/>
      <c r="J1" s="99"/>
      <c r="K1" s="99"/>
      <c r="L1" s="99"/>
      <c r="M1" s="99"/>
      <c r="N1" s="99"/>
      <c r="O1" s="99"/>
    </row>
    <row r="2" spans="1:28">
      <c r="A2" s="58" t="s">
        <v>883</v>
      </c>
      <c r="B2" t="s">
        <v>12</v>
      </c>
    </row>
    <row r="3" spans="1:28">
      <c r="A3" s="58" t="s">
        <v>884</v>
      </c>
      <c r="B3" t="str">
        <f>IF($B$1="","",_xlfn.XLOOKUP($B$1,Master!$F$2:$F$308,Master!$G$2:$G$308,""))</f>
        <v>tbl-age</v>
      </c>
    </row>
    <row r="4" spans="1:28">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c r="E17" s="99"/>
    </row>
    <row r="18" spans="1:6" ht="19.5">
      <c r="A18" s="98" t="s">
        <v>902</v>
      </c>
      <c r="B18" s="99"/>
      <c r="E18" s="99"/>
      <c r="F18" s="23"/>
    </row>
    <row r="19" spans="1:6">
      <c r="A19" t="s">
        <v>903</v>
      </c>
      <c r="E19" s="99"/>
    </row>
    <row r="20" spans="1:6">
      <c r="A20" t="s">
        <v>904</v>
      </c>
      <c r="E20" s="99"/>
    </row>
    <row r="21" spans="1:6">
      <c r="A21" t="s">
        <v>905</v>
      </c>
      <c r="E21" s="99"/>
    </row>
    <row r="22" spans="1:6">
      <c r="A22" t="s">
        <v>906</v>
      </c>
      <c r="E22" s="99"/>
    </row>
    <row r="23" spans="1:6">
      <c r="A23" t="s">
        <v>907</v>
      </c>
      <c r="E23" s="99"/>
    </row>
    <row r="24" spans="1:6">
      <c r="A24" t="s">
        <v>908</v>
      </c>
      <c r="E24" s="99"/>
    </row>
    <row r="25" spans="1:6">
      <c r="A25" t="s">
        <v>909</v>
      </c>
      <c r="E25" s="99"/>
    </row>
    <row r="26" spans="1:6">
      <c r="E26" s="99"/>
    </row>
    <row r="27" spans="1:6">
      <c r="A27" s="101" t="s">
        <v>910</v>
      </c>
      <c r="B27" s="99"/>
      <c r="E27" s="99"/>
    </row>
    <row r="28" spans="1:6">
      <c r="E28" s="99"/>
    </row>
    <row r="29" spans="1:6">
      <c r="E29" s="99"/>
    </row>
    <row r="30" spans="1:6">
      <c r="E30" s="99"/>
    </row>
    <row r="31" spans="1:6">
      <c r="E31" s="99"/>
    </row>
    <row r="32" spans="1:6">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defaultColWidth="8.7109375" defaultRowHeight="15"/>
  <cols>
    <col min="1" max="1" width="20" bestFit="1" customWidth="1"/>
    <col min="2" max="2" width="16.7109375" customWidth="1"/>
    <col min="5" max="5" width="6.7109375" customWidth="1"/>
    <col min="6" max="6" width="11.140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02" t="s">
        <v>25</v>
      </c>
      <c r="C1" s="99"/>
      <c r="D1" s="99"/>
      <c r="E1" s="99"/>
      <c r="F1" s="99"/>
      <c r="G1" s="99"/>
      <c r="H1" s="99"/>
      <c r="I1" s="99"/>
      <c r="J1" s="99"/>
      <c r="K1" s="99"/>
      <c r="L1" s="99"/>
      <c r="M1" s="99"/>
      <c r="N1" s="99"/>
      <c r="O1" s="99"/>
    </row>
    <row r="2" spans="1:15">
      <c r="A2" s="58" t="s">
        <v>883</v>
      </c>
      <c r="B2" t="s">
        <v>12</v>
      </c>
    </row>
    <row r="3" spans="1:15">
      <c r="A3" s="58" t="s">
        <v>884</v>
      </c>
      <c r="B3" t="str">
        <f>IF($B$1="","",_xlfn.XLOOKUP($B$1,Master!$F$2:$F$308,Master!$G$2:$G$308,""))</f>
        <v>tbl-ethnicity</v>
      </c>
    </row>
    <row r="4" spans="1:15">
      <c r="E4" s="13"/>
      <c r="F4" s="13"/>
      <c r="G4" s="16" t="s">
        <v>664</v>
      </c>
      <c r="H4" s="16" t="s">
        <v>679</v>
      </c>
      <c r="I4" s="16" t="s">
        <v>664</v>
      </c>
      <c r="J4" s="16" t="s">
        <v>679</v>
      </c>
      <c r="K4" s="16"/>
      <c r="L4" s="16"/>
      <c r="M4" s="16"/>
      <c r="N4" s="16"/>
      <c r="O4" s="16"/>
    </row>
    <row r="5" spans="1:15">
      <c r="A5" s="98" t="s">
        <v>885</v>
      </c>
      <c r="B5" s="99"/>
      <c r="E5" s="100" t="s">
        <v>886</v>
      </c>
      <c r="F5" s="101" t="s">
        <v>1956</v>
      </c>
      <c r="G5" s="108" t="s">
        <v>927</v>
      </c>
      <c r="H5" s="108"/>
      <c r="I5" s="108" t="s">
        <v>928</v>
      </c>
      <c r="J5" s="108"/>
    </row>
    <row r="6" spans="1:15" ht="15" customHeight="1">
      <c r="A6" t="s">
        <v>891</v>
      </c>
      <c r="B6" t="b">
        <v>1</v>
      </c>
      <c r="E6" s="99"/>
      <c r="F6" s="101"/>
      <c r="G6" s="18" t="s">
        <v>888</v>
      </c>
      <c r="H6" s="18" t="s">
        <v>913</v>
      </c>
      <c r="I6" s="18" t="s">
        <v>888</v>
      </c>
      <c r="J6" s="18" t="s">
        <v>913</v>
      </c>
    </row>
    <row r="7" spans="1:15" ht="15.75" customHeight="1">
      <c r="A7" t="s">
        <v>892</v>
      </c>
      <c r="B7" t="s">
        <v>694</v>
      </c>
      <c r="E7" s="99"/>
      <c r="F7" s="17" t="s">
        <v>220</v>
      </c>
      <c r="G7" s="19">
        <v>44153</v>
      </c>
      <c r="H7" s="20">
        <v>14.9</v>
      </c>
      <c r="I7" s="19">
        <v>252991</v>
      </c>
      <c r="J7" s="20">
        <v>85.1</v>
      </c>
    </row>
    <row r="8" spans="1:15">
      <c r="E8" s="99"/>
      <c r="F8" s="17" t="s">
        <v>18</v>
      </c>
      <c r="G8" s="19">
        <v>93608</v>
      </c>
      <c r="H8" s="20">
        <v>23.2</v>
      </c>
      <c r="I8" s="19">
        <v>310232</v>
      </c>
      <c r="J8" s="20">
        <v>76.8</v>
      </c>
    </row>
    <row r="9" spans="1:15">
      <c r="A9" s="98" t="s">
        <v>893</v>
      </c>
      <c r="B9" s="99"/>
      <c r="E9" s="99"/>
      <c r="F9" s="17" t="s">
        <v>537</v>
      </c>
      <c r="G9" s="19">
        <v>18676</v>
      </c>
      <c r="H9" s="20">
        <v>19.100000000000001</v>
      </c>
      <c r="I9" s="19">
        <v>79312</v>
      </c>
      <c r="J9" s="20">
        <v>80.900000000000006</v>
      </c>
    </row>
    <row r="10" spans="1:15">
      <c r="A10" t="s">
        <v>894</v>
      </c>
      <c r="E10" s="99"/>
      <c r="F10" s="17" t="s">
        <v>449</v>
      </c>
      <c r="G10" s="19">
        <v>67951</v>
      </c>
      <c r="H10" s="20">
        <v>20</v>
      </c>
      <c r="I10" s="19">
        <v>270985</v>
      </c>
      <c r="J10" s="20">
        <v>80</v>
      </c>
    </row>
    <row r="11" spans="1:15">
      <c r="A11" t="s">
        <v>895</v>
      </c>
      <c r="E11" s="99"/>
      <c r="F11" s="17" t="s">
        <v>409</v>
      </c>
      <c r="G11" s="19">
        <v>14544</v>
      </c>
      <c r="H11" s="20">
        <v>18.399999999999999</v>
      </c>
      <c r="I11" s="19">
        <v>64603</v>
      </c>
      <c r="J11" s="20">
        <v>81.599999999999994</v>
      </c>
    </row>
    <row r="12" spans="1:15">
      <c r="A12" t="s">
        <v>896</v>
      </c>
      <c r="E12" s="99"/>
      <c r="F12" s="17" t="s">
        <v>421</v>
      </c>
      <c r="G12" s="19">
        <v>21562</v>
      </c>
      <c r="H12" s="20">
        <v>11.8</v>
      </c>
      <c r="I12" s="19">
        <v>160547</v>
      </c>
      <c r="J12" s="20">
        <v>88.2</v>
      </c>
    </row>
    <row r="13" spans="1:15">
      <c r="A13" t="s">
        <v>897</v>
      </c>
      <c r="E13" s="99"/>
      <c r="F13" s="17" t="s">
        <v>470</v>
      </c>
      <c r="G13" s="19">
        <v>269085</v>
      </c>
      <c r="H13" s="20">
        <v>27</v>
      </c>
      <c r="I13" s="19">
        <v>727803</v>
      </c>
      <c r="J13" s="20">
        <v>73</v>
      </c>
    </row>
    <row r="14" spans="1:15">
      <c r="A14" t="s">
        <v>899</v>
      </c>
      <c r="E14" s="99"/>
      <c r="F14" s="17" t="s">
        <v>898</v>
      </c>
      <c r="G14" s="19">
        <v>529579</v>
      </c>
      <c r="H14" s="20">
        <v>22.1</v>
      </c>
      <c r="I14" s="19">
        <v>1866473</v>
      </c>
      <c r="J14" s="20">
        <v>77.900000000000006</v>
      </c>
    </row>
    <row r="15" spans="1:15">
      <c r="A15" t="s">
        <v>901</v>
      </c>
      <c r="E15" s="99"/>
      <c r="F15" s="17" t="s">
        <v>914</v>
      </c>
      <c r="G15" s="19">
        <v>1478113</v>
      </c>
      <c r="H15" s="20">
        <v>13</v>
      </c>
      <c r="I15" s="19">
        <v>9878004</v>
      </c>
      <c r="J15" s="20">
        <v>87</v>
      </c>
    </row>
    <row r="16" spans="1:15">
      <c r="E16" s="99"/>
      <c r="F16" s="17" t="s">
        <v>915</v>
      </c>
      <c r="G16" s="19">
        <v>3898652</v>
      </c>
      <c r="H16" s="20">
        <v>19.600000000000001</v>
      </c>
      <c r="I16" s="19">
        <v>15973667</v>
      </c>
      <c r="J16" s="20">
        <v>80.400000000000006</v>
      </c>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defaultColWidth="8.7109375" defaultRowHeight="15"/>
  <cols>
    <col min="1" max="1" width="20" bestFit="1" customWidth="1"/>
    <col min="2" max="2" width="16.7109375" customWidth="1"/>
    <col min="5" max="5" width="6.7109375" customWidth="1"/>
    <col min="6" max="6" width="13.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22">
      <c r="A1" s="58" t="s">
        <v>882</v>
      </c>
      <c r="B1" s="102" t="s">
        <v>29</v>
      </c>
      <c r="C1" s="99"/>
      <c r="D1" s="99"/>
      <c r="E1" s="99"/>
      <c r="F1" s="99"/>
      <c r="G1" s="99"/>
      <c r="H1" s="99"/>
      <c r="I1" s="99"/>
      <c r="J1" s="99"/>
      <c r="K1" s="99"/>
      <c r="L1" s="99"/>
      <c r="M1" s="99"/>
      <c r="N1" s="99"/>
      <c r="O1" s="99"/>
    </row>
    <row r="2" spans="1:22">
      <c r="A2" s="58" t="s">
        <v>883</v>
      </c>
      <c r="B2" t="s">
        <v>12</v>
      </c>
    </row>
    <row r="3" spans="1:22">
      <c r="A3" s="58" t="s">
        <v>884</v>
      </c>
      <c r="B3" t="str">
        <f>IF($B$1="","",_xlfn.XLOOKUP($B$1,Master!$F$2:$F$308,Master!$G$2:$G$308,""))</f>
        <v>tbl-race</v>
      </c>
    </row>
    <row r="4" spans="1:2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c r="A5" s="98" t="s">
        <v>885</v>
      </c>
      <c r="B5" s="99"/>
      <c r="E5" s="100" t="s">
        <v>886</v>
      </c>
      <c r="F5" s="112" t="s">
        <v>1956</v>
      </c>
      <c r="G5" s="111" t="s">
        <v>929</v>
      </c>
      <c r="H5" s="111"/>
      <c r="I5" s="111" t="s">
        <v>930</v>
      </c>
      <c r="J5" s="111"/>
      <c r="K5" s="111" t="s">
        <v>931</v>
      </c>
      <c r="L5" s="111"/>
      <c r="M5" s="111" t="s">
        <v>932</v>
      </c>
      <c r="N5" s="111"/>
      <c r="O5" s="111" t="s">
        <v>933</v>
      </c>
      <c r="P5" s="111"/>
      <c r="Q5" s="111" t="s">
        <v>934</v>
      </c>
      <c r="R5" s="111"/>
      <c r="S5" s="111" t="s">
        <v>935</v>
      </c>
      <c r="T5" s="111"/>
    </row>
    <row r="6" spans="1:22" ht="15" customHeight="1">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defaultColWidth="8.7109375" defaultRowHeight="15"/>
  <cols>
    <col min="1" max="1" width="20" bestFit="1" customWidth="1"/>
    <col min="2" max="2" width="16.7109375" customWidth="1"/>
    <col min="5" max="5" width="6.7109375" customWidth="1"/>
    <col min="6" max="6" width="11.140625" bestFit="1" customWidth="1"/>
    <col min="7" max="7" width="12" bestFit="1" customWidth="1"/>
    <col min="8" max="8" width="13.42578125" customWidth="1"/>
    <col min="9" max="9" width="12" bestFit="1" customWidth="1"/>
    <col min="11" max="11" width="10.7109375" customWidth="1"/>
    <col min="12" max="12" width="6.7109375" customWidth="1"/>
    <col min="13" max="13" width="13.140625" customWidth="1"/>
    <col min="14" max="14" width="12.28515625" bestFit="1" customWidth="1"/>
    <col min="15" max="15" width="20.28515625" customWidth="1"/>
    <col min="17" max="17" width="14" customWidth="1"/>
  </cols>
  <sheetData>
    <row r="1" spans="1:18">
      <c r="A1" s="58" t="s">
        <v>882</v>
      </c>
      <c r="B1" s="102" t="s">
        <v>32</v>
      </c>
      <c r="C1" s="99"/>
      <c r="D1" s="99"/>
      <c r="E1" s="99"/>
      <c r="F1" s="99"/>
      <c r="G1" s="99"/>
      <c r="H1" s="99"/>
      <c r="I1" s="99"/>
      <c r="J1" s="99"/>
      <c r="K1" s="99"/>
      <c r="L1" s="99"/>
      <c r="M1" s="99"/>
      <c r="N1" s="99"/>
      <c r="O1" s="99"/>
    </row>
    <row r="2" spans="1:18">
      <c r="A2" s="58" t="s">
        <v>883</v>
      </c>
      <c r="B2" t="s">
        <v>12</v>
      </c>
    </row>
    <row r="3" spans="1:18">
      <c r="A3" s="58" t="s">
        <v>884</v>
      </c>
      <c r="B3" t="str">
        <f>IF($B$1="","",_xlfn.XLOOKUP($B$1,Master!$F$2:$F$308,Master!$G$2:$G$308,""))</f>
        <v>tbl-language</v>
      </c>
    </row>
    <row r="4" spans="1:18">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c r="A5" s="98" t="s">
        <v>885</v>
      </c>
      <c r="B5" s="99"/>
      <c r="E5" s="100" t="s">
        <v>886</v>
      </c>
      <c r="F5" s="101" t="s">
        <v>1956</v>
      </c>
      <c r="G5" s="113" t="s">
        <v>936</v>
      </c>
      <c r="H5" s="113"/>
      <c r="I5" s="113" t="s">
        <v>937</v>
      </c>
      <c r="J5" s="113"/>
      <c r="K5" s="113" t="s">
        <v>938</v>
      </c>
      <c r="L5" s="113"/>
      <c r="M5" s="113" t="s">
        <v>939</v>
      </c>
      <c r="N5" s="113"/>
      <c r="O5" s="113" t="s">
        <v>940</v>
      </c>
      <c r="P5" s="113"/>
      <c r="Q5" s="113" t="s">
        <v>941</v>
      </c>
      <c r="R5" s="113"/>
    </row>
    <row r="6" spans="1:18" ht="15" customHeight="1">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c r="E8" s="99"/>
      <c r="F8" s="34" t="s">
        <v>18</v>
      </c>
      <c r="G8" s="38">
        <v>266545</v>
      </c>
      <c r="H8" s="39">
        <v>70.8</v>
      </c>
      <c r="I8" s="38">
        <v>110152</v>
      </c>
      <c r="J8" s="39">
        <v>29.2</v>
      </c>
      <c r="K8" s="38">
        <v>55418</v>
      </c>
      <c r="L8" s="39">
        <v>15</v>
      </c>
      <c r="M8" s="38">
        <v>45346</v>
      </c>
      <c r="N8" s="39">
        <v>12</v>
      </c>
      <c r="O8" s="38">
        <v>6298</v>
      </c>
      <c r="P8" s="39">
        <v>1.7</v>
      </c>
      <c r="Q8" s="38">
        <v>3090</v>
      </c>
      <c r="R8" s="39">
        <v>0.8</v>
      </c>
    </row>
    <row r="9" spans="1:18">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c r="E17" s="99"/>
    </row>
    <row r="18" spans="1:6" ht="20.25">
      <c r="A18" s="98" t="s">
        <v>902</v>
      </c>
      <c r="B18" s="99"/>
      <c r="E18" s="99"/>
      <c r="F18" s="36"/>
    </row>
    <row r="19" spans="1:6">
      <c r="A19" t="s">
        <v>903</v>
      </c>
      <c r="E19" s="99"/>
    </row>
    <row r="20" spans="1:6">
      <c r="A20" t="s">
        <v>904</v>
      </c>
      <c r="E20" s="99"/>
    </row>
    <row r="21" spans="1:6">
      <c r="A21" t="s">
        <v>905</v>
      </c>
      <c r="E21" s="99"/>
    </row>
    <row r="22" spans="1:6">
      <c r="A22" t="s">
        <v>906</v>
      </c>
      <c r="E22" s="99"/>
    </row>
    <row r="23" spans="1:6">
      <c r="A23" t="s">
        <v>907</v>
      </c>
      <c r="E23" s="99"/>
    </row>
    <row r="24" spans="1:6">
      <c r="A24" t="s">
        <v>908</v>
      </c>
      <c r="E24" s="99"/>
    </row>
    <row r="25" spans="1:6">
      <c r="A25" t="s">
        <v>909</v>
      </c>
      <c r="E25" s="99"/>
    </row>
    <row r="26" spans="1:6">
      <c r="E26" s="99"/>
    </row>
    <row r="27" spans="1:6">
      <c r="A27" s="101" t="s">
        <v>910</v>
      </c>
      <c r="B27" s="99"/>
      <c r="E27" s="99"/>
    </row>
    <row r="28" spans="1:6">
      <c r="E28" s="99"/>
    </row>
    <row r="29" spans="1:6">
      <c r="E29" s="99"/>
    </row>
    <row r="30" spans="1:6">
      <c r="E30" s="99"/>
    </row>
    <row r="31" spans="1:6">
      <c r="E31" s="99"/>
    </row>
    <row r="32" spans="1:6">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defaultColWidth="8.7109375" defaultRowHeight="15"/>
  <cols>
    <col min="1" max="1" width="20" bestFit="1" customWidth="1"/>
    <col min="2" max="2" width="16.7109375" customWidth="1"/>
    <col min="5" max="5" width="6.7109375" customWidth="1"/>
    <col min="6" max="6" width="11.140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02" t="s">
        <v>36</v>
      </c>
      <c r="C1" s="99"/>
      <c r="D1" s="99"/>
      <c r="E1" s="99"/>
      <c r="F1" s="99"/>
      <c r="G1" s="99"/>
      <c r="H1" s="99"/>
      <c r="I1" s="99"/>
      <c r="J1" s="99"/>
      <c r="K1" s="99"/>
      <c r="L1" s="99"/>
      <c r="M1" s="99"/>
      <c r="N1" s="99"/>
      <c r="O1" s="99"/>
    </row>
    <row r="2" spans="1:15">
      <c r="A2" s="58" t="s">
        <v>883</v>
      </c>
      <c r="B2" t="s">
        <v>12</v>
      </c>
    </row>
    <row r="3" spans="1:15">
      <c r="A3" s="58" t="s">
        <v>884</v>
      </c>
      <c r="B3" t="str">
        <f>IF($B$1="","",_xlfn.XLOOKUP($B$1,Master!$F$2:$F$308,Master!$G$2:$G$308,""))</f>
        <v>tbl-pop-25</v>
      </c>
    </row>
    <row r="4" spans="1:15">
      <c r="E4" s="13"/>
      <c r="F4" s="13"/>
      <c r="G4" s="16" t="s">
        <v>664</v>
      </c>
      <c r="H4" s="16"/>
      <c r="I4" s="16"/>
      <c r="J4" s="16"/>
      <c r="K4" s="16"/>
      <c r="L4" s="16"/>
      <c r="M4" s="16"/>
      <c r="N4" s="16"/>
      <c r="O4" s="16"/>
    </row>
    <row r="5" spans="1:15">
      <c r="A5" s="98" t="s">
        <v>885</v>
      </c>
      <c r="B5" s="99"/>
      <c r="E5" s="100" t="s">
        <v>886</v>
      </c>
      <c r="F5" t="s">
        <v>1956</v>
      </c>
      <c r="G5" s="34" t="s">
        <v>888</v>
      </c>
    </row>
    <row r="6" spans="1:15" ht="15" customHeight="1">
      <c r="A6" t="s">
        <v>891</v>
      </c>
      <c r="B6" t="b">
        <v>0</v>
      </c>
      <c r="E6" s="99"/>
      <c r="F6" s="34" t="s">
        <v>220</v>
      </c>
      <c r="G6" s="35">
        <v>211380</v>
      </c>
    </row>
    <row r="7" spans="1:15" ht="15.75" customHeight="1">
      <c r="E7" s="99"/>
      <c r="F7" s="34" t="s">
        <v>18</v>
      </c>
      <c r="G7" s="35">
        <v>258632</v>
      </c>
    </row>
    <row r="8" spans="1:15">
      <c r="E8" s="99"/>
      <c r="F8" s="34" t="s">
        <v>537</v>
      </c>
      <c r="G8" s="35">
        <v>71149</v>
      </c>
    </row>
    <row r="9" spans="1:15">
      <c r="A9" s="98" t="s">
        <v>893</v>
      </c>
      <c r="B9" s="99"/>
      <c r="E9" s="99"/>
      <c r="F9" s="34" t="s">
        <v>449</v>
      </c>
      <c r="G9" s="35">
        <v>208594</v>
      </c>
    </row>
    <row r="10" spans="1:15">
      <c r="A10" t="s">
        <v>894</v>
      </c>
      <c r="E10" s="99"/>
      <c r="F10" s="34" t="s">
        <v>409</v>
      </c>
      <c r="G10" s="35">
        <v>55761</v>
      </c>
    </row>
    <row r="11" spans="1:15">
      <c r="A11" t="s">
        <v>895</v>
      </c>
      <c r="E11" s="99"/>
      <c r="F11" s="34" t="s">
        <v>421</v>
      </c>
      <c r="G11" s="35">
        <v>134325</v>
      </c>
    </row>
    <row r="12" spans="1:15">
      <c r="A12" t="s">
        <v>896</v>
      </c>
      <c r="E12" s="99"/>
      <c r="F12" s="34" t="s">
        <v>470</v>
      </c>
      <c r="G12" s="35">
        <v>697202</v>
      </c>
    </row>
    <row r="13" spans="1:15">
      <c r="A13" t="s">
        <v>897</v>
      </c>
      <c r="E13" s="99"/>
      <c r="F13" s="34" t="s">
        <v>898</v>
      </c>
      <c r="G13" s="35">
        <v>1637043</v>
      </c>
    </row>
    <row r="14" spans="1:15">
      <c r="A14" t="s">
        <v>899</v>
      </c>
      <c r="E14" s="99"/>
      <c r="F14" s="34" t="s">
        <v>914</v>
      </c>
      <c r="G14" s="35">
        <v>7905485</v>
      </c>
    </row>
    <row r="15" spans="1:15">
      <c r="A15" t="s">
        <v>901</v>
      </c>
      <c r="E15" s="99"/>
      <c r="F15" s="34" t="s">
        <v>915</v>
      </c>
      <c r="G15" s="35">
        <v>13996138</v>
      </c>
    </row>
    <row r="16" spans="1:15">
      <c r="E16" s="99"/>
    </row>
    <row r="17" spans="1:6" ht="20.25">
      <c r="E17" s="99"/>
      <c r="F17" s="36"/>
    </row>
    <row r="18" spans="1:6">
      <c r="A18" s="98" t="s">
        <v>902</v>
      </c>
      <c r="B18" s="99"/>
      <c r="E18" s="99"/>
    </row>
    <row r="19" spans="1:6">
      <c r="A19" t="s">
        <v>903</v>
      </c>
      <c r="E19" s="99"/>
    </row>
    <row r="20" spans="1:6">
      <c r="A20" t="s">
        <v>904</v>
      </c>
      <c r="E20" s="99"/>
    </row>
    <row r="21" spans="1:6">
      <c r="A21" t="s">
        <v>905</v>
      </c>
      <c r="E21" s="99"/>
    </row>
    <row r="22" spans="1:6">
      <c r="A22" t="s">
        <v>906</v>
      </c>
      <c r="E22" s="99"/>
    </row>
    <row r="23" spans="1:6">
      <c r="A23" t="s">
        <v>907</v>
      </c>
      <c r="E23" s="99"/>
    </row>
    <row r="24" spans="1:6">
      <c r="A24" t="s">
        <v>908</v>
      </c>
      <c r="E24" s="99"/>
    </row>
    <row r="25" spans="1:6">
      <c r="A25" t="s">
        <v>909</v>
      </c>
      <c r="E25" s="99"/>
    </row>
    <row r="26" spans="1:6">
      <c r="E26" s="99"/>
    </row>
    <row r="27" spans="1:6">
      <c r="A27" s="101" t="s">
        <v>910</v>
      </c>
      <c r="B27" s="99"/>
      <c r="E27" s="99"/>
    </row>
    <row r="28" spans="1:6">
      <c r="E28" s="99"/>
    </row>
    <row r="29" spans="1:6">
      <c r="E29" s="99"/>
    </row>
    <row r="30" spans="1:6">
      <c r="E30" s="99"/>
    </row>
    <row r="31" spans="1:6">
      <c r="E31" s="99"/>
    </row>
    <row r="32" spans="1:6">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defaultColWidth="8.7109375" defaultRowHeight="15"/>
  <cols>
    <col min="1" max="1" width="20" bestFit="1" customWidth="1"/>
    <col min="2" max="2" width="16.7109375" customWidth="1"/>
    <col min="5" max="5" width="6.7109375" customWidth="1"/>
    <col min="6" max="6" width="14.7109375" customWidth="1"/>
    <col min="7" max="7" width="9.42578125" customWidth="1"/>
    <col min="8" max="8" width="13.42578125" customWidth="1"/>
    <col min="9" max="9" width="15.7109375" customWidth="1"/>
    <col min="11" max="11" width="10.7109375" customWidth="1"/>
    <col min="12" max="12" width="12.28515625" bestFit="1" customWidth="1"/>
    <col min="14" max="14" width="12.28515625" bestFit="1" customWidth="1"/>
    <col min="15" max="15" width="11" bestFit="1" customWidth="1"/>
    <col min="18" max="18" width="11.42578125" customWidth="1"/>
    <col min="19" max="19" width="14" customWidth="1"/>
    <col min="20" max="20" width="13.7109375" customWidth="1"/>
  </cols>
  <sheetData>
    <row r="1" spans="1:20">
      <c r="A1" s="58" t="s">
        <v>882</v>
      </c>
      <c r="B1" s="102" t="s">
        <v>40</v>
      </c>
      <c r="C1" s="99"/>
      <c r="D1" s="99"/>
      <c r="E1" s="99"/>
      <c r="F1" s="99"/>
      <c r="G1" s="99"/>
      <c r="H1" s="99"/>
      <c r="I1" s="99"/>
      <c r="J1" s="99"/>
      <c r="K1" s="99"/>
      <c r="L1" s="99"/>
      <c r="M1" s="99"/>
      <c r="N1" s="99"/>
      <c r="O1" s="99"/>
    </row>
    <row r="2" spans="1:20">
      <c r="A2" s="58" t="s">
        <v>883</v>
      </c>
      <c r="B2" t="s">
        <v>12</v>
      </c>
    </row>
    <row r="3" spans="1:20">
      <c r="A3" s="58" t="s">
        <v>884</v>
      </c>
      <c r="B3" t="str">
        <f>IF($B$1="","",_xlfn.XLOOKUP($B$1,Master!$F$2:$F$308,Master!$G$2:$G$308,""))</f>
        <v>tbl-education-base</v>
      </c>
    </row>
    <row r="4" spans="1:20">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c r="A5" s="98" t="s">
        <v>885</v>
      </c>
      <c r="B5" s="99"/>
      <c r="E5" s="100" t="s">
        <v>886</v>
      </c>
      <c r="F5" s="101" t="s">
        <v>1956</v>
      </c>
      <c r="G5" s="111" t="s">
        <v>942</v>
      </c>
      <c r="H5" s="111"/>
      <c r="I5" s="111" t="s">
        <v>943</v>
      </c>
      <c r="J5" s="111"/>
      <c r="K5" s="111" t="s">
        <v>944</v>
      </c>
      <c r="L5" s="111"/>
      <c r="M5" s="111" t="s">
        <v>945</v>
      </c>
      <c r="N5" s="111"/>
      <c r="O5" s="111" t="s">
        <v>946</v>
      </c>
      <c r="P5" s="111"/>
      <c r="Q5" s="111" t="s">
        <v>947</v>
      </c>
      <c r="R5" s="111"/>
      <c r="S5" s="111" t="s">
        <v>948</v>
      </c>
      <c r="T5" s="111"/>
    </row>
    <row r="6" spans="1:20">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defaultColWidth="8.7109375" defaultRowHeight="15"/>
  <cols>
    <col min="1" max="1" width="20" bestFit="1" customWidth="1"/>
    <col min="2" max="2" width="16.7109375" customWidth="1"/>
    <col min="5" max="5" width="6.7109375" customWidth="1"/>
    <col min="6" max="6" width="11.140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02" t="s">
        <v>42</v>
      </c>
      <c r="C1" s="99"/>
      <c r="D1" s="99"/>
      <c r="E1" s="99"/>
      <c r="F1" s="99"/>
      <c r="G1" s="99"/>
      <c r="H1" s="99"/>
      <c r="I1" s="99"/>
      <c r="J1" s="99"/>
      <c r="K1" s="99"/>
      <c r="L1" s="99"/>
      <c r="M1" s="99"/>
      <c r="N1" s="99"/>
      <c r="O1" s="99"/>
    </row>
    <row r="2" spans="1:15">
      <c r="A2" s="58" t="s">
        <v>883</v>
      </c>
      <c r="B2" t="s">
        <v>12</v>
      </c>
    </row>
    <row r="3" spans="1:15">
      <c r="A3" s="58" t="s">
        <v>884</v>
      </c>
      <c r="B3" t="str">
        <f>IF($B$1="","",_xlfn.XLOOKUP($B$1,Master!$F$2:$F$308,Master!$G$2:$G$308,""))</f>
        <v>tbl-households</v>
      </c>
    </row>
    <row r="4" spans="1:15">
      <c r="E4" s="13"/>
      <c r="F4" s="13"/>
      <c r="G4" s="16" t="s">
        <v>664</v>
      </c>
      <c r="H4" s="16"/>
      <c r="I4" s="16"/>
      <c r="J4" s="16"/>
      <c r="K4" s="16"/>
      <c r="L4" s="16"/>
      <c r="M4" s="16"/>
      <c r="N4" s="16"/>
      <c r="O4" s="16"/>
    </row>
    <row r="5" spans="1:15">
      <c r="A5" s="98" t="s">
        <v>885</v>
      </c>
      <c r="B5" s="99"/>
      <c r="E5" s="100" t="s">
        <v>886</v>
      </c>
      <c r="G5" s="17" t="s">
        <v>950</v>
      </c>
    </row>
    <row r="6" spans="1:15" ht="15" customHeight="1">
      <c r="A6" t="s">
        <v>891</v>
      </c>
      <c r="B6" t="b">
        <v>0</v>
      </c>
      <c r="E6" s="99"/>
      <c r="F6" s="17" t="s">
        <v>220</v>
      </c>
      <c r="G6" s="19">
        <v>115184</v>
      </c>
    </row>
    <row r="7" spans="1:15" ht="15.75" customHeight="1">
      <c r="E7" s="99"/>
      <c r="F7" s="17" t="s">
        <v>18</v>
      </c>
      <c r="G7" s="19">
        <v>137311</v>
      </c>
    </row>
    <row r="8" spans="1:15">
      <c r="E8" s="99"/>
      <c r="F8" s="17" t="s">
        <v>537</v>
      </c>
      <c r="G8" s="19">
        <v>35054</v>
      </c>
    </row>
    <row r="9" spans="1:15">
      <c r="A9" s="98" t="s">
        <v>893</v>
      </c>
      <c r="B9" s="99"/>
      <c r="E9" s="99"/>
      <c r="F9" s="17" t="s">
        <v>449</v>
      </c>
      <c r="G9" s="19">
        <v>103284</v>
      </c>
    </row>
    <row r="10" spans="1:15">
      <c r="A10" t="s">
        <v>894</v>
      </c>
      <c r="E10" s="99"/>
      <c r="F10" s="17" t="s">
        <v>409</v>
      </c>
      <c r="G10" s="19">
        <v>30215</v>
      </c>
    </row>
    <row r="11" spans="1:15">
      <c r="A11" t="s">
        <v>895</v>
      </c>
      <c r="E11" s="99"/>
      <c r="F11" s="17" t="s">
        <v>421</v>
      </c>
      <c r="G11" s="19">
        <v>73105</v>
      </c>
    </row>
    <row r="12" spans="1:15">
      <c r="A12" t="s">
        <v>896</v>
      </c>
      <c r="E12" s="99"/>
      <c r="F12" s="17" t="s">
        <v>470</v>
      </c>
      <c r="G12" s="19">
        <v>370256</v>
      </c>
    </row>
    <row r="13" spans="1:15">
      <c r="A13" t="s">
        <v>897</v>
      </c>
      <c r="E13" s="99"/>
      <c r="F13" s="17" t="s">
        <v>898</v>
      </c>
      <c r="G13" s="19">
        <v>864409</v>
      </c>
    </row>
    <row r="14" spans="1:15">
      <c r="A14" t="s">
        <v>899</v>
      </c>
      <c r="E14" s="99"/>
      <c r="F14" s="17" t="s">
        <v>914</v>
      </c>
      <c r="G14" s="19">
        <v>4355640</v>
      </c>
    </row>
    <row r="15" spans="1:15">
      <c r="A15" t="s">
        <v>901</v>
      </c>
      <c r="E15" s="99"/>
      <c r="F15" s="17" t="s">
        <v>915</v>
      </c>
      <c r="G15" s="19">
        <v>7668956</v>
      </c>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defaultColWidth="8.7109375" defaultRowHeight="15"/>
  <cols>
    <col min="1" max="1" width="20" bestFit="1" customWidth="1"/>
    <col min="2" max="2" width="16.7109375" customWidth="1"/>
    <col min="5" max="5" width="6.7109375" customWidth="1"/>
    <col min="6" max="6" width="11.140625" bestFit="1" customWidth="1"/>
    <col min="7" max="7" width="12" bestFit="1" customWidth="1"/>
    <col min="8" max="8" width="13.42578125" customWidth="1"/>
    <col min="9" max="9" width="12" bestFit="1" customWidth="1"/>
    <col min="11" max="11" width="12" bestFit="1" customWidth="1"/>
    <col min="12" max="12" width="12.28515625" bestFit="1" customWidth="1"/>
    <col min="13" max="13" width="12" bestFit="1" customWidth="1"/>
    <col min="14" max="14" width="12.28515625" bestFit="1" customWidth="1"/>
    <col min="15" max="15" width="12" bestFit="1" customWidth="1"/>
    <col min="17" max="17" width="12" bestFit="1" customWidth="1"/>
    <col min="19" max="19" width="12" bestFit="1" customWidth="1"/>
    <col min="21" max="21" width="12" bestFit="1" customWidth="1"/>
    <col min="22" max="22" width="5.140625" bestFit="1" customWidth="1"/>
    <col min="23" max="23" width="12" bestFit="1" customWidth="1"/>
    <col min="25" max="25" width="12" bestFit="1" customWidth="1"/>
  </cols>
  <sheetData>
    <row r="1" spans="1:26">
      <c r="A1" s="58" t="s">
        <v>882</v>
      </c>
      <c r="B1" s="102" t="s">
        <v>46</v>
      </c>
      <c r="C1" s="99"/>
      <c r="D1" s="99"/>
      <c r="E1" s="99"/>
      <c r="F1" s="99"/>
      <c r="G1" s="99"/>
      <c r="H1" s="99"/>
      <c r="I1" s="99"/>
      <c r="J1" s="99"/>
      <c r="K1" s="99"/>
      <c r="L1" s="99"/>
      <c r="M1" s="99"/>
      <c r="N1" s="99"/>
      <c r="O1" s="99"/>
    </row>
    <row r="2" spans="1:26">
      <c r="A2" s="58" t="s">
        <v>883</v>
      </c>
      <c r="B2" t="s">
        <v>12</v>
      </c>
    </row>
    <row r="3" spans="1:26">
      <c r="A3" s="58" t="s">
        <v>884</v>
      </c>
      <c r="B3" t="str">
        <f>IF($B$1="","",_xlfn.XLOOKUP($B$1,Master!$F$2:$F$308,Master!$G$2:$G$308,""))</f>
        <v>tbl-income</v>
      </c>
    </row>
    <row r="4" spans="1:26">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c r="A5" s="98" t="s">
        <v>885</v>
      </c>
      <c r="B5" s="99"/>
      <c r="E5" s="100" t="s">
        <v>886</v>
      </c>
      <c r="F5" s="101" t="s">
        <v>1956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defaultColWidth="8.7109375" defaultRowHeight="15"/>
  <cols>
    <col min="1" max="1" width="20" bestFit="1" customWidth="1"/>
    <col min="2" max="2" width="16.7109375" customWidth="1"/>
    <col min="5" max="5" width="6.7109375" customWidth="1"/>
    <col min="6" max="6" width="11.140625" bestFit="1" customWidth="1"/>
    <col min="7" max="7" width="28.7109375" bestFit="1"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02" t="s">
        <v>49</v>
      </c>
      <c r="C1" s="99"/>
      <c r="D1" s="99"/>
      <c r="E1" s="99"/>
      <c r="F1" s="99"/>
      <c r="G1" s="99"/>
      <c r="H1" s="99"/>
      <c r="I1" s="99"/>
      <c r="J1" s="99"/>
      <c r="K1" s="99"/>
      <c r="L1" s="99"/>
      <c r="M1" s="99"/>
      <c r="N1" s="99"/>
      <c r="O1" s="99"/>
    </row>
    <row r="2" spans="1:15">
      <c r="A2" s="58" t="s">
        <v>883</v>
      </c>
      <c r="B2" t="s">
        <v>12</v>
      </c>
    </row>
    <row r="3" spans="1:15">
      <c r="A3" s="58" t="s">
        <v>884</v>
      </c>
      <c r="B3" t="str">
        <f>IF($B$1="","",_xlfn.XLOOKUP($B$1,Master!$F$2:$F$308,Master!$G$2:$G$308,""))</f>
        <v>tbl-veteran</v>
      </c>
    </row>
    <row r="4" spans="1:15">
      <c r="E4" s="13"/>
      <c r="F4" s="13"/>
      <c r="G4" s="16" t="s">
        <v>664</v>
      </c>
      <c r="H4" s="16" t="s">
        <v>664</v>
      </c>
      <c r="I4" s="16" t="s">
        <v>679</v>
      </c>
      <c r="J4" s="16"/>
      <c r="K4" s="16"/>
      <c r="L4" s="16"/>
      <c r="M4" s="16"/>
      <c r="N4" s="16"/>
      <c r="O4" s="16"/>
    </row>
    <row r="5" spans="1:15">
      <c r="A5" s="98" t="s">
        <v>885</v>
      </c>
      <c r="B5" s="99"/>
      <c r="E5" s="100" t="s">
        <v>886</v>
      </c>
      <c r="F5" s="101" t="s">
        <v>1956</v>
      </c>
      <c r="G5" s="57" t="s">
        <v>961</v>
      </c>
      <c r="H5" s="111" t="s">
        <v>962</v>
      </c>
      <c r="I5" s="111"/>
    </row>
    <row r="6" spans="1:15" ht="15" customHeight="1">
      <c r="A6" t="s">
        <v>891</v>
      </c>
      <c r="B6" t="b">
        <v>1</v>
      </c>
      <c r="E6" s="99"/>
      <c r="F6" s="101"/>
      <c r="G6" s="31" t="s">
        <v>888</v>
      </c>
      <c r="H6" s="31" t="s">
        <v>888</v>
      </c>
      <c r="I6" s="31" t="s">
        <v>913</v>
      </c>
    </row>
    <row r="7" spans="1:15" ht="15.75" customHeight="1">
      <c r="E7" s="99"/>
      <c r="F7" s="17" t="s">
        <v>220</v>
      </c>
      <c r="G7" s="32">
        <v>241517</v>
      </c>
      <c r="H7" s="32">
        <v>11694</v>
      </c>
      <c r="I7" s="33">
        <v>4.8</v>
      </c>
    </row>
    <row r="8" spans="1:15">
      <c r="E8" s="99"/>
      <c r="F8" s="17" t="s">
        <v>18</v>
      </c>
      <c r="G8" s="32">
        <v>296319</v>
      </c>
      <c r="H8" s="32">
        <v>16695</v>
      </c>
      <c r="I8" s="33">
        <v>5.6</v>
      </c>
    </row>
    <row r="9" spans="1:15">
      <c r="A9" s="98" t="s">
        <v>893</v>
      </c>
      <c r="B9" s="99"/>
      <c r="E9" s="99"/>
      <c r="F9" s="17" t="s">
        <v>537</v>
      </c>
      <c r="G9" s="32">
        <v>78712</v>
      </c>
      <c r="H9" s="32">
        <v>3320</v>
      </c>
      <c r="I9" s="33">
        <v>4.2</v>
      </c>
    </row>
    <row r="10" spans="1:15">
      <c r="A10" t="s">
        <v>894</v>
      </c>
      <c r="E10" s="99"/>
      <c r="F10" s="17" t="s">
        <v>449</v>
      </c>
      <c r="G10" s="32">
        <v>239088</v>
      </c>
      <c r="H10" s="32">
        <v>7130</v>
      </c>
      <c r="I10" s="33">
        <v>3</v>
      </c>
    </row>
    <row r="11" spans="1:15">
      <c r="A11" t="s">
        <v>895</v>
      </c>
      <c r="E11" s="99"/>
      <c r="F11" s="17" t="s">
        <v>409</v>
      </c>
      <c r="G11" s="32">
        <v>62181</v>
      </c>
      <c r="H11" s="32">
        <v>3713</v>
      </c>
      <c r="I11" s="33">
        <v>6</v>
      </c>
    </row>
    <row r="12" spans="1:15">
      <c r="A12" t="s">
        <v>896</v>
      </c>
      <c r="E12" s="99"/>
      <c r="F12" s="17" t="s">
        <v>421</v>
      </c>
      <c r="G12" s="32">
        <v>150409</v>
      </c>
      <c r="H12" s="32">
        <v>6711</v>
      </c>
      <c r="I12" s="33">
        <v>4.5</v>
      </c>
    </row>
    <row r="13" spans="1:15">
      <c r="A13" t="s">
        <v>897</v>
      </c>
      <c r="E13" s="99"/>
      <c r="F13" s="17" t="s">
        <v>470</v>
      </c>
      <c r="G13" s="32">
        <v>781837</v>
      </c>
      <c r="H13" s="32">
        <v>23744</v>
      </c>
      <c r="I13" s="33">
        <v>3</v>
      </c>
    </row>
    <row r="14" spans="1:15">
      <c r="A14" t="s">
        <v>899</v>
      </c>
      <c r="E14" s="99"/>
      <c r="F14" s="17" t="s">
        <v>898</v>
      </c>
      <c r="G14" s="32">
        <v>1850063</v>
      </c>
      <c r="H14" s="32">
        <v>73007</v>
      </c>
      <c r="I14" s="33">
        <v>3.9</v>
      </c>
    </row>
    <row r="15" spans="1:15">
      <c r="A15" t="s">
        <v>901</v>
      </c>
      <c r="E15" s="99"/>
      <c r="F15" s="17" t="s">
        <v>914</v>
      </c>
      <c r="G15" s="32">
        <v>8964773</v>
      </c>
      <c r="H15" s="32">
        <v>478417</v>
      </c>
      <c r="I15" s="33">
        <v>5.3</v>
      </c>
    </row>
    <row r="16" spans="1:15">
      <c r="E16" s="99"/>
      <c r="F16" s="17" t="s">
        <v>915</v>
      </c>
      <c r="G16" s="32">
        <v>15737168</v>
      </c>
      <c r="H16" s="32">
        <v>607728</v>
      </c>
      <c r="I16" s="33">
        <v>3.9</v>
      </c>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defaultColWidth="8.7109375" defaultRowHeight="15"/>
  <cols>
    <col min="1" max="1" width="20" bestFit="1" customWidth="1"/>
    <col min="2" max="2" width="16.7109375" customWidth="1"/>
    <col min="5" max="5" width="6.7109375" customWidth="1"/>
    <col min="7" max="7" width="19" bestFit="1" customWidth="1"/>
    <col min="8" max="8" width="13.28515625" bestFit="1" customWidth="1"/>
    <col min="9" max="9" width="12.28515625" bestFit="1" customWidth="1"/>
    <col min="10" max="10" width="14.7109375" bestFit="1" customWidth="1"/>
    <col min="11" max="11" width="16.28515625" bestFit="1" customWidth="1"/>
    <col min="12" max="12" width="14" bestFit="1" customWidth="1"/>
    <col min="13" max="13" width="21.42578125" bestFit="1" customWidth="1"/>
    <col min="14" max="14" width="12.28515625" bestFit="1" customWidth="1"/>
    <col min="15" max="15" width="11" bestFit="1" customWidth="1"/>
  </cols>
  <sheetData>
    <row r="1" spans="1:15">
      <c r="A1" s="58" t="s">
        <v>882</v>
      </c>
      <c r="B1" s="102" t="s">
        <v>53</v>
      </c>
      <c r="C1" s="99"/>
      <c r="D1" s="99"/>
      <c r="E1" s="99"/>
      <c r="F1" s="99"/>
      <c r="G1" s="99"/>
      <c r="H1" s="99"/>
      <c r="I1" s="99"/>
      <c r="J1" s="99"/>
      <c r="K1" s="99"/>
      <c r="L1" s="99"/>
      <c r="M1" s="99"/>
      <c r="N1" s="99"/>
      <c r="O1" s="99"/>
    </row>
    <row r="2" spans="1:15">
      <c r="A2" s="58" t="s">
        <v>883</v>
      </c>
      <c r="B2" t="s">
        <v>12</v>
      </c>
    </row>
    <row r="3" spans="1:15">
      <c r="A3" s="58" t="s">
        <v>884</v>
      </c>
      <c r="B3" t="str">
        <f>IF($B$1="","",_xlfn.XLOOKUP($B$1,Master!$F$2:$F$308,Master!$G$2:$G$308,""))</f>
        <v>tbl-disability</v>
      </c>
    </row>
    <row r="4" spans="1:15">
      <c r="E4" s="13"/>
      <c r="F4" s="13"/>
      <c r="G4" s="16" t="s">
        <v>679</v>
      </c>
      <c r="H4" s="16" t="s">
        <v>679</v>
      </c>
      <c r="I4" s="16" t="s">
        <v>679</v>
      </c>
      <c r="J4" s="16" t="s">
        <v>679</v>
      </c>
      <c r="K4" s="16" t="s">
        <v>679</v>
      </c>
      <c r="L4" s="16" t="s">
        <v>679</v>
      </c>
      <c r="M4" s="16" t="s">
        <v>679</v>
      </c>
      <c r="N4" s="16"/>
      <c r="O4" s="16"/>
    </row>
    <row r="5" spans="1:15">
      <c r="A5" s="98" t="s">
        <v>885</v>
      </c>
      <c r="B5" s="99"/>
      <c r="E5" s="100" t="s">
        <v>886</v>
      </c>
      <c r="G5" s="17" t="s">
        <v>963</v>
      </c>
      <c r="H5" s="17" t="s">
        <v>964</v>
      </c>
      <c r="I5" s="17" t="s">
        <v>965</v>
      </c>
      <c r="J5" s="17" t="s">
        <v>966</v>
      </c>
      <c r="K5" s="17" t="s">
        <v>967</v>
      </c>
      <c r="L5" s="17" t="s">
        <v>1953</v>
      </c>
      <c r="M5" s="17" t="s">
        <v>968</v>
      </c>
    </row>
    <row r="6" spans="1:15" ht="15" customHeight="1">
      <c r="A6" t="s">
        <v>891</v>
      </c>
      <c r="B6" t="b">
        <v>0</v>
      </c>
      <c r="E6" s="99"/>
      <c r="F6" s="17" t="s">
        <v>220</v>
      </c>
      <c r="G6" s="20">
        <v>12.2</v>
      </c>
      <c r="H6" s="20">
        <v>3.5</v>
      </c>
      <c r="I6" s="20">
        <v>2</v>
      </c>
      <c r="J6" s="20">
        <v>4.7</v>
      </c>
      <c r="K6" s="20">
        <v>6.3</v>
      </c>
      <c r="L6" s="20">
        <v>2.6</v>
      </c>
      <c r="M6" s="20">
        <v>5.9</v>
      </c>
    </row>
    <row r="7" spans="1:15" ht="15.75" customHeight="1">
      <c r="E7" s="99"/>
      <c r="F7" s="17" t="s">
        <v>18</v>
      </c>
      <c r="G7" s="20">
        <v>11.7</v>
      </c>
      <c r="H7" s="20">
        <v>3.2</v>
      </c>
      <c r="I7" s="20">
        <v>2.1</v>
      </c>
      <c r="J7" s="20">
        <v>5.4</v>
      </c>
      <c r="K7" s="20">
        <v>6.3</v>
      </c>
      <c r="L7" s="20">
        <v>2.9</v>
      </c>
      <c r="M7" s="20">
        <v>6.2</v>
      </c>
    </row>
    <row r="8" spans="1:15">
      <c r="E8" s="99"/>
      <c r="F8" s="17" t="s">
        <v>537</v>
      </c>
      <c r="G8" s="20">
        <v>9.6</v>
      </c>
      <c r="H8" s="20">
        <v>2.8</v>
      </c>
      <c r="I8" s="20">
        <v>1.4</v>
      </c>
      <c r="J8" s="20">
        <v>3.5</v>
      </c>
      <c r="K8" s="20">
        <v>5.4</v>
      </c>
      <c r="L8" s="20">
        <v>2.4</v>
      </c>
      <c r="M8" s="20">
        <v>4.5999999999999996</v>
      </c>
    </row>
    <row r="9" spans="1:15">
      <c r="A9" s="98" t="s">
        <v>893</v>
      </c>
      <c r="B9" s="99"/>
      <c r="E9" s="99"/>
      <c r="F9" s="17" t="s">
        <v>449</v>
      </c>
      <c r="G9" s="20">
        <v>8.6999999999999993</v>
      </c>
      <c r="H9" s="20">
        <v>2.7</v>
      </c>
      <c r="I9" s="20">
        <v>1.4</v>
      </c>
      <c r="J9" s="20">
        <v>3.4</v>
      </c>
      <c r="K9" s="20">
        <v>4.4000000000000004</v>
      </c>
      <c r="L9" s="20">
        <v>2.2000000000000002</v>
      </c>
      <c r="M9" s="20">
        <v>4.5</v>
      </c>
    </row>
    <row r="10" spans="1:15">
      <c r="A10" t="s">
        <v>894</v>
      </c>
      <c r="E10" s="99"/>
      <c r="F10" s="17" t="s">
        <v>409</v>
      </c>
      <c r="G10" s="20">
        <v>15.9</v>
      </c>
      <c r="H10" s="20">
        <v>4.4000000000000004</v>
      </c>
      <c r="I10" s="20">
        <v>3</v>
      </c>
      <c r="J10" s="20">
        <v>6.4</v>
      </c>
      <c r="K10" s="20">
        <v>9.1</v>
      </c>
      <c r="L10" s="20">
        <v>3.7</v>
      </c>
      <c r="M10" s="20">
        <v>7.2</v>
      </c>
    </row>
    <row r="11" spans="1:15">
      <c r="A11" t="s">
        <v>895</v>
      </c>
      <c r="E11" s="99"/>
      <c r="F11" s="17" t="s">
        <v>421</v>
      </c>
      <c r="G11" s="20">
        <v>14.4</v>
      </c>
      <c r="H11" s="20">
        <v>4.2</v>
      </c>
      <c r="I11" s="20">
        <v>2.2999999999999998</v>
      </c>
      <c r="J11" s="20">
        <v>5.0999999999999996</v>
      </c>
      <c r="K11" s="20">
        <v>7.4</v>
      </c>
      <c r="L11" s="20">
        <v>3</v>
      </c>
      <c r="M11" s="20">
        <v>6</v>
      </c>
    </row>
    <row r="12" spans="1:15">
      <c r="A12" t="s">
        <v>896</v>
      </c>
      <c r="E12" s="99"/>
      <c r="F12" s="17" t="s">
        <v>470</v>
      </c>
      <c r="G12" s="20">
        <v>9.5</v>
      </c>
      <c r="H12" s="20">
        <v>2.5</v>
      </c>
      <c r="I12" s="20">
        <v>1.6</v>
      </c>
      <c r="J12" s="20">
        <v>3.7</v>
      </c>
      <c r="K12" s="20">
        <v>5.3</v>
      </c>
      <c r="L12" s="20">
        <v>2.2999999999999998</v>
      </c>
      <c r="M12" s="20">
        <v>4.8</v>
      </c>
    </row>
    <row r="13" spans="1:15">
      <c r="A13" t="s">
        <v>897</v>
      </c>
      <c r="E13" s="99"/>
      <c r="F13" s="17" t="s">
        <v>898</v>
      </c>
      <c r="G13" s="20">
        <v>10.199999999999999</v>
      </c>
      <c r="H13" s="20">
        <v>2.8</v>
      </c>
      <c r="I13" s="20">
        <v>1.7</v>
      </c>
      <c r="J13" s="20">
        <v>3.8</v>
      </c>
      <c r="K13" s="20">
        <v>5.2</v>
      </c>
      <c r="L13" s="20">
        <v>2.2999999999999998</v>
      </c>
      <c r="M13" s="20">
        <v>3.9</v>
      </c>
    </row>
    <row r="14" spans="1:15">
      <c r="A14" t="s">
        <v>899</v>
      </c>
      <c r="E14" s="99"/>
      <c r="F14" s="17" t="s">
        <v>915</v>
      </c>
      <c r="G14" s="20">
        <v>11.6</v>
      </c>
      <c r="H14" s="20">
        <v>2.8</v>
      </c>
      <c r="I14" s="20">
        <v>2.1</v>
      </c>
      <c r="J14" s="20">
        <v>4.5</v>
      </c>
      <c r="K14" s="20">
        <v>6.6</v>
      </c>
      <c r="L14" s="20">
        <v>2.7</v>
      </c>
      <c r="M14" s="20">
        <v>5.7</v>
      </c>
    </row>
    <row r="15" spans="1:15">
      <c r="A15" t="s">
        <v>901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204</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tbl-no-vehicles</v>
      </c>
    </row>
    <row r="4" spans="1:15">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s="55" t="s">
        <v>220</v>
      </c>
      <c r="H5" s="55" t="s">
        <v>18</v>
      </c>
      <c r="I5" s="55" t="s">
        <v>537</v>
      </c>
      <c r="J5" s="55" t="s">
        <v>449</v>
      </c>
      <c r="K5" s="55" t="s">
        <v>409</v>
      </c>
      <c r="L5" s="55" t="s">
        <v>421</v>
      </c>
      <c r="M5" s="55" t="s">
        <v>470</v>
      </c>
      <c r="N5" s="55" t="s">
        <v>915</v>
      </c>
    </row>
    <row r="6" spans="1:15" ht="15" customHeight="1">
      <c r="A6" t="s">
        <v>891</v>
      </c>
      <c r="B6" t="b">
        <v>0</v>
      </c>
      <c r="E6" s="99"/>
      <c r="F6" t="s">
        <v>969</v>
      </c>
      <c r="G6" s="55">
        <v>7.2</v>
      </c>
      <c r="H6" s="55">
        <v>8.9</v>
      </c>
      <c r="I6" s="55">
        <v>4.7</v>
      </c>
      <c r="J6" s="55">
        <v>10.4</v>
      </c>
      <c r="K6" s="55">
        <v>10.4</v>
      </c>
      <c r="L6" s="55">
        <v>6.8</v>
      </c>
      <c r="M6" s="55">
        <v>14.3</v>
      </c>
      <c r="N6" s="55">
        <v>28.9</v>
      </c>
    </row>
    <row r="7" spans="1:15" ht="15.75" customHeight="1">
      <c r="E7" s="99"/>
      <c r="F7" t="s">
        <v>970</v>
      </c>
      <c r="G7" s="55">
        <v>7.2</v>
      </c>
      <c r="H7" s="55">
        <v>8.6</v>
      </c>
      <c r="I7" s="55">
        <v>4.0999999999999996</v>
      </c>
      <c r="J7" s="55">
        <v>9.9</v>
      </c>
      <c r="K7" s="55">
        <v>9.9</v>
      </c>
      <c r="L7" s="55">
        <v>7.2</v>
      </c>
      <c r="M7" s="55">
        <v>14.2</v>
      </c>
      <c r="N7" s="59">
        <v>29</v>
      </c>
    </row>
    <row r="8" spans="1:15">
      <c r="E8" s="99"/>
      <c r="F8" t="s">
        <v>971</v>
      </c>
      <c r="G8" s="59">
        <v>7</v>
      </c>
      <c r="H8" s="55">
        <v>8.6</v>
      </c>
      <c r="I8" s="55">
        <v>4.2</v>
      </c>
      <c r="J8" s="55">
        <v>9.6999999999999993</v>
      </c>
      <c r="K8" s="55">
        <v>8.8000000000000007</v>
      </c>
      <c r="L8" s="55">
        <v>7.5</v>
      </c>
      <c r="M8" s="55">
        <v>14.2</v>
      </c>
      <c r="N8" s="59">
        <v>29</v>
      </c>
    </row>
    <row r="9" spans="1:15">
      <c r="A9" s="98" t="s">
        <v>893</v>
      </c>
      <c r="B9" s="99"/>
      <c r="E9" s="99"/>
    </row>
    <row r="10" spans="1:15">
      <c r="A10" t="s">
        <v>894</v>
      </c>
      <c r="B10" t="s">
        <v>972</v>
      </c>
      <c r="E10" s="99"/>
    </row>
    <row r="11" spans="1:15">
      <c r="A11" t="s">
        <v>895</v>
      </c>
      <c r="B11" t="s">
        <v>973</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ht="135">
      <c r="A20" t="s">
        <v>904</v>
      </c>
      <c r="B20" s="50" t="s">
        <v>974</v>
      </c>
      <c r="E20" s="99"/>
    </row>
    <row r="21" spans="1:5">
      <c r="A21" t="s">
        <v>905</v>
      </c>
      <c r="B21" t="s">
        <v>975</v>
      </c>
      <c r="E21" s="99"/>
    </row>
    <row r="22" spans="1:5">
      <c r="A22" t="s">
        <v>906</v>
      </c>
      <c r="E22" s="99"/>
    </row>
    <row r="23" spans="1:5">
      <c r="A23" t="s">
        <v>907</v>
      </c>
      <c r="B23" t="s">
        <v>976</v>
      </c>
      <c r="E23" s="99"/>
    </row>
    <row r="24" spans="1:5">
      <c r="A24" t="s">
        <v>908</v>
      </c>
      <c r="B24">
        <v>2025</v>
      </c>
      <c r="E24" s="99"/>
    </row>
    <row r="25" spans="1:5">
      <c r="A25" t="s">
        <v>909</v>
      </c>
      <c r="E25" s="99"/>
    </row>
    <row r="26" spans="1:5">
      <c r="E26" s="99"/>
    </row>
    <row r="27" spans="1:5">
      <c r="A27" s="101" t="s">
        <v>977</v>
      </c>
      <c r="B27" s="99"/>
      <c r="E27" s="99"/>
    </row>
    <row r="28" spans="1:5">
      <c r="A28" t="s">
        <v>978</v>
      </c>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206</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tbl-mode-to-work</v>
      </c>
    </row>
    <row r="4" spans="1:15">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c r="A5" s="98" t="s">
        <v>885</v>
      </c>
      <c r="B5" s="99"/>
      <c r="E5" s="100" t="s">
        <v>886</v>
      </c>
      <c r="G5" s="55" t="s">
        <v>220</v>
      </c>
      <c r="H5" s="55" t="s">
        <v>18</v>
      </c>
      <c r="I5" s="55" t="s">
        <v>537</v>
      </c>
      <c r="J5" s="55" t="s">
        <v>449</v>
      </c>
      <c r="K5" s="55" t="s">
        <v>409</v>
      </c>
      <c r="L5" s="55" t="s">
        <v>421</v>
      </c>
      <c r="M5" s="55" t="s">
        <v>470</v>
      </c>
      <c r="N5" s="55" t="s">
        <v>915</v>
      </c>
    </row>
    <row r="6" spans="1:15" ht="15" customHeight="1">
      <c r="A6" t="s">
        <v>891</v>
      </c>
      <c r="B6" t="b">
        <v>0</v>
      </c>
      <c r="E6" s="99"/>
      <c r="F6" t="s">
        <v>979</v>
      </c>
      <c r="G6">
        <v>71.400000000000006</v>
      </c>
      <c r="H6">
        <v>69.8</v>
      </c>
      <c r="I6">
        <v>70.599999999999994</v>
      </c>
      <c r="J6">
        <v>66.599999999999994</v>
      </c>
      <c r="K6">
        <v>74.099999999999994</v>
      </c>
      <c r="L6">
        <v>71.7</v>
      </c>
      <c r="M6">
        <v>51.9</v>
      </c>
      <c r="N6" s="14">
        <v>50</v>
      </c>
    </row>
    <row r="7" spans="1:15" ht="15.75" customHeight="1">
      <c r="E7" s="99"/>
      <c r="F7" t="s">
        <v>980</v>
      </c>
      <c r="G7">
        <v>7.5</v>
      </c>
      <c r="H7">
        <v>9.6</v>
      </c>
      <c r="I7">
        <v>7.6</v>
      </c>
      <c r="J7">
        <v>8.5</v>
      </c>
      <c r="K7">
        <v>8.8000000000000007</v>
      </c>
      <c r="L7">
        <v>6.7</v>
      </c>
      <c r="M7">
        <v>7.2</v>
      </c>
      <c r="N7" s="14">
        <v>6.3</v>
      </c>
    </row>
    <row r="8" spans="1:15">
      <c r="E8" s="99"/>
      <c r="F8" t="s">
        <v>981</v>
      </c>
      <c r="G8" s="14">
        <v>3.7</v>
      </c>
      <c r="H8">
        <v>4.4000000000000004</v>
      </c>
      <c r="I8">
        <v>5.6</v>
      </c>
      <c r="J8">
        <v>6.2</v>
      </c>
      <c r="K8">
        <v>1.2</v>
      </c>
      <c r="L8">
        <v>2.1</v>
      </c>
      <c r="M8">
        <v>17.8</v>
      </c>
      <c r="N8" s="14">
        <v>22.4</v>
      </c>
    </row>
    <row r="9" spans="1:15">
      <c r="A9" s="98" t="s">
        <v>893</v>
      </c>
      <c r="B9" s="99"/>
      <c r="E9" s="99"/>
      <c r="F9" t="s">
        <v>982</v>
      </c>
      <c r="G9">
        <v>2.2999999999999998</v>
      </c>
      <c r="H9">
        <v>3.1</v>
      </c>
      <c r="I9">
        <v>1.5</v>
      </c>
      <c r="J9">
        <v>3.1</v>
      </c>
      <c r="K9">
        <v>2.4</v>
      </c>
      <c r="L9">
        <v>2.4</v>
      </c>
      <c r="M9">
        <v>3.7</v>
      </c>
      <c r="N9">
        <v>5.3</v>
      </c>
    </row>
    <row r="10" spans="1:15">
      <c r="A10" t="s">
        <v>894</v>
      </c>
      <c r="B10" t="s">
        <v>983</v>
      </c>
      <c r="E10" s="99"/>
      <c r="F10" t="s">
        <v>984</v>
      </c>
      <c r="G10">
        <v>1.7</v>
      </c>
      <c r="H10" s="14">
        <v>2</v>
      </c>
      <c r="I10" s="14">
        <v>1</v>
      </c>
      <c r="J10">
        <v>2.8</v>
      </c>
      <c r="K10">
        <v>1.9</v>
      </c>
      <c r="L10">
        <v>1.8</v>
      </c>
      <c r="M10">
        <v>2.1</v>
      </c>
      <c r="N10">
        <v>2.6</v>
      </c>
    </row>
    <row r="11" spans="1:15">
      <c r="A11" t="s">
        <v>895</v>
      </c>
      <c r="B11" t="s">
        <v>985</v>
      </c>
      <c r="E11" s="99"/>
      <c r="F11" t="s">
        <v>986</v>
      </c>
      <c r="G11">
        <v>13.4</v>
      </c>
      <c r="H11">
        <v>11.1</v>
      </c>
      <c r="I11">
        <v>13.7</v>
      </c>
      <c r="J11">
        <v>12.7</v>
      </c>
      <c r="K11">
        <v>11.6</v>
      </c>
      <c r="L11">
        <v>15.3</v>
      </c>
      <c r="M11">
        <v>17.3</v>
      </c>
      <c r="N11">
        <v>13.3</v>
      </c>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987</v>
      </c>
      <c r="E20" s="99"/>
    </row>
    <row r="21" spans="1:5">
      <c r="A21" t="s">
        <v>905</v>
      </c>
      <c r="B21">
        <v>2023</v>
      </c>
      <c r="E21" s="99"/>
    </row>
    <row r="22" spans="1:5">
      <c r="A22" t="s">
        <v>906</v>
      </c>
      <c r="E22" s="99"/>
    </row>
    <row r="23" spans="1:5">
      <c r="A23" t="s">
        <v>907</v>
      </c>
      <c r="B23" t="s">
        <v>976</v>
      </c>
      <c r="E23" s="99"/>
    </row>
    <row r="24" spans="1:5">
      <c r="A24" t="s">
        <v>908</v>
      </c>
      <c r="B24">
        <v>2025</v>
      </c>
      <c r="E24" s="99"/>
    </row>
    <row r="25" spans="1:5">
      <c r="A25" t="s">
        <v>909</v>
      </c>
      <c r="E25" s="99"/>
    </row>
    <row r="26" spans="1:5">
      <c r="E26" s="99"/>
    </row>
    <row r="27" spans="1:5">
      <c r="A27" s="101" t="s">
        <v>977</v>
      </c>
      <c r="B27" s="99"/>
      <c r="E27" s="99"/>
    </row>
    <row r="28" spans="1:5" ht="225">
      <c r="A28" s="50" t="s">
        <v>988</v>
      </c>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211</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tbl-mean-time-work</v>
      </c>
    </row>
    <row r="4" spans="1:15">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s="55" t="s">
        <v>220</v>
      </c>
      <c r="H5" s="55" t="s">
        <v>18</v>
      </c>
      <c r="I5" s="55" t="s">
        <v>537</v>
      </c>
      <c r="J5" s="55" t="s">
        <v>449</v>
      </c>
      <c r="K5" s="55" t="s">
        <v>409</v>
      </c>
      <c r="L5" s="55" t="s">
        <v>421</v>
      </c>
      <c r="M5" s="55" t="s">
        <v>470</v>
      </c>
      <c r="N5" s="55" t="s">
        <v>915</v>
      </c>
    </row>
    <row r="6" spans="1:15" ht="15" customHeight="1">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c r="E7" s="99"/>
      <c r="F7" t="s">
        <v>970</v>
      </c>
      <c r="G7" s="59">
        <v>32.299999999999997</v>
      </c>
      <c r="H7" s="59">
        <v>34.1</v>
      </c>
      <c r="I7" s="59">
        <v>39.9</v>
      </c>
      <c r="J7" s="59">
        <v>31</v>
      </c>
      <c r="K7" s="59">
        <v>28.1</v>
      </c>
      <c r="L7" s="59">
        <v>28.1</v>
      </c>
      <c r="M7" s="59">
        <v>34.799999999999997</v>
      </c>
      <c r="N7" s="59">
        <v>33.200000000000003</v>
      </c>
    </row>
    <row r="8" spans="1:15">
      <c r="E8" s="99"/>
      <c r="F8" t="s">
        <v>971</v>
      </c>
      <c r="G8" s="59">
        <v>31.4</v>
      </c>
      <c r="H8" s="59">
        <v>34.200000000000003</v>
      </c>
      <c r="I8" s="59">
        <v>39.5</v>
      </c>
      <c r="J8" s="59">
        <v>30.3</v>
      </c>
      <c r="K8" s="59">
        <v>27.8</v>
      </c>
      <c r="L8" s="59">
        <v>27.8</v>
      </c>
      <c r="M8" s="59">
        <v>34.700000000000003</v>
      </c>
      <c r="N8" s="59">
        <v>32.799999999999997</v>
      </c>
    </row>
    <row r="9" spans="1:15">
      <c r="A9" s="98" t="s">
        <v>893</v>
      </c>
      <c r="B9" s="99"/>
      <c r="E9" s="99"/>
    </row>
    <row r="10" spans="1:15">
      <c r="A10" t="s">
        <v>894</v>
      </c>
      <c r="B10" t="s">
        <v>972</v>
      </c>
      <c r="E10" s="99"/>
    </row>
    <row r="11" spans="1:15">
      <c r="A11" t="s">
        <v>895</v>
      </c>
      <c r="B11" t="s">
        <v>973</v>
      </c>
      <c r="E11" s="99"/>
    </row>
    <row r="12" spans="1:15">
      <c r="A12" t="s">
        <v>896</v>
      </c>
      <c r="B12" t="s">
        <v>989</v>
      </c>
      <c r="E12" s="99"/>
    </row>
    <row r="13" spans="1:15">
      <c r="A13" t="s">
        <v>897</v>
      </c>
      <c r="E13" s="99"/>
    </row>
    <row r="14" spans="1:15">
      <c r="A14" t="s">
        <v>899</v>
      </c>
      <c r="B14" t="s">
        <v>989</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990</v>
      </c>
      <c r="E20" s="99"/>
    </row>
    <row r="21" spans="1:5">
      <c r="A21" t="s">
        <v>905</v>
      </c>
      <c r="B21" t="s">
        <v>975</v>
      </c>
      <c r="E21" s="99"/>
    </row>
    <row r="22" spans="1:5">
      <c r="A22" t="s">
        <v>906</v>
      </c>
      <c r="E22" s="99"/>
    </row>
    <row r="23" spans="1:5">
      <c r="A23" t="s">
        <v>907</v>
      </c>
      <c r="B23" t="s">
        <v>976</v>
      </c>
      <c r="E23" s="99"/>
    </row>
    <row r="24" spans="1:5">
      <c r="A24" t="s">
        <v>908</v>
      </c>
      <c r="B24">
        <v>2025</v>
      </c>
      <c r="E24" s="99"/>
    </row>
    <row r="25" spans="1:5">
      <c r="A25" t="s">
        <v>909</v>
      </c>
      <c r="E25" s="99"/>
    </row>
    <row r="26" spans="1:5">
      <c r="E26" s="99"/>
    </row>
    <row r="27" spans="1:5">
      <c r="A27" s="101" t="s">
        <v>977</v>
      </c>
      <c r="B27" s="99"/>
      <c r="E27" s="99"/>
    </row>
    <row r="28" spans="1:5" ht="409.5">
      <c r="A28" s="50" t="s">
        <v>991</v>
      </c>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defaultColWidth="8.7109375" defaultRowHeight="15"/>
  <cols>
    <col min="1" max="1" width="20" bestFit="1" customWidth="1"/>
    <col min="2" max="2" width="16.7109375" customWidth="1"/>
    <col min="5" max="5" width="6.7109375" customWidth="1"/>
    <col min="6" max="6" width="28.85546875" bestFit="1" customWidth="1"/>
    <col min="7" max="7" width="26.85546875" bestFit="1" customWidth="1"/>
    <col min="8" max="8" width="35.28515625" bestFit="1" customWidth="1"/>
    <col min="9" max="9" width="29.42578125" bestFit="1" customWidth="1"/>
    <col min="10" max="10" width="34.7109375" bestFit="1" customWidth="1"/>
    <col min="11" max="11" width="29.28515625" bestFit="1" customWidth="1"/>
    <col min="12" max="12" width="22.140625" bestFit="1" customWidth="1"/>
    <col min="13" max="13" width="39.42578125" bestFit="1" customWidth="1"/>
    <col min="14" max="14" width="25.7109375" bestFit="1" customWidth="1"/>
    <col min="15" max="15" width="33.42578125" bestFit="1" customWidth="1"/>
  </cols>
  <sheetData>
    <row r="1" spans="1:15">
      <c r="A1" s="58" t="s">
        <v>882</v>
      </c>
      <c r="B1" s="114" t="s">
        <v>215</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tbl-DC-affect-health</v>
      </c>
    </row>
    <row r="4" spans="1:15">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c r="E7" s="99"/>
      <c r="N7" s="14"/>
    </row>
    <row r="8" spans="1:15">
      <c r="E8" s="99"/>
      <c r="G8" s="14"/>
      <c r="N8" s="14"/>
    </row>
    <row r="9" spans="1:15">
      <c r="A9" s="98" t="s">
        <v>893</v>
      </c>
      <c r="B9" s="99"/>
      <c r="E9" s="99"/>
    </row>
    <row r="10" spans="1:15">
      <c r="A10" t="s">
        <v>894</v>
      </c>
      <c r="B10" t="s">
        <v>1002</v>
      </c>
      <c r="E10" s="99"/>
      <c r="H10" s="14"/>
      <c r="I10" s="14"/>
    </row>
    <row r="11" spans="1:15">
      <c r="A11" t="s">
        <v>895</v>
      </c>
      <c r="B11" t="s">
        <v>985</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222</v>
      </c>
      <c r="C1" s="97"/>
      <c r="D1" s="97"/>
      <c r="E1" s="97"/>
      <c r="F1" s="97"/>
      <c r="G1" s="97"/>
      <c r="H1" s="97"/>
      <c r="I1" s="97"/>
      <c r="J1" s="97"/>
      <c r="K1" s="97"/>
      <c r="L1" s="97"/>
      <c r="M1" s="97"/>
      <c r="N1" s="97"/>
      <c r="O1" s="97"/>
    </row>
    <row r="2" spans="1:17">
      <c r="A2" s="58" t="s">
        <v>883</v>
      </c>
      <c r="B2" t="s">
        <v>56</v>
      </c>
    </row>
    <row r="3" spans="1:17">
      <c r="A3" s="58" t="s">
        <v>884</v>
      </c>
      <c r="B3" t="str">
        <f>IF($B$1="","",_xlfn.XLOOKUP($B$1,Master!$F$2:$F$308,Master!$G$2:$G$308,""))</f>
        <v>tbl-DC-achieve-health</v>
      </c>
    </row>
    <row r="4" spans="1:17">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c r="E7" s="99"/>
      <c r="N7" s="14"/>
    </row>
    <row r="8" spans="1:17">
      <c r="E8" s="99"/>
      <c r="G8" s="14"/>
      <c r="N8" s="14"/>
    </row>
    <row r="9" spans="1:17">
      <c r="A9" s="98" t="s">
        <v>893</v>
      </c>
      <c r="B9" s="99"/>
      <c r="E9" s="99"/>
    </row>
    <row r="10" spans="1:17">
      <c r="A10" t="s">
        <v>894</v>
      </c>
      <c r="B10" t="s">
        <v>1002</v>
      </c>
      <c r="E10" s="99"/>
      <c r="H10" s="14"/>
      <c r="I10" s="14"/>
    </row>
    <row r="11" spans="1:17">
      <c r="A11" t="s">
        <v>895</v>
      </c>
      <c r="B11" t="s">
        <v>985</v>
      </c>
      <c r="E11" s="99"/>
    </row>
    <row r="12" spans="1:17">
      <c r="A12" t="s">
        <v>896</v>
      </c>
      <c r="B12" t="s">
        <v>694</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defaultColWidth="8.7109375" defaultRowHeight="15"/>
  <cols>
    <col min="1" max="1" width="20" bestFit="1" customWidth="1"/>
    <col min="2" max="2" width="16.7109375" customWidth="1"/>
    <col min="5" max="5" width="6.7109375" customWidth="1"/>
    <col min="6" max="6" width="7.28515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226</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tbl-DC-impact-hlth-issue</v>
      </c>
    </row>
    <row r="4" spans="1:15">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100"/>
      <c r="F6" s="61">
        <v>1</v>
      </c>
      <c r="G6" s="55">
        <v>6.7</v>
      </c>
      <c r="H6" s="55">
        <v>3.9</v>
      </c>
      <c r="I6" s="55">
        <v>4.9000000000000004</v>
      </c>
      <c r="J6" s="55">
        <v>22.3</v>
      </c>
      <c r="K6" s="55">
        <v>17.600000000000001</v>
      </c>
      <c r="L6" s="55">
        <v>21.2</v>
      </c>
      <c r="N6" s="14"/>
    </row>
    <row r="7" spans="1:15" ht="15.75" customHeight="1">
      <c r="E7" s="100"/>
      <c r="F7" s="61">
        <v>2</v>
      </c>
      <c r="G7" s="55">
        <v>3.8</v>
      </c>
      <c r="H7" s="55">
        <v>8.6999999999999993</v>
      </c>
      <c r="I7" s="55">
        <v>6.9</v>
      </c>
      <c r="J7" s="55">
        <v>12.6</v>
      </c>
      <c r="K7" s="55">
        <v>17.7</v>
      </c>
      <c r="L7" s="55">
        <v>19.2</v>
      </c>
      <c r="N7" s="14"/>
    </row>
    <row r="8" spans="1:15">
      <c r="E8" s="100"/>
      <c r="F8" s="61">
        <v>3</v>
      </c>
      <c r="G8" s="59">
        <v>21</v>
      </c>
      <c r="H8" s="55">
        <v>18.5</v>
      </c>
      <c r="I8" s="55">
        <v>13.7</v>
      </c>
      <c r="J8" s="55">
        <v>26.2</v>
      </c>
      <c r="K8" s="55">
        <v>24.5</v>
      </c>
      <c r="L8" s="55">
        <v>28.9</v>
      </c>
      <c r="N8" s="14"/>
    </row>
    <row r="9" spans="1:15">
      <c r="A9" s="98" t="s">
        <v>893</v>
      </c>
      <c r="B9" s="99"/>
      <c r="E9" s="100"/>
      <c r="F9" s="61">
        <v>4</v>
      </c>
      <c r="G9" s="55">
        <v>16.2</v>
      </c>
      <c r="H9" s="55">
        <v>25.2</v>
      </c>
      <c r="I9" s="55">
        <v>22.6</v>
      </c>
      <c r="J9" s="55">
        <v>14.6</v>
      </c>
      <c r="K9" s="55">
        <v>19.600000000000001</v>
      </c>
      <c r="L9" s="55">
        <v>14.4</v>
      </c>
    </row>
    <row r="10" spans="1:15">
      <c r="A10" t="s">
        <v>894</v>
      </c>
      <c r="B10" t="s">
        <v>983</v>
      </c>
      <c r="E10" s="100"/>
      <c r="F10" s="61">
        <v>5</v>
      </c>
      <c r="G10" s="55">
        <v>52.4</v>
      </c>
      <c r="H10" s="59">
        <v>43.7</v>
      </c>
      <c r="I10" s="59">
        <v>52</v>
      </c>
      <c r="J10" s="55">
        <v>24.3</v>
      </c>
      <c r="K10" s="55">
        <v>19.600000000000001</v>
      </c>
      <c r="L10" s="55">
        <v>14.4</v>
      </c>
    </row>
    <row r="11" spans="1:15">
      <c r="A11" t="s">
        <v>895</v>
      </c>
      <c r="B11" t="s">
        <v>1833</v>
      </c>
      <c r="E11" s="100"/>
    </row>
    <row r="12" spans="1:15">
      <c r="A12" t="s">
        <v>896</v>
      </c>
      <c r="E12" s="100"/>
    </row>
    <row r="13" spans="1:15">
      <c r="A13" t="s">
        <v>897</v>
      </c>
      <c r="E13" s="100"/>
    </row>
    <row r="14" spans="1:15">
      <c r="A14" t="s">
        <v>899</v>
      </c>
      <c r="B14" t="s">
        <v>694</v>
      </c>
      <c r="E14" s="100"/>
    </row>
    <row r="15" spans="1:15">
      <c r="A15" t="s">
        <v>901</v>
      </c>
      <c r="B15" t="b">
        <v>1</v>
      </c>
      <c r="E15" s="100"/>
    </row>
    <row r="16" spans="1:15">
      <c r="A16" t="s">
        <v>1822</v>
      </c>
      <c r="B16" t="b">
        <v>1</v>
      </c>
      <c r="E16" s="100"/>
    </row>
    <row r="17" spans="1:5">
      <c r="E17" s="100"/>
    </row>
    <row r="18" spans="1:5">
      <c r="A18" s="98" t="s">
        <v>902</v>
      </c>
      <c r="B18" s="99"/>
      <c r="E18" s="100"/>
    </row>
    <row r="19" spans="1:5">
      <c r="A19" t="s">
        <v>903</v>
      </c>
      <c r="E19" s="100"/>
    </row>
    <row r="20" spans="1:5">
      <c r="A20" t="s">
        <v>904</v>
      </c>
      <c r="E20" s="100"/>
    </row>
    <row r="21" spans="1:5">
      <c r="A21" t="s">
        <v>905</v>
      </c>
      <c r="E21" s="100"/>
    </row>
    <row r="22" spans="1:5">
      <c r="A22" t="s">
        <v>906</v>
      </c>
      <c r="E22" s="100"/>
    </row>
    <row r="23" spans="1:5">
      <c r="A23" t="s">
        <v>907</v>
      </c>
      <c r="E23" s="100"/>
    </row>
    <row r="24" spans="1:5">
      <c r="A24" t="s">
        <v>908</v>
      </c>
      <c r="E24" s="100"/>
    </row>
    <row r="25" spans="1:5">
      <c r="A25" t="s">
        <v>909</v>
      </c>
      <c r="E25" s="100"/>
    </row>
    <row r="26" spans="1:5">
      <c r="E26" s="100"/>
    </row>
    <row r="27" spans="1:5">
      <c r="A27" s="101" t="s">
        <v>977</v>
      </c>
      <c r="B27" s="99"/>
      <c r="E27" s="100"/>
    </row>
    <row r="28" spans="1:5" ht="30">
      <c r="A28" s="50" t="s">
        <v>1832</v>
      </c>
      <c r="E28" s="100"/>
    </row>
    <row r="29" spans="1:5">
      <c r="E29" s="100"/>
    </row>
    <row r="30" spans="1:5">
      <c r="E30" s="100"/>
    </row>
    <row r="31" spans="1:5">
      <c r="E31" s="100"/>
    </row>
    <row r="32" spans="1:5">
      <c r="E32" s="100"/>
    </row>
    <row r="33" spans="5:5">
      <c r="E33" s="100"/>
    </row>
    <row r="34" spans="5:5">
      <c r="E34" s="100"/>
    </row>
    <row r="35" spans="5:5">
      <c r="E35" s="100"/>
    </row>
    <row r="36" spans="5:5">
      <c r="E36" s="100"/>
    </row>
    <row r="37" spans="5:5">
      <c r="E37" s="100"/>
    </row>
    <row r="38" spans="5:5">
      <c r="E38" s="100"/>
    </row>
    <row r="39" spans="5:5">
      <c r="E39" s="100"/>
    </row>
    <row r="40" spans="5:5">
      <c r="E40" s="100"/>
    </row>
    <row r="41" spans="5:5">
      <c r="E41" s="100"/>
    </row>
    <row r="42" spans="5:5">
      <c r="E42" s="100"/>
    </row>
    <row r="43" spans="5:5">
      <c r="E43" s="100"/>
    </row>
    <row r="44" spans="5:5">
      <c r="E44" s="100"/>
    </row>
    <row r="45" spans="5:5">
      <c r="E45" s="100"/>
    </row>
    <row r="46" spans="5:5">
      <c r="E46" s="100"/>
    </row>
    <row r="47" spans="5:5">
      <c r="E47" s="100"/>
    </row>
    <row r="48" spans="5:5">
      <c r="E48" s="100"/>
    </row>
    <row r="49" spans="5:5">
      <c r="E49" s="100"/>
    </row>
    <row r="50" spans="5:5">
      <c r="E50" s="100"/>
    </row>
    <row r="51" spans="5:5">
      <c r="E51" s="100"/>
    </row>
    <row r="52" spans="5:5">
      <c r="E52" s="100"/>
    </row>
    <row r="53" spans="5:5">
      <c r="E53" s="100"/>
    </row>
    <row r="54" spans="5:5">
      <c r="E54" s="100"/>
    </row>
    <row r="55" spans="5:5">
      <c r="E55" s="100"/>
    </row>
    <row r="56" spans="5:5">
      <c r="E56" s="100"/>
    </row>
    <row r="57" spans="5:5">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230</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tbl-DC-impact-sdoh</v>
      </c>
    </row>
    <row r="4" spans="1:15">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1021</v>
      </c>
      <c r="G5" s="55" t="s">
        <v>1022</v>
      </c>
      <c r="H5" s="55" t="s">
        <v>1023</v>
      </c>
      <c r="I5" s="55" t="s">
        <v>1024</v>
      </c>
      <c r="J5" s="55" t="s">
        <v>1025</v>
      </c>
      <c r="K5" s="55" t="s">
        <v>1026</v>
      </c>
      <c r="M5" s="55"/>
      <c r="N5" s="55"/>
    </row>
    <row r="6" spans="1:15" ht="15" customHeight="1">
      <c r="A6" t="s">
        <v>891</v>
      </c>
      <c r="B6" t="b">
        <v>0</v>
      </c>
      <c r="E6" s="99"/>
      <c r="F6" s="55">
        <v>77.7</v>
      </c>
      <c r="G6" s="55">
        <v>73.8</v>
      </c>
      <c r="H6" s="59">
        <v>50</v>
      </c>
      <c r="I6" s="55">
        <v>48.5</v>
      </c>
      <c r="J6" s="55">
        <v>28.2</v>
      </c>
      <c r="K6" s="55">
        <v>25.2</v>
      </c>
      <c r="N6" s="14"/>
    </row>
    <row r="7" spans="1:15" ht="15.75" customHeight="1">
      <c r="E7" s="99"/>
      <c r="F7" s="55"/>
      <c r="G7" s="55"/>
      <c r="H7" s="55"/>
      <c r="I7" s="55"/>
      <c r="J7" s="55"/>
      <c r="K7" s="55"/>
      <c r="N7" s="14"/>
    </row>
    <row r="8" spans="1:15">
      <c r="E8" s="99"/>
      <c r="F8" s="59"/>
      <c r="G8" s="55"/>
      <c r="H8" s="55"/>
      <c r="I8" s="55"/>
      <c r="J8" s="55"/>
      <c r="K8" s="55"/>
      <c r="N8" s="14"/>
    </row>
    <row r="9" spans="1:15">
      <c r="A9" s="98" t="s">
        <v>893</v>
      </c>
      <c r="B9" s="99"/>
      <c r="E9" s="99"/>
      <c r="F9" s="55"/>
      <c r="G9" s="55"/>
      <c r="H9" s="55"/>
      <c r="I9" s="55"/>
      <c r="J9" s="55"/>
      <c r="K9" s="55"/>
    </row>
    <row r="10" spans="1:15">
      <c r="A10" t="s">
        <v>894</v>
      </c>
      <c r="B10" t="s">
        <v>1002</v>
      </c>
      <c r="E10" s="99"/>
      <c r="F10" s="55"/>
      <c r="G10" s="59"/>
      <c r="H10" s="59"/>
      <c r="I10" s="55"/>
      <c r="J10" s="55"/>
      <c r="K10" s="55"/>
    </row>
    <row r="11" spans="1:15">
      <c r="A11" t="s">
        <v>895</v>
      </c>
      <c r="B11" t="s">
        <v>985</v>
      </c>
      <c r="E11" s="99"/>
      <c r="F11" s="55"/>
      <c r="G11" s="55"/>
      <c r="H11" s="55"/>
      <c r="I11" s="55"/>
      <c r="J11" s="55"/>
      <c r="K11" s="55"/>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234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tbl-DC-eco-wellbeing</v>
      </c>
    </row>
    <row r="4" spans="1:15">
      <c r="A4" s="58" t="s">
        <v>6</v>
      </c>
      <c r="B4" t="str">
        <f>IF($B$1="","",_xlfn.XLOOKUP($B$1,Master!$F$2:$F$308,Master!$H$2:$H$308,""))</f>
        <v>fig-DC-eco-wellbeing</v>
      </c>
      <c r="E4" s="13"/>
      <c r="F4" s="13"/>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9">
        <v>3.9</v>
      </c>
      <c r="H6" s="59">
        <v>7</v>
      </c>
      <c r="I6" s="59">
        <v>5</v>
      </c>
      <c r="J6" s="59">
        <v>3.6</v>
      </c>
      <c r="N6" s="14"/>
    </row>
    <row r="7" spans="1:15" ht="15.75" customHeight="1">
      <c r="E7" s="99"/>
      <c r="F7" s="61">
        <v>2</v>
      </c>
      <c r="G7" s="59">
        <v>5.8</v>
      </c>
      <c r="H7" s="59">
        <v>10.199999999999999</v>
      </c>
      <c r="I7" s="59">
        <v>7</v>
      </c>
      <c r="J7" s="59">
        <v>8.8000000000000007</v>
      </c>
      <c r="N7" s="14"/>
    </row>
    <row r="8" spans="1:15">
      <c r="E8" s="99"/>
      <c r="F8" s="61">
        <v>3</v>
      </c>
      <c r="G8" s="59">
        <v>24.3</v>
      </c>
      <c r="H8" s="59">
        <v>26.3</v>
      </c>
      <c r="I8" s="59">
        <v>28</v>
      </c>
      <c r="J8" s="59">
        <v>19.5</v>
      </c>
      <c r="N8" s="14"/>
    </row>
    <row r="9" spans="1:15">
      <c r="A9" s="98" t="s">
        <v>893</v>
      </c>
      <c r="B9" s="99"/>
      <c r="E9" s="99"/>
      <c r="F9" s="61">
        <v>4</v>
      </c>
      <c r="G9" s="59">
        <v>12.6</v>
      </c>
      <c r="H9" s="59">
        <v>29</v>
      </c>
      <c r="I9" s="59">
        <v>23</v>
      </c>
      <c r="J9" s="59">
        <v>21.1</v>
      </c>
    </row>
    <row r="10" spans="1:15">
      <c r="A10" t="s">
        <v>894</v>
      </c>
      <c r="B10" t="s">
        <v>983</v>
      </c>
      <c r="E10" s="99"/>
      <c r="F10" s="61">
        <v>5</v>
      </c>
      <c r="G10" s="59">
        <v>53.4</v>
      </c>
      <c r="H10" s="59">
        <v>27.6</v>
      </c>
      <c r="I10" s="59">
        <v>37</v>
      </c>
      <c r="J10" s="59">
        <v>47.1</v>
      </c>
    </row>
    <row r="11" spans="1:15">
      <c r="A11" t="s">
        <v>895</v>
      </c>
      <c r="B11" t="s">
        <v>1836</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defaultColWidth="8.7109375" defaultRowHeight="15"/>
  <cols>
    <col min="1" max="1" width="20" bestFit="1" customWidth="1"/>
    <col min="2" max="2" width="16.7109375" customWidth="1"/>
    <col min="5" max="5" width="6.7109375" customWidth="1"/>
    <col min="6" max="6" width="15.8554687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238</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tbl-DC-impact-mhsu</v>
      </c>
    </row>
    <row r="4" spans="1:15">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1">
        <v>0</v>
      </c>
      <c r="H6" s="59">
        <v>20.399999999999999</v>
      </c>
      <c r="I6" s="59">
        <v>2</v>
      </c>
      <c r="J6" s="59">
        <v>11.1</v>
      </c>
      <c r="K6" s="59">
        <v>4</v>
      </c>
      <c r="L6" s="59">
        <v>5</v>
      </c>
      <c r="N6" s="14"/>
    </row>
    <row r="7" spans="1:15" ht="15.75" customHeight="1">
      <c r="E7" s="99"/>
      <c r="F7" s="61">
        <v>2</v>
      </c>
      <c r="G7" s="59">
        <v>2.6</v>
      </c>
      <c r="H7" s="59">
        <v>17.399999999999999</v>
      </c>
      <c r="I7" s="59">
        <v>12</v>
      </c>
      <c r="J7" s="59">
        <v>11.1</v>
      </c>
      <c r="K7" s="59">
        <v>10.1</v>
      </c>
      <c r="L7" s="59">
        <v>5.9</v>
      </c>
      <c r="N7" s="14"/>
    </row>
    <row r="8" spans="1:15">
      <c r="E8" s="99"/>
      <c r="F8" s="61">
        <v>3</v>
      </c>
      <c r="G8" s="59">
        <v>12.4</v>
      </c>
      <c r="H8" s="59">
        <v>27.6</v>
      </c>
      <c r="I8" s="59">
        <v>17</v>
      </c>
      <c r="J8" s="59">
        <v>23.2</v>
      </c>
      <c r="K8" s="59">
        <v>24.2</v>
      </c>
      <c r="L8" s="59">
        <v>23.8</v>
      </c>
      <c r="N8" s="14"/>
    </row>
    <row r="9" spans="1:15">
      <c r="A9" s="98" t="s">
        <v>893</v>
      </c>
      <c r="B9" s="99"/>
      <c r="E9" s="99"/>
      <c r="F9" s="61">
        <v>4</v>
      </c>
      <c r="G9" s="59">
        <v>23.8</v>
      </c>
      <c r="H9" s="59">
        <v>19.399999999999999</v>
      </c>
      <c r="I9" s="59">
        <v>28</v>
      </c>
      <c r="J9" s="59">
        <v>15.2</v>
      </c>
      <c r="K9" s="59">
        <v>28.3</v>
      </c>
      <c r="L9" s="59">
        <v>27.7</v>
      </c>
    </row>
    <row r="10" spans="1:15">
      <c r="A10" t="s">
        <v>894</v>
      </c>
      <c r="B10" t="s">
        <v>983</v>
      </c>
      <c r="E10" s="99"/>
      <c r="F10" s="61">
        <v>5</v>
      </c>
      <c r="G10" s="59">
        <v>60.9</v>
      </c>
      <c r="H10" s="59">
        <v>15.3</v>
      </c>
      <c r="I10" s="59">
        <v>41</v>
      </c>
      <c r="J10" s="59">
        <v>39.4</v>
      </c>
      <c r="K10" s="59">
        <v>33.299999999999997</v>
      </c>
      <c r="L10" s="59">
        <v>37.6</v>
      </c>
    </row>
    <row r="11" spans="1:15">
      <c r="A11" t="s">
        <v>895</v>
      </c>
      <c r="B11" t="s">
        <v>1834</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242</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tbl-DC-impact-hlthinsur-access</v>
      </c>
    </row>
    <row r="4" spans="1:15">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c r="A5" s="98" t="s">
        <v>885</v>
      </c>
      <c r="B5" s="99"/>
      <c r="E5" s="100" t="s">
        <v>886</v>
      </c>
      <c r="F5" t="s">
        <v>1835</v>
      </c>
      <c r="G5" s="55" t="s">
        <v>1037</v>
      </c>
      <c r="H5" s="55" t="s">
        <v>1038</v>
      </c>
      <c r="I5" s="55" t="s">
        <v>1039</v>
      </c>
      <c r="J5" s="55" t="s">
        <v>1040</v>
      </c>
      <c r="K5" s="55"/>
      <c r="L5" s="55"/>
      <c r="M5" s="55"/>
      <c r="N5" s="55"/>
    </row>
    <row r="6" spans="1:15" ht="15" customHeight="1">
      <c r="A6" t="s">
        <v>891</v>
      </c>
      <c r="B6" t="b">
        <v>0</v>
      </c>
      <c r="E6" s="99"/>
      <c r="F6" s="61">
        <v>1</v>
      </c>
      <c r="G6" s="59">
        <v>27.5</v>
      </c>
      <c r="H6" s="59">
        <v>29.6</v>
      </c>
      <c r="I6" s="59">
        <v>3</v>
      </c>
      <c r="J6" s="59">
        <v>7</v>
      </c>
      <c r="N6" s="14"/>
    </row>
    <row r="7" spans="1:15" ht="15.75" customHeight="1">
      <c r="E7" s="99"/>
      <c r="F7" s="61">
        <v>2</v>
      </c>
      <c r="G7" s="59">
        <v>14.3</v>
      </c>
      <c r="H7" s="59">
        <v>14.3</v>
      </c>
      <c r="I7" s="59">
        <v>11.1</v>
      </c>
      <c r="J7" s="59">
        <v>12</v>
      </c>
      <c r="N7" s="14"/>
    </row>
    <row r="8" spans="1:15">
      <c r="E8" s="99"/>
      <c r="F8" s="61">
        <v>3</v>
      </c>
      <c r="G8" s="59">
        <v>24.5</v>
      </c>
      <c r="H8" s="59">
        <v>26.5</v>
      </c>
      <c r="I8" s="59">
        <v>18.2</v>
      </c>
      <c r="J8" s="59">
        <v>19</v>
      </c>
      <c r="N8" s="14"/>
    </row>
    <row r="9" spans="1:15">
      <c r="A9" s="98" t="s">
        <v>893</v>
      </c>
      <c r="B9" s="99"/>
      <c r="E9" s="99"/>
      <c r="F9" s="61">
        <v>4</v>
      </c>
      <c r="G9" s="59">
        <v>13.3</v>
      </c>
      <c r="H9" s="59">
        <v>11.2</v>
      </c>
      <c r="I9" s="59">
        <v>22.2</v>
      </c>
      <c r="J9" s="59">
        <v>23</v>
      </c>
    </row>
    <row r="10" spans="1:15">
      <c r="A10" t="s">
        <v>894</v>
      </c>
      <c r="B10" t="s">
        <v>983</v>
      </c>
      <c r="E10" s="99"/>
      <c r="F10" s="61">
        <v>5</v>
      </c>
      <c r="G10" s="59">
        <v>20.399999999999999</v>
      </c>
      <c r="H10" s="59">
        <v>18.399999999999999</v>
      </c>
      <c r="I10" s="59">
        <v>45.5</v>
      </c>
      <c r="J10" s="59">
        <v>39</v>
      </c>
    </row>
    <row r="11" spans="1:15">
      <c r="A11" t="s">
        <v>895</v>
      </c>
      <c r="B11" t="s">
        <v>1023</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ht="15.75">
      <c r="A17" t="s">
        <v>1830</v>
      </c>
      <c r="B17" s="80" t="s">
        <v>1831</v>
      </c>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defaultColWidth="8.7109375" defaultRowHeight="15"/>
  <cols>
    <col min="1" max="1" width="20" bestFit="1" customWidth="1"/>
    <col min="2" max="2" width="16.7109375" customWidth="1"/>
    <col min="5" max="5" width="6.7109375" customWidth="1"/>
    <col min="6" max="6" width="34" bestFit="1" customWidth="1"/>
    <col min="7" max="7" width="31.42578125" bestFit="1"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246</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tbl-OC-affect-health</v>
      </c>
    </row>
    <row r="4" spans="1:15">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c r="A6" t="s">
        <v>891</v>
      </c>
      <c r="B6" t="b">
        <v>0</v>
      </c>
      <c r="E6" s="99"/>
      <c r="F6" s="59">
        <v>58.2</v>
      </c>
      <c r="G6" s="59">
        <v>42.4</v>
      </c>
      <c r="H6" s="59">
        <v>40.6</v>
      </c>
      <c r="I6" s="59">
        <v>37.700000000000003</v>
      </c>
      <c r="J6" s="59">
        <v>36.5</v>
      </c>
      <c r="K6" s="59">
        <v>34.1</v>
      </c>
      <c r="L6" s="59">
        <v>30</v>
      </c>
      <c r="M6" s="59">
        <v>10.6</v>
      </c>
      <c r="N6" s="59">
        <v>10</v>
      </c>
      <c r="O6" s="51">
        <v>0</v>
      </c>
    </row>
    <row r="7" spans="1:15" ht="15.75" customHeight="1">
      <c r="E7" s="99"/>
    </row>
    <row r="8" spans="1:15">
      <c r="E8" s="99"/>
    </row>
    <row r="9" spans="1:15">
      <c r="A9" s="98" t="s">
        <v>893</v>
      </c>
      <c r="B9" s="99"/>
      <c r="E9" s="99"/>
    </row>
    <row r="10" spans="1:15">
      <c r="A10" t="s">
        <v>894</v>
      </c>
      <c r="B10" t="s">
        <v>1002</v>
      </c>
      <c r="E10" s="99"/>
      <c r="H10" s="14"/>
      <c r="I10" s="14"/>
    </row>
    <row r="11" spans="1:15">
      <c r="A11" t="s">
        <v>895</v>
      </c>
      <c r="B11" t="s">
        <v>985</v>
      </c>
      <c r="E11" s="99"/>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250</v>
      </c>
      <c r="C1" s="97"/>
      <c r="D1" s="97"/>
      <c r="E1" s="97"/>
      <c r="F1" s="97"/>
      <c r="G1" s="97"/>
      <c r="H1" s="97"/>
      <c r="I1" s="97"/>
      <c r="J1" s="97"/>
      <c r="K1" s="97"/>
      <c r="L1" s="97"/>
      <c r="M1" s="97"/>
      <c r="N1" s="97"/>
      <c r="O1" s="97"/>
    </row>
    <row r="2" spans="1:17">
      <c r="A2" s="58" t="s">
        <v>883</v>
      </c>
      <c r="B2" t="s">
        <v>56</v>
      </c>
    </row>
    <row r="3" spans="1:17">
      <c r="A3" s="58" t="s">
        <v>884</v>
      </c>
      <c r="B3" t="str">
        <f>IF($B$1="","",_xlfn.XLOOKUP($B$1,Master!$F$2:$F$308,Master!$G$2:$G$308,""))</f>
        <v>tbl-OC-achieve-health</v>
      </c>
    </row>
    <row r="4" spans="1:17">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c r="E7" s="99"/>
    </row>
    <row r="8" spans="1:17">
      <c r="E8" s="99"/>
      <c r="G8" s="14"/>
    </row>
    <row r="9" spans="1:17">
      <c r="A9" s="98" t="s">
        <v>893</v>
      </c>
      <c r="B9" s="99"/>
      <c r="E9" s="99"/>
    </row>
    <row r="10" spans="1:17">
      <c r="A10" t="s">
        <v>894</v>
      </c>
      <c r="B10" t="s">
        <v>1002</v>
      </c>
      <c r="E10" s="99"/>
      <c r="H10" s="14"/>
      <c r="I10" s="14"/>
    </row>
    <row r="11" spans="1:17">
      <c r="A11" t="s">
        <v>895</v>
      </c>
      <c r="B11" t="s">
        <v>985</v>
      </c>
      <c r="E11" s="99"/>
    </row>
    <row r="12" spans="1:17">
      <c r="A12" t="s">
        <v>896</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defaultColWidth="8.7109375" defaultRowHeight="15"/>
  <cols>
    <col min="1" max="1" width="20" bestFit="1" customWidth="1"/>
    <col min="2" max="2" width="16.7109375" customWidth="1"/>
    <col min="5" max="5" width="6.7109375" customWidth="1"/>
    <col min="6" max="6" width="15.8554687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254</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tbl-OC-impact-hlth-issue</v>
      </c>
    </row>
    <row r="4" spans="1:15">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99"/>
      <c r="F6" s="61">
        <v>1</v>
      </c>
      <c r="G6" s="59">
        <v>3.1</v>
      </c>
      <c r="H6" s="59">
        <v>4.4000000000000004</v>
      </c>
      <c r="I6" s="59">
        <v>3.7</v>
      </c>
      <c r="J6" s="59">
        <v>16.899999999999999</v>
      </c>
      <c r="K6" s="59">
        <v>16.100000000000001</v>
      </c>
      <c r="L6" s="59">
        <v>19</v>
      </c>
      <c r="N6" s="14"/>
    </row>
    <row r="7" spans="1:15" ht="15.75" customHeight="1">
      <c r="E7" s="99"/>
      <c r="F7" s="61">
        <v>2</v>
      </c>
      <c r="G7" s="59">
        <v>5.6</v>
      </c>
      <c r="H7" s="59">
        <v>5</v>
      </c>
      <c r="I7" s="59">
        <v>5</v>
      </c>
      <c r="J7" s="59">
        <v>10</v>
      </c>
      <c r="K7" s="59">
        <v>15.4</v>
      </c>
      <c r="L7" s="59">
        <v>14.7</v>
      </c>
      <c r="N7" s="14"/>
    </row>
    <row r="8" spans="1:15">
      <c r="E8" s="99"/>
      <c r="F8" s="61">
        <v>3</v>
      </c>
      <c r="G8" s="59">
        <v>12.4</v>
      </c>
      <c r="H8" s="59">
        <v>18.899999999999999</v>
      </c>
      <c r="I8" s="59">
        <v>15.5</v>
      </c>
      <c r="J8" s="59">
        <v>31.3</v>
      </c>
      <c r="K8" s="59">
        <v>34</v>
      </c>
      <c r="L8" s="59">
        <v>32.5</v>
      </c>
      <c r="N8" s="14"/>
    </row>
    <row r="9" spans="1:15">
      <c r="A9" s="98" t="s">
        <v>893</v>
      </c>
      <c r="B9" s="99"/>
      <c r="E9" s="99"/>
      <c r="F9" s="61">
        <v>4</v>
      </c>
      <c r="G9" s="59">
        <v>15.5</v>
      </c>
      <c r="H9" s="59">
        <v>28.3</v>
      </c>
      <c r="I9" s="59">
        <v>19.899999999999999</v>
      </c>
      <c r="J9" s="59">
        <v>18.8</v>
      </c>
      <c r="K9" s="59">
        <v>17.899999999999999</v>
      </c>
      <c r="L9" s="59">
        <v>16</v>
      </c>
    </row>
    <row r="10" spans="1:15">
      <c r="A10" t="s">
        <v>894</v>
      </c>
      <c r="B10" t="s">
        <v>983</v>
      </c>
      <c r="E10" s="99"/>
      <c r="F10" s="61">
        <v>5</v>
      </c>
      <c r="G10" s="59">
        <v>63.4</v>
      </c>
      <c r="H10" s="59">
        <v>43.4</v>
      </c>
      <c r="I10" s="59">
        <v>55.9</v>
      </c>
      <c r="J10" s="59">
        <v>23.1</v>
      </c>
      <c r="K10" s="59">
        <v>16.7</v>
      </c>
      <c r="L10" s="59">
        <v>17.8</v>
      </c>
    </row>
    <row r="11" spans="1:15">
      <c r="A11" t="s">
        <v>895</v>
      </c>
      <c r="B11" t="s">
        <v>1838</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258</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tbl-OC-impact-sdoh</v>
      </c>
    </row>
    <row r="4" spans="1:15">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1022</v>
      </c>
      <c r="G5" s="55" t="s">
        <v>1021</v>
      </c>
      <c r="H5" s="55" t="s">
        <v>1023</v>
      </c>
      <c r="I5" s="55" t="s">
        <v>1024</v>
      </c>
      <c r="J5" s="55" t="s">
        <v>1025</v>
      </c>
      <c r="K5" s="55" t="s">
        <v>1026</v>
      </c>
      <c r="M5" s="55"/>
      <c r="N5" s="55"/>
    </row>
    <row r="6" spans="1:15" ht="15" customHeight="1">
      <c r="A6" t="s">
        <v>891</v>
      </c>
      <c r="B6" t="b">
        <v>0</v>
      </c>
      <c r="E6" s="99"/>
      <c r="F6" s="55">
        <v>77.5</v>
      </c>
      <c r="G6" s="55">
        <v>76.900000000000006</v>
      </c>
      <c r="H6" s="59">
        <v>61.9</v>
      </c>
      <c r="I6" s="55">
        <v>48.8</v>
      </c>
      <c r="J6" s="55">
        <v>18.8</v>
      </c>
      <c r="K6" s="55">
        <v>16.3</v>
      </c>
      <c r="N6" s="14"/>
    </row>
    <row r="7" spans="1:15" ht="15.75" customHeight="1">
      <c r="E7" s="99"/>
      <c r="F7" s="55"/>
      <c r="G7" s="55"/>
      <c r="H7" s="55"/>
      <c r="I7" s="55"/>
      <c r="J7" s="55"/>
      <c r="K7" s="55"/>
      <c r="N7" s="14"/>
    </row>
    <row r="8" spans="1:15">
      <c r="E8" s="99"/>
      <c r="H8" s="55"/>
      <c r="I8" s="55"/>
      <c r="J8" s="55"/>
      <c r="K8" s="55"/>
      <c r="N8" s="14"/>
    </row>
    <row r="9" spans="1:15">
      <c r="A9" s="98" t="s">
        <v>893</v>
      </c>
      <c r="B9" s="99"/>
      <c r="E9" s="99"/>
      <c r="H9" s="55"/>
      <c r="I9" s="55"/>
      <c r="J9" s="55"/>
      <c r="K9" s="55"/>
    </row>
    <row r="10" spans="1:15">
      <c r="A10" t="s">
        <v>894</v>
      </c>
      <c r="B10" t="s">
        <v>1002</v>
      </c>
      <c r="E10" s="99"/>
      <c r="F10" s="55"/>
      <c r="G10" s="59"/>
      <c r="H10" s="59"/>
      <c r="I10" s="55"/>
      <c r="J10" s="55"/>
      <c r="K10" s="55"/>
    </row>
    <row r="11" spans="1:15">
      <c r="A11" t="s">
        <v>895</v>
      </c>
      <c r="B11" t="s">
        <v>985</v>
      </c>
      <c r="E11" s="99"/>
      <c r="F11" s="55"/>
      <c r="G11" s="55"/>
      <c r="H11" s="55"/>
      <c r="I11" s="55"/>
      <c r="J11" s="55"/>
      <c r="K11" s="55"/>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262</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tbl-OC-eco-wellbeing</v>
      </c>
    </row>
    <row r="4" spans="1:15">
      <c r="A4" s="58" t="s">
        <v>6</v>
      </c>
      <c r="B4" t="str">
        <f>IF($B$1="","",_xlfn.XLOOKUP($B$1,Master!$F$2:$F$308,Master!$H$2:$H$308,""))</f>
        <v>fig-OC-eco-wellbeing</v>
      </c>
      <c r="E4" s="13"/>
      <c r="F4" s="16"/>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9">
        <v>1.9</v>
      </c>
      <c r="H6" s="59">
        <v>5.7</v>
      </c>
      <c r="I6" s="59">
        <v>3.9</v>
      </c>
      <c r="J6" s="59">
        <v>2.5</v>
      </c>
      <c r="K6" s="59"/>
      <c r="N6" s="14"/>
    </row>
    <row r="7" spans="1:15" ht="15.75" customHeight="1">
      <c r="E7" s="99"/>
      <c r="F7" s="61">
        <v>2</v>
      </c>
      <c r="G7" s="59">
        <v>5.7</v>
      </c>
      <c r="H7" s="59">
        <v>8.9</v>
      </c>
      <c r="I7" s="59">
        <v>8.3000000000000007</v>
      </c>
      <c r="J7" s="59">
        <v>5.7</v>
      </c>
      <c r="N7" s="14"/>
    </row>
    <row r="8" spans="1:15">
      <c r="E8" s="99"/>
      <c r="F8" s="61">
        <v>3</v>
      </c>
      <c r="G8" s="59">
        <v>20.8</v>
      </c>
      <c r="H8" s="59">
        <v>28.5</v>
      </c>
      <c r="I8" s="59">
        <v>25.6</v>
      </c>
      <c r="J8" s="59">
        <v>23.3</v>
      </c>
      <c r="N8" s="14"/>
    </row>
    <row r="9" spans="1:15">
      <c r="A9" s="98" t="s">
        <v>893</v>
      </c>
      <c r="B9" s="99"/>
      <c r="E9" s="99"/>
      <c r="F9" s="61">
        <v>4</v>
      </c>
      <c r="G9" s="59">
        <v>21.4</v>
      </c>
      <c r="H9" s="59">
        <v>31</v>
      </c>
      <c r="I9" s="59">
        <v>27.6</v>
      </c>
      <c r="J9" s="59">
        <v>18.899999999999999</v>
      </c>
    </row>
    <row r="10" spans="1:15">
      <c r="A10" t="s">
        <v>894</v>
      </c>
      <c r="B10" t="s">
        <v>983</v>
      </c>
      <c r="E10" s="99"/>
      <c r="F10" s="61">
        <v>5</v>
      </c>
      <c r="G10" s="59">
        <v>50.3</v>
      </c>
      <c r="H10" s="59">
        <v>26</v>
      </c>
      <c r="I10" s="59">
        <v>34.6</v>
      </c>
      <c r="J10" s="59">
        <v>50</v>
      </c>
    </row>
    <row r="11" spans="1:15">
      <c r="A11" t="s">
        <v>895</v>
      </c>
      <c r="B11" t="s">
        <v>1660</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266</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tbl-OC-impact-mhsu</v>
      </c>
    </row>
    <row r="4" spans="1:15">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1">
        <v>0</v>
      </c>
      <c r="H6" s="59">
        <v>14.3</v>
      </c>
      <c r="I6" s="59">
        <v>1.3</v>
      </c>
      <c r="J6" s="59">
        <v>7.7</v>
      </c>
      <c r="K6" s="59">
        <v>9.6999999999999993</v>
      </c>
      <c r="L6" s="59">
        <v>3.8</v>
      </c>
      <c r="N6" s="14"/>
    </row>
    <row r="7" spans="1:15" ht="15.75" customHeight="1">
      <c r="E7" s="99"/>
      <c r="F7" s="61">
        <v>2</v>
      </c>
      <c r="G7" s="59">
        <v>1.9</v>
      </c>
      <c r="H7" s="59">
        <v>20.8</v>
      </c>
      <c r="I7" s="59">
        <v>5.7</v>
      </c>
      <c r="J7" s="59">
        <v>8.4</v>
      </c>
      <c r="K7" s="59">
        <v>11.6</v>
      </c>
      <c r="L7" s="59">
        <v>9.6</v>
      </c>
      <c r="N7" s="14"/>
    </row>
    <row r="8" spans="1:15">
      <c r="E8" s="99"/>
      <c r="F8" s="61">
        <v>3</v>
      </c>
      <c r="G8" s="59">
        <v>8.3000000000000007</v>
      </c>
      <c r="H8" s="59">
        <v>26</v>
      </c>
      <c r="I8" s="59">
        <v>13.4</v>
      </c>
      <c r="J8" s="59">
        <v>21.3</v>
      </c>
      <c r="K8" s="59">
        <v>22.6</v>
      </c>
      <c r="L8" s="59">
        <v>21.7</v>
      </c>
      <c r="N8" s="14"/>
    </row>
    <row r="9" spans="1:15">
      <c r="A9" s="98" t="s">
        <v>893</v>
      </c>
      <c r="B9" s="99"/>
      <c r="E9" s="99"/>
      <c r="F9" s="61">
        <v>4</v>
      </c>
      <c r="G9" s="59">
        <v>26.1</v>
      </c>
      <c r="H9" s="59">
        <v>23.4</v>
      </c>
      <c r="I9" s="59">
        <v>31.2</v>
      </c>
      <c r="J9" s="59">
        <v>24.5</v>
      </c>
      <c r="K9" s="59">
        <v>28.4</v>
      </c>
      <c r="L9" s="59">
        <v>27.4</v>
      </c>
    </row>
    <row r="10" spans="1:15">
      <c r="A10" t="s">
        <v>894</v>
      </c>
      <c r="B10" t="s">
        <v>983</v>
      </c>
      <c r="E10" s="99"/>
      <c r="F10" s="61">
        <v>5</v>
      </c>
      <c r="G10" s="59">
        <v>63.7</v>
      </c>
      <c r="H10" s="59">
        <v>15.6</v>
      </c>
      <c r="I10" s="59">
        <v>48.4</v>
      </c>
      <c r="J10" s="59">
        <v>38.1</v>
      </c>
      <c r="K10" s="59">
        <v>27.7</v>
      </c>
      <c r="L10" s="59">
        <v>37.6</v>
      </c>
    </row>
    <row r="11" spans="1:15">
      <c r="A11" t="s">
        <v>895</v>
      </c>
      <c r="B11" t="s">
        <v>1022</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270</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tbl-OC-impact-hlthinsur-access</v>
      </c>
    </row>
    <row r="4" spans="1:15">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c r="A5" s="98" t="s">
        <v>885</v>
      </c>
      <c r="B5" s="99"/>
      <c r="E5" s="100" t="s">
        <v>886</v>
      </c>
      <c r="F5" t="s">
        <v>1835</v>
      </c>
      <c r="G5" t="s">
        <v>1037</v>
      </c>
      <c r="H5" t="s">
        <v>1038</v>
      </c>
      <c r="I5" t="s">
        <v>1039</v>
      </c>
      <c r="J5" t="s">
        <v>1040</v>
      </c>
      <c r="K5" s="55"/>
      <c r="L5" s="55"/>
      <c r="M5" s="55"/>
      <c r="N5" s="55"/>
    </row>
    <row r="6" spans="1:15" ht="15" customHeight="1">
      <c r="A6" t="s">
        <v>891</v>
      </c>
      <c r="B6" t="b">
        <v>0</v>
      </c>
      <c r="E6" s="99"/>
      <c r="F6" s="61">
        <v>1</v>
      </c>
      <c r="G6" s="14">
        <v>18.8</v>
      </c>
      <c r="H6" s="14">
        <v>21.4</v>
      </c>
      <c r="I6" s="14">
        <v>3.2</v>
      </c>
      <c r="J6" s="14">
        <v>8.3000000000000007</v>
      </c>
      <c r="N6" s="14"/>
    </row>
    <row r="7" spans="1:15" ht="15.75" customHeight="1">
      <c r="E7" s="99"/>
      <c r="F7" s="61">
        <v>2</v>
      </c>
      <c r="G7" s="14">
        <v>14.3</v>
      </c>
      <c r="H7" s="14">
        <v>18.8</v>
      </c>
      <c r="I7" s="14">
        <v>8.4</v>
      </c>
      <c r="J7" s="14">
        <v>7.1</v>
      </c>
      <c r="N7" s="14"/>
    </row>
    <row r="8" spans="1:15">
      <c r="E8" s="99"/>
      <c r="F8" s="61">
        <v>3</v>
      </c>
      <c r="G8" s="14">
        <v>30</v>
      </c>
      <c r="H8" s="14">
        <v>28.6</v>
      </c>
      <c r="I8" s="14">
        <v>20.7</v>
      </c>
      <c r="J8" s="14">
        <v>23.1</v>
      </c>
      <c r="N8" s="14"/>
    </row>
    <row r="9" spans="1:15">
      <c r="A9" s="98" t="s">
        <v>893</v>
      </c>
      <c r="B9" s="99"/>
      <c r="E9" s="99"/>
      <c r="F9" s="61">
        <v>4</v>
      </c>
      <c r="G9" s="14">
        <v>16.899999999999999</v>
      </c>
      <c r="H9" s="14">
        <v>15.6</v>
      </c>
      <c r="I9" s="14">
        <v>27.7</v>
      </c>
      <c r="J9" s="14">
        <v>30.8</v>
      </c>
    </row>
    <row r="10" spans="1:15">
      <c r="A10" t="s">
        <v>894</v>
      </c>
      <c r="B10" t="s">
        <v>983</v>
      </c>
      <c r="E10" s="99"/>
      <c r="F10" s="61">
        <v>5</v>
      </c>
      <c r="G10" s="14">
        <v>20.100000000000001</v>
      </c>
      <c r="H10" s="14">
        <v>15.6</v>
      </c>
      <c r="I10" s="14">
        <v>40</v>
      </c>
      <c r="J10" s="14">
        <v>30.8</v>
      </c>
    </row>
    <row r="11" spans="1:15">
      <c r="A11" t="s">
        <v>895</v>
      </c>
      <c r="B11" t="s">
        <v>1837</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26">
      <c r="A1" s="58" t="s">
        <v>882</v>
      </c>
      <c r="B1" s="114" t="s">
        <v>274</v>
      </c>
      <c r="C1" s="97"/>
      <c r="D1" s="97"/>
      <c r="E1" s="97"/>
      <c r="F1" s="97"/>
      <c r="G1" s="97"/>
      <c r="H1" s="97"/>
      <c r="I1" s="97"/>
      <c r="J1" s="97"/>
      <c r="K1" s="97"/>
      <c r="L1" s="97"/>
      <c r="M1" s="97"/>
      <c r="N1" s="97"/>
      <c r="O1" s="97"/>
    </row>
    <row r="2" spans="1:26">
      <c r="A2" s="58" t="s">
        <v>883</v>
      </c>
      <c r="B2" t="s">
        <v>56</v>
      </c>
    </row>
    <row r="3" spans="1:26">
      <c r="A3" s="58" t="s">
        <v>884</v>
      </c>
      <c r="B3" t="str">
        <f>IF($B$1="","",_xlfn.XLOOKUP($B$1,Master!$F$2:$F$308,Master!$G$2:$G$308,""))</f>
        <v>tbl-PC-big-hlth-prob</v>
      </c>
    </row>
    <row r="4" spans="1:26">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c r="E7" s="99"/>
      <c r="N7" s="14"/>
    </row>
    <row r="8" spans="1:26">
      <c r="E8" s="99"/>
      <c r="G8" s="14"/>
      <c r="N8" s="14"/>
    </row>
    <row r="9" spans="1:26">
      <c r="A9" s="98" t="s">
        <v>893</v>
      </c>
      <c r="B9" s="99"/>
      <c r="E9" s="99"/>
    </row>
    <row r="10" spans="1:26">
      <c r="A10" t="s">
        <v>894</v>
      </c>
      <c r="B10" t="s">
        <v>1062</v>
      </c>
      <c r="E10" s="99"/>
      <c r="H10" s="14"/>
      <c r="I10" s="14"/>
    </row>
    <row r="11" spans="1:26">
      <c r="A11" t="s">
        <v>895</v>
      </c>
      <c r="B11" t="s">
        <v>985</v>
      </c>
      <c r="E11" s="99"/>
    </row>
    <row r="12" spans="1:26">
      <c r="A12" t="s">
        <v>896</v>
      </c>
      <c r="E12" s="99"/>
    </row>
    <row r="13" spans="1:26">
      <c r="A13" t="s">
        <v>897</v>
      </c>
      <c r="E13" s="99"/>
    </row>
    <row r="14" spans="1:26">
      <c r="A14" t="s">
        <v>899</v>
      </c>
      <c r="B14" t="s">
        <v>694</v>
      </c>
      <c r="E14" s="99"/>
    </row>
    <row r="15" spans="1:26">
      <c r="A15" t="s">
        <v>901</v>
      </c>
      <c r="B15" t="b">
        <v>1</v>
      </c>
      <c r="E15" s="99"/>
    </row>
    <row r="16" spans="1:26">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23">
      <c r="A1" s="58" t="s">
        <v>882</v>
      </c>
      <c r="B1" s="114" t="s">
        <v>278</v>
      </c>
      <c r="C1" s="97"/>
      <c r="D1" s="97"/>
      <c r="E1" s="97"/>
      <c r="F1" s="97"/>
      <c r="G1" s="97"/>
      <c r="H1" s="97"/>
      <c r="I1" s="97"/>
      <c r="J1" s="97"/>
      <c r="K1" s="97"/>
      <c r="L1" s="97"/>
      <c r="M1" s="97"/>
      <c r="N1" s="97"/>
      <c r="O1" s="97"/>
    </row>
    <row r="2" spans="1:23">
      <c r="A2" s="58" t="s">
        <v>883</v>
      </c>
      <c r="B2" t="s">
        <v>56</v>
      </c>
    </row>
    <row r="3" spans="1:23">
      <c r="A3" s="58" t="s">
        <v>884</v>
      </c>
      <c r="B3" t="str">
        <f>IF($B$1="","",_xlfn.XLOOKUP($B$1,Master!$F$2:$F$308,Master!$G$2:$G$308,""))</f>
        <v>tbl-PC-help-improve-hlth</v>
      </c>
    </row>
    <row r="4" spans="1:23">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c r="E7" s="99"/>
    </row>
    <row r="8" spans="1:23">
      <c r="E8" s="99"/>
      <c r="H8" s="14"/>
      <c r="I8" s="14"/>
    </row>
    <row r="9" spans="1:23">
      <c r="A9" s="98" t="s">
        <v>893</v>
      </c>
      <c r="B9" s="99"/>
      <c r="E9" s="99"/>
    </row>
    <row r="10" spans="1:23">
      <c r="A10" t="s">
        <v>894</v>
      </c>
      <c r="B10" t="s">
        <v>1062</v>
      </c>
      <c r="E10" s="99"/>
    </row>
    <row r="11" spans="1:23">
      <c r="A11" t="s">
        <v>895</v>
      </c>
      <c r="B11" t="s">
        <v>985</v>
      </c>
      <c r="E11" s="99"/>
    </row>
    <row r="12" spans="1:23">
      <c r="A12" t="s">
        <v>896</v>
      </c>
      <c r="E12" s="99"/>
    </row>
    <row r="13" spans="1:23">
      <c r="A13" t="s">
        <v>897</v>
      </c>
      <c r="E13" s="99"/>
    </row>
    <row r="14" spans="1:23">
      <c r="A14" t="s">
        <v>899</v>
      </c>
      <c r="B14" t="s">
        <v>694</v>
      </c>
      <c r="E14" s="99"/>
    </row>
    <row r="15" spans="1:23">
      <c r="A15" t="s">
        <v>901</v>
      </c>
      <c r="B15" t="b">
        <v>1</v>
      </c>
      <c r="E15" s="99"/>
    </row>
    <row r="16" spans="1:23">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28">
      <c r="A1" s="58" t="s">
        <v>882</v>
      </c>
      <c r="B1" s="114" t="s">
        <v>1081</v>
      </c>
      <c r="C1" s="97"/>
      <c r="D1" s="97"/>
      <c r="E1" s="97"/>
      <c r="F1" s="97"/>
      <c r="G1" s="97"/>
      <c r="H1" s="97"/>
      <c r="I1" s="97"/>
      <c r="J1" s="97"/>
      <c r="K1" s="97"/>
      <c r="L1" s="97"/>
      <c r="M1" s="97"/>
      <c r="N1" s="97"/>
      <c r="O1" s="97"/>
    </row>
    <row r="2" spans="1:28">
      <c r="A2" s="58" t="s">
        <v>883</v>
      </c>
      <c r="B2" t="s">
        <v>56</v>
      </c>
    </row>
    <row r="3" spans="1:28">
      <c r="A3" s="58" t="s">
        <v>884</v>
      </c>
      <c r="B3" t="str">
        <f>IF($B$1="","",_xlfn.XLOOKUP($B$1,Master!$F$2:$F$308,Master!$G$2:$G$308,""))</f>
        <v>tbl-PC-help-hlth-screen-education</v>
      </c>
    </row>
    <row r="4" spans="1:28">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c r="E7" s="99"/>
      <c r="F7" s="61"/>
      <c r="G7" s="55"/>
      <c r="H7" s="55"/>
      <c r="I7" s="55"/>
      <c r="J7" s="55"/>
      <c r="K7" s="55"/>
      <c r="L7" s="55"/>
      <c r="N7" s="14"/>
    </row>
    <row r="8" spans="1:28">
      <c r="E8" s="99"/>
      <c r="F8" s="61"/>
      <c r="G8" s="59"/>
      <c r="H8" s="55"/>
      <c r="I8" s="55"/>
      <c r="J8" s="55"/>
      <c r="K8" s="55"/>
      <c r="L8" s="55"/>
      <c r="N8" s="14"/>
    </row>
    <row r="9" spans="1:28">
      <c r="A9" s="98" t="s">
        <v>893</v>
      </c>
      <c r="B9" s="99"/>
      <c r="E9" s="99"/>
      <c r="F9" s="61"/>
      <c r="G9" s="55"/>
      <c r="H9" s="55"/>
      <c r="I9" s="55"/>
      <c r="J9" s="55"/>
      <c r="K9" s="55"/>
      <c r="L9" s="55"/>
    </row>
    <row r="10" spans="1:28">
      <c r="A10" t="s">
        <v>894</v>
      </c>
      <c r="B10" t="s">
        <v>1062</v>
      </c>
      <c r="E10" s="99"/>
      <c r="F10" s="61"/>
      <c r="G10" s="55"/>
      <c r="H10" s="59"/>
      <c r="I10" s="59"/>
      <c r="J10" s="55"/>
      <c r="K10" s="55"/>
      <c r="L10" s="55"/>
    </row>
    <row r="11" spans="1:28">
      <c r="A11" t="s">
        <v>895</v>
      </c>
      <c r="B11" t="s">
        <v>985</v>
      </c>
      <c r="E11" s="99"/>
    </row>
    <row r="12" spans="1:28">
      <c r="A12" t="s">
        <v>896</v>
      </c>
      <c r="E12" s="99"/>
    </row>
    <row r="13" spans="1:28">
      <c r="A13" t="s">
        <v>897</v>
      </c>
      <c r="E13" s="99"/>
    </row>
    <row r="14" spans="1:28">
      <c r="A14" t="s">
        <v>899</v>
      </c>
      <c r="B14" t="s">
        <v>694</v>
      </c>
      <c r="E14" s="99"/>
    </row>
    <row r="15" spans="1:28">
      <c r="A15" t="s">
        <v>901</v>
      </c>
      <c r="B15" t="b">
        <v>1</v>
      </c>
      <c r="E15" s="99"/>
    </row>
    <row r="16" spans="1:28">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285</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tbl-PC-reason-no-hlthcare</v>
      </c>
    </row>
    <row r="4" spans="1:15">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c r="A5" s="98" t="s">
        <v>885</v>
      </c>
      <c r="B5" s="99"/>
      <c r="E5" s="100" t="s">
        <v>886</v>
      </c>
      <c r="F5" s="55" t="s">
        <v>1103</v>
      </c>
      <c r="G5" s="55" t="s">
        <v>1104</v>
      </c>
      <c r="H5" s="55" t="s">
        <v>1105</v>
      </c>
      <c r="I5" s="55" t="s">
        <v>1106</v>
      </c>
      <c r="J5" s="55" t="s">
        <v>1107</v>
      </c>
      <c r="K5" s="55" t="s">
        <v>1108</v>
      </c>
      <c r="L5" s="55" t="s">
        <v>1109</v>
      </c>
      <c r="M5" s="55" t="s">
        <v>1110</v>
      </c>
      <c r="N5" s="55"/>
    </row>
    <row r="6" spans="1:15" ht="15" customHeight="1">
      <c r="A6" t="s">
        <v>891</v>
      </c>
      <c r="B6" t="b">
        <v>0</v>
      </c>
      <c r="E6" s="99"/>
      <c r="F6" s="59">
        <v>4</v>
      </c>
      <c r="G6" s="59">
        <v>10</v>
      </c>
      <c r="H6" s="59">
        <v>15</v>
      </c>
      <c r="I6" s="59">
        <v>23</v>
      </c>
      <c r="J6" s="59">
        <v>38</v>
      </c>
      <c r="K6" s="59">
        <v>40</v>
      </c>
      <c r="L6" s="59">
        <v>44</v>
      </c>
      <c r="M6" s="59">
        <v>52</v>
      </c>
      <c r="N6" s="14"/>
    </row>
    <row r="7" spans="1:15" ht="15.75" customHeight="1">
      <c r="E7" s="99"/>
      <c r="F7" s="55"/>
      <c r="G7" s="55"/>
      <c r="H7" s="55"/>
      <c r="I7" s="55"/>
      <c r="J7" s="55"/>
      <c r="K7" s="55"/>
      <c r="N7" s="14"/>
    </row>
    <row r="8" spans="1:15">
      <c r="E8" s="99"/>
      <c r="F8" s="59"/>
      <c r="G8" s="55"/>
      <c r="H8" s="55"/>
      <c r="I8" s="55"/>
      <c r="J8" s="55"/>
      <c r="K8" s="55"/>
      <c r="N8" s="14"/>
    </row>
    <row r="9" spans="1:15">
      <c r="A9" s="98" t="s">
        <v>893</v>
      </c>
      <c r="B9" s="99"/>
      <c r="E9" s="99"/>
      <c r="F9" s="55"/>
      <c r="G9" s="55"/>
      <c r="H9" s="55"/>
      <c r="I9" s="55"/>
      <c r="J9" s="55"/>
      <c r="K9" s="55"/>
    </row>
    <row r="10" spans="1:15">
      <c r="A10" t="s">
        <v>894</v>
      </c>
      <c r="B10" t="s">
        <v>1062</v>
      </c>
      <c r="E10" s="99"/>
      <c r="F10" s="55"/>
      <c r="G10" s="59"/>
      <c r="H10" s="59"/>
      <c r="I10" s="55"/>
      <c r="J10" s="55"/>
      <c r="K10" s="55"/>
    </row>
    <row r="11" spans="1:15">
      <c r="A11" t="s">
        <v>895</v>
      </c>
      <c r="B11" t="s">
        <v>985</v>
      </c>
      <c r="E11" s="99"/>
      <c r="F11" s="55"/>
      <c r="G11" s="55"/>
      <c r="H11" s="55"/>
      <c r="I11" s="55"/>
      <c r="J11" s="55"/>
      <c r="K11" s="55"/>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289</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tbl-PC-trust-hlth-source</v>
      </c>
    </row>
    <row r="4" spans="1:15">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c r="A5" s="98" t="s">
        <v>885</v>
      </c>
      <c r="B5" s="99"/>
      <c r="E5" s="100" t="s">
        <v>886</v>
      </c>
      <c r="F5" t="s">
        <v>1111</v>
      </c>
      <c r="G5" t="s">
        <v>1112</v>
      </c>
      <c r="H5" t="s">
        <v>1113</v>
      </c>
      <c r="I5" t="s">
        <v>1114</v>
      </c>
      <c r="J5" t="s">
        <v>1115</v>
      </c>
      <c r="K5" t="s">
        <v>1116</v>
      </c>
      <c r="L5" t="s">
        <v>1117</v>
      </c>
      <c r="M5" t="s">
        <v>1118</v>
      </c>
      <c r="N5" s="55"/>
    </row>
    <row r="6" spans="1:15" ht="15" customHeight="1">
      <c r="A6" t="s">
        <v>891</v>
      </c>
      <c r="B6" t="b">
        <v>0</v>
      </c>
      <c r="E6" s="99"/>
      <c r="F6" s="53">
        <v>10</v>
      </c>
      <c r="G6" s="59">
        <v>16</v>
      </c>
      <c r="H6" s="59">
        <v>21</v>
      </c>
      <c r="I6" s="59">
        <v>28</v>
      </c>
      <c r="J6" s="59">
        <v>39</v>
      </c>
      <c r="K6" s="59">
        <v>45</v>
      </c>
      <c r="L6" s="59">
        <v>48</v>
      </c>
      <c r="M6" s="59">
        <v>76</v>
      </c>
      <c r="N6" s="14"/>
    </row>
    <row r="7" spans="1:15" ht="15.75" customHeight="1">
      <c r="E7" s="99"/>
      <c r="F7" s="61"/>
      <c r="G7" s="59"/>
      <c r="H7" s="59"/>
      <c r="I7" s="59"/>
      <c r="J7" s="59"/>
      <c r="N7" s="14"/>
    </row>
    <row r="8" spans="1:15">
      <c r="E8" s="99"/>
      <c r="F8" s="61"/>
      <c r="G8" s="59"/>
      <c r="H8" s="59"/>
      <c r="I8" s="59"/>
      <c r="J8" s="59"/>
      <c r="N8" s="14"/>
    </row>
    <row r="9" spans="1:15">
      <c r="A9" s="98" t="s">
        <v>893</v>
      </c>
      <c r="B9" s="99"/>
      <c r="E9" s="99"/>
      <c r="F9" s="61"/>
      <c r="G9" s="59"/>
      <c r="H9" s="59"/>
      <c r="I9" s="59"/>
      <c r="J9" s="59"/>
    </row>
    <row r="10" spans="1:15">
      <c r="A10" t="s">
        <v>894</v>
      </c>
      <c r="B10" t="s">
        <v>1062</v>
      </c>
      <c r="E10" s="99"/>
      <c r="F10" s="61"/>
      <c r="G10" s="59"/>
      <c r="H10" s="59"/>
      <c r="I10" s="59"/>
      <c r="J10" s="59"/>
    </row>
    <row r="11" spans="1:15">
      <c r="A11" t="s">
        <v>895</v>
      </c>
      <c r="B11" t="s">
        <v>985</v>
      </c>
      <c r="E11" s="99"/>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293</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tbl-RC-affect-health</v>
      </c>
    </row>
    <row r="4" spans="1:15">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c r="A6" t="s">
        <v>891</v>
      </c>
      <c r="B6" t="b">
        <v>0</v>
      </c>
      <c r="E6" s="99"/>
      <c r="F6" s="59">
        <v>50.4</v>
      </c>
      <c r="G6" s="59">
        <v>46.7</v>
      </c>
      <c r="H6" s="59">
        <v>43</v>
      </c>
      <c r="I6" s="59">
        <v>38.5</v>
      </c>
      <c r="J6" s="59">
        <v>31.9</v>
      </c>
      <c r="K6" s="59">
        <v>29.6</v>
      </c>
      <c r="L6" s="59">
        <v>27.4</v>
      </c>
      <c r="M6" s="59">
        <v>17</v>
      </c>
      <c r="N6" s="59">
        <v>14.1</v>
      </c>
      <c r="O6" s="59">
        <v>1.5</v>
      </c>
    </row>
    <row r="7" spans="1:15" ht="15.75" customHeight="1">
      <c r="E7" s="99"/>
      <c r="N7" s="14"/>
    </row>
    <row r="8" spans="1:15">
      <c r="E8" s="99"/>
      <c r="N8" s="14"/>
    </row>
    <row r="9" spans="1:15">
      <c r="A9" s="98" t="s">
        <v>893</v>
      </c>
      <c r="B9" s="99"/>
      <c r="E9" s="99"/>
    </row>
    <row r="10" spans="1:15">
      <c r="A10" t="s">
        <v>894</v>
      </c>
      <c r="B10" t="s">
        <v>1002</v>
      </c>
      <c r="E10" s="99"/>
      <c r="H10" s="14"/>
      <c r="I10" s="14"/>
    </row>
    <row r="11" spans="1:15">
      <c r="A11" t="s">
        <v>895</v>
      </c>
      <c r="B11" t="s">
        <v>985</v>
      </c>
      <c r="E11" s="99"/>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297</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tbl-RC-achieve-health</v>
      </c>
    </row>
    <row r="4" spans="1:17">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c r="A6" t="s">
        <v>891</v>
      </c>
      <c r="B6" t="b">
        <v>0</v>
      </c>
      <c r="E6" s="99"/>
      <c r="F6" s="14">
        <v>66</v>
      </c>
      <c r="G6">
        <v>59.3</v>
      </c>
      <c r="H6">
        <v>34.1</v>
      </c>
      <c r="I6">
        <v>26.7</v>
      </c>
      <c r="J6">
        <v>23.7</v>
      </c>
      <c r="K6">
        <v>21.5</v>
      </c>
      <c r="L6">
        <v>19.3</v>
      </c>
      <c r="M6">
        <v>18.5</v>
      </c>
      <c r="N6">
        <v>9.6</v>
      </c>
      <c r="O6">
        <v>9.6</v>
      </c>
      <c r="P6" s="14">
        <v>6.7</v>
      </c>
      <c r="Q6">
        <v>5.2</v>
      </c>
    </row>
    <row r="7" spans="1:17" ht="15.75" customHeight="1">
      <c r="E7" s="99"/>
      <c r="N7" s="14"/>
    </row>
    <row r="8" spans="1:17">
      <c r="E8" s="99"/>
      <c r="G8" s="14"/>
      <c r="N8" s="14"/>
    </row>
    <row r="9" spans="1:17">
      <c r="A9" s="98" t="s">
        <v>893</v>
      </c>
      <c r="B9" s="99"/>
      <c r="E9" s="99"/>
    </row>
    <row r="10" spans="1:17">
      <c r="A10" t="s">
        <v>894</v>
      </c>
      <c r="B10" t="s">
        <v>1002</v>
      </c>
      <c r="E10" s="99"/>
      <c r="H10" s="14"/>
      <c r="I10" s="14"/>
    </row>
    <row r="11" spans="1:17">
      <c r="A11" t="s">
        <v>895</v>
      </c>
      <c r="B11" t="s">
        <v>985</v>
      </c>
      <c r="E11" s="99"/>
    </row>
    <row r="12" spans="1:17">
      <c r="A12" t="s">
        <v>896</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301</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tbl-RC-impact-hlth-issue</v>
      </c>
    </row>
    <row r="4" spans="1:15">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99"/>
      <c r="F6" s="61">
        <v>1</v>
      </c>
      <c r="G6" s="55">
        <v>5.4</v>
      </c>
      <c r="H6" s="55">
        <v>4.7</v>
      </c>
      <c r="I6" s="55">
        <v>3.1</v>
      </c>
      <c r="J6" s="55">
        <v>14.6</v>
      </c>
      <c r="K6" s="59">
        <v>16</v>
      </c>
      <c r="L6" s="55">
        <v>21.4</v>
      </c>
      <c r="N6" s="14"/>
    </row>
    <row r="7" spans="1:15" ht="15.75" customHeight="1">
      <c r="E7" s="99"/>
      <c r="F7" s="61">
        <v>2</v>
      </c>
      <c r="G7" s="55">
        <v>2.2999999999999998</v>
      </c>
      <c r="H7" s="55">
        <v>6.2</v>
      </c>
      <c r="I7" s="55">
        <v>6.3</v>
      </c>
      <c r="J7" s="55">
        <v>16.2</v>
      </c>
      <c r="K7" s="55">
        <v>19.899999999999999</v>
      </c>
      <c r="L7" s="54">
        <v>16</v>
      </c>
      <c r="N7" s="14"/>
    </row>
    <row r="8" spans="1:15">
      <c r="E8" s="99"/>
      <c r="F8" s="61">
        <v>3</v>
      </c>
      <c r="G8" s="59">
        <v>16.3</v>
      </c>
      <c r="H8" s="55">
        <v>22.5</v>
      </c>
      <c r="I8" s="59">
        <v>18</v>
      </c>
      <c r="J8" s="55">
        <v>28.5</v>
      </c>
      <c r="K8" s="55">
        <v>28.2</v>
      </c>
      <c r="L8" s="55">
        <v>30.5</v>
      </c>
      <c r="N8" s="14"/>
    </row>
    <row r="9" spans="1:15">
      <c r="A9" s="98" t="s">
        <v>893</v>
      </c>
      <c r="B9" s="99"/>
      <c r="E9" s="99"/>
      <c r="F9" s="61">
        <v>4</v>
      </c>
      <c r="G9" s="55">
        <v>21.7</v>
      </c>
      <c r="H9" s="55">
        <v>27.1</v>
      </c>
      <c r="I9" s="55">
        <v>24.2</v>
      </c>
      <c r="J9" s="59">
        <v>20</v>
      </c>
      <c r="K9" s="55">
        <v>17.600000000000001</v>
      </c>
      <c r="L9" s="55">
        <v>18.3</v>
      </c>
    </row>
    <row r="10" spans="1:15">
      <c r="A10" t="s">
        <v>894</v>
      </c>
      <c r="B10" t="s">
        <v>983</v>
      </c>
      <c r="E10" s="99"/>
      <c r="F10" s="61">
        <v>5</v>
      </c>
      <c r="G10" s="55">
        <v>54.3</v>
      </c>
      <c r="H10" s="59">
        <v>40</v>
      </c>
      <c r="I10" s="59">
        <v>48.4</v>
      </c>
      <c r="J10" s="55">
        <v>20.8</v>
      </c>
      <c r="K10" s="55">
        <v>18.3</v>
      </c>
      <c r="L10" s="55">
        <v>13.7</v>
      </c>
    </row>
    <row r="11" spans="1:15">
      <c r="A11" t="s">
        <v>895</v>
      </c>
      <c r="B11" t="s">
        <v>1839</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305</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tbl-RC-impact-sdoh</v>
      </c>
    </row>
    <row r="4" spans="1:15">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1021</v>
      </c>
      <c r="G5" s="55" t="s">
        <v>1022</v>
      </c>
      <c r="H5" s="55" t="s">
        <v>1023</v>
      </c>
      <c r="I5" s="55" t="s">
        <v>1024</v>
      </c>
      <c r="J5" s="55" t="s">
        <v>1025</v>
      </c>
      <c r="K5" s="55" t="s">
        <v>1026</v>
      </c>
      <c r="M5" s="55"/>
      <c r="N5" s="55"/>
    </row>
    <row r="6" spans="1:15" ht="15" customHeight="1">
      <c r="A6" t="s">
        <v>891</v>
      </c>
      <c r="B6" t="b">
        <v>0</v>
      </c>
      <c r="E6" s="99"/>
      <c r="F6" s="55">
        <v>79.7</v>
      </c>
      <c r="G6" s="55">
        <v>70.3</v>
      </c>
      <c r="H6" s="59">
        <v>68.8</v>
      </c>
      <c r="I6" s="55">
        <v>46.9</v>
      </c>
      <c r="J6" s="55">
        <v>17.2</v>
      </c>
      <c r="K6" s="55">
        <v>17.2</v>
      </c>
      <c r="N6" s="14"/>
    </row>
    <row r="7" spans="1:15" ht="15.75" customHeight="1">
      <c r="E7" s="99"/>
      <c r="F7" s="55"/>
      <c r="G7" s="55"/>
      <c r="H7" s="55"/>
      <c r="I7" s="55"/>
      <c r="J7" s="55"/>
      <c r="K7" s="55"/>
      <c r="N7" s="14"/>
    </row>
    <row r="8" spans="1:15">
      <c r="E8" s="99"/>
      <c r="F8" s="59"/>
      <c r="G8" s="55"/>
      <c r="H8" s="55"/>
      <c r="I8" s="55"/>
      <c r="J8" s="55"/>
      <c r="K8" s="55"/>
      <c r="N8" s="14"/>
    </row>
    <row r="9" spans="1:15">
      <c r="A9" s="98" t="s">
        <v>893</v>
      </c>
      <c r="B9" s="99"/>
      <c r="E9" s="99"/>
      <c r="F9" s="55"/>
      <c r="G9" s="55"/>
      <c r="H9" s="55"/>
      <c r="I9" s="55"/>
      <c r="J9" s="55"/>
      <c r="K9" s="55"/>
    </row>
    <row r="10" spans="1:15">
      <c r="A10" t="s">
        <v>894</v>
      </c>
      <c r="B10" t="s">
        <v>1002</v>
      </c>
      <c r="E10" s="99"/>
      <c r="F10" s="55"/>
      <c r="G10" s="59"/>
      <c r="H10" s="59"/>
      <c r="I10" s="55"/>
      <c r="J10" s="55"/>
      <c r="K10" s="55"/>
    </row>
    <row r="11" spans="1:15">
      <c r="A11" t="s">
        <v>895</v>
      </c>
      <c r="B11" t="s">
        <v>985</v>
      </c>
      <c r="E11" s="99"/>
      <c r="F11" s="55"/>
      <c r="H11" s="55"/>
      <c r="I11" s="55"/>
      <c r="J11" s="55"/>
      <c r="K11" s="55"/>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309</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tbl-RC-eco-wellbeing</v>
      </c>
    </row>
    <row r="4" spans="1:15">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9">
        <v>2.4</v>
      </c>
      <c r="H6" s="59">
        <v>3.3</v>
      </c>
      <c r="I6" s="59">
        <v>6.4</v>
      </c>
      <c r="J6" s="59">
        <v>2.4</v>
      </c>
      <c r="N6" s="14"/>
    </row>
    <row r="7" spans="1:15" ht="15.75" customHeight="1">
      <c r="E7" s="99"/>
      <c r="F7" s="61">
        <v>2</v>
      </c>
      <c r="G7" s="59">
        <v>6.3</v>
      </c>
      <c r="H7" s="59">
        <v>12.2</v>
      </c>
      <c r="I7" s="59">
        <v>14.4</v>
      </c>
      <c r="J7" s="59">
        <v>9.5</v>
      </c>
      <c r="N7" s="14"/>
    </row>
    <row r="8" spans="1:15">
      <c r="E8" s="99"/>
      <c r="F8" s="61">
        <v>3</v>
      </c>
      <c r="G8" s="59">
        <v>22.1</v>
      </c>
      <c r="H8" s="59">
        <v>26.8</v>
      </c>
      <c r="I8" s="59">
        <v>23.2</v>
      </c>
      <c r="J8" s="59">
        <v>19.8</v>
      </c>
      <c r="N8" s="14"/>
    </row>
    <row r="9" spans="1:15">
      <c r="A9" s="98" t="s">
        <v>893</v>
      </c>
      <c r="B9" s="99"/>
      <c r="E9" s="99"/>
      <c r="F9" s="61">
        <v>4</v>
      </c>
      <c r="G9" s="59">
        <v>21.3</v>
      </c>
      <c r="H9" s="59">
        <v>30.9</v>
      </c>
      <c r="I9" s="59">
        <v>28</v>
      </c>
      <c r="J9" s="59">
        <v>23.8</v>
      </c>
    </row>
    <row r="10" spans="1:15">
      <c r="A10" t="s">
        <v>894</v>
      </c>
      <c r="B10" t="s">
        <v>983</v>
      </c>
      <c r="E10" s="99"/>
      <c r="F10" s="61">
        <v>5</v>
      </c>
      <c r="G10" s="59">
        <v>48</v>
      </c>
      <c r="H10" s="59">
        <v>26.8</v>
      </c>
      <c r="I10" s="59">
        <v>28</v>
      </c>
      <c r="J10" s="59">
        <v>44.4</v>
      </c>
    </row>
    <row r="11" spans="1:15">
      <c r="A11" t="s">
        <v>895</v>
      </c>
      <c r="B11" t="s">
        <v>1660</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313</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tbl-RC-impact-mhsu</v>
      </c>
    </row>
    <row r="4" spans="1:15">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9">
        <v>0.8</v>
      </c>
      <c r="H6" s="59">
        <v>18.7</v>
      </c>
      <c r="I6" s="59">
        <v>1.6</v>
      </c>
      <c r="J6" s="59">
        <v>11.4</v>
      </c>
      <c r="K6" s="59">
        <v>12.2</v>
      </c>
      <c r="L6" s="59">
        <v>3.2</v>
      </c>
      <c r="N6" s="14"/>
    </row>
    <row r="7" spans="1:15" ht="15.75" customHeight="1">
      <c r="E7" s="99"/>
      <c r="F7" s="61">
        <v>2</v>
      </c>
      <c r="G7" s="59">
        <v>2.4</v>
      </c>
      <c r="H7" s="59">
        <v>17.899999999999999</v>
      </c>
      <c r="I7" s="59">
        <v>5.7</v>
      </c>
      <c r="J7" s="59">
        <v>11.4</v>
      </c>
      <c r="K7" s="59">
        <v>10.6</v>
      </c>
      <c r="L7" s="59">
        <v>12.1</v>
      </c>
      <c r="N7" s="14"/>
    </row>
    <row r="8" spans="1:15">
      <c r="E8" s="99"/>
      <c r="F8" s="61">
        <v>3</v>
      </c>
      <c r="G8" s="59">
        <v>15.2</v>
      </c>
      <c r="H8" s="59">
        <v>30.9</v>
      </c>
      <c r="I8" s="59">
        <v>24.4</v>
      </c>
      <c r="J8" s="59">
        <v>24.4</v>
      </c>
      <c r="K8" s="59">
        <v>23.6</v>
      </c>
      <c r="L8" s="59">
        <v>21.8</v>
      </c>
      <c r="N8" s="14"/>
    </row>
    <row r="9" spans="1:15">
      <c r="A9" s="98" t="s">
        <v>893</v>
      </c>
      <c r="B9" s="99"/>
      <c r="E9" s="99"/>
      <c r="F9" s="61">
        <v>4</v>
      </c>
      <c r="G9" s="59">
        <v>20</v>
      </c>
      <c r="H9" s="59">
        <v>19.5</v>
      </c>
      <c r="I9" s="59">
        <v>28.5</v>
      </c>
      <c r="J9" s="59">
        <v>22</v>
      </c>
      <c r="K9" s="59">
        <v>28.5</v>
      </c>
      <c r="L9" s="59">
        <v>29</v>
      </c>
    </row>
    <row r="10" spans="1:15">
      <c r="A10" t="s">
        <v>894</v>
      </c>
      <c r="B10" t="s">
        <v>983</v>
      </c>
      <c r="E10" s="99"/>
      <c r="F10" s="61">
        <v>5</v>
      </c>
      <c r="G10" s="59">
        <v>61.6</v>
      </c>
      <c r="H10" s="59">
        <v>13</v>
      </c>
      <c r="I10" s="59">
        <v>39.799999999999997</v>
      </c>
      <c r="J10" s="59">
        <v>30.9</v>
      </c>
      <c r="K10" s="59">
        <v>25.2</v>
      </c>
      <c r="L10" s="59">
        <v>33.9</v>
      </c>
    </row>
    <row r="11" spans="1:15">
      <c r="A11" t="s">
        <v>895</v>
      </c>
      <c r="B11" t="s">
        <v>1022</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317</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tbl-RC-impact-hlthinsur-access</v>
      </c>
    </row>
    <row r="4" spans="1:15">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c r="A5" s="98" t="s">
        <v>885</v>
      </c>
      <c r="B5" s="99"/>
      <c r="E5" s="100" t="s">
        <v>886</v>
      </c>
      <c r="F5" t="s">
        <v>1835</v>
      </c>
      <c r="G5" t="s">
        <v>1037</v>
      </c>
      <c r="H5" t="s">
        <v>1038</v>
      </c>
      <c r="I5" t="s">
        <v>1039</v>
      </c>
      <c r="J5" t="s">
        <v>1040</v>
      </c>
      <c r="K5" s="55"/>
      <c r="L5" s="55"/>
      <c r="M5" s="55"/>
      <c r="N5" s="55"/>
    </row>
    <row r="6" spans="1:15" ht="15" customHeight="1">
      <c r="A6" t="s">
        <v>891</v>
      </c>
      <c r="B6" t="b">
        <v>0</v>
      </c>
      <c r="E6" s="99"/>
      <c r="F6">
        <v>1</v>
      </c>
      <c r="G6" s="14">
        <v>23.6</v>
      </c>
      <c r="H6" s="14">
        <v>27.6</v>
      </c>
      <c r="I6" s="14">
        <v>8.1</v>
      </c>
      <c r="J6" s="14">
        <v>9.8000000000000007</v>
      </c>
      <c r="N6" s="14"/>
    </row>
    <row r="7" spans="1:15" ht="15.75" customHeight="1">
      <c r="E7" s="99"/>
      <c r="F7">
        <v>2</v>
      </c>
      <c r="G7" s="14">
        <v>15.5</v>
      </c>
      <c r="H7" s="14">
        <v>17.899999999999999</v>
      </c>
      <c r="I7" s="14">
        <v>7.3</v>
      </c>
      <c r="J7" s="14">
        <v>7.4</v>
      </c>
      <c r="N7" s="14"/>
    </row>
    <row r="8" spans="1:15">
      <c r="E8" s="99"/>
      <c r="F8">
        <v>3</v>
      </c>
      <c r="G8" s="14">
        <v>26.8</v>
      </c>
      <c r="H8" s="14">
        <v>28.5</v>
      </c>
      <c r="I8" s="14">
        <v>23.6</v>
      </c>
      <c r="J8" s="14">
        <v>28.7</v>
      </c>
      <c r="N8" s="14"/>
    </row>
    <row r="9" spans="1:15">
      <c r="A9" s="98" t="s">
        <v>893</v>
      </c>
      <c r="B9" s="99"/>
      <c r="E9" s="99"/>
      <c r="F9">
        <v>4</v>
      </c>
      <c r="G9" s="14">
        <v>16.3</v>
      </c>
      <c r="H9" s="14">
        <v>11.4</v>
      </c>
      <c r="I9" s="14">
        <v>25.2</v>
      </c>
      <c r="J9" s="14">
        <v>22.1</v>
      </c>
    </row>
    <row r="10" spans="1:15">
      <c r="A10" t="s">
        <v>894</v>
      </c>
      <c r="B10" t="s">
        <v>983</v>
      </c>
      <c r="E10" s="99"/>
      <c r="F10">
        <v>5</v>
      </c>
      <c r="G10" s="14">
        <v>17.899999999999999</v>
      </c>
      <c r="H10" s="14">
        <v>14.6</v>
      </c>
      <c r="I10" s="14">
        <v>35.799999999999997</v>
      </c>
      <c r="J10" s="14">
        <v>32</v>
      </c>
    </row>
    <row r="11" spans="1:15">
      <c r="A11" t="s">
        <v>895</v>
      </c>
      <c r="B11" t="s">
        <v>1023</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321</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tbl-SC-affect-health</v>
      </c>
    </row>
    <row r="4" spans="1:15">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c r="E7" s="99"/>
    </row>
    <row r="8" spans="1:15">
      <c r="E8" s="99"/>
      <c r="G8" s="14"/>
    </row>
    <row r="9" spans="1:15">
      <c r="A9" s="98" t="s">
        <v>893</v>
      </c>
      <c r="B9" s="99"/>
      <c r="E9" s="99"/>
    </row>
    <row r="10" spans="1:15">
      <c r="A10" t="s">
        <v>894</v>
      </c>
      <c r="B10" t="s">
        <v>1002</v>
      </c>
      <c r="E10" s="99"/>
      <c r="H10" s="14"/>
      <c r="I10" s="14"/>
    </row>
    <row r="11" spans="1:15">
      <c r="A11" t="s">
        <v>895</v>
      </c>
      <c r="B11" t="s">
        <v>985</v>
      </c>
      <c r="E11" s="99"/>
    </row>
    <row r="12" spans="1:15">
      <c r="A12" t="s">
        <v>896</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325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tbl-SC-achieve-health</v>
      </c>
    </row>
    <row r="4" spans="1:17">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c r="E7" s="99"/>
      <c r="N7" s="14"/>
    </row>
    <row r="8" spans="1:17">
      <c r="E8" s="99"/>
      <c r="N8" s="14"/>
    </row>
    <row r="9" spans="1:17">
      <c r="A9" s="98" t="s">
        <v>893</v>
      </c>
      <c r="B9" s="99"/>
      <c r="E9" s="99"/>
    </row>
    <row r="10" spans="1:17">
      <c r="A10" t="s">
        <v>894</v>
      </c>
      <c r="B10" t="s">
        <v>1002</v>
      </c>
      <c r="E10" s="99"/>
      <c r="H10" s="14"/>
      <c r="I10" s="14"/>
    </row>
    <row r="11" spans="1:17">
      <c r="A11" t="s">
        <v>895</v>
      </c>
      <c r="B11" t="s">
        <v>985</v>
      </c>
      <c r="E11" s="99"/>
    </row>
    <row r="12" spans="1:17">
      <c r="A12" t="s">
        <v>896</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defaultColWidth="8.7109375" defaultRowHeight="15"/>
  <cols>
    <col min="1" max="1" width="20" bestFit="1" customWidth="1"/>
    <col min="2" max="2" width="16.7109375" customWidth="1"/>
    <col min="5" max="5" width="6.7109375" customWidth="1"/>
    <col min="6" max="6" width="18.425781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329</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tbl-SC-impact-hlth-issue</v>
      </c>
    </row>
    <row r="4" spans="1:15">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99"/>
      <c r="F6" s="61">
        <v>1</v>
      </c>
      <c r="G6" s="55">
        <v>5.2</v>
      </c>
      <c r="H6" s="55">
        <v>3.1</v>
      </c>
      <c r="I6" s="55">
        <v>4.0999999999999996</v>
      </c>
      <c r="J6" s="55">
        <v>9.3000000000000007</v>
      </c>
      <c r="K6" s="55">
        <v>12.4</v>
      </c>
      <c r="L6" s="55">
        <v>17.399999999999999</v>
      </c>
      <c r="N6" s="14"/>
    </row>
    <row r="7" spans="1:15" ht="15.75" customHeight="1">
      <c r="E7" s="99"/>
      <c r="F7" s="61">
        <v>2</v>
      </c>
      <c r="G7" s="55">
        <v>4.0999999999999996</v>
      </c>
      <c r="H7" s="55">
        <v>5.2</v>
      </c>
      <c r="I7" s="55">
        <v>6.2</v>
      </c>
      <c r="J7" s="55">
        <v>10.3</v>
      </c>
      <c r="K7" s="55">
        <v>19.600000000000001</v>
      </c>
      <c r="L7" s="55">
        <v>14.3</v>
      </c>
      <c r="N7" s="14"/>
    </row>
    <row r="8" spans="1:15">
      <c r="E8" s="99"/>
      <c r="F8" s="61">
        <v>3</v>
      </c>
      <c r="G8" s="59">
        <v>14.4</v>
      </c>
      <c r="H8" s="55">
        <v>19.8</v>
      </c>
      <c r="I8" s="55">
        <v>13.4</v>
      </c>
      <c r="J8" s="55">
        <v>35.1</v>
      </c>
      <c r="K8" s="59">
        <v>32</v>
      </c>
      <c r="L8" s="59">
        <v>30</v>
      </c>
      <c r="N8" s="14"/>
    </row>
    <row r="9" spans="1:15">
      <c r="A9" s="98" t="s">
        <v>893</v>
      </c>
      <c r="B9" s="99"/>
      <c r="E9" s="99"/>
      <c r="F9" s="61">
        <v>4</v>
      </c>
      <c r="G9" s="55">
        <v>19.600000000000001</v>
      </c>
      <c r="H9" s="55">
        <v>27.1</v>
      </c>
      <c r="I9" s="55">
        <v>19.600000000000001</v>
      </c>
      <c r="J9" s="55">
        <v>16.5</v>
      </c>
      <c r="K9" s="55">
        <v>14.4</v>
      </c>
      <c r="L9" s="55">
        <v>21.4</v>
      </c>
    </row>
    <row r="10" spans="1:15">
      <c r="A10" t="s">
        <v>894</v>
      </c>
      <c r="B10" t="s">
        <v>983</v>
      </c>
      <c r="E10" s="99"/>
      <c r="F10" s="61">
        <v>5</v>
      </c>
      <c r="G10" s="55">
        <v>56.7</v>
      </c>
      <c r="H10" s="59">
        <v>44.8</v>
      </c>
      <c r="I10" s="59">
        <v>56.7</v>
      </c>
      <c r="J10" s="55">
        <v>28.9</v>
      </c>
      <c r="K10" s="55">
        <v>21.7</v>
      </c>
      <c r="L10" s="55">
        <v>17.399999999999999</v>
      </c>
    </row>
    <row r="11" spans="1:15">
      <c r="A11" t="s">
        <v>895</v>
      </c>
      <c r="B11" t="s">
        <v>1838</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333</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tbl-SC-impact-sdoh</v>
      </c>
    </row>
    <row r="4" spans="1:15">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1022</v>
      </c>
      <c r="G5" s="55" t="s">
        <v>1021</v>
      </c>
      <c r="H5" s="55" t="s">
        <v>1023</v>
      </c>
      <c r="I5" s="55" t="s">
        <v>1024</v>
      </c>
      <c r="J5" s="55" t="s">
        <v>1025</v>
      </c>
      <c r="K5" s="55" t="s">
        <v>1026</v>
      </c>
      <c r="M5" s="55"/>
      <c r="N5" s="55"/>
    </row>
    <row r="6" spans="1:15" ht="15" customHeight="1">
      <c r="A6" t="s">
        <v>891</v>
      </c>
      <c r="B6" t="b">
        <v>0</v>
      </c>
      <c r="E6" s="99"/>
      <c r="F6" s="55">
        <v>83.3</v>
      </c>
      <c r="G6" s="55">
        <v>80.2</v>
      </c>
      <c r="H6" s="59">
        <v>56.3</v>
      </c>
      <c r="I6" s="55">
        <v>44.8</v>
      </c>
      <c r="J6" s="55">
        <v>20.8</v>
      </c>
      <c r="K6" s="55">
        <v>14.6</v>
      </c>
      <c r="N6" s="14"/>
    </row>
    <row r="7" spans="1:15" ht="15.75" customHeight="1">
      <c r="E7" s="99"/>
      <c r="G7" s="55"/>
      <c r="H7" s="55"/>
      <c r="I7" s="55"/>
      <c r="J7" s="55"/>
      <c r="K7" s="55"/>
      <c r="N7" s="14"/>
    </row>
    <row r="8" spans="1:15">
      <c r="E8" s="99"/>
      <c r="G8" s="55"/>
      <c r="H8" s="55"/>
      <c r="I8" s="55"/>
      <c r="J8" s="55"/>
      <c r="K8" s="55"/>
      <c r="N8" s="14"/>
    </row>
    <row r="9" spans="1:15">
      <c r="A9" s="98" t="s">
        <v>893</v>
      </c>
      <c r="B9" s="99"/>
      <c r="E9" s="99"/>
      <c r="F9" s="55"/>
      <c r="G9" s="55"/>
      <c r="H9" s="55"/>
      <c r="I9" s="55"/>
      <c r="J9" s="55"/>
      <c r="K9" s="55"/>
    </row>
    <row r="10" spans="1:15">
      <c r="A10" t="s">
        <v>894</v>
      </c>
      <c r="B10" t="s">
        <v>1002</v>
      </c>
      <c r="E10" s="99"/>
      <c r="G10" s="59"/>
      <c r="H10" s="59"/>
      <c r="I10" s="55"/>
      <c r="J10" s="55"/>
      <c r="K10" s="55"/>
    </row>
    <row r="11" spans="1:15">
      <c r="A11" t="s">
        <v>895</v>
      </c>
      <c r="B11" t="s">
        <v>985</v>
      </c>
      <c r="E11" s="99"/>
      <c r="G11" s="55"/>
      <c r="H11" s="55"/>
      <c r="I11" s="55"/>
      <c r="J11" s="55"/>
      <c r="K11" s="55"/>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337</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tbl-SC-eco-wellbeing</v>
      </c>
    </row>
    <row r="4" spans="1:15">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9">
        <v>1.1000000000000001</v>
      </c>
      <c r="H6" s="59">
        <v>4.2</v>
      </c>
      <c r="I6" s="59">
        <v>2.1</v>
      </c>
      <c r="J6" s="59">
        <v>2.1</v>
      </c>
      <c r="N6" s="14"/>
    </row>
    <row r="7" spans="1:15" ht="15.75" customHeight="1">
      <c r="E7" s="99"/>
      <c r="F7" s="61">
        <v>2</v>
      </c>
      <c r="G7" s="59">
        <v>5.3</v>
      </c>
      <c r="H7" s="59">
        <v>7.4</v>
      </c>
      <c r="I7" s="59">
        <v>5.3</v>
      </c>
      <c r="J7" s="59">
        <v>6.3</v>
      </c>
      <c r="N7" s="14"/>
    </row>
    <row r="8" spans="1:15">
      <c r="E8" s="99"/>
      <c r="F8" s="61">
        <v>3</v>
      </c>
      <c r="G8" s="59">
        <v>20</v>
      </c>
      <c r="H8" s="59">
        <v>24.2</v>
      </c>
      <c r="I8" s="59">
        <v>31.9</v>
      </c>
      <c r="J8" s="59">
        <v>24.2</v>
      </c>
      <c r="N8" s="14"/>
    </row>
    <row r="9" spans="1:15">
      <c r="A9" s="98" t="s">
        <v>893</v>
      </c>
      <c r="B9" s="99"/>
      <c r="E9" s="99"/>
      <c r="F9" s="61">
        <v>4</v>
      </c>
      <c r="G9" s="59">
        <v>16.8</v>
      </c>
      <c r="H9" s="59">
        <v>34.700000000000003</v>
      </c>
      <c r="I9" s="59">
        <v>24.5</v>
      </c>
      <c r="J9" s="59">
        <v>16.8</v>
      </c>
    </row>
    <row r="10" spans="1:15">
      <c r="A10" t="s">
        <v>894</v>
      </c>
      <c r="B10" t="s">
        <v>983</v>
      </c>
      <c r="E10" s="99"/>
      <c r="F10" s="61">
        <v>5</v>
      </c>
      <c r="G10" s="59">
        <v>56.8</v>
      </c>
      <c r="H10" s="59">
        <v>29.5</v>
      </c>
      <c r="I10" s="59">
        <v>36.200000000000003</v>
      </c>
      <c r="J10" s="59">
        <v>50.5</v>
      </c>
    </row>
    <row r="11" spans="1:15">
      <c r="A11" t="s">
        <v>895</v>
      </c>
      <c r="B11" t="s">
        <v>1660</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341</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tbl-SC-impact-mhsu</v>
      </c>
    </row>
    <row r="4" spans="1:15">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1">
        <v>0</v>
      </c>
      <c r="H6" s="59">
        <v>10.9</v>
      </c>
      <c r="I6" s="51">
        <v>0</v>
      </c>
      <c r="J6" s="59">
        <v>5.5</v>
      </c>
      <c r="K6" s="59">
        <v>7.6</v>
      </c>
      <c r="L6" s="59">
        <v>3.2</v>
      </c>
      <c r="N6" s="14"/>
    </row>
    <row r="7" spans="1:15" ht="15.75" customHeight="1">
      <c r="E7" s="99"/>
      <c r="F7" s="61">
        <v>2</v>
      </c>
      <c r="G7" s="59">
        <v>1.1000000000000001</v>
      </c>
      <c r="H7" s="59">
        <v>14.1</v>
      </c>
      <c r="I7" s="59">
        <v>6.5</v>
      </c>
      <c r="J7" s="59">
        <v>8.8000000000000007</v>
      </c>
      <c r="K7" s="59">
        <v>13</v>
      </c>
      <c r="L7" s="59">
        <v>7.5</v>
      </c>
      <c r="N7" s="14"/>
    </row>
    <row r="8" spans="1:15">
      <c r="E8" s="99"/>
      <c r="F8" s="61">
        <v>3</v>
      </c>
      <c r="G8" s="59">
        <v>10.8</v>
      </c>
      <c r="H8" s="59">
        <v>32.6</v>
      </c>
      <c r="I8" s="59">
        <v>17.2</v>
      </c>
      <c r="J8" s="59">
        <v>22</v>
      </c>
      <c r="K8" s="59">
        <v>21.7</v>
      </c>
      <c r="L8" s="59">
        <v>18.3</v>
      </c>
      <c r="N8" s="14"/>
    </row>
    <row r="9" spans="1:15">
      <c r="A9" s="98" t="s">
        <v>893</v>
      </c>
      <c r="B9" s="99"/>
      <c r="E9" s="99"/>
      <c r="F9" s="61">
        <v>4</v>
      </c>
      <c r="G9" s="59">
        <v>20.399999999999999</v>
      </c>
      <c r="H9" s="59">
        <v>27.2</v>
      </c>
      <c r="I9" s="59">
        <v>31.2</v>
      </c>
      <c r="J9" s="59">
        <v>24.2</v>
      </c>
      <c r="K9" s="59">
        <v>24</v>
      </c>
      <c r="L9" s="59">
        <v>33.299999999999997</v>
      </c>
    </row>
    <row r="10" spans="1:15">
      <c r="A10" t="s">
        <v>894</v>
      </c>
      <c r="B10" t="s">
        <v>983</v>
      </c>
      <c r="E10" s="99"/>
      <c r="F10" s="61">
        <v>5</v>
      </c>
      <c r="G10" s="59">
        <v>67.7</v>
      </c>
      <c r="H10" s="59">
        <v>15.2</v>
      </c>
      <c r="I10" s="59">
        <v>45.2</v>
      </c>
      <c r="J10" s="59">
        <v>39.6</v>
      </c>
      <c r="K10" s="59">
        <v>33.700000000000003</v>
      </c>
      <c r="L10" s="59">
        <v>37.6</v>
      </c>
    </row>
    <row r="11" spans="1:15">
      <c r="A11" t="s">
        <v>895</v>
      </c>
      <c r="B11" t="s">
        <v>1022</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345</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tbl-SC-impact-hlthinsur-access</v>
      </c>
    </row>
    <row r="4" spans="1:15">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c r="A5" s="98" t="s">
        <v>885</v>
      </c>
      <c r="B5" s="99"/>
      <c r="E5" s="100" t="s">
        <v>886</v>
      </c>
      <c r="F5" t="s">
        <v>1835</v>
      </c>
      <c r="G5" t="s">
        <v>1037</v>
      </c>
      <c r="H5" t="s">
        <v>1038</v>
      </c>
      <c r="I5" t="s">
        <v>1039</v>
      </c>
      <c r="J5" t="s">
        <v>1040</v>
      </c>
      <c r="K5" s="55"/>
      <c r="L5" s="55"/>
      <c r="M5" s="55"/>
      <c r="N5" s="55"/>
    </row>
    <row r="6" spans="1:15" ht="15" customHeight="1">
      <c r="A6" t="s">
        <v>891</v>
      </c>
      <c r="B6" t="b">
        <v>0</v>
      </c>
      <c r="E6" s="99"/>
      <c r="F6">
        <v>1</v>
      </c>
      <c r="G6" s="14">
        <v>9.8000000000000007</v>
      </c>
      <c r="H6" s="14">
        <v>12</v>
      </c>
      <c r="I6" s="14">
        <v>1.1000000000000001</v>
      </c>
      <c r="J6" s="14">
        <v>5.4</v>
      </c>
      <c r="N6" s="14"/>
    </row>
    <row r="7" spans="1:15" ht="15.75" customHeight="1">
      <c r="E7" s="99"/>
      <c r="F7">
        <v>2</v>
      </c>
      <c r="G7" s="14">
        <v>13</v>
      </c>
      <c r="H7" s="14">
        <v>19.600000000000001</v>
      </c>
      <c r="I7" s="14">
        <v>8.6999999999999993</v>
      </c>
      <c r="J7" s="14">
        <v>7.6</v>
      </c>
      <c r="N7" s="14"/>
    </row>
    <row r="8" spans="1:15">
      <c r="E8" s="99"/>
      <c r="F8">
        <v>3</v>
      </c>
      <c r="G8" s="14">
        <v>35.9</v>
      </c>
      <c r="H8" s="14">
        <v>31.5</v>
      </c>
      <c r="I8" s="14">
        <v>20.7</v>
      </c>
      <c r="J8" s="14">
        <v>23.9</v>
      </c>
      <c r="N8" s="14"/>
    </row>
    <row r="9" spans="1:15">
      <c r="A9" s="98" t="s">
        <v>893</v>
      </c>
      <c r="B9" s="99"/>
      <c r="E9" s="99"/>
      <c r="F9">
        <v>4</v>
      </c>
      <c r="G9" s="14">
        <v>25</v>
      </c>
      <c r="H9" s="14">
        <v>22.8</v>
      </c>
      <c r="I9" s="14">
        <v>31.5</v>
      </c>
      <c r="J9" s="14">
        <v>34.799999999999997</v>
      </c>
    </row>
    <row r="10" spans="1:15">
      <c r="A10" t="s">
        <v>894</v>
      </c>
      <c r="B10" t="s">
        <v>983</v>
      </c>
      <c r="E10" s="99"/>
      <c r="F10">
        <v>5</v>
      </c>
      <c r="G10" s="14">
        <v>16.3</v>
      </c>
      <c r="H10" s="14">
        <v>14.1</v>
      </c>
      <c r="I10" s="14">
        <v>38</v>
      </c>
      <c r="J10" s="14">
        <v>28.3</v>
      </c>
    </row>
    <row r="11" spans="1:15">
      <c r="A11" t="s">
        <v>895</v>
      </c>
      <c r="B11" t="s">
        <v>1023</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349</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tbl-UC-affect-health</v>
      </c>
    </row>
    <row r="4" spans="1:15">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c r="A6" t="s">
        <v>891</v>
      </c>
      <c r="B6" t="b">
        <v>0</v>
      </c>
      <c r="E6" s="99"/>
      <c r="F6" s="59">
        <v>52.1</v>
      </c>
      <c r="G6" s="59">
        <v>50.7</v>
      </c>
      <c r="H6" s="59">
        <v>43.8</v>
      </c>
      <c r="I6" s="59">
        <v>40</v>
      </c>
      <c r="J6" s="59">
        <v>37</v>
      </c>
      <c r="K6" s="59">
        <v>30.1</v>
      </c>
      <c r="L6" s="59">
        <v>24.7</v>
      </c>
      <c r="M6" s="59">
        <v>11</v>
      </c>
      <c r="N6" s="59">
        <v>11</v>
      </c>
      <c r="O6" s="51">
        <v>0</v>
      </c>
    </row>
    <row r="7" spans="1:15" ht="15.75" customHeight="1">
      <c r="E7" s="99"/>
      <c r="I7" s="55"/>
    </row>
    <row r="8" spans="1:15">
      <c r="E8" s="99"/>
      <c r="G8" s="14"/>
    </row>
    <row r="9" spans="1:15">
      <c r="A9" s="98" t="s">
        <v>893</v>
      </c>
      <c r="B9" s="99"/>
      <c r="E9" s="99"/>
    </row>
    <row r="10" spans="1:15">
      <c r="A10" t="s">
        <v>894</v>
      </c>
      <c r="B10" t="s">
        <v>983</v>
      </c>
      <c r="E10" s="99"/>
      <c r="H10" s="14"/>
      <c r="I10" s="14"/>
    </row>
    <row r="11" spans="1:15">
      <c r="A11" t="s">
        <v>895</v>
      </c>
      <c r="B11" t="s">
        <v>985</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353</v>
      </c>
      <c r="C1" s="97"/>
      <c r="D1" s="97"/>
      <c r="E1" s="97"/>
      <c r="F1" s="97"/>
      <c r="G1" s="97"/>
      <c r="H1" s="97"/>
      <c r="I1" s="97"/>
      <c r="J1" s="97"/>
      <c r="K1" s="97"/>
      <c r="L1" s="97"/>
      <c r="M1" s="97"/>
      <c r="N1" s="97"/>
      <c r="O1" s="97"/>
    </row>
    <row r="2" spans="1:17">
      <c r="A2" s="58" t="s">
        <v>883</v>
      </c>
      <c r="B2" t="s">
        <v>56</v>
      </c>
    </row>
    <row r="3" spans="1:17">
      <c r="A3" s="58" t="s">
        <v>884</v>
      </c>
      <c r="B3" t="str">
        <f>IF($B$1="","",_xlfn.XLOOKUP($B$1,Master!$F$2:$F$308,Master!$G$2:$G$308,""))</f>
        <v>tbl-UC-achieve-health</v>
      </c>
    </row>
    <row r="4" spans="1:17">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c r="A6" t="s">
        <v>891</v>
      </c>
      <c r="B6" t="b">
        <v>0</v>
      </c>
      <c r="E6" s="99"/>
      <c r="F6">
        <v>65.8</v>
      </c>
      <c r="G6">
        <v>46.6</v>
      </c>
      <c r="H6">
        <v>38.4</v>
      </c>
      <c r="I6" s="14">
        <v>37</v>
      </c>
      <c r="J6">
        <v>35.6</v>
      </c>
      <c r="K6">
        <v>27.4</v>
      </c>
      <c r="L6">
        <v>20.6</v>
      </c>
      <c r="M6">
        <v>9.6</v>
      </c>
      <c r="N6">
        <v>6.9</v>
      </c>
      <c r="O6">
        <v>5.5</v>
      </c>
      <c r="P6">
        <v>4.0999999999999996</v>
      </c>
      <c r="Q6" s="14">
        <v>2.7</v>
      </c>
    </row>
    <row r="7" spans="1:17" ht="15.75" customHeight="1">
      <c r="E7" s="99"/>
      <c r="N7" s="14"/>
    </row>
    <row r="8" spans="1:17">
      <c r="E8" s="99"/>
      <c r="G8" s="14"/>
      <c r="N8" s="14"/>
    </row>
    <row r="9" spans="1:17">
      <c r="A9" s="98" t="s">
        <v>893</v>
      </c>
      <c r="B9" s="99"/>
      <c r="E9" s="99"/>
    </row>
    <row r="10" spans="1:17">
      <c r="A10" t="s">
        <v>894</v>
      </c>
      <c r="B10" t="s">
        <v>983</v>
      </c>
      <c r="E10" s="99"/>
      <c r="H10" s="14"/>
      <c r="I10" s="14"/>
    </row>
    <row r="11" spans="1:17">
      <c r="A11" t="s">
        <v>895</v>
      </c>
      <c r="B11" t="s">
        <v>985</v>
      </c>
      <c r="E11" s="99"/>
    </row>
    <row r="12" spans="1:17">
      <c r="A12" t="s">
        <v>896</v>
      </c>
      <c r="B12" t="s">
        <v>694</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357</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tbl-UC-impact-hlth-issue</v>
      </c>
    </row>
    <row r="4" spans="1:15">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99"/>
      <c r="F6" s="61">
        <v>1</v>
      </c>
      <c r="G6" s="55">
        <v>2.9</v>
      </c>
      <c r="H6" s="55">
        <v>2.9</v>
      </c>
      <c r="I6" s="55">
        <v>2.9</v>
      </c>
      <c r="J6" s="59">
        <v>13</v>
      </c>
      <c r="K6" s="59">
        <v>15.7</v>
      </c>
      <c r="L6" s="55">
        <v>16.899999999999999</v>
      </c>
      <c r="N6" s="14"/>
    </row>
    <row r="7" spans="1:15" ht="15.75" customHeight="1">
      <c r="E7" s="99"/>
      <c r="F7" s="61">
        <v>2</v>
      </c>
      <c r="G7" s="55">
        <v>4.3</v>
      </c>
      <c r="H7" s="55">
        <v>5.7</v>
      </c>
      <c r="I7" s="55">
        <v>5.7</v>
      </c>
      <c r="J7" s="59">
        <v>8.6999999999999993</v>
      </c>
      <c r="K7" s="59">
        <v>15.7</v>
      </c>
      <c r="L7" s="55">
        <v>19.7</v>
      </c>
      <c r="N7" s="14"/>
    </row>
    <row r="8" spans="1:15">
      <c r="E8" s="99"/>
      <c r="F8" s="61">
        <v>3</v>
      </c>
      <c r="G8" s="59">
        <v>14.3</v>
      </c>
      <c r="H8" s="59">
        <v>10</v>
      </c>
      <c r="I8" s="55">
        <v>14.3</v>
      </c>
      <c r="J8" s="59">
        <v>34.799999999999997</v>
      </c>
      <c r="K8" s="59">
        <v>30</v>
      </c>
      <c r="L8" s="59">
        <v>31</v>
      </c>
      <c r="N8" s="14"/>
    </row>
    <row r="9" spans="1:15">
      <c r="A9" s="98" t="s">
        <v>893</v>
      </c>
      <c r="B9" s="99"/>
      <c r="E9" s="99"/>
      <c r="F9" s="61">
        <v>4</v>
      </c>
      <c r="G9" s="55">
        <v>18.600000000000001</v>
      </c>
      <c r="H9" s="55">
        <v>31.4</v>
      </c>
      <c r="I9" s="59">
        <v>20</v>
      </c>
      <c r="J9" s="59">
        <v>14.5</v>
      </c>
      <c r="K9" s="59">
        <v>18.600000000000001</v>
      </c>
      <c r="L9" s="55">
        <v>14.1</v>
      </c>
    </row>
    <row r="10" spans="1:15">
      <c r="A10" t="s">
        <v>894</v>
      </c>
      <c r="B10" t="s">
        <v>983</v>
      </c>
      <c r="E10" s="99"/>
      <c r="F10" s="61">
        <v>5</v>
      </c>
      <c r="G10" s="59">
        <v>60</v>
      </c>
      <c r="H10" s="59">
        <v>50</v>
      </c>
      <c r="I10" s="59">
        <v>57.1</v>
      </c>
      <c r="J10" s="59">
        <v>29</v>
      </c>
      <c r="K10" s="59">
        <v>20</v>
      </c>
      <c r="L10" s="55">
        <v>18.3</v>
      </c>
    </row>
    <row r="11" spans="1:15">
      <c r="A11" t="s">
        <v>895</v>
      </c>
      <c r="B11" t="s">
        <v>1838</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361</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tbl-UC-impact-sdoh</v>
      </c>
    </row>
    <row r="4" spans="1:15">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1021</v>
      </c>
      <c r="G5" s="55" t="s">
        <v>1022</v>
      </c>
      <c r="H5" s="55" t="s">
        <v>1023</v>
      </c>
      <c r="I5" s="55" t="s">
        <v>1024</v>
      </c>
      <c r="J5" s="55" t="s">
        <v>1025</v>
      </c>
      <c r="K5" s="55" t="s">
        <v>1026</v>
      </c>
      <c r="M5" s="55"/>
      <c r="N5" s="55"/>
    </row>
    <row r="6" spans="1:15" ht="15" customHeight="1">
      <c r="A6" t="s">
        <v>891</v>
      </c>
      <c r="B6" t="b">
        <v>0</v>
      </c>
      <c r="E6" s="99"/>
      <c r="F6" s="55">
        <v>84.3</v>
      </c>
      <c r="G6" s="55">
        <v>78.599999999999994</v>
      </c>
      <c r="H6" s="59">
        <v>60</v>
      </c>
      <c r="I6" s="55">
        <v>47.1</v>
      </c>
      <c r="J6" s="55">
        <v>18.600000000000001</v>
      </c>
      <c r="K6" s="55">
        <v>11.4</v>
      </c>
      <c r="N6" s="14"/>
    </row>
    <row r="7" spans="1:15" ht="15.75" customHeight="1">
      <c r="E7" s="99"/>
      <c r="F7" s="55"/>
      <c r="G7" s="55"/>
      <c r="H7" s="55"/>
      <c r="I7" s="55"/>
      <c r="J7" s="55"/>
      <c r="K7" s="55"/>
      <c r="N7" s="14"/>
    </row>
    <row r="8" spans="1:15">
      <c r="E8" s="99"/>
      <c r="F8" s="59"/>
      <c r="H8" s="55"/>
      <c r="I8" s="55"/>
      <c r="J8" s="55"/>
      <c r="K8" s="55"/>
      <c r="N8" s="14"/>
    </row>
    <row r="9" spans="1:15">
      <c r="A9" s="98" t="s">
        <v>893</v>
      </c>
      <c r="B9" s="99"/>
      <c r="E9" s="99"/>
      <c r="F9" s="55"/>
      <c r="H9" s="55"/>
      <c r="I9" s="55"/>
      <c r="J9" s="55"/>
      <c r="K9" s="55"/>
    </row>
    <row r="10" spans="1:15">
      <c r="A10" t="s">
        <v>894</v>
      </c>
      <c r="B10" t="s">
        <v>983</v>
      </c>
      <c r="E10" s="99"/>
      <c r="F10" s="55"/>
      <c r="H10" s="59"/>
      <c r="I10" s="55"/>
      <c r="J10" s="55"/>
      <c r="K10" s="55"/>
    </row>
    <row r="11" spans="1:15">
      <c r="A11" t="s">
        <v>895</v>
      </c>
      <c r="B11" t="s">
        <v>985</v>
      </c>
      <c r="E11" s="99"/>
      <c r="F11" s="55"/>
      <c r="H11" s="55"/>
      <c r="I11" s="55"/>
      <c r="J11" s="55"/>
      <c r="K11" s="55"/>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365</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tbl-UC-eco-wellbeing</v>
      </c>
    </row>
    <row r="4" spans="1:15">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9">
        <v>1.5</v>
      </c>
      <c r="H6" s="59">
        <v>1.5</v>
      </c>
      <c r="I6" s="59">
        <v>3</v>
      </c>
      <c r="J6" s="59">
        <v>2.9</v>
      </c>
      <c r="K6" s="59"/>
      <c r="N6" s="14"/>
    </row>
    <row r="7" spans="1:15" ht="15.75" customHeight="1">
      <c r="E7" s="99"/>
      <c r="F7" s="61">
        <v>2</v>
      </c>
      <c r="G7" s="59">
        <v>1.5</v>
      </c>
      <c r="H7" s="59">
        <v>7.4</v>
      </c>
      <c r="I7" s="59">
        <v>6</v>
      </c>
      <c r="J7" s="59">
        <v>2.9</v>
      </c>
      <c r="N7" s="14"/>
    </row>
    <row r="8" spans="1:15">
      <c r="E8" s="99"/>
      <c r="F8" s="61">
        <v>3</v>
      </c>
      <c r="G8" s="59">
        <v>20.3</v>
      </c>
      <c r="H8" s="59">
        <v>22.1</v>
      </c>
      <c r="I8" s="59">
        <v>23.9</v>
      </c>
      <c r="J8" s="59">
        <v>20.3</v>
      </c>
      <c r="N8" s="14"/>
    </row>
    <row r="9" spans="1:15">
      <c r="A9" s="98" t="s">
        <v>893</v>
      </c>
      <c r="B9" s="99"/>
      <c r="E9" s="99"/>
      <c r="F9" s="61">
        <v>4</v>
      </c>
      <c r="G9" s="59">
        <v>20.3</v>
      </c>
      <c r="H9" s="59">
        <v>38.200000000000003</v>
      </c>
      <c r="I9" s="59">
        <v>29.9</v>
      </c>
      <c r="J9" s="59">
        <v>20.3</v>
      </c>
    </row>
    <row r="10" spans="1:15">
      <c r="A10" t="s">
        <v>894</v>
      </c>
      <c r="B10" t="s">
        <v>983</v>
      </c>
      <c r="E10" s="99"/>
      <c r="F10" s="61">
        <v>5</v>
      </c>
      <c r="G10" s="59">
        <v>56.5</v>
      </c>
      <c r="H10" s="59">
        <v>30.9</v>
      </c>
      <c r="I10" s="59">
        <v>37.299999999999997</v>
      </c>
      <c r="J10" s="59">
        <v>53.6</v>
      </c>
    </row>
    <row r="11" spans="1:15">
      <c r="A11" t="s">
        <v>895</v>
      </c>
      <c r="B11" t="s">
        <v>1660</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369</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tbl-UC-impact-mhsu</v>
      </c>
    </row>
    <row r="4" spans="1:15">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1">
        <v>0</v>
      </c>
      <c r="H6" s="59">
        <v>12.3</v>
      </c>
      <c r="I6" s="51">
        <v>0</v>
      </c>
      <c r="J6" s="59">
        <v>3.1</v>
      </c>
      <c r="K6" s="59">
        <v>4.5999999999999996</v>
      </c>
      <c r="L6" s="59">
        <v>6</v>
      </c>
      <c r="N6" s="14"/>
    </row>
    <row r="7" spans="1:15" ht="15.75" customHeight="1">
      <c r="E7" s="99"/>
      <c r="F7" s="61">
        <v>2</v>
      </c>
      <c r="G7" s="59">
        <v>1.5</v>
      </c>
      <c r="H7" s="59">
        <v>13.9</v>
      </c>
      <c r="I7" s="59">
        <v>4.5</v>
      </c>
      <c r="J7" s="59">
        <v>6.2</v>
      </c>
      <c r="K7" s="59">
        <v>9.1999999999999993</v>
      </c>
      <c r="L7" s="59">
        <v>9</v>
      </c>
      <c r="N7" s="14"/>
    </row>
    <row r="8" spans="1:15">
      <c r="E8" s="99"/>
      <c r="F8" s="61">
        <v>3</v>
      </c>
      <c r="G8" s="59">
        <v>6</v>
      </c>
      <c r="H8" s="59">
        <v>29.2</v>
      </c>
      <c r="I8" s="59">
        <v>14.9</v>
      </c>
      <c r="J8" s="59">
        <v>26.2</v>
      </c>
      <c r="K8" s="59">
        <v>27.7</v>
      </c>
      <c r="L8" s="59">
        <v>22.4</v>
      </c>
      <c r="N8" s="14"/>
    </row>
    <row r="9" spans="1:15">
      <c r="A9" s="98" t="s">
        <v>893</v>
      </c>
      <c r="B9" s="99"/>
      <c r="E9" s="99"/>
      <c r="F9" s="61">
        <v>4</v>
      </c>
      <c r="G9" s="59">
        <v>31.3</v>
      </c>
      <c r="H9" s="59">
        <v>30.8</v>
      </c>
      <c r="I9" s="59">
        <v>32.799999999999997</v>
      </c>
      <c r="J9" s="59">
        <v>23.1</v>
      </c>
      <c r="K9" s="59">
        <v>27.7</v>
      </c>
      <c r="L9" s="59">
        <v>30</v>
      </c>
    </row>
    <row r="10" spans="1:15">
      <c r="A10" t="s">
        <v>894</v>
      </c>
      <c r="B10" t="s">
        <v>983</v>
      </c>
      <c r="E10" s="99"/>
      <c r="F10" s="61">
        <v>5</v>
      </c>
      <c r="G10" s="59">
        <v>61.2</v>
      </c>
      <c r="H10" s="59">
        <v>13.9</v>
      </c>
      <c r="I10" s="59">
        <v>47.8</v>
      </c>
      <c r="J10" s="59">
        <v>41.6</v>
      </c>
      <c r="K10" s="59">
        <v>30.8</v>
      </c>
      <c r="L10" s="59">
        <v>32.799999999999997</v>
      </c>
    </row>
    <row r="11" spans="1:15">
      <c r="A11" t="s">
        <v>895</v>
      </c>
      <c r="B11" t="s">
        <v>1022</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373</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tbl-UC-impact-hlthinsur-access</v>
      </c>
    </row>
    <row r="4" spans="1:15">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c r="A5" s="98" t="s">
        <v>885</v>
      </c>
      <c r="B5" s="99"/>
      <c r="E5" s="100" t="s">
        <v>886</v>
      </c>
      <c r="F5" t="s">
        <v>1835</v>
      </c>
      <c r="G5" t="s">
        <v>1037</v>
      </c>
      <c r="H5" t="s">
        <v>1038</v>
      </c>
      <c r="I5" t="s">
        <v>1039</v>
      </c>
      <c r="J5" t="s">
        <v>1040</v>
      </c>
      <c r="K5" s="55"/>
      <c r="L5" s="55"/>
      <c r="M5" s="55"/>
      <c r="N5" s="55"/>
    </row>
    <row r="6" spans="1:15" ht="15" customHeight="1">
      <c r="A6" t="s">
        <v>891</v>
      </c>
      <c r="B6" t="b">
        <v>0</v>
      </c>
      <c r="E6" s="99"/>
      <c r="F6" s="61">
        <v>1</v>
      </c>
      <c r="G6" s="14">
        <v>16.899999999999999</v>
      </c>
      <c r="H6" s="14">
        <v>20</v>
      </c>
      <c r="I6" s="14">
        <v>3</v>
      </c>
      <c r="J6" s="14">
        <v>10.6</v>
      </c>
      <c r="N6" s="14"/>
    </row>
    <row r="7" spans="1:15" ht="15.75" customHeight="1">
      <c r="E7" s="99"/>
      <c r="F7" s="61">
        <v>2</v>
      </c>
      <c r="G7" s="14">
        <v>13.9</v>
      </c>
      <c r="H7" s="14">
        <v>13.9</v>
      </c>
      <c r="I7" s="14">
        <v>12.1</v>
      </c>
      <c r="J7" s="14">
        <v>6.1</v>
      </c>
      <c r="N7" s="14"/>
    </row>
    <row r="8" spans="1:15">
      <c r="E8" s="99"/>
      <c r="F8" s="61">
        <v>3</v>
      </c>
      <c r="G8" s="14">
        <v>30.8</v>
      </c>
      <c r="H8" s="14">
        <v>30.8</v>
      </c>
      <c r="I8" s="14">
        <v>13.6</v>
      </c>
      <c r="J8" s="14">
        <v>19.7</v>
      </c>
      <c r="N8" s="14"/>
    </row>
    <row r="9" spans="1:15">
      <c r="A9" s="98" t="s">
        <v>893</v>
      </c>
      <c r="B9" s="99"/>
      <c r="E9" s="99"/>
      <c r="F9" s="61">
        <v>4</v>
      </c>
      <c r="G9" s="14">
        <v>20</v>
      </c>
      <c r="H9" s="14">
        <v>20</v>
      </c>
      <c r="I9" s="14">
        <v>31.8</v>
      </c>
      <c r="J9" s="14">
        <v>31.8</v>
      </c>
    </row>
    <row r="10" spans="1:15">
      <c r="A10" t="s">
        <v>894</v>
      </c>
      <c r="B10" t="s">
        <v>983</v>
      </c>
      <c r="E10" s="99"/>
      <c r="F10" s="61">
        <v>5</v>
      </c>
      <c r="G10" s="14">
        <v>18.5</v>
      </c>
      <c r="H10" s="14">
        <v>15.4</v>
      </c>
      <c r="I10" s="14">
        <v>39.4</v>
      </c>
      <c r="J10" s="14">
        <v>31.8</v>
      </c>
    </row>
    <row r="11" spans="1:15">
      <c r="A11" t="s">
        <v>895</v>
      </c>
      <c r="B11" t="s">
        <v>1023</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377</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tbl-WC-affect-health</v>
      </c>
    </row>
    <row r="4" spans="1:15">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c r="A6" t="s">
        <v>891</v>
      </c>
      <c r="B6" t="b">
        <v>0</v>
      </c>
      <c r="E6" s="99"/>
      <c r="F6" s="59">
        <v>57.5</v>
      </c>
      <c r="G6" s="59">
        <v>50</v>
      </c>
      <c r="H6" s="59">
        <v>42.5</v>
      </c>
      <c r="I6" s="59">
        <v>35</v>
      </c>
      <c r="J6" s="59">
        <v>32.5</v>
      </c>
      <c r="K6" s="59">
        <v>27.5</v>
      </c>
      <c r="L6" s="59">
        <v>22.5</v>
      </c>
      <c r="M6" s="59">
        <v>17.5</v>
      </c>
      <c r="N6" s="59">
        <v>15</v>
      </c>
      <c r="O6" s="59">
        <v>0</v>
      </c>
    </row>
    <row r="7" spans="1:15" ht="15.75" customHeight="1">
      <c r="E7" s="99"/>
      <c r="N7" s="14"/>
    </row>
    <row r="8" spans="1:15">
      <c r="E8" s="99"/>
      <c r="G8" s="14"/>
      <c r="N8" s="14"/>
    </row>
    <row r="9" spans="1:15">
      <c r="A9" s="98" t="s">
        <v>893</v>
      </c>
      <c r="B9" s="99"/>
      <c r="E9" s="99"/>
    </row>
    <row r="10" spans="1:15">
      <c r="A10" t="s">
        <v>894</v>
      </c>
      <c r="B10" t="s">
        <v>983</v>
      </c>
      <c r="E10" s="99"/>
      <c r="H10" s="14"/>
      <c r="I10" s="14"/>
    </row>
    <row r="11" spans="1:15">
      <c r="A11" t="s">
        <v>895</v>
      </c>
      <c r="B11" t="s">
        <v>985</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7">
      <c r="A1" s="58" t="s">
        <v>882</v>
      </c>
      <c r="B1" s="114" t="s">
        <v>381</v>
      </c>
      <c r="C1" s="97"/>
      <c r="D1" s="97"/>
      <c r="E1" s="97"/>
      <c r="F1" s="97"/>
      <c r="G1" s="97"/>
      <c r="H1" s="97"/>
      <c r="I1" s="97"/>
      <c r="J1" s="97"/>
      <c r="K1" s="97"/>
      <c r="L1" s="97"/>
      <c r="M1" s="97"/>
      <c r="N1" s="97"/>
      <c r="O1" s="97"/>
    </row>
    <row r="2" spans="1:17">
      <c r="A2" s="58" t="s">
        <v>883</v>
      </c>
      <c r="B2" t="s">
        <v>56</v>
      </c>
    </row>
    <row r="3" spans="1:17">
      <c r="A3" s="58" t="s">
        <v>884</v>
      </c>
      <c r="B3" t="str">
        <f>IF($B$1="","",_xlfn.XLOOKUP($B$1,Master!$F$2:$F$308,Master!$G$2:$G$308,""))</f>
        <v>tbl-WC-achieve-health</v>
      </c>
    </row>
    <row r="4" spans="1:17">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c r="E7" s="99"/>
      <c r="N7" s="14"/>
    </row>
    <row r="8" spans="1:17">
      <c r="E8" s="99"/>
      <c r="G8" s="14"/>
      <c r="N8" s="14"/>
    </row>
    <row r="9" spans="1:17">
      <c r="A9" s="98" t="s">
        <v>893</v>
      </c>
      <c r="B9" s="99"/>
      <c r="E9" s="99"/>
    </row>
    <row r="10" spans="1:17">
      <c r="A10" t="s">
        <v>894</v>
      </c>
      <c r="B10" t="s">
        <v>983</v>
      </c>
      <c r="E10" s="99"/>
      <c r="H10" s="14"/>
      <c r="I10" s="14"/>
    </row>
    <row r="11" spans="1:17">
      <c r="A11" t="s">
        <v>895</v>
      </c>
      <c r="B11" t="s">
        <v>985</v>
      </c>
      <c r="E11" s="99"/>
    </row>
    <row r="12" spans="1:17">
      <c r="A12" t="s">
        <v>896</v>
      </c>
      <c r="B12" t="s">
        <v>694</v>
      </c>
      <c r="E12" s="99"/>
    </row>
    <row r="13" spans="1:17">
      <c r="A13" t="s">
        <v>897</v>
      </c>
      <c r="E13" s="99"/>
    </row>
    <row r="14" spans="1:17">
      <c r="A14" t="s">
        <v>899</v>
      </c>
      <c r="B14" t="s">
        <v>694</v>
      </c>
      <c r="E14" s="99"/>
    </row>
    <row r="15" spans="1:17">
      <c r="A15" t="s">
        <v>901</v>
      </c>
      <c r="B15" t="b">
        <v>1</v>
      </c>
      <c r="E15" s="99"/>
    </row>
    <row r="16" spans="1:17">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385</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tbl-WC-impact-hlth-issue</v>
      </c>
    </row>
    <row r="4" spans="1:15">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1014</v>
      </c>
      <c r="H5" s="55" t="s">
        <v>1015</v>
      </c>
      <c r="I5" s="55" t="s">
        <v>1016</v>
      </c>
      <c r="J5" s="55" t="s">
        <v>1017</v>
      </c>
      <c r="K5" s="55" t="s">
        <v>1018</v>
      </c>
      <c r="L5" s="55" t="s">
        <v>1019</v>
      </c>
      <c r="M5" s="55"/>
      <c r="N5" s="55"/>
    </row>
    <row r="6" spans="1:15" ht="15" customHeight="1">
      <c r="A6" t="s">
        <v>891</v>
      </c>
      <c r="B6" t="b">
        <v>0</v>
      </c>
      <c r="E6" s="99"/>
      <c r="F6" s="61">
        <v>1</v>
      </c>
      <c r="G6" s="55">
        <v>5.3</v>
      </c>
      <c r="H6" s="55">
        <v>2.6</v>
      </c>
      <c r="I6" s="55">
        <v>2.6</v>
      </c>
      <c r="J6" s="55">
        <v>10.3</v>
      </c>
      <c r="K6" s="55">
        <v>15.8</v>
      </c>
      <c r="L6" s="55">
        <v>15.4</v>
      </c>
      <c r="N6" s="14"/>
    </row>
    <row r="7" spans="1:15" ht="15.75" customHeight="1">
      <c r="E7" s="99"/>
      <c r="F7" s="61">
        <v>2</v>
      </c>
      <c r="G7" s="55">
        <v>2.6</v>
      </c>
      <c r="H7" s="55">
        <v>2.6</v>
      </c>
      <c r="I7" s="55">
        <v>7.9</v>
      </c>
      <c r="J7" s="55">
        <v>10.3</v>
      </c>
      <c r="K7" s="55">
        <v>13.2</v>
      </c>
      <c r="L7" s="59">
        <v>18</v>
      </c>
      <c r="N7" s="14"/>
    </row>
    <row r="8" spans="1:15">
      <c r="E8" s="99"/>
      <c r="F8" s="61">
        <v>3</v>
      </c>
      <c r="G8" s="59">
        <v>18.399999999999999</v>
      </c>
      <c r="H8" s="55">
        <v>18.399999999999999</v>
      </c>
      <c r="I8" s="55">
        <v>7.9</v>
      </c>
      <c r="J8" s="55">
        <v>38.5</v>
      </c>
      <c r="K8" s="55">
        <v>34.200000000000003</v>
      </c>
      <c r="L8" s="55">
        <v>38.5</v>
      </c>
      <c r="N8" s="14"/>
    </row>
    <row r="9" spans="1:15">
      <c r="A9" s="98" t="s">
        <v>893</v>
      </c>
      <c r="B9" s="99"/>
      <c r="E9" s="99"/>
      <c r="F9" s="61">
        <v>4</v>
      </c>
      <c r="G9" s="55">
        <v>18.399999999999999</v>
      </c>
      <c r="H9" s="55">
        <v>21.1</v>
      </c>
      <c r="I9" s="55">
        <v>21.1</v>
      </c>
      <c r="J9" s="55">
        <v>12.8</v>
      </c>
      <c r="K9" s="55">
        <v>23.7</v>
      </c>
      <c r="L9" s="55">
        <v>7.7</v>
      </c>
    </row>
    <row r="10" spans="1:15">
      <c r="A10" t="s">
        <v>894</v>
      </c>
      <c r="B10" t="s">
        <v>983</v>
      </c>
      <c r="E10" s="99"/>
      <c r="F10" s="61">
        <v>5</v>
      </c>
      <c r="G10" s="55">
        <v>55.3</v>
      </c>
      <c r="H10" s="59">
        <v>55.3</v>
      </c>
      <c r="I10" s="59">
        <v>60.5</v>
      </c>
      <c r="J10" s="55">
        <v>28.2</v>
      </c>
      <c r="K10" s="55">
        <v>13.2</v>
      </c>
      <c r="L10" s="55">
        <v>20.5</v>
      </c>
    </row>
    <row r="11" spans="1:15">
      <c r="A11" t="s">
        <v>895</v>
      </c>
      <c r="B11" t="s">
        <v>1838</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389</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tbl-WC-impact-sdoh</v>
      </c>
    </row>
    <row r="4" spans="1:15">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c r="A5" s="98" t="s">
        <v>885</v>
      </c>
      <c r="B5" s="99"/>
      <c r="E5" s="100" t="s">
        <v>886</v>
      </c>
      <c r="F5" s="55" t="s">
        <v>1022</v>
      </c>
      <c r="G5" s="55" t="s">
        <v>1021</v>
      </c>
      <c r="H5" s="55" t="s">
        <v>1023</v>
      </c>
      <c r="I5" s="55" t="s">
        <v>1024</v>
      </c>
      <c r="J5" s="55" t="s">
        <v>1025</v>
      </c>
      <c r="K5" s="55" t="s">
        <v>1026</v>
      </c>
      <c r="M5" s="55"/>
      <c r="N5" s="55"/>
    </row>
    <row r="6" spans="1:15" ht="15" customHeight="1">
      <c r="A6" t="s">
        <v>891</v>
      </c>
      <c r="B6" t="b">
        <v>0</v>
      </c>
      <c r="E6" s="99"/>
      <c r="F6" s="55">
        <v>81.599999999999994</v>
      </c>
      <c r="G6" s="59">
        <v>79</v>
      </c>
      <c r="H6" s="59">
        <v>68.400000000000006</v>
      </c>
      <c r="I6" s="55">
        <v>36.799999999999997</v>
      </c>
      <c r="J6" s="55">
        <v>18.399999999999999</v>
      </c>
      <c r="K6" s="55">
        <v>15.8</v>
      </c>
      <c r="N6" s="14"/>
    </row>
    <row r="7" spans="1:15" ht="15.75" customHeight="1">
      <c r="E7" s="99"/>
      <c r="G7" s="55"/>
      <c r="H7" s="55"/>
      <c r="I7" s="55"/>
      <c r="J7" s="55"/>
      <c r="K7" s="55"/>
      <c r="N7" s="14"/>
    </row>
    <row r="8" spans="1:15">
      <c r="E8" s="99"/>
      <c r="G8" s="55"/>
      <c r="H8" s="55"/>
      <c r="I8" s="55"/>
      <c r="J8" s="55"/>
      <c r="K8" s="55"/>
      <c r="N8" s="14"/>
    </row>
    <row r="9" spans="1:15">
      <c r="A9" s="98" t="s">
        <v>893</v>
      </c>
      <c r="B9" s="99"/>
      <c r="E9" s="99"/>
      <c r="F9" s="55"/>
      <c r="H9" s="55"/>
      <c r="I9" s="55"/>
      <c r="J9" s="55"/>
      <c r="K9" s="55"/>
    </row>
    <row r="10" spans="1:15">
      <c r="A10" t="s">
        <v>894</v>
      </c>
      <c r="B10" t="s">
        <v>983</v>
      </c>
      <c r="E10" s="99"/>
      <c r="F10" s="55"/>
      <c r="H10" s="59"/>
      <c r="I10" s="55"/>
      <c r="J10" s="55"/>
      <c r="K10" s="55"/>
    </row>
    <row r="11" spans="1:15">
      <c r="A11" t="s">
        <v>895</v>
      </c>
      <c r="B11" t="s">
        <v>985</v>
      </c>
      <c r="E11" s="99"/>
      <c r="F11" s="55"/>
      <c r="H11" s="55"/>
      <c r="I11" s="55"/>
      <c r="J11" s="55"/>
      <c r="K11" s="55"/>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393</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tbl-WC-eco-wellbeing</v>
      </c>
    </row>
    <row r="4" spans="1:15">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c r="A5" s="98" t="s">
        <v>885</v>
      </c>
      <c r="B5" s="99"/>
      <c r="E5" s="100" t="s">
        <v>886</v>
      </c>
      <c r="F5" t="s">
        <v>1835</v>
      </c>
      <c r="G5" s="55" t="s">
        <v>1027</v>
      </c>
      <c r="H5" s="55" t="s">
        <v>1028</v>
      </c>
      <c r="I5" s="55" t="s">
        <v>1029</v>
      </c>
      <c r="J5" s="55" t="s">
        <v>1030</v>
      </c>
      <c r="K5" s="55"/>
      <c r="L5" s="55"/>
      <c r="M5" s="55"/>
      <c r="N5" s="55"/>
    </row>
    <row r="6" spans="1:15" ht="15" customHeight="1">
      <c r="A6" t="s">
        <v>891</v>
      </c>
      <c r="B6" t="b">
        <v>0</v>
      </c>
      <c r="E6" s="99"/>
      <c r="F6" s="61">
        <v>1</v>
      </c>
      <c r="G6" s="51">
        <v>0</v>
      </c>
      <c r="H6" s="59">
        <v>2.8</v>
      </c>
      <c r="I6" s="51">
        <v>0</v>
      </c>
      <c r="J6" s="51">
        <v>0</v>
      </c>
      <c r="N6" s="14"/>
    </row>
    <row r="7" spans="1:15" ht="15.75" customHeight="1">
      <c r="E7" s="99"/>
      <c r="F7" s="61">
        <v>2</v>
      </c>
      <c r="G7" s="59">
        <v>5.4</v>
      </c>
      <c r="H7" s="59">
        <v>2.8</v>
      </c>
      <c r="I7" s="59">
        <v>11.1</v>
      </c>
      <c r="J7" s="59">
        <v>2.7</v>
      </c>
      <c r="N7" s="14"/>
    </row>
    <row r="8" spans="1:15">
      <c r="E8" s="99"/>
      <c r="F8" s="61">
        <v>3</v>
      </c>
      <c r="G8" s="59">
        <v>21.6</v>
      </c>
      <c r="H8" s="59">
        <v>22.2</v>
      </c>
      <c r="I8" s="59">
        <v>27.8</v>
      </c>
      <c r="J8" s="59">
        <v>24.3</v>
      </c>
      <c r="N8" s="14"/>
    </row>
    <row r="9" spans="1:15">
      <c r="A9" s="98" t="s">
        <v>893</v>
      </c>
      <c r="B9" s="99"/>
      <c r="E9" s="99"/>
      <c r="F9" s="61">
        <v>4</v>
      </c>
      <c r="G9" s="59">
        <v>16.2</v>
      </c>
      <c r="H9" s="59">
        <v>50</v>
      </c>
      <c r="I9" s="59">
        <v>36.1</v>
      </c>
      <c r="J9" s="59">
        <v>13.5</v>
      </c>
    </row>
    <row r="10" spans="1:15">
      <c r="A10" t="s">
        <v>894</v>
      </c>
      <c r="B10" t="s">
        <v>983</v>
      </c>
      <c r="E10" s="99"/>
      <c r="F10" s="61">
        <v>5</v>
      </c>
      <c r="G10" s="59">
        <v>56.8</v>
      </c>
      <c r="H10" s="59">
        <v>22.2</v>
      </c>
      <c r="I10" s="59">
        <v>25</v>
      </c>
      <c r="J10" s="59">
        <v>59.5</v>
      </c>
    </row>
    <row r="11" spans="1:15">
      <c r="A11" t="s">
        <v>895</v>
      </c>
      <c r="B11" t="s">
        <v>1660</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977</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397</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tbl-WC-impact-mhsu</v>
      </c>
    </row>
    <row r="4" spans="1:15">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c r="A5" s="98" t="s">
        <v>885</v>
      </c>
      <c r="B5" s="99"/>
      <c r="E5" s="100" t="s">
        <v>886</v>
      </c>
      <c r="F5" t="s">
        <v>1835</v>
      </c>
      <c r="G5" s="55" t="s">
        <v>1031</v>
      </c>
      <c r="H5" s="55" t="s">
        <v>1032</v>
      </c>
      <c r="I5" s="55" t="s">
        <v>1033</v>
      </c>
      <c r="J5" s="55" t="s">
        <v>1034</v>
      </c>
      <c r="K5" s="55" t="s">
        <v>1035</v>
      </c>
      <c r="L5" s="55" t="s">
        <v>1036</v>
      </c>
      <c r="M5" s="55"/>
      <c r="N5" s="55"/>
    </row>
    <row r="6" spans="1:15" ht="15" customHeight="1">
      <c r="A6" t="s">
        <v>891</v>
      </c>
      <c r="B6" t="b">
        <v>0</v>
      </c>
      <c r="E6" s="99"/>
      <c r="F6" s="61">
        <v>1</v>
      </c>
      <c r="G6" s="51">
        <v>0</v>
      </c>
      <c r="H6" s="59">
        <v>14.3</v>
      </c>
      <c r="I6" s="51">
        <v>0</v>
      </c>
      <c r="J6" s="59">
        <v>11.8</v>
      </c>
      <c r="K6" s="59">
        <v>8.6</v>
      </c>
      <c r="L6" s="59">
        <v>2.9</v>
      </c>
      <c r="N6" s="14"/>
    </row>
    <row r="7" spans="1:15" ht="15.75" customHeight="1">
      <c r="E7" s="99"/>
      <c r="F7" s="61">
        <v>2</v>
      </c>
      <c r="G7" s="59">
        <v>2.9</v>
      </c>
      <c r="H7" s="59">
        <v>20</v>
      </c>
      <c r="I7" s="59">
        <v>5.7</v>
      </c>
      <c r="J7" s="59">
        <v>5.9</v>
      </c>
      <c r="K7" s="59">
        <v>11.4</v>
      </c>
      <c r="L7" s="59">
        <v>11.4</v>
      </c>
      <c r="N7" s="14"/>
    </row>
    <row r="8" spans="1:15">
      <c r="E8" s="99"/>
      <c r="F8" s="61">
        <v>3</v>
      </c>
      <c r="G8" s="59">
        <v>2.9</v>
      </c>
      <c r="H8" s="59">
        <v>25.7</v>
      </c>
      <c r="I8" s="59">
        <v>11.4</v>
      </c>
      <c r="J8" s="59">
        <v>17.7</v>
      </c>
      <c r="K8" s="59">
        <v>17.100000000000001</v>
      </c>
      <c r="L8" s="59">
        <v>22.9</v>
      </c>
      <c r="N8" s="14"/>
    </row>
    <row r="9" spans="1:15">
      <c r="A9" s="98" t="s">
        <v>893</v>
      </c>
      <c r="B9" s="99"/>
      <c r="E9" s="99"/>
      <c r="F9" s="61">
        <v>4</v>
      </c>
      <c r="G9" s="59">
        <v>28.6</v>
      </c>
      <c r="H9" s="59">
        <v>22.9</v>
      </c>
      <c r="I9" s="59">
        <v>37.1</v>
      </c>
      <c r="J9" s="59">
        <v>32.4</v>
      </c>
      <c r="K9" s="59">
        <v>31.4</v>
      </c>
      <c r="L9" s="59">
        <v>25.7</v>
      </c>
    </row>
    <row r="10" spans="1:15">
      <c r="A10" t="s">
        <v>894</v>
      </c>
      <c r="B10" t="s">
        <v>983</v>
      </c>
      <c r="E10" s="99"/>
      <c r="F10" s="61">
        <v>5</v>
      </c>
      <c r="G10" s="59">
        <v>65.7</v>
      </c>
      <c r="H10" s="59">
        <v>17.100000000000001</v>
      </c>
      <c r="I10" s="59">
        <v>45.7</v>
      </c>
      <c r="J10" s="59">
        <v>32.4</v>
      </c>
      <c r="K10" s="59">
        <v>31.4</v>
      </c>
      <c r="L10" s="59">
        <v>37.1</v>
      </c>
    </row>
    <row r="11" spans="1:15">
      <c r="A11" t="s">
        <v>895</v>
      </c>
      <c r="B11" t="s">
        <v>1022</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401</v>
      </c>
      <c r="C1" s="97"/>
      <c r="D1" s="97"/>
      <c r="E1" s="97"/>
      <c r="F1" s="97"/>
      <c r="G1" s="97"/>
      <c r="H1" s="97"/>
      <c r="I1" s="97"/>
      <c r="J1" s="97"/>
      <c r="K1" s="97"/>
      <c r="L1" s="97"/>
      <c r="M1" s="97"/>
      <c r="N1" s="97"/>
      <c r="O1" s="97"/>
    </row>
    <row r="2" spans="1:15">
      <c r="A2" s="58" t="s">
        <v>883</v>
      </c>
      <c r="B2" t="s">
        <v>56</v>
      </c>
    </row>
    <row r="3" spans="1:15">
      <c r="A3" s="58" t="s">
        <v>884</v>
      </c>
      <c r="B3" t="str">
        <f>IF($B$1="","",_xlfn.XLOOKUP($B$1,Master!$F$2:$F$308,Master!$G$2:$G$308,""))</f>
        <v>tbl-WC-impact-hlthinsur-access</v>
      </c>
    </row>
    <row r="4" spans="1:15">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c r="A5" s="98" t="s">
        <v>885</v>
      </c>
      <c r="B5" s="99"/>
      <c r="E5" s="100" t="s">
        <v>886</v>
      </c>
      <c r="F5" s="82" t="s">
        <v>1835</v>
      </c>
      <c r="G5" t="s">
        <v>1037</v>
      </c>
      <c r="H5" t="s">
        <v>1038</v>
      </c>
      <c r="I5" t="s">
        <v>1039</v>
      </c>
      <c r="J5" t="s">
        <v>1040</v>
      </c>
      <c r="K5" s="55"/>
      <c r="L5" s="55"/>
      <c r="M5" s="55"/>
      <c r="N5" s="55"/>
    </row>
    <row r="6" spans="1:15" ht="15" customHeight="1">
      <c r="A6" t="s">
        <v>891</v>
      </c>
      <c r="B6" t="b">
        <v>0</v>
      </c>
      <c r="E6" s="99"/>
      <c r="F6" s="83">
        <v>1</v>
      </c>
      <c r="G6" s="14">
        <v>11.4</v>
      </c>
      <c r="H6" s="14">
        <v>17.100000000000001</v>
      </c>
      <c r="I6" s="14">
        <v>5.9</v>
      </c>
      <c r="J6" s="14">
        <v>8.6</v>
      </c>
      <c r="N6" s="14"/>
    </row>
    <row r="7" spans="1:15" ht="15.75" customHeight="1">
      <c r="E7" s="99"/>
      <c r="F7" s="83">
        <v>2</v>
      </c>
      <c r="G7" s="14">
        <v>20</v>
      </c>
      <c r="H7" s="14">
        <v>20</v>
      </c>
      <c r="I7" s="14">
        <v>8.8000000000000007</v>
      </c>
      <c r="J7" s="14">
        <v>5.7</v>
      </c>
      <c r="N7" s="14"/>
    </row>
    <row r="8" spans="1:15">
      <c r="E8" s="99"/>
      <c r="F8" s="83">
        <v>3</v>
      </c>
      <c r="G8" s="14">
        <v>28.6</v>
      </c>
      <c r="H8" s="14">
        <v>28.6</v>
      </c>
      <c r="I8" s="14">
        <v>14.7</v>
      </c>
      <c r="J8" s="14">
        <v>20</v>
      </c>
      <c r="N8" s="14"/>
    </row>
    <row r="9" spans="1:15">
      <c r="A9" s="98" t="s">
        <v>893</v>
      </c>
      <c r="B9" s="99"/>
      <c r="E9" s="99"/>
      <c r="F9" s="83">
        <v>4</v>
      </c>
      <c r="G9" s="14">
        <v>17.100000000000001</v>
      </c>
      <c r="H9" s="14">
        <v>14.3</v>
      </c>
      <c r="I9" s="14">
        <v>29.4</v>
      </c>
      <c r="J9" s="14">
        <v>34.299999999999997</v>
      </c>
    </row>
    <row r="10" spans="1:15">
      <c r="A10" t="s">
        <v>894</v>
      </c>
      <c r="B10" t="s">
        <v>983</v>
      </c>
      <c r="E10" s="99"/>
      <c r="F10" s="83">
        <v>5</v>
      </c>
      <c r="G10" s="14">
        <v>22.9</v>
      </c>
      <c r="H10" s="14">
        <v>20</v>
      </c>
      <c r="I10" s="14">
        <v>41.2</v>
      </c>
      <c r="J10" s="14">
        <v>31.4</v>
      </c>
    </row>
    <row r="11" spans="1:15">
      <c r="A11" t="s">
        <v>895</v>
      </c>
      <c r="B11" t="s">
        <v>1023</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A28" s="50"/>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defaultColWidth="8.85546875" defaultRowHeight="15"/>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405</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tbl-BRFSS-adult-leisure-PA</v>
      </c>
    </row>
    <row r="4" spans="1:15">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c r="A5" s="98" t="s">
        <v>885</v>
      </c>
      <c r="B5" s="99"/>
      <c r="E5" s="100" t="s">
        <v>886</v>
      </c>
      <c r="G5" t="s">
        <v>220</v>
      </c>
      <c r="H5" t="s">
        <v>18</v>
      </c>
      <c r="I5" t="s">
        <v>537</v>
      </c>
      <c r="J5" t="s">
        <v>449</v>
      </c>
      <c r="K5" s="55" t="s">
        <v>409</v>
      </c>
      <c r="L5" s="55" t="s">
        <v>421</v>
      </c>
      <c r="M5" s="55" t="s">
        <v>470</v>
      </c>
      <c r="N5" s="55" t="s">
        <v>914</v>
      </c>
      <c r="O5" t="s">
        <v>915</v>
      </c>
    </row>
    <row r="6" spans="1:15" ht="15" customHeight="1">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c r="E7" s="99"/>
      <c r="F7">
        <v>2018</v>
      </c>
      <c r="G7" s="14">
        <v>80.2</v>
      </c>
      <c r="H7" s="14">
        <v>70.5</v>
      </c>
      <c r="I7" s="14">
        <v>83.4</v>
      </c>
      <c r="J7" s="14">
        <v>76.900000000000006</v>
      </c>
      <c r="K7">
        <v>67.900000000000006</v>
      </c>
      <c r="L7">
        <v>79.900000000000006</v>
      </c>
      <c r="M7">
        <v>81.599999999999994</v>
      </c>
      <c r="N7" s="14">
        <v>78.3</v>
      </c>
      <c r="O7">
        <v>76.400000000000006</v>
      </c>
    </row>
    <row r="8" spans="1:15">
      <c r="E8" s="99"/>
      <c r="F8">
        <v>2021</v>
      </c>
      <c r="G8" s="14">
        <v>76.8</v>
      </c>
      <c r="H8" s="14">
        <v>75.5</v>
      </c>
      <c r="I8" s="14">
        <v>78.7</v>
      </c>
      <c r="J8" s="14">
        <v>70.599999999999994</v>
      </c>
      <c r="K8">
        <v>75.7</v>
      </c>
      <c r="L8">
        <v>82.6</v>
      </c>
      <c r="M8">
        <v>78.400000000000006</v>
      </c>
      <c r="N8" s="14">
        <v>76.3</v>
      </c>
      <c r="O8">
        <v>74.599999999999994</v>
      </c>
    </row>
    <row r="9" spans="1:15">
      <c r="A9" s="98" t="s">
        <v>893</v>
      </c>
      <c r="B9" s="99"/>
      <c r="E9" s="99"/>
      <c r="G9" s="14"/>
      <c r="H9" s="14"/>
      <c r="I9" s="14"/>
      <c r="J9" s="14"/>
    </row>
    <row r="10" spans="1:15">
      <c r="A10" t="s">
        <v>894</v>
      </c>
      <c r="B10" t="s">
        <v>972</v>
      </c>
      <c r="E10" s="99"/>
      <c r="G10" s="14"/>
      <c r="H10" s="14"/>
      <c r="I10" s="14"/>
      <c r="J10" s="14"/>
    </row>
    <row r="11" spans="1:15">
      <c r="A11" t="s">
        <v>895</v>
      </c>
      <c r="B11" t="s">
        <v>973</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676</v>
      </c>
      <c r="E20" s="99"/>
    </row>
    <row r="21" spans="1:5">
      <c r="A21" t="s">
        <v>905</v>
      </c>
      <c r="E21" s="99"/>
    </row>
    <row r="22" spans="1:5">
      <c r="A22" t="s">
        <v>906</v>
      </c>
      <c r="E22" s="99"/>
    </row>
    <row r="23" spans="1:5">
      <c r="A23" t="s">
        <v>907</v>
      </c>
      <c r="B23" t="s">
        <v>1121</v>
      </c>
      <c r="E23" s="99"/>
    </row>
    <row r="24" spans="1:5">
      <c r="A24" t="s">
        <v>908</v>
      </c>
      <c r="B24">
        <v>2025</v>
      </c>
      <c r="E24" s="99"/>
    </row>
    <row r="25" spans="1:5">
      <c r="A25" t="s">
        <v>909</v>
      </c>
      <c r="E25" s="99"/>
    </row>
    <row r="26" spans="1:5">
      <c r="E26" s="99"/>
    </row>
    <row r="27" spans="1:5">
      <c r="A27" s="101" t="s">
        <v>910</v>
      </c>
      <c r="B27" s="99"/>
      <c r="E27" s="99"/>
    </row>
    <row r="28" spans="1:5">
      <c r="A28" t="s">
        <v>1122</v>
      </c>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411</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tbl-BRFSS-adult-fruit-veg</v>
      </c>
    </row>
    <row r="4" spans="1:15">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c r="A5" s="98" t="s">
        <v>885</v>
      </c>
      <c r="B5" s="99"/>
      <c r="E5" s="100" t="s">
        <v>886</v>
      </c>
      <c r="F5" t="s">
        <v>1123</v>
      </c>
      <c r="G5" t="s">
        <v>220</v>
      </c>
      <c r="H5" t="s">
        <v>18</v>
      </c>
      <c r="I5" t="s">
        <v>537</v>
      </c>
      <c r="J5" t="s">
        <v>449</v>
      </c>
      <c r="K5" s="55" t="s">
        <v>409</v>
      </c>
      <c r="L5" s="55" t="s">
        <v>421</v>
      </c>
      <c r="M5" s="55" t="s">
        <v>470</v>
      </c>
      <c r="N5" s="55" t="s">
        <v>914</v>
      </c>
      <c r="O5" t="s">
        <v>915</v>
      </c>
    </row>
    <row r="6" spans="1:15" ht="15" customHeight="1">
      <c r="A6" t="s">
        <v>891</v>
      </c>
      <c r="B6" t="b">
        <v>0</v>
      </c>
      <c r="E6" s="99"/>
      <c r="F6">
        <v>2016</v>
      </c>
      <c r="G6" s="14">
        <v>24.2</v>
      </c>
      <c r="H6" s="14">
        <v>24.5</v>
      </c>
      <c r="I6" s="14">
        <v>27</v>
      </c>
      <c r="J6" s="14">
        <v>25.9</v>
      </c>
      <c r="K6">
        <v>28.7</v>
      </c>
      <c r="L6">
        <v>22.9</v>
      </c>
      <c r="M6">
        <v>28.6</v>
      </c>
      <c r="N6" s="14">
        <v>29</v>
      </c>
      <c r="O6">
        <v>31.5</v>
      </c>
    </row>
    <row r="7" spans="1:15" ht="15.75" customHeight="1">
      <c r="E7" s="99"/>
      <c r="F7">
        <v>2018</v>
      </c>
      <c r="G7" s="14">
        <v>25.4</v>
      </c>
      <c r="H7" s="14">
        <v>23.3</v>
      </c>
      <c r="I7" s="14">
        <v>22.9</v>
      </c>
      <c r="J7" s="14">
        <v>28.5</v>
      </c>
      <c r="K7">
        <v>23.5</v>
      </c>
      <c r="L7">
        <v>25.5</v>
      </c>
      <c r="M7" s="14">
        <v>25</v>
      </c>
      <c r="N7" s="14">
        <v>26.1</v>
      </c>
      <c r="O7">
        <v>28.1</v>
      </c>
    </row>
    <row r="8" spans="1:15">
      <c r="E8" s="99"/>
      <c r="F8">
        <v>2021</v>
      </c>
      <c r="G8" s="14" t="s">
        <v>1124</v>
      </c>
      <c r="H8" s="14">
        <v>31.9</v>
      </c>
      <c r="I8" s="14">
        <v>30.1</v>
      </c>
      <c r="J8" s="14">
        <v>35.1</v>
      </c>
      <c r="K8">
        <v>30.5</v>
      </c>
      <c r="L8">
        <v>30.4</v>
      </c>
      <c r="M8">
        <v>30.5</v>
      </c>
      <c r="N8" s="14">
        <v>32.6</v>
      </c>
      <c r="O8">
        <v>34.200000000000003</v>
      </c>
    </row>
    <row r="9" spans="1:15">
      <c r="A9" s="98" t="s">
        <v>893</v>
      </c>
      <c r="B9" s="99"/>
      <c r="E9" s="99"/>
      <c r="G9" s="14"/>
      <c r="H9" s="14"/>
      <c r="I9" s="14"/>
      <c r="J9" s="14"/>
    </row>
    <row r="10" spans="1:15">
      <c r="A10" t="s">
        <v>894</v>
      </c>
      <c r="B10" t="s">
        <v>972</v>
      </c>
      <c r="E10" s="99"/>
      <c r="G10" s="14"/>
      <c r="H10" s="14"/>
      <c r="I10" s="14"/>
      <c r="J10" s="14"/>
    </row>
    <row r="11" spans="1:15">
      <c r="A11" t="s">
        <v>895</v>
      </c>
      <c r="B11" t="s">
        <v>973</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1125</v>
      </c>
      <c r="E20" s="99"/>
    </row>
    <row r="21" spans="1:5">
      <c r="A21" t="s">
        <v>905</v>
      </c>
      <c r="E21" s="99"/>
    </row>
    <row r="22" spans="1:5">
      <c r="A22" t="s">
        <v>906</v>
      </c>
      <c r="E22" s="99"/>
    </row>
    <row r="23" spans="1:5">
      <c r="A23" t="s">
        <v>907</v>
      </c>
      <c r="B23" t="s">
        <v>1121</v>
      </c>
      <c r="E23" s="99"/>
    </row>
    <row r="24" spans="1:5">
      <c r="A24" t="s">
        <v>908</v>
      </c>
      <c r="B24">
        <v>2025</v>
      </c>
      <c r="E24" s="99"/>
    </row>
    <row r="25" spans="1:5">
      <c r="A25" t="s">
        <v>909</v>
      </c>
      <c r="E25" s="99"/>
    </row>
    <row r="26" spans="1:5">
      <c r="E26" s="99"/>
    </row>
    <row r="27" spans="1:5">
      <c r="A27" s="101" t="s">
        <v>910</v>
      </c>
      <c r="B27" s="99"/>
      <c r="E27" s="99"/>
    </row>
    <row r="28" spans="1:5" ht="300" customHeight="1">
      <c r="A28" s="115" t="s">
        <v>1126</v>
      </c>
      <c r="B28" s="1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414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tbl-BRFSS-adult-sug-bev</v>
      </c>
    </row>
    <row r="4" spans="1:15">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c r="A5" s="98" t="s">
        <v>885</v>
      </c>
      <c r="B5" s="99"/>
      <c r="E5" s="100" t="s">
        <v>886</v>
      </c>
      <c r="F5" t="s">
        <v>1123</v>
      </c>
      <c r="G5" t="s">
        <v>220</v>
      </c>
      <c r="H5" t="s">
        <v>18</v>
      </c>
      <c r="I5" t="s">
        <v>537</v>
      </c>
      <c r="J5" t="s">
        <v>449</v>
      </c>
      <c r="K5" s="55" t="s">
        <v>409</v>
      </c>
      <c r="L5" s="55" t="s">
        <v>421</v>
      </c>
      <c r="M5" s="55" t="s">
        <v>470</v>
      </c>
      <c r="N5" s="55" t="s">
        <v>914</v>
      </c>
      <c r="O5" t="s">
        <v>915</v>
      </c>
    </row>
    <row r="6" spans="1:15" ht="15" customHeight="1">
      <c r="A6" t="s">
        <v>891</v>
      </c>
      <c r="B6" t="b">
        <v>0</v>
      </c>
      <c r="E6" s="99"/>
      <c r="F6">
        <v>2016</v>
      </c>
      <c r="G6" s="14">
        <v>21.9</v>
      </c>
      <c r="H6" s="14">
        <v>25.5</v>
      </c>
      <c r="I6" s="14">
        <v>22.9</v>
      </c>
      <c r="J6" s="14">
        <v>23.1</v>
      </c>
      <c r="K6" s="14">
        <v>27</v>
      </c>
      <c r="L6">
        <v>23.6</v>
      </c>
      <c r="M6">
        <v>18.5</v>
      </c>
      <c r="N6" s="14">
        <v>24.6</v>
      </c>
      <c r="O6">
        <v>24.2</v>
      </c>
    </row>
    <row r="7" spans="1:15" ht="15.75" customHeight="1">
      <c r="E7" s="99"/>
      <c r="F7">
        <v>2018</v>
      </c>
      <c r="G7" s="14">
        <v>23.5</v>
      </c>
      <c r="H7" s="14">
        <v>22.5</v>
      </c>
      <c r="I7" s="14">
        <v>25.6</v>
      </c>
      <c r="J7" s="14">
        <v>18.100000000000001</v>
      </c>
      <c r="K7">
        <v>31.5</v>
      </c>
      <c r="L7">
        <v>23.5</v>
      </c>
      <c r="M7" s="14">
        <v>20.3</v>
      </c>
      <c r="N7" s="14">
        <v>25.5</v>
      </c>
      <c r="O7">
        <v>24.7</v>
      </c>
    </row>
    <row r="8" spans="1:15">
      <c r="E8" s="99"/>
      <c r="F8">
        <v>2021</v>
      </c>
      <c r="G8" s="14">
        <v>24.9</v>
      </c>
      <c r="H8" s="14">
        <v>21.3</v>
      </c>
      <c r="I8" s="14">
        <v>17.8</v>
      </c>
      <c r="J8" s="14">
        <v>21.7</v>
      </c>
      <c r="K8">
        <v>19.899999999999999</v>
      </c>
      <c r="L8">
        <v>19.399999999999999</v>
      </c>
      <c r="M8">
        <v>11.4</v>
      </c>
      <c r="N8" s="14">
        <v>20.2</v>
      </c>
      <c r="O8">
        <v>19.600000000000001</v>
      </c>
    </row>
    <row r="9" spans="1:15">
      <c r="A9" s="98" t="s">
        <v>893</v>
      </c>
      <c r="B9" s="99"/>
      <c r="E9" s="99"/>
      <c r="G9" s="14"/>
      <c r="H9" s="14"/>
      <c r="I9" s="14"/>
      <c r="J9" s="14"/>
    </row>
    <row r="10" spans="1:15">
      <c r="A10" t="s">
        <v>894</v>
      </c>
      <c r="B10" t="s">
        <v>972</v>
      </c>
      <c r="E10" s="99"/>
      <c r="G10" s="14"/>
      <c r="H10" s="14"/>
      <c r="I10" s="14"/>
      <c r="J10" s="14"/>
    </row>
    <row r="11" spans="1:15">
      <c r="A11" t="s">
        <v>895</v>
      </c>
      <c r="B11" t="s">
        <v>973</v>
      </c>
      <c r="E11" s="99"/>
    </row>
    <row r="12" spans="1:15">
      <c r="A12" t="s">
        <v>896</v>
      </c>
      <c r="B12" t="s">
        <v>694</v>
      </c>
      <c r="E12" s="99"/>
    </row>
    <row r="13" spans="1:15">
      <c r="A13" t="s">
        <v>897</v>
      </c>
      <c r="E13" s="99"/>
    </row>
    <row r="14" spans="1:15">
      <c r="A14" t="s">
        <v>899</v>
      </c>
      <c r="B14" t="s">
        <v>694</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1125</v>
      </c>
      <c r="E20" s="99"/>
    </row>
    <row r="21" spans="1:5">
      <c r="A21" t="s">
        <v>905</v>
      </c>
      <c r="E21" s="99"/>
    </row>
    <row r="22" spans="1:5">
      <c r="A22" t="s">
        <v>906</v>
      </c>
      <c r="E22" s="99"/>
    </row>
    <row r="23" spans="1:5">
      <c r="A23" t="s">
        <v>907</v>
      </c>
      <c r="B23" t="s">
        <v>1121</v>
      </c>
      <c r="E23" s="99"/>
    </row>
    <row r="24" spans="1:5">
      <c r="A24" t="s">
        <v>908</v>
      </c>
      <c r="B24">
        <v>2025</v>
      </c>
      <c r="E24" s="99"/>
    </row>
    <row r="25" spans="1:5">
      <c r="A25" t="s">
        <v>909</v>
      </c>
      <c r="E25" s="99"/>
    </row>
    <row r="26" spans="1:5">
      <c r="E26" s="99"/>
    </row>
    <row r="27" spans="1:5">
      <c r="A27" s="101" t="s">
        <v>910</v>
      </c>
      <c r="B27" s="99"/>
      <c r="E27" s="99"/>
    </row>
    <row r="28" spans="1:5" ht="300" customHeight="1">
      <c r="A28" s="115" t="s">
        <v>1127</v>
      </c>
      <c r="B28" s="1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defaultColWidth="8.85546875" defaultRowHeight="15"/>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23" bestFit="1" customWidth="1"/>
    <col min="12" max="12" width="12.28515625" bestFit="1" customWidth="1"/>
    <col min="14" max="14" width="12.28515625" bestFit="1" customWidth="1"/>
    <col min="15" max="15" width="11" bestFit="1" customWidth="1"/>
  </cols>
  <sheetData>
    <row r="1" spans="1:15">
      <c r="A1" s="58" t="s">
        <v>882</v>
      </c>
      <c r="B1" s="114" t="s">
        <v>417</v>
      </c>
      <c r="C1" s="97"/>
      <c r="D1" s="97"/>
      <c r="E1" s="97"/>
      <c r="F1" s="97"/>
      <c r="G1" s="97"/>
      <c r="H1" s="97"/>
      <c r="I1" s="97"/>
      <c r="J1" s="97"/>
      <c r="K1" s="97"/>
      <c r="L1" s="97"/>
      <c r="M1" s="97"/>
      <c r="N1" s="97"/>
      <c r="O1" s="97"/>
    </row>
    <row r="2" spans="1:15">
      <c r="A2" s="58" t="s">
        <v>883</v>
      </c>
      <c r="B2" t="s">
        <v>12</v>
      </c>
    </row>
    <row r="3" spans="1:15">
      <c r="A3" s="58" t="s">
        <v>884</v>
      </c>
      <c r="B3" t="str">
        <f>IF($B$1="","",_xlfn.XLOOKUP($B$1,Master!$F$2:$F$308,Master!$G$2:$G$308,""))</f>
        <v>tbl-five-lead-death-aar</v>
      </c>
    </row>
    <row r="4" spans="1:15">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c r="A5" s="98" t="s">
        <v>885</v>
      </c>
      <c r="B5" s="99"/>
      <c r="E5" s="100" t="s">
        <v>886</v>
      </c>
      <c r="F5" t="s">
        <v>887</v>
      </c>
      <c r="G5" t="s">
        <v>1128</v>
      </c>
      <c r="H5" t="s">
        <v>1129</v>
      </c>
      <c r="I5" t="s">
        <v>1130</v>
      </c>
      <c r="J5" t="s">
        <v>1131</v>
      </c>
      <c r="K5" s="55" t="s">
        <v>1132</v>
      </c>
      <c r="L5" s="55" t="s">
        <v>1133</v>
      </c>
      <c r="M5" s="55"/>
      <c r="N5" s="55"/>
    </row>
    <row r="6" spans="1:15" ht="15" customHeight="1">
      <c r="A6" t="s">
        <v>891</v>
      </c>
      <c r="B6" t="b">
        <v>1</v>
      </c>
      <c r="E6" s="99"/>
      <c r="F6" s="101" t="s">
        <v>220</v>
      </c>
      <c r="G6" s="101"/>
      <c r="H6" s="14" t="s">
        <v>1134</v>
      </c>
      <c r="I6" s="14" t="s">
        <v>1049</v>
      </c>
      <c r="J6" s="14" t="s">
        <v>1135</v>
      </c>
      <c r="K6" s="14" t="s">
        <v>1136</v>
      </c>
      <c r="L6" t="s">
        <v>1137</v>
      </c>
      <c r="N6" s="14"/>
    </row>
    <row r="7" spans="1:15" ht="15.75" customHeight="1">
      <c r="E7" s="99"/>
      <c r="F7" s="14" t="s">
        <v>1138</v>
      </c>
      <c r="G7" s="14">
        <v>2912</v>
      </c>
      <c r="H7" s="14">
        <v>771</v>
      </c>
      <c r="I7" s="14">
        <v>554</v>
      </c>
      <c r="J7" s="14">
        <v>204</v>
      </c>
      <c r="K7" s="14">
        <v>183</v>
      </c>
      <c r="L7" s="14">
        <v>109</v>
      </c>
      <c r="M7" s="14"/>
      <c r="N7" s="14"/>
    </row>
    <row r="8" spans="1:15">
      <c r="E8" s="99"/>
      <c r="F8" s="14" t="s">
        <v>1139</v>
      </c>
      <c r="G8" s="14">
        <v>718.7</v>
      </c>
      <c r="H8" s="14">
        <v>183.8</v>
      </c>
      <c r="I8" s="14">
        <v>131.6</v>
      </c>
      <c r="J8" s="14">
        <v>65</v>
      </c>
      <c r="K8" s="14">
        <v>42.8</v>
      </c>
      <c r="L8" s="14">
        <v>26.3</v>
      </c>
      <c r="N8" s="14"/>
    </row>
    <row r="9" spans="1:15">
      <c r="A9" s="98" t="s">
        <v>893</v>
      </c>
      <c r="B9" s="99"/>
      <c r="E9" s="99"/>
      <c r="F9" s="116" t="s">
        <v>18</v>
      </c>
      <c r="G9" s="116"/>
      <c r="H9" s="14" t="s">
        <v>1134</v>
      </c>
      <c r="I9" s="14" t="s">
        <v>1049</v>
      </c>
      <c r="J9" s="14" t="s">
        <v>1135</v>
      </c>
      <c r="K9" s="14" t="s">
        <v>1136</v>
      </c>
      <c r="L9" s="14" t="s">
        <v>1137</v>
      </c>
    </row>
    <row r="10" spans="1:15">
      <c r="A10" t="s">
        <v>894</v>
      </c>
      <c r="E10" s="99"/>
      <c r="F10" s="14" t="s">
        <v>1138</v>
      </c>
      <c r="G10" s="14">
        <v>3220</v>
      </c>
      <c r="H10" s="14">
        <v>650</v>
      </c>
      <c r="I10" s="14">
        <v>609</v>
      </c>
      <c r="J10" s="14">
        <v>251</v>
      </c>
      <c r="K10" s="14">
        <v>230</v>
      </c>
      <c r="L10" s="14">
        <v>124</v>
      </c>
    </row>
    <row r="11" spans="1:15">
      <c r="A11" t="s">
        <v>895</v>
      </c>
      <c r="E11" s="99"/>
      <c r="F11" s="14" t="s">
        <v>1139</v>
      </c>
      <c r="G11" s="14">
        <v>744.8</v>
      </c>
      <c r="H11" s="14">
        <v>150</v>
      </c>
      <c r="I11" s="14">
        <v>132.5</v>
      </c>
      <c r="J11" s="14">
        <v>61.7</v>
      </c>
      <c r="K11" s="14">
        <v>53.2</v>
      </c>
      <c r="L11" s="14">
        <v>29.3</v>
      </c>
    </row>
    <row r="12" spans="1:15">
      <c r="A12" t="s">
        <v>896</v>
      </c>
      <c r="E12" s="99"/>
      <c r="F12" s="116" t="s">
        <v>537</v>
      </c>
      <c r="G12" s="116"/>
      <c r="H12" s="14" t="s">
        <v>1134</v>
      </c>
      <c r="I12" s="14" t="s">
        <v>1049</v>
      </c>
      <c r="J12" s="14" t="s">
        <v>1135</v>
      </c>
      <c r="K12" s="14" t="s">
        <v>1136</v>
      </c>
      <c r="L12" s="14" t="s">
        <v>1140</v>
      </c>
    </row>
    <row r="13" spans="1:15">
      <c r="A13" t="s">
        <v>897</v>
      </c>
      <c r="E13" s="99"/>
      <c r="F13" s="14" t="s">
        <v>1138</v>
      </c>
      <c r="G13" s="14">
        <v>846</v>
      </c>
      <c r="H13" s="14">
        <v>194</v>
      </c>
      <c r="I13" s="14">
        <v>169</v>
      </c>
      <c r="J13" s="14">
        <v>49</v>
      </c>
      <c r="K13" s="14">
        <v>37</v>
      </c>
      <c r="L13" s="14">
        <v>31</v>
      </c>
    </row>
    <row r="14" spans="1:15">
      <c r="A14" t="s">
        <v>899</v>
      </c>
      <c r="E14" s="99"/>
      <c r="F14" s="14" t="s">
        <v>1139</v>
      </c>
      <c r="G14" s="14">
        <v>637.1</v>
      </c>
      <c r="H14" s="14">
        <v>144.69999999999999</v>
      </c>
      <c r="I14" s="14">
        <v>118.6</v>
      </c>
      <c r="J14" s="14">
        <v>46.2</v>
      </c>
      <c r="K14" s="14">
        <v>28.9</v>
      </c>
      <c r="L14" s="14">
        <v>22.7</v>
      </c>
    </row>
    <row r="15" spans="1:15">
      <c r="A15" t="s">
        <v>901</v>
      </c>
      <c r="E15" s="99"/>
      <c r="F15" s="116" t="s">
        <v>449</v>
      </c>
      <c r="G15" s="116"/>
      <c r="H15" s="14" t="s">
        <v>1134</v>
      </c>
      <c r="I15" s="14" t="s">
        <v>1049</v>
      </c>
      <c r="J15" s="14" t="s">
        <v>1136</v>
      </c>
      <c r="K15" s="14" t="s">
        <v>1135</v>
      </c>
      <c r="L15" s="14" t="s">
        <v>1140</v>
      </c>
    </row>
    <row r="16" spans="1:15">
      <c r="E16" s="99"/>
      <c r="F16" s="14" t="s">
        <v>1138</v>
      </c>
      <c r="G16" s="14">
        <v>2347</v>
      </c>
      <c r="H16" s="14">
        <v>542</v>
      </c>
      <c r="I16" s="14">
        <v>456</v>
      </c>
      <c r="J16" s="14">
        <v>194</v>
      </c>
      <c r="K16" s="14">
        <v>123</v>
      </c>
      <c r="L16" s="14">
        <v>83</v>
      </c>
    </row>
    <row r="17" spans="1:12">
      <c r="E17" s="99"/>
      <c r="F17" s="14" t="s">
        <v>1139</v>
      </c>
      <c r="G17" s="14">
        <v>562.4</v>
      </c>
      <c r="H17" s="14">
        <v>125.1</v>
      </c>
      <c r="I17" s="14">
        <v>110.9</v>
      </c>
      <c r="J17" s="14">
        <v>45.5</v>
      </c>
      <c r="K17" s="14">
        <v>35.1</v>
      </c>
      <c r="L17" s="14">
        <v>19.3</v>
      </c>
    </row>
    <row r="18" spans="1:12">
      <c r="A18" s="98" t="s">
        <v>902</v>
      </c>
      <c r="B18" s="99"/>
      <c r="E18" s="99"/>
      <c r="F18" s="116" t="s">
        <v>409</v>
      </c>
      <c r="G18" s="116"/>
      <c r="H18" s="14" t="s">
        <v>1134</v>
      </c>
      <c r="I18" s="14" t="s">
        <v>1049</v>
      </c>
      <c r="J18" s="14" t="s">
        <v>1135</v>
      </c>
      <c r="K18" s="14" t="s">
        <v>1136</v>
      </c>
      <c r="L18" s="14" t="s">
        <v>1137</v>
      </c>
    </row>
    <row r="19" spans="1:12">
      <c r="A19" t="s">
        <v>903</v>
      </c>
      <c r="E19" s="99"/>
      <c r="F19" s="14" t="s">
        <v>1138</v>
      </c>
      <c r="G19" s="14">
        <v>888</v>
      </c>
      <c r="H19" s="14">
        <v>195</v>
      </c>
      <c r="I19" s="14">
        <v>165</v>
      </c>
      <c r="J19" s="14">
        <v>75</v>
      </c>
      <c r="K19" s="14">
        <v>62</v>
      </c>
      <c r="L19" s="14">
        <v>44</v>
      </c>
    </row>
    <row r="20" spans="1:12">
      <c r="A20" t="s">
        <v>904</v>
      </c>
      <c r="E20" s="99"/>
      <c r="F20" s="14" t="s">
        <v>1139</v>
      </c>
      <c r="G20" s="14">
        <v>908.5</v>
      </c>
      <c r="H20" s="14">
        <v>199.1</v>
      </c>
      <c r="I20" s="14">
        <v>153.19999999999999</v>
      </c>
      <c r="J20" s="14">
        <v>94.6</v>
      </c>
      <c r="K20" s="14">
        <v>60</v>
      </c>
      <c r="L20" s="14">
        <v>41.5</v>
      </c>
    </row>
    <row r="21" spans="1:12">
      <c r="A21" t="s">
        <v>905</v>
      </c>
      <c r="E21" s="99"/>
      <c r="F21" s="116" t="s">
        <v>421</v>
      </c>
      <c r="G21" s="116"/>
      <c r="H21" s="14" t="s">
        <v>1134</v>
      </c>
      <c r="I21" s="14" t="s">
        <v>1049</v>
      </c>
      <c r="J21" s="14" t="s">
        <v>1135</v>
      </c>
      <c r="K21" s="14" t="s">
        <v>1136</v>
      </c>
      <c r="L21" s="14" t="s">
        <v>1137</v>
      </c>
    </row>
    <row r="22" spans="1:12">
      <c r="A22" t="s">
        <v>906</v>
      </c>
      <c r="E22" s="99"/>
      <c r="F22" s="14" t="s">
        <v>1138</v>
      </c>
      <c r="G22" s="14">
        <v>1977</v>
      </c>
      <c r="H22" s="14">
        <v>512</v>
      </c>
      <c r="I22" s="14">
        <v>396</v>
      </c>
      <c r="J22" s="14">
        <v>128</v>
      </c>
      <c r="K22" s="14">
        <v>93</v>
      </c>
      <c r="L22" s="14">
        <v>92</v>
      </c>
    </row>
    <row r="23" spans="1:12">
      <c r="A23" t="s">
        <v>907</v>
      </c>
      <c r="E23" s="99"/>
      <c r="F23" s="14" t="s">
        <v>1139</v>
      </c>
      <c r="G23" s="14">
        <v>745</v>
      </c>
      <c r="H23" s="14">
        <v>187.6</v>
      </c>
      <c r="I23" s="14">
        <v>140.5</v>
      </c>
      <c r="J23" s="14">
        <v>61.6</v>
      </c>
      <c r="K23" s="14">
        <v>34</v>
      </c>
      <c r="L23" s="14">
        <v>32</v>
      </c>
    </row>
    <row r="24" spans="1:12">
      <c r="A24" t="s">
        <v>908</v>
      </c>
      <c r="E24" s="99"/>
      <c r="F24" s="116" t="s">
        <v>470</v>
      </c>
      <c r="G24" s="116"/>
      <c r="H24" s="14" t="s">
        <v>1134</v>
      </c>
      <c r="I24" s="14" t="s">
        <v>1049</v>
      </c>
      <c r="J24" s="14" t="s">
        <v>1136</v>
      </c>
      <c r="K24" s="14" t="s">
        <v>1140</v>
      </c>
      <c r="L24" s="14" t="s">
        <v>1135</v>
      </c>
    </row>
    <row r="25" spans="1:12">
      <c r="A25" t="s">
        <v>909</v>
      </c>
      <c r="E25" s="99"/>
      <c r="F25" s="14" t="s">
        <v>1138</v>
      </c>
      <c r="G25" s="14">
        <v>7666</v>
      </c>
      <c r="H25" s="14">
        <v>1915</v>
      </c>
      <c r="I25" s="14">
        <v>1402</v>
      </c>
      <c r="J25" s="14">
        <v>511</v>
      </c>
      <c r="K25" s="14">
        <v>340</v>
      </c>
      <c r="L25" s="14">
        <v>339</v>
      </c>
    </row>
    <row r="26" spans="1:12">
      <c r="E26" s="99"/>
      <c r="F26" s="14" t="s">
        <v>1139</v>
      </c>
      <c r="G26" s="14">
        <v>548</v>
      </c>
      <c r="H26" s="14">
        <v>130.30000000000001</v>
      </c>
      <c r="I26" s="14">
        <v>100.2</v>
      </c>
      <c r="J26" s="14">
        <v>35.5</v>
      </c>
      <c r="K26" s="14">
        <v>23.6</v>
      </c>
      <c r="L26" s="14">
        <v>30.4</v>
      </c>
    </row>
    <row r="27" spans="1:12">
      <c r="A27" s="101" t="s">
        <v>910</v>
      </c>
      <c r="B27" s="99"/>
      <c r="E27" s="99"/>
      <c r="F27" s="116" t="s">
        <v>914</v>
      </c>
      <c r="G27" s="116"/>
      <c r="H27" s="14" t="s">
        <v>1134</v>
      </c>
      <c r="I27" s="14" t="s">
        <v>1049</v>
      </c>
      <c r="J27" s="14" t="s">
        <v>1136</v>
      </c>
      <c r="K27" s="14" t="s">
        <v>1135</v>
      </c>
      <c r="L27" s="14" t="s">
        <v>1137</v>
      </c>
    </row>
    <row r="28" spans="1:12">
      <c r="A28" s="115"/>
      <c r="B28" s="115"/>
      <c r="E28" s="99"/>
      <c r="F28" s="14" t="s">
        <v>1138</v>
      </c>
      <c r="G28" s="14">
        <v>113504</v>
      </c>
      <c r="H28" s="14">
        <v>26138</v>
      </c>
      <c r="I28" s="14">
        <v>21715</v>
      </c>
      <c r="J28" s="14">
        <v>6607</v>
      </c>
      <c r="K28" s="14">
        <v>6596</v>
      </c>
      <c r="L28" s="14">
        <v>4595</v>
      </c>
    </row>
    <row r="29" spans="1:12">
      <c r="E29" s="99"/>
      <c r="F29" s="14" t="s">
        <v>1139</v>
      </c>
      <c r="G29" s="14">
        <v>744.2</v>
      </c>
      <c r="H29" s="14">
        <v>165.9</v>
      </c>
      <c r="I29" s="14">
        <v>137</v>
      </c>
      <c r="J29" s="14">
        <v>42.3</v>
      </c>
      <c r="K29" s="14">
        <v>54.1</v>
      </c>
      <c r="L29" s="14">
        <v>28.7</v>
      </c>
    </row>
    <row r="30" spans="1:12">
      <c r="E30" s="99"/>
      <c r="F30" s="116" t="s">
        <v>915</v>
      </c>
      <c r="G30" s="116"/>
      <c r="H30" s="14" t="s">
        <v>1134</v>
      </c>
      <c r="I30" s="14" t="s">
        <v>1049</v>
      </c>
      <c r="J30" s="14" t="s">
        <v>1136</v>
      </c>
      <c r="K30" s="14" t="s">
        <v>1135</v>
      </c>
      <c r="L30" s="14" t="s">
        <v>1140</v>
      </c>
    </row>
    <row r="31" spans="1:12">
      <c r="E31" s="99"/>
      <c r="F31" s="14" t="s">
        <v>1138</v>
      </c>
      <c r="G31" s="14">
        <v>173958</v>
      </c>
      <c r="H31" s="14">
        <v>43029</v>
      </c>
      <c r="I31" s="14">
        <v>32517</v>
      </c>
      <c r="J31" s="14">
        <v>11167</v>
      </c>
      <c r="K31" s="14">
        <v>10811</v>
      </c>
      <c r="L31" s="14">
        <v>6556</v>
      </c>
    </row>
    <row r="32" spans="1:12">
      <c r="E32" s="99"/>
      <c r="F32" s="14" t="s">
        <v>1139</v>
      </c>
      <c r="G32" s="14">
        <v>679.5</v>
      </c>
      <c r="H32" s="14">
        <v>163.1</v>
      </c>
      <c r="I32" s="14">
        <v>123.4</v>
      </c>
      <c r="J32" s="14">
        <v>42.6</v>
      </c>
      <c r="K32" s="14">
        <v>50</v>
      </c>
      <c r="L32" s="14">
        <v>25.1</v>
      </c>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423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tbl-premature-death-percent</v>
      </c>
    </row>
    <row r="4" spans="1:16">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c r="E7" s="99"/>
      <c r="F7">
        <v>2020</v>
      </c>
      <c r="G7">
        <v>23.5</v>
      </c>
      <c r="H7" s="14">
        <v>24.5</v>
      </c>
      <c r="I7" s="14">
        <v>19.7</v>
      </c>
      <c r="J7" s="14">
        <v>21.4</v>
      </c>
      <c r="K7">
        <v>27.3</v>
      </c>
      <c r="L7">
        <v>23</v>
      </c>
      <c r="M7" s="14">
        <v>19.2</v>
      </c>
      <c r="N7" s="14">
        <v>21.5</v>
      </c>
      <c r="O7">
        <v>21.5</v>
      </c>
      <c r="P7">
        <v>23.3</v>
      </c>
    </row>
    <row r="8" spans="1:16">
      <c r="E8" s="99"/>
      <c r="F8">
        <v>2021</v>
      </c>
      <c r="G8">
        <v>22.3</v>
      </c>
      <c r="H8" s="14">
        <v>27.3</v>
      </c>
      <c r="I8" s="14">
        <v>17.399999999999999</v>
      </c>
      <c r="J8" s="14">
        <v>21.1</v>
      </c>
      <c r="K8">
        <v>29.7</v>
      </c>
      <c r="L8">
        <v>22.8</v>
      </c>
      <c r="M8">
        <v>19.7</v>
      </c>
      <c r="N8" s="14">
        <v>22.1</v>
      </c>
      <c r="O8">
        <v>22.7</v>
      </c>
      <c r="P8">
        <v>24.4</v>
      </c>
    </row>
    <row r="9" spans="1:16">
      <c r="A9" s="98" t="s">
        <v>893</v>
      </c>
      <c r="B9" s="99"/>
      <c r="E9" s="99"/>
      <c r="F9">
        <v>2022</v>
      </c>
      <c r="G9">
        <v>22.7</v>
      </c>
      <c r="H9" s="14">
        <v>25.1</v>
      </c>
      <c r="I9" s="14">
        <v>20.6</v>
      </c>
      <c r="J9" s="14">
        <v>18.5</v>
      </c>
      <c r="K9">
        <v>28.8</v>
      </c>
      <c r="L9">
        <v>21.9</v>
      </c>
      <c r="M9">
        <v>18.399999999999999</v>
      </c>
      <c r="N9">
        <v>21</v>
      </c>
      <c r="O9">
        <v>22</v>
      </c>
      <c r="P9">
        <v>23.6</v>
      </c>
    </row>
    <row r="10" spans="1:16">
      <c r="A10" t="s">
        <v>894</v>
      </c>
      <c r="B10" t="s">
        <v>972</v>
      </c>
      <c r="E10" s="99"/>
      <c r="H10" s="14"/>
      <c r="I10" s="14"/>
      <c r="J10" s="14"/>
    </row>
    <row r="11" spans="1:16">
      <c r="A11" t="s">
        <v>895</v>
      </c>
      <c r="B11" t="s">
        <v>973</v>
      </c>
      <c r="E11" s="99"/>
    </row>
    <row r="12" spans="1:16">
      <c r="A12" t="s">
        <v>896</v>
      </c>
      <c r="E12" s="99"/>
    </row>
    <row r="13" spans="1:16">
      <c r="A13" t="s">
        <v>897</v>
      </c>
      <c r="E13" s="99"/>
    </row>
    <row r="14" spans="1:16">
      <c r="A14" t="s">
        <v>899</v>
      </c>
      <c r="E14" s="99"/>
    </row>
    <row r="15" spans="1:16">
      <c r="A15" t="s">
        <v>901</v>
      </c>
      <c r="B15" t="b">
        <v>0</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1412</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425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tbl-premature-death-percent-diff-BNHvsWNH</v>
      </c>
    </row>
    <row r="4" spans="1:16">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t="s">
        <v>220</v>
      </c>
      <c r="H5" t="s">
        <v>18</v>
      </c>
      <c r="I5" t="s">
        <v>537</v>
      </c>
      <c r="J5" t="s">
        <v>449</v>
      </c>
      <c r="K5" s="55" t="s">
        <v>409</v>
      </c>
      <c r="L5" s="55" t="s">
        <v>421</v>
      </c>
      <c r="M5" s="55" t="s">
        <v>470</v>
      </c>
      <c r="N5" s="55" t="s">
        <v>898</v>
      </c>
      <c r="O5" t="s">
        <v>914</v>
      </c>
      <c r="P5" t="s">
        <v>915</v>
      </c>
    </row>
    <row r="6" spans="1:16" ht="15" customHeight="1">
      <c r="A6" t="s">
        <v>891</v>
      </c>
      <c r="B6" t="b">
        <v>0</v>
      </c>
      <c r="E6" s="99"/>
      <c r="F6">
        <v>2019</v>
      </c>
      <c r="G6">
        <v>13.7</v>
      </c>
      <c r="H6" s="14">
        <v>19.3</v>
      </c>
      <c r="I6" s="14" t="s">
        <v>1558</v>
      </c>
      <c r="J6" s="14">
        <v>10.1</v>
      </c>
      <c r="K6" s="14">
        <v>4.2</v>
      </c>
      <c r="L6">
        <v>19.8</v>
      </c>
      <c r="M6">
        <v>19.3</v>
      </c>
      <c r="N6" s="14">
        <v>15.9</v>
      </c>
      <c r="O6">
        <v>20.2</v>
      </c>
      <c r="P6">
        <v>17.7</v>
      </c>
    </row>
    <row r="7" spans="1:16" ht="15.75" customHeight="1">
      <c r="E7" s="99"/>
      <c r="F7">
        <v>2020</v>
      </c>
      <c r="G7">
        <v>19.8</v>
      </c>
      <c r="H7" s="14">
        <v>23.3</v>
      </c>
      <c r="I7" s="14" t="s">
        <v>1559</v>
      </c>
      <c r="J7" s="14">
        <v>9.3000000000000007</v>
      </c>
      <c r="K7">
        <v>10.1</v>
      </c>
      <c r="L7">
        <v>25.7</v>
      </c>
      <c r="M7" s="14">
        <v>18.899999999999999</v>
      </c>
      <c r="N7" s="14">
        <v>16.8</v>
      </c>
      <c r="O7">
        <v>19.7</v>
      </c>
      <c r="P7">
        <v>16.5</v>
      </c>
    </row>
    <row r="8" spans="1:16">
      <c r="E8" s="99"/>
      <c r="F8">
        <v>2021</v>
      </c>
      <c r="G8">
        <v>21.9</v>
      </c>
      <c r="H8" s="14">
        <v>15.8</v>
      </c>
      <c r="I8" s="14" t="s">
        <v>1560</v>
      </c>
      <c r="J8" s="14">
        <v>16.600000000000001</v>
      </c>
      <c r="K8">
        <v>15.4</v>
      </c>
      <c r="L8">
        <v>23.4</v>
      </c>
      <c r="M8">
        <v>21</v>
      </c>
      <c r="N8" s="14">
        <v>18.5</v>
      </c>
      <c r="O8">
        <v>22.2</v>
      </c>
      <c r="P8">
        <v>19.5</v>
      </c>
    </row>
    <row r="9" spans="1:16">
      <c r="A9" s="98" t="s">
        <v>893</v>
      </c>
      <c r="B9" s="99"/>
      <c r="E9" s="99"/>
      <c r="F9">
        <v>2022</v>
      </c>
      <c r="G9">
        <v>18.5</v>
      </c>
      <c r="H9" s="14">
        <v>20.6</v>
      </c>
      <c r="I9" s="14" t="s">
        <v>1561</v>
      </c>
      <c r="J9" s="14">
        <v>16.2</v>
      </c>
      <c r="K9">
        <v>8</v>
      </c>
      <c r="L9">
        <v>25.3</v>
      </c>
      <c r="M9">
        <v>20.5</v>
      </c>
      <c r="N9">
        <v>18.2</v>
      </c>
      <c r="O9">
        <v>21.7</v>
      </c>
      <c r="P9">
        <v>19.399999999999999</v>
      </c>
    </row>
    <row r="10" spans="1:16">
      <c r="A10" t="s">
        <v>894</v>
      </c>
      <c r="B10" t="s">
        <v>972</v>
      </c>
      <c r="E10" s="99"/>
      <c r="H10" s="14"/>
      <c r="I10" s="14"/>
      <c r="J10" s="14"/>
    </row>
    <row r="11" spans="1:16">
      <c r="A11" t="s">
        <v>895</v>
      </c>
      <c r="B11" t="s">
        <v>973</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1557</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1556</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427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tbl-premature-death-percent-diff-HvsWNH</v>
      </c>
    </row>
    <row r="4" spans="1:16">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t="s">
        <v>220</v>
      </c>
      <c r="H5" t="s">
        <v>18</v>
      </c>
      <c r="I5" t="s">
        <v>537</v>
      </c>
      <c r="J5" t="s">
        <v>449</v>
      </c>
      <c r="K5" s="55" t="s">
        <v>409</v>
      </c>
      <c r="L5" s="55" t="s">
        <v>421</v>
      </c>
      <c r="M5" s="55" t="s">
        <v>470</v>
      </c>
      <c r="N5" s="55" t="s">
        <v>898</v>
      </c>
      <c r="O5" t="s">
        <v>914</v>
      </c>
      <c r="P5" t="s">
        <v>915</v>
      </c>
    </row>
    <row r="6" spans="1:16" ht="15" customHeight="1">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c r="E7" s="99"/>
      <c r="F7" s="14">
        <v>2020</v>
      </c>
      <c r="G7" s="14">
        <v>22</v>
      </c>
      <c r="H7" s="14">
        <v>15.5</v>
      </c>
      <c r="I7" s="14">
        <v>19.100000000000001</v>
      </c>
      <c r="J7" s="14">
        <v>28.4</v>
      </c>
      <c r="K7" s="14">
        <v>14.9</v>
      </c>
      <c r="L7" s="14">
        <v>14.7</v>
      </c>
      <c r="M7" s="14">
        <v>25.5</v>
      </c>
      <c r="N7" s="14">
        <v>21.9</v>
      </c>
      <c r="O7" s="14">
        <v>23.9</v>
      </c>
      <c r="P7" s="14">
        <v>17.2</v>
      </c>
    </row>
    <row r="8" spans="1:16">
      <c r="E8" s="99"/>
      <c r="F8" s="14">
        <v>2021</v>
      </c>
      <c r="G8" s="14">
        <v>18.899999999999999</v>
      </c>
      <c r="H8" s="14">
        <v>16.2</v>
      </c>
      <c r="I8" s="14">
        <v>11.2</v>
      </c>
      <c r="J8" s="14">
        <v>24.4</v>
      </c>
      <c r="K8" s="14">
        <v>19.600000000000001</v>
      </c>
      <c r="L8" s="14">
        <v>18.3</v>
      </c>
      <c r="M8" s="14">
        <v>25.7</v>
      </c>
      <c r="N8" s="14">
        <v>21.4</v>
      </c>
      <c r="O8" s="14">
        <v>23.7</v>
      </c>
      <c r="P8" s="14">
        <v>18</v>
      </c>
    </row>
    <row r="9" spans="1:16">
      <c r="A9" s="98" t="s">
        <v>893</v>
      </c>
      <c r="B9" s="99"/>
      <c r="E9" s="99"/>
      <c r="F9" s="14">
        <v>2022</v>
      </c>
      <c r="G9" s="14">
        <v>23.6</v>
      </c>
      <c r="H9" s="14">
        <v>17.2</v>
      </c>
      <c r="I9" s="14">
        <v>28.9</v>
      </c>
      <c r="J9" s="14">
        <v>26.3</v>
      </c>
      <c r="K9" s="14">
        <v>29.6</v>
      </c>
      <c r="L9" s="14">
        <v>23.7</v>
      </c>
      <c r="M9" s="14">
        <v>25.8</v>
      </c>
      <c r="N9" s="14">
        <v>23.1</v>
      </c>
      <c r="O9" s="14">
        <v>24.6</v>
      </c>
      <c r="P9" s="14">
        <v>17.899999999999999</v>
      </c>
    </row>
    <row r="10" spans="1:16">
      <c r="A10" t="s">
        <v>894</v>
      </c>
      <c r="B10" t="s">
        <v>972</v>
      </c>
      <c r="E10" s="99"/>
      <c r="H10" s="14"/>
      <c r="I10" s="14"/>
      <c r="J10" s="14"/>
    </row>
    <row r="11" spans="1:16">
      <c r="A11" t="s">
        <v>895</v>
      </c>
      <c r="B11" t="s">
        <v>973</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1557</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1562</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430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tbl-clrd-hospital-aar</v>
      </c>
    </row>
    <row r="4" spans="1:16">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t="s">
        <v>220</v>
      </c>
      <c r="H5" t="s">
        <v>18</v>
      </c>
      <c r="I5" t="s">
        <v>537</v>
      </c>
      <c r="J5" t="s">
        <v>449</v>
      </c>
      <c r="K5" s="55" t="s">
        <v>409</v>
      </c>
      <c r="L5" s="55" t="s">
        <v>421</v>
      </c>
      <c r="M5" s="55" t="s">
        <v>470</v>
      </c>
      <c r="N5" s="55" t="s">
        <v>898</v>
      </c>
      <c r="O5" t="s">
        <v>914</v>
      </c>
      <c r="P5" t="s">
        <v>915</v>
      </c>
    </row>
    <row r="6" spans="1:16" ht="15" customHeight="1">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c r="E7" s="99"/>
      <c r="F7" s="14"/>
      <c r="G7" s="14"/>
      <c r="H7" s="14"/>
      <c r="I7" s="14"/>
      <c r="J7" s="14"/>
      <c r="K7" s="14"/>
      <c r="L7" s="14"/>
      <c r="M7" s="14"/>
      <c r="N7" s="14"/>
      <c r="O7" s="14"/>
      <c r="P7" s="14"/>
    </row>
    <row r="8" spans="1:16">
      <c r="E8" s="99"/>
      <c r="F8" s="14"/>
      <c r="G8" s="14"/>
      <c r="H8" s="14"/>
      <c r="I8" s="14"/>
      <c r="J8" s="14"/>
      <c r="K8" s="14"/>
      <c r="L8" s="14"/>
      <c r="M8" s="14"/>
      <c r="N8" s="14"/>
      <c r="O8" s="14"/>
      <c r="P8" s="14"/>
    </row>
    <row r="9" spans="1:16">
      <c r="A9" s="98" t="s">
        <v>893</v>
      </c>
      <c r="B9" s="99"/>
      <c r="E9" s="99"/>
      <c r="F9" s="14"/>
      <c r="G9" s="14"/>
      <c r="H9" s="14"/>
      <c r="I9" s="14"/>
      <c r="J9" s="14"/>
      <c r="K9" s="14"/>
      <c r="L9" s="14"/>
      <c r="M9" s="14"/>
      <c r="N9" s="14"/>
      <c r="O9" s="14"/>
      <c r="P9" s="14"/>
    </row>
    <row r="10" spans="1:16">
      <c r="A10" t="s">
        <v>894</v>
      </c>
      <c r="B10" t="s">
        <v>1002</v>
      </c>
      <c r="E10" s="99"/>
      <c r="H10" s="14"/>
      <c r="I10" s="14"/>
      <c r="J10" s="14"/>
    </row>
    <row r="11" spans="1:16">
      <c r="A11" t="s">
        <v>895</v>
      </c>
      <c r="B11" t="s">
        <v>887</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1567</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1566</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434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tbl-clrd-hospital-rande-aar</v>
      </c>
    </row>
    <row r="4" spans="1:16">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c r="E7" s="99"/>
      <c r="F7" s="14" t="s">
        <v>1571</v>
      </c>
      <c r="G7" s="59">
        <v>9</v>
      </c>
      <c r="H7" s="59">
        <v>22.5</v>
      </c>
      <c r="I7" s="59">
        <v>10.8</v>
      </c>
      <c r="J7" s="59">
        <v>13</v>
      </c>
      <c r="K7" s="59">
        <v>25.7</v>
      </c>
      <c r="L7" s="59">
        <v>17.3</v>
      </c>
      <c r="M7" s="59">
        <v>19</v>
      </c>
      <c r="N7" s="59">
        <v>24</v>
      </c>
      <c r="O7" s="59">
        <v>24.5</v>
      </c>
      <c r="P7" s="14"/>
    </row>
    <row r="8" spans="1:16">
      <c r="E8" s="99"/>
      <c r="F8" s="14" t="s">
        <v>1572</v>
      </c>
      <c r="G8" s="59" t="s">
        <v>754</v>
      </c>
      <c r="H8" s="59">
        <v>2.9</v>
      </c>
      <c r="I8" s="59" t="s">
        <v>754</v>
      </c>
      <c r="J8" s="59">
        <v>3.4</v>
      </c>
      <c r="K8" s="59" t="s">
        <v>754</v>
      </c>
      <c r="L8" s="59" t="s">
        <v>754</v>
      </c>
      <c r="M8" s="59">
        <v>2.6</v>
      </c>
      <c r="N8" s="59">
        <v>4.0999999999999996</v>
      </c>
      <c r="O8" s="59">
        <v>4.4000000000000004</v>
      </c>
      <c r="P8" s="14"/>
    </row>
    <row r="9" spans="1:16">
      <c r="A9" s="98" t="s">
        <v>893</v>
      </c>
      <c r="B9" s="99"/>
      <c r="E9" s="99"/>
      <c r="F9" s="14" t="s">
        <v>927</v>
      </c>
      <c r="G9" s="59">
        <v>6.2</v>
      </c>
      <c r="H9" s="59">
        <v>10.8</v>
      </c>
      <c r="I9" s="59">
        <v>7.2</v>
      </c>
      <c r="J9" s="59">
        <v>8.4</v>
      </c>
      <c r="K9" s="59">
        <v>6.8</v>
      </c>
      <c r="L9" s="59">
        <v>10.6</v>
      </c>
      <c r="M9" s="59">
        <v>8.3000000000000007</v>
      </c>
      <c r="N9" s="59">
        <v>9.9</v>
      </c>
      <c r="O9" s="59">
        <v>16.600000000000001</v>
      </c>
      <c r="P9" s="14"/>
    </row>
    <row r="10" spans="1:16">
      <c r="A10" t="s">
        <v>894</v>
      </c>
      <c r="B10" t="s">
        <v>983</v>
      </c>
      <c r="E10" s="99"/>
      <c r="H10" s="14"/>
      <c r="I10" s="14"/>
      <c r="J10" s="14"/>
    </row>
    <row r="11" spans="1:16">
      <c r="A11" t="s">
        <v>895</v>
      </c>
      <c r="B11" t="s">
        <v>887</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1577</v>
      </c>
      <c r="E25" s="99"/>
      <c r="H25" s="52"/>
      <c r="I25" s="52"/>
    </row>
    <row r="26" spans="1:12">
      <c r="E26" s="99"/>
    </row>
    <row r="27" spans="1:12">
      <c r="A27" s="101" t="s">
        <v>910</v>
      </c>
      <c r="B27" s="99"/>
      <c r="E27" s="99"/>
    </row>
    <row r="28" spans="1:12">
      <c r="A28" s="115"/>
      <c r="B28" s="115"/>
      <c r="E28" s="99"/>
      <c r="H28" s="52"/>
      <c r="I28" s="52"/>
      <c r="J28" s="52"/>
      <c r="K28" s="52"/>
      <c r="L28" s="52"/>
    </row>
    <row r="29" spans="1:12">
      <c r="A29" s="115" t="s">
        <v>1576</v>
      </c>
      <c r="B29" s="115"/>
      <c r="C29" s="115"/>
      <c r="D29" s="115"/>
      <c r="E29" s="99"/>
    </row>
    <row r="30" spans="1:12">
      <c r="A30" s="115"/>
      <c r="B30" s="115"/>
      <c r="C30" s="115"/>
      <c r="D30" s="115"/>
      <c r="E30" s="99"/>
    </row>
    <row r="31" spans="1:12">
      <c r="A31" s="115"/>
      <c r="B31" s="115"/>
      <c r="C31" s="115"/>
      <c r="D31" s="115"/>
      <c r="E31" s="99"/>
      <c r="H31" s="52"/>
      <c r="I31" s="52"/>
      <c r="J31" s="52"/>
      <c r="K31" s="52"/>
      <c r="L31" s="52"/>
    </row>
    <row r="32" spans="1:12">
      <c r="A32" s="115"/>
      <c r="B32" s="115"/>
      <c r="C32" s="115"/>
      <c r="D32" s="115"/>
      <c r="E32" s="99"/>
    </row>
    <row r="33" spans="1:5">
      <c r="A33" s="115"/>
      <c r="B33" s="115"/>
      <c r="C33" s="115"/>
      <c r="D33" s="115"/>
      <c r="E33" s="99"/>
    </row>
    <row r="34" spans="1:5">
      <c r="A34" s="115"/>
      <c r="B34" s="115"/>
      <c r="C34" s="115"/>
      <c r="D34" s="115"/>
      <c r="E34" s="99"/>
    </row>
    <row r="35" spans="1:5">
      <c r="A35" s="115"/>
      <c r="B35" s="115"/>
      <c r="C35" s="115"/>
      <c r="D35" s="115"/>
      <c r="E35" s="99"/>
    </row>
    <row r="36" spans="1:5">
      <c r="A36" s="115"/>
      <c r="B36" s="115"/>
      <c r="C36" s="115"/>
      <c r="D36" s="115"/>
      <c r="E36" s="99"/>
    </row>
    <row r="37" spans="1:5">
      <c r="A37" s="115"/>
      <c r="B37" s="115"/>
      <c r="C37" s="115"/>
      <c r="D37" s="115"/>
      <c r="E37" s="99"/>
    </row>
    <row r="38" spans="1:5">
      <c r="A38" s="115"/>
      <c r="B38" s="115"/>
      <c r="C38" s="115"/>
      <c r="D38" s="115"/>
      <c r="E38" s="99"/>
    </row>
    <row r="39" spans="1:5">
      <c r="A39" s="115"/>
      <c r="B39" s="115"/>
      <c r="C39" s="115"/>
      <c r="D39" s="115"/>
      <c r="E39" s="99"/>
    </row>
    <row r="40" spans="1:5">
      <c r="A40" s="115"/>
      <c r="B40" s="115"/>
      <c r="C40" s="115"/>
      <c r="D40" s="115"/>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438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tbl-brfss-adult-asthma</v>
      </c>
    </row>
    <row r="4" spans="1:16">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c r="E7" s="99"/>
      <c r="F7" s="51">
        <v>2018</v>
      </c>
      <c r="G7" s="59">
        <v>9.9</v>
      </c>
      <c r="H7" s="59">
        <v>8.9</v>
      </c>
      <c r="I7" s="59">
        <v>8.9</v>
      </c>
      <c r="J7" s="59">
        <v>7.3</v>
      </c>
      <c r="K7" s="59">
        <v>12.7</v>
      </c>
      <c r="L7" s="59">
        <v>12.3</v>
      </c>
      <c r="M7" s="59">
        <v>11.5</v>
      </c>
      <c r="N7" s="59">
        <v>9.6999999999999993</v>
      </c>
      <c r="O7" s="59">
        <v>10.8</v>
      </c>
      <c r="P7" s="14">
        <v>10.1</v>
      </c>
    </row>
    <row r="8" spans="1:16">
      <c r="E8" s="99"/>
      <c r="F8" s="51">
        <v>2021</v>
      </c>
      <c r="G8" s="59">
        <v>11.3</v>
      </c>
      <c r="H8" s="59">
        <v>9.6</v>
      </c>
      <c r="I8" s="59">
        <v>10.1</v>
      </c>
      <c r="J8" s="59">
        <v>7.4</v>
      </c>
      <c r="K8" s="59">
        <v>12.3</v>
      </c>
      <c r="L8" s="59">
        <v>11.8</v>
      </c>
      <c r="M8" s="59">
        <v>7.9</v>
      </c>
      <c r="N8" s="59">
        <v>8.9</v>
      </c>
      <c r="O8" s="59">
        <v>10.8</v>
      </c>
      <c r="P8" s="14">
        <v>10.1</v>
      </c>
    </row>
    <row r="9" spans="1:16">
      <c r="A9" s="98" t="s">
        <v>893</v>
      </c>
      <c r="B9" s="99"/>
      <c r="E9" s="99"/>
      <c r="F9" s="59"/>
      <c r="G9" s="59"/>
      <c r="H9" s="59"/>
      <c r="I9" s="59"/>
      <c r="J9" s="59"/>
      <c r="K9" s="59"/>
      <c r="L9" s="59"/>
      <c r="M9" s="59"/>
      <c r="N9" s="59"/>
      <c r="O9" s="59"/>
      <c r="P9" s="14"/>
    </row>
    <row r="10" spans="1:16">
      <c r="A10" t="s">
        <v>894</v>
      </c>
      <c r="B10" t="s">
        <v>972</v>
      </c>
      <c r="E10" s="99"/>
      <c r="H10" s="14"/>
      <c r="I10" s="14"/>
      <c r="J10" s="14"/>
    </row>
    <row r="11" spans="1:16">
      <c r="A11" t="s">
        <v>895</v>
      </c>
      <c r="B11" t="s">
        <v>887</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1585</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1586</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440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tbl-asthma-hopsital-aar</v>
      </c>
    </row>
    <row r="4" spans="1:16">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c r="E7" s="99"/>
      <c r="F7" s="14"/>
      <c r="G7" s="14"/>
      <c r="H7" s="14"/>
      <c r="I7" s="14"/>
      <c r="J7" s="14"/>
      <c r="K7" s="14"/>
      <c r="L7" s="14"/>
      <c r="M7" s="14"/>
      <c r="N7" s="14"/>
      <c r="O7" s="14"/>
      <c r="P7" s="14"/>
    </row>
    <row r="8" spans="1:16">
      <c r="E8" s="99"/>
      <c r="F8" s="14"/>
      <c r="G8" s="14"/>
      <c r="H8" s="14"/>
      <c r="I8" s="14"/>
      <c r="J8" s="14"/>
      <c r="K8" s="14"/>
      <c r="L8" s="14"/>
      <c r="M8" s="14"/>
      <c r="N8" s="14"/>
      <c r="O8" s="14"/>
      <c r="P8" s="14"/>
    </row>
    <row r="9" spans="1:16">
      <c r="A9" s="98" t="s">
        <v>893</v>
      </c>
      <c r="B9" s="99"/>
      <c r="E9" s="99"/>
      <c r="F9" s="14"/>
      <c r="G9" s="14"/>
      <c r="H9" s="14"/>
      <c r="I9" s="14"/>
      <c r="J9" s="14"/>
      <c r="K9" s="14"/>
      <c r="L9" s="14"/>
      <c r="M9" s="14"/>
      <c r="N9" s="14"/>
      <c r="O9" s="14"/>
      <c r="P9" s="14"/>
    </row>
    <row r="10" spans="1:16">
      <c r="A10" t="s">
        <v>894</v>
      </c>
      <c r="B10" t="s">
        <v>1002</v>
      </c>
      <c r="E10" s="99"/>
      <c r="H10" s="14"/>
      <c r="I10" s="14"/>
      <c r="J10" s="14"/>
    </row>
    <row r="11" spans="1:16">
      <c r="A11" t="s">
        <v>895</v>
      </c>
      <c r="B11" t="s">
        <v>887</v>
      </c>
      <c r="E11" s="99"/>
    </row>
    <row r="12" spans="1:16">
      <c r="A12" t="s">
        <v>896</v>
      </c>
      <c r="E12" s="99"/>
    </row>
    <row r="13" spans="1:16">
      <c r="A13" t="s">
        <v>897</v>
      </c>
      <c r="E13" s="99"/>
    </row>
    <row r="14" spans="1:16">
      <c r="A14" t="s">
        <v>899</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1602</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1600</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442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tbl-asthma-hopsital-rande-aar</v>
      </c>
    </row>
    <row r="4" spans="1:16">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c r="E7" s="99"/>
      <c r="F7" s="51" t="s">
        <v>1571</v>
      </c>
      <c r="G7" s="59">
        <v>5.4</v>
      </c>
      <c r="H7" s="59">
        <v>10.8</v>
      </c>
      <c r="I7" s="59">
        <v>10.8</v>
      </c>
      <c r="J7" s="59">
        <v>6.9</v>
      </c>
      <c r="K7" s="59">
        <v>17.100000000000001</v>
      </c>
      <c r="L7" s="59">
        <v>7.3</v>
      </c>
      <c r="M7" s="59">
        <v>11.4</v>
      </c>
      <c r="N7" s="59">
        <v>11.9</v>
      </c>
      <c r="O7" s="59">
        <v>13.8</v>
      </c>
      <c r="P7" s="14"/>
    </row>
    <row r="8" spans="1:16">
      <c r="E8" s="99"/>
      <c r="F8" s="51" t="s">
        <v>1572</v>
      </c>
      <c r="G8" s="59" t="s">
        <v>754</v>
      </c>
      <c r="H8" s="59" t="s">
        <v>1252</v>
      </c>
      <c r="I8" s="59" t="s">
        <v>754</v>
      </c>
      <c r="J8" s="59">
        <v>1.3</v>
      </c>
      <c r="K8" s="59" t="s">
        <v>1609</v>
      </c>
      <c r="L8" s="59" t="s">
        <v>754</v>
      </c>
      <c r="M8" s="59">
        <v>1.8</v>
      </c>
      <c r="N8" s="59">
        <v>2.4</v>
      </c>
      <c r="O8" s="59">
        <v>2.4</v>
      </c>
      <c r="P8" s="14"/>
    </row>
    <row r="9" spans="1:16">
      <c r="A9" s="98" t="s">
        <v>893</v>
      </c>
      <c r="B9" s="99"/>
      <c r="E9" s="99"/>
      <c r="F9" s="59" t="s">
        <v>927</v>
      </c>
      <c r="G9" s="59">
        <v>3.9</v>
      </c>
      <c r="H9" s="59">
        <v>5.0999999999999996</v>
      </c>
      <c r="I9" s="59">
        <v>3.5</v>
      </c>
      <c r="J9" s="59">
        <v>3.3</v>
      </c>
      <c r="K9" s="59">
        <v>3</v>
      </c>
      <c r="L9" s="59">
        <v>3.2</v>
      </c>
      <c r="M9" s="59">
        <v>4.4000000000000004</v>
      </c>
      <c r="N9" s="59">
        <v>5.4</v>
      </c>
      <c r="O9" s="59">
        <v>9.9</v>
      </c>
      <c r="P9" s="14"/>
    </row>
    <row r="10" spans="1:16">
      <c r="A10" t="s">
        <v>894</v>
      </c>
      <c r="B10" t="s">
        <v>983</v>
      </c>
      <c r="E10" s="99"/>
      <c r="H10" s="14"/>
      <c r="I10" s="14"/>
      <c r="J10" s="14"/>
    </row>
    <row r="11" spans="1:16">
      <c r="A11" t="s">
        <v>895</v>
      </c>
      <c r="B11" t="s">
        <v>887</v>
      </c>
      <c r="E11" s="99"/>
    </row>
    <row r="12" spans="1:16">
      <c r="A12" t="s">
        <v>896</v>
      </c>
      <c r="E12" s="99"/>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1578</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1607</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444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tbl-0to17-asthma-ed-rate</v>
      </c>
    </row>
    <row r="4" spans="1:16">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1123</v>
      </c>
      <c r="G5" t="s">
        <v>220</v>
      </c>
      <c r="H5" t="s">
        <v>18</v>
      </c>
      <c r="I5" t="s">
        <v>537</v>
      </c>
      <c r="J5" t="s">
        <v>449</v>
      </c>
      <c r="K5" s="55" t="s">
        <v>409</v>
      </c>
      <c r="L5" s="55" t="s">
        <v>421</v>
      </c>
      <c r="M5" s="55" t="s">
        <v>470</v>
      </c>
      <c r="N5" s="55" t="s">
        <v>898</v>
      </c>
      <c r="O5" t="s">
        <v>915</v>
      </c>
      <c r="P5" t="s">
        <v>1616</v>
      </c>
    </row>
    <row r="6" spans="1:16" ht="15" customHeight="1">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c r="E7" s="99"/>
      <c r="F7" s="63">
        <v>2018</v>
      </c>
      <c r="G7" s="14">
        <v>70.8</v>
      </c>
      <c r="H7" s="14">
        <v>64.400000000000006</v>
      </c>
      <c r="I7" s="14">
        <v>54.1</v>
      </c>
      <c r="J7" s="14">
        <v>42.8</v>
      </c>
      <c r="K7" s="14">
        <v>87.8</v>
      </c>
      <c r="L7" s="14">
        <v>72.7</v>
      </c>
      <c r="M7" s="14">
        <v>87.1</v>
      </c>
      <c r="N7" s="14">
        <v>71.2</v>
      </c>
      <c r="O7" s="14">
        <v>124.1</v>
      </c>
      <c r="P7" s="14">
        <v>131.1</v>
      </c>
    </row>
    <row r="8" spans="1:16">
      <c r="E8" s="99"/>
      <c r="F8" s="63">
        <v>2019</v>
      </c>
      <c r="G8" s="14">
        <v>62.8</v>
      </c>
      <c r="H8" s="14">
        <v>64</v>
      </c>
      <c r="I8" s="14">
        <v>34.1</v>
      </c>
      <c r="J8" s="14">
        <v>33.9</v>
      </c>
      <c r="K8" s="14">
        <v>89.1</v>
      </c>
      <c r="L8" s="14">
        <v>60.7</v>
      </c>
      <c r="M8" s="14">
        <v>82.1</v>
      </c>
      <c r="N8" s="14">
        <v>65.099999999999994</v>
      </c>
      <c r="O8" s="14">
        <v>107.5</v>
      </c>
      <c r="P8" s="14">
        <v>131.1</v>
      </c>
    </row>
    <row r="9" spans="1:16">
      <c r="A9" s="98" t="s">
        <v>893</v>
      </c>
      <c r="B9" s="99"/>
      <c r="E9" s="99"/>
      <c r="F9" s="63">
        <v>2020</v>
      </c>
      <c r="G9" s="14">
        <v>27.7</v>
      </c>
      <c r="H9" s="14">
        <v>25</v>
      </c>
      <c r="I9" s="14">
        <v>11.2</v>
      </c>
      <c r="J9" s="14">
        <v>15.3</v>
      </c>
      <c r="K9" s="14">
        <v>30.1</v>
      </c>
      <c r="L9" s="14">
        <v>27.6</v>
      </c>
      <c r="M9" s="14">
        <v>26.8</v>
      </c>
      <c r="N9" s="14">
        <v>24.1</v>
      </c>
      <c r="O9" s="14">
        <v>39</v>
      </c>
      <c r="P9" s="14">
        <v>131.1</v>
      </c>
    </row>
    <row r="10" spans="1:16">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c r="A12" t="s">
        <v>896</v>
      </c>
      <c r="E12" s="99"/>
      <c r="F12" s="63">
        <v>2023</v>
      </c>
      <c r="G12" s="14">
        <v>61.9</v>
      </c>
      <c r="H12" s="14">
        <v>61.5</v>
      </c>
      <c r="I12" s="14">
        <v>39</v>
      </c>
      <c r="J12" s="14">
        <v>36.700000000000003</v>
      </c>
      <c r="K12" s="14">
        <v>102.2</v>
      </c>
      <c r="L12" s="14">
        <v>64.8</v>
      </c>
      <c r="M12" s="14">
        <v>73.8</v>
      </c>
      <c r="N12" s="14" t="s">
        <v>1618</v>
      </c>
      <c r="O12" s="14">
        <v>94.8</v>
      </c>
      <c r="P12" s="14">
        <v>131.1</v>
      </c>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1615</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1613</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447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tbl-adult-cardiovasdz-percent</v>
      </c>
    </row>
    <row r="4" spans="1:16">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1123</v>
      </c>
      <c r="G5" t="s">
        <v>220</v>
      </c>
      <c r="H5" t="s">
        <v>18</v>
      </c>
      <c r="I5" t="s">
        <v>537</v>
      </c>
      <c r="J5" t="s">
        <v>449</v>
      </c>
      <c r="K5" s="55" t="s">
        <v>409</v>
      </c>
      <c r="L5" s="55" t="s">
        <v>421</v>
      </c>
      <c r="M5" s="55" t="s">
        <v>470</v>
      </c>
      <c r="N5" s="55" t="s">
        <v>914</v>
      </c>
      <c r="O5" t="s">
        <v>915</v>
      </c>
    </row>
    <row r="6" spans="1:16" ht="15" customHeight="1">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c r="E7" s="99"/>
      <c r="F7" s="63">
        <v>2018</v>
      </c>
      <c r="G7" s="14">
        <v>7</v>
      </c>
      <c r="H7" s="14">
        <v>7.8</v>
      </c>
      <c r="I7" s="14">
        <v>4.5</v>
      </c>
      <c r="J7" s="14">
        <v>8</v>
      </c>
      <c r="K7" s="14">
        <v>8.6</v>
      </c>
      <c r="L7" s="14">
        <v>4.5</v>
      </c>
      <c r="M7" s="14">
        <v>5.4</v>
      </c>
      <c r="N7" s="14">
        <v>7.4</v>
      </c>
      <c r="O7" s="14">
        <v>7</v>
      </c>
      <c r="P7" s="14"/>
    </row>
    <row r="8" spans="1:16">
      <c r="E8" s="99"/>
      <c r="F8" s="63">
        <v>2021</v>
      </c>
      <c r="G8" s="14">
        <v>7.2</v>
      </c>
      <c r="H8" s="14">
        <v>6.6</v>
      </c>
      <c r="I8" s="14">
        <v>6.8</v>
      </c>
      <c r="J8" s="14">
        <v>5.7</v>
      </c>
      <c r="K8" s="14">
        <v>7.4</v>
      </c>
      <c r="L8" s="14">
        <v>6.7</v>
      </c>
      <c r="M8" s="14">
        <v>5.4</v>
      </c>
      <c r="N8" s="14">
        <v>6.7</v>
      </c>
      <c r="O8" s="14">
        <v>6.4</v>
      </c>
      <c r="P8" s="14"/>
    </row>
    <row r="9" spans="1:16">
      <c r="A9" s="98" t="s">
        <v>893</v>
      </c>
      <c r="B9" s="99"/>
      <c r="E9" s="99"/>
      <c r="F9" s="63"/>
      <c r="G9" s="14"/>
      <c r="H9" s="14"/>
      <c r="I9" s="14"/>
      <c r="J9" s="14"/>
      <c r="K9" s="14"/>
      <c r="L9" s="14"/>
      <c r="M9" s="14"/>
      <c r="N9" s="14"/>
      <c r="O9" s="14"/>
      <c r="P9" s="14"/>
    </row>
    <row r="10" spans="1:16">
      <c r="A10" t="s">
        <v>894</v>
      </c>
      <c r="B10" t="s">
        <v>1020</v>
      </c>
      <c r="E10" s="99"/>
      <c r="F10" s="63"/>
      <c r="G10" s="14"/>
      <c r="H10" s="14"/>
      <c r="I10" s="14"/>
      <c r="J10" s="14"/>
      <c r="K10" s="14"/>
      <c r="L10" s="14"/>
      <c r="M10" s="14"/>
      <c r="N10" s="14"/>
      <c r="O10" s="14"/>
      <c r="P10" s="14"/>
    </row>
    <row r="11" spans="1:16">
      <c r="A11" t="s">
        <v>895</v>
      </c>
      <c r="B11" t="s">
        <v>887</v>
      </c>
      <c r="E11" s="99"/>
      <c r="F11" s="63"/>
      <c r="G11" s="14"/>
      <c r="H11" s="14"/>
      <c r="I11" s="14"/>
      <c r="J11" s="14"/>
      <c r="K11" s="14"/>
      <c r="L11" s="14"/>
      <c r="M11" s="14"/>
      <c r="N11" s="14"/>
      <c r="O11" s="14"/>
      <c r="P11" s="14"/>
    </row>
    <row r="12" spans="1:16">
      <c r="A12" t="s">
        <v>896</v>
      </c>
      <c r="E12" s="99"/>
      <c r="F12" s="63"/>
      <c r="G12" s="14"/>
      <c r="H12" s="14"/>
      <c r="I12" s="14"/>
      <c r="J12" s="14"/>
      <c r="K12" s="14"/>
      <c r="L12" s="14"/>
      <c r="M12" s="14"/>
      <c r="N12" s="14"/>
      <c r="O12" s="14"/>
      <c r="P12" s="14"/>
    </row>
    <row r="13" spans="1:16">
      <c r="A13" t="s">
        <v>897</v>
      </c>
      <c r="E13" s="99"/>
    </row>
    <row r="14" spans="1:16">
      <c r="A14" t="s">
        <v>899</v>
      </c>
      <c r="B14" t="s">
        <v>694</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1624</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1623</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447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tbl-adult-cardiovasdz-percent</v>
      </c>
    </row>
    <row r="4" spans="1:16">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973</v>
      </c>
      <c r="G5" t="s">
        <v>220</v>
      </c>
      <c r="H5" t="s">
        <v>18</v>
      </c>
      <c r="I5" t="s">
        <v>537</v>
      </c>
      <c r="J5" t="s">
        <v>449</v>
      </c>
      <c r="K5" s="55" t="s">
        <v>409</v>
      </c>
      <c r="L5" s="55" t="s">
        <v>421</v>
      </c>
      <c r="M5" s="55" t="s">
        <v>470</v>
      </c>
      <c r="N5" s="55" t="s">
        <v>898</v>
      </c>
      <c r="O5" t="s">
        <v>915</v>
      </c>
    </row>
    <row r="6" spans="1:16" ht="15" customHeight="1">
      <c r="A6" t="s">
        <v>891</v>
      </c>
      <c r="B6" t="b">
        <v>0</v>
      </c>
      <c r="E6" s="99"/>
      <c r="F6" s="63" t="s">
        <v>1638</v>
      </c>
      <c r="G6" s="14">
        <v>102.3</v>
      </c>
      <c r="H6" s="14">
        <v>116.1</v>
      </c>
      <c r="I6" s="14">
        <v>76.900000000000006</v>
      </c>
      <c r="J6" s="14">
        <v>81.099999999999994</v>
      </c>
      <c r="K6" s="14">
        <v>129.9</v>
      </c>
      <c r="L6" s="14">
        <v>109.6</v>
      </c>
      <c r="M6" s="14">
        <v>90.9</v>
      </c>
      <c r="N6" s="14">
        <v>99.3</v>
      </c>
      <c r="O6" s="14">
        <v>111.2</v>
      </c>
      <c r="P6" s="14"/>
    </row>
    <row r="7" spans="1:16" ht="15.75" customHeight="1">
      <c r="E7" s="99"/>
      <c r="F7" s="63"/>
      <c r="G7" s="14"/>
      <c r="H7" s="14"/>
      <c r="I7" s="14"/>
      <c r="J7" s="14"/>
      <c r="K7" s="14"/>
      <c r="L7" s="14"/>
      <c r="M7" s="14"/>
      <c r="N7" s="14"/>
      <c r="O7" s="14"/>
      <c r="P7" s="14"/>
    </row>
    <row r="8" spans="1:16">
      <c r="E8" s="99"/>
      <c r="F8" s="63"/>
      <c r="G8" s="14"/>
      <c r="H8" s="14"/>
      <c r="I8" s="14"/>
      <c r="J8" s="14"/>
      <c r="K8" s="14"/>
      <c r="L8" s="14"/>
      <c r="M8" s="14"/>
      <c r="N8" s="14"/>
      <c r="O8" s="14"/>
      <c r="P8" s="14"/>
    </row>
    <row r="9" spans="1:16">
      <c r="A9" s="98" t="s">
        <v>893</v>
      </c>
      <c r="B9" s="99"/>
      <c r="E9" s="99"/>
      <c r="F9" s="63"/>
      <c r="G9" s="14"/>
      <c r="H9" s="14"/>
      <c r="I9" s="14"/>
      <c r="J9" s="14"/>
      <c r="K9" s="14"/>
      <c r="L9" s="14"/>
      <c r="M9" s="14"/>
      <c r="N9" s="14"/>
      <c r="O9" s="14"/>
      <c r="P9" s="14"/>
    </row>
    <row r="10" spans="1:16">
      <c r="A10" t="s">
        <v>894</v>
      </c>
      <c r="B10" t="s">
        <v>1002</v>
      </c>
      <c r="E10" s="99"/>
      <c r="F10" s="63"/>
      <c r="G10" s="14"/>
      <c r="H10" s="14"/>
      <c r="I10" s="14"/>
      <c r="J10" s="14"/>
      <c r="K10" s="14"/>
      <c r="L10" s="14"/>
      <c r="M10" s="14"/>
      <c r="N10" s="14"/>
      <c r="O10" s="14"/>
      <c r="P10" s="14"/>
    </row>
    <row r="11" spans="1:16">
      <c r="A11" t="s">
        <v>895</v>
      </c>
      <c r="B11" t="s">
        <v>887</v>
      </c>
      <c r="E11" s="99"/>
      <c r="F11" s="63"/>
      <c r="G11" s="14"/>
      <c r="H11" s="14"/>
      <c r="I11" s="14"/>
      <c r="J11" s="14"/>
      <c r="K11" s="14"/>
      <c r="L11" s="14"/>
      <c r="M11" s="14"/>
      <c r="N11" s="14"/>
      <c r="O11" s="14"/>
      <c r="P11" s="14"/>
    </row>
    <row r="12" spans="1:16">
      <c r="A12" t="s">
        <v>896</v>
      </c>
      <c r="E12" s="99"/>
      <c r="F12" s="63"/>
      <c r="G12" s="14"/>
      <c r="H12" s="14"/>
      <c r="I12" s="14"/>
      <c r="J12" s="14"/>
      <c r="K12" s="14"/>
      <c r="L12" s="14"/>
      <c r="M12" s="14"/>
      <c r="N12" s="14"/>
      <c r="O12" s="14"/>
      <c r="P12" s="14"/>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1640</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1639</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451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tbl-cardiovasdz-mortal-aar</v>
      </c>
    </row>
    <row r="4" spans="1:16">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c r="E7" s="99"/>
      <c r="F7" s="63">
        <v>2018</v>
      </c>
      <c r="G7" s="14">
        <v>202.5</v>
      </c>
      <c r="H7" s="14">
        <v>197.7</v>
      </c>
      <c r="I7" s="14">
        <v>188.1</v>
      </c>
      <c r="J7" s="14">
        <v>174.5</v>
      </c>
      <c r="K7" s="14">
        <v>206</v>
      </c>
      <c r="L7" s="14">
        <v>207</v>
      </c>
      <c r="M7" s="14">
        <v>175.9</v>
      </c>
      <c r="N7" s="14">
        <v>210.3</v>
      </c>
      <c r="O7" s="14">
        <v>211.1</v>
      </c>
      <c r="P7" s="14"/>
    </row>
    <row r="8" spans="1:16">
      <c r="E8" s="99"/>
      <c r="F8" s="63">
        <v>2019</v>
      </c>
      <c r="G8" s="14">
        <v>205.8</v>
      </c>
      <c r="H8" s="14">
        <v>201.8</v>
      </c>
      <c r="I8" s="14">
        <v>194.8</v>
      </c>
      <c r="J8" s="14">
        <v>180.6</v>
      </c>
      <c r="K8" s="14">
        <v>215.8</v>
      </c>
      <c r="L8" s="14">
        <v>208.5</v>
      </c>
      <c r="M8" s="14">
        <v>181.2</v>
      </c>
      <c r="N8" s="14">
        <v>205.5</v>
      </c>
      <c r="O8" s="14">
        <v>208.6</v>
      </c>
      <c r="P8" s="14"/>
    </row>
    <row r="9" spans="1:16">
      <c r="A9" s="98" t="s">
        <v>893</v>
      </c>
      <c r="B9" s="99"/>
      <c r="E9" s="99"/>
      <c r="F9" s="63">
        <v>2020</v>
      </c>
      <c r="G9" s="14">
        <v>213.6</v>
      </c>
      <c r="H9" s="14">
        <v>199.5</v>
      </c>
      <c r="I9" s="14">
        <v>184.2</v>
      </c>
      <c r="J9" s="14">
        <v>180.7</v>
      </c>
      <c r="K9" s="14">
        <v>226.6</v>
      </c>
      <c r="L9" s="14">
        <v>218.6</v>
      </c>
      <c r="M9" s="14">
        <v>178</v>
      </c>
      <c r="N9" s="14">
        <v>214.2</v>
      </c>
      <c r="O9" s="14">
        <v>230.8</v>
      </c>
      <c r="P9" s="14"/>
    </row>
    <row r="10" spans="1:16">
      <c r="A10" t="s">
        <v>894</v>
      </c>
      <c r="B10" t="s">
        <v>972</v>
      </c>
      <c r="E10" s="99"/>
      <c r="F10" s="63">
        <v>2021</v>
      </c>
      <c r="G10" s="14">
        <v>220.2</v>
      </c>
      <c r="H10" s="14">
        <v>198.4</v>
      </c>
      <c r="I10" s="14">
        <v>177.9</v>
      </c>
      <c r="J10" s="14">
        <v>176</v>
      </c>
      <c r="K10" s="14">
        <v>235.5</v>
      </c>
      <c r="L10" s="14">
        <v>224.5</v>
      </c>
      <c r="M10" s="14">
        <v>177.2</v>
      </c>
      <c r="N10" s="14">
        <v>211.1</v>
      </c>
      <c r="O10" s="14">
        <v>206.2</v>
      </c>
      <c r="P10" s="14"/>
    </row>
    <row r="11" spans="1:16">
      <c r="A11" t="s">
        <v>895</v>
      </c>
      <c r="B11" t="s">
        <v>973</v>
      </c>
      <c r="E11" s="99"/>
      <c r="F11" s="63"/>
      <c r="G11" s="14"/>
      <c r="H11" s="14"/>
      <c r="I11" s="14"/>
      <c r="J11" s="14"/>
      <c r="K11" s="14"/>
      <c r="L11" s="14"/>
      <c r="M11" s="14"/>
      <c r="N11" s="14"/>
      <c r="O11" s="14"/>
      <c r="P11" s="14"/>
    </row>
    <row r="12" spans="1:16">
      <c r="A12" t="s">
        <v>896</v>
      </c>
      <c r="E12" s="99"/>
      <c r="F12" s="63"/>
      <c r="G12" s="14"/>
      <c r="H12" s="14"/>
      <c r="I12" s="14"/>
      <c r="J12" s="14"/>
      <c r="K12" s="14"/>
      <c r="L12" s="14"/>
      <c r="M12" s="14"/>
      <c r="N12" s="14"/>
      <c r="O12" s="14"/>
      <c r="P12" s="14"/>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E19" s="99"/>
    </row>
    <row r="20" spans="1:12">
      <c r="A20" t="s">
        <v>904</v>
      </c>
      <c r="E20" s="99"/>
    </row>
    <row r="21" spans="1:12">
      <c r="A21" t="s">
        <v>905</v>
      </c>
      <c r="E21" s="99"/>
    </row>
    <row r="22" spans="1:12">
      <c r="A22" t="s">
        <v>906</v>
      </c>
      <c r="E22" s="99"/>
    </row>
    <row r="23" spans="1:12">
      <c r="A23" t="s">
        <v>907</v>
      </c>
      <c r="E23" s="99"/>
    </row>
    <row r="24" spans="1:12">
      <c r="A24" t="s">
        <v>908</v>
      </c>
      <c r="E24" s="99"/>
    </row>
    <row r="25" spans="1:12">
      <c r="A25" t="s">
        <v>909</v>
      </c>
      <c r="B25" t="s">
        <v>1641</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1644</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641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tbl-0to4-hosp-asthma-gastor-om-pnu-rate</v>
      </c>
    </row>
    <row r="4" spans="1:16">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c r="A5" s="98" t="s">
        <v>885</v>
      </c>
      <c r="B5" s="99"/>
      <c r="E5" s="100" t="s">
        <v>886</v>
      </c>
      <c r="F5" s="55"/>
      <c r="G5" s="55" t="s">
        <v>1651</v>
      </c>
      <c r="H5" s="55" t="s">
        <v>1652</v>
      </c>
      <c r="I5" s="55" t="s">
        <v>1653</v>
      </c>
      <c r="J5" s="55" t="s">
        <v>1654</v>
      </c>
      <c r="K5" s="55"/>
      <c r="L5" s="55"/>
      <c r="M5" s="55"/>
      <c r="N5" s="55"/>
      <c r="O5" s="55"/>
    </row>
    <row r="6" spans="1:16" ht="15" customHeight="1">
      <c r="A6" t="s">
        <v>891</v>
      </c>
      <c r="B6" t="b">
        <v>0</v>
      </c>
      <c r="E6" s="99"/>
      <c r="F6" s="51" t="s">
        <v>915</v>
      </c>
      <c r="G6" s="59">
        <v>24.9</v>
      </c>
      <c r="H6" s="59">
        <v>7.7</v>
      </c>
      <c r="I6" s="59">
        <v>1</v>
      </c>
      <c r="J6" s="59">
        <v>13.4</v>
      </c>
      <c r="K6" s="59"/>
      <c r="L6" s="59"/>
      <c r="M6" s="59"/>
      <c r="N6" s="59"/>
      <c r="O6" s="59"/>
      <c r="P6" s="14"/>
    </row>
    <row r="7" spans="1:16" ht="15.75" customHeight="1">
      <c r="E7" s="99"/>
      <c r="F7" s="51" t="s">
        <v>914</v>
      </c>
      <c r="G7" s="59">
        <v>17.2</v>
      </c>
      <c r="H7" s="59">
        <v>5.3</v>
      </c>
      <c r="I7" s="59">
        <v>0.8</v>
      </c>
      <c r="J7" s="59">
        <v>11.5</v>
      </c>
      <c r="K7" s="59"/>
      <c r="L7" s="59"/>
      <c r="M7" s="59"/>
      <c r="N7" s="59"/>
      <c r="O7" s="59"/>
      <c r="P7" s="14"/>
    </row>
    <row r="8" spans="1:16">
      <c r="E8" s="99"/>
      <c r="F8" s="51" t="s">
        <v>898</v>
      </c>
      <c r="G8" s="59">
        <v>18.8</v>
      </c>
      <c r="H8" s="59">
        <v>6.8</v>
      </c>
      <c r="I8" s="59">
        <v>1</v>
      </c>
      <c r="J8" s="59">
        <v>15.2</v>
      </c>
      <c r="K8" s="59"/>
      <c r="L8" s="59"/>
      <c r="M8" s="59"/>
      <c r="N8" s="59"/>
      <c r="O8" s="59"/>
      <c r="P8" s="14"/>
    </row>
    <row r="9" spans="1:16">
      <c r="A9" s="98" t="s">
        <v>893</v>
      </c>
      <c r="B9" s="99"/>
      <c r="E9" s="99"/>
      <c r="F9" s="59"/>
      <c r="G9" s="59"/>
      <c r="H9" s="59"/>
      <c r="I9" s="59"/>
      <c r="J9" s="59"/>
      <c r="K9" s="59"/>
      <c r="L9" s="59"/>
      <c r="M9" s="59"/>
      <c r="N9" s="59"/>
      <c r="O9" s="59"/>
      <c r="P9" s="14"/>
    </row>
    <row r="10" spans="1:16">
      <c r="A10" t="s">
        <v>894</v>
      </c>
      <c r="B10" t="s">
        <v>983</v>
      </c>
      <c r="E10" s="99"/>
      <c r="H10" s="14"/>
      <c r="I10" s="14"/>
      <c r="J10" s="14"/>
    </row>
    <row r="11" spans="1:16">
      <c r="A11" t="s">
        <v>895</v>
      </c>
      <c r="B11" t="s">
        <v>887</v>
      </c>
      <c r="E11" s="99"/>
    </row>
    <row r="12" spans="1:16">
      <c r="A12" t="s">
        <v>896</v>
      </c>
      <c r="B12" t="s">
        <v>1645</v>
      </c>
      <c r="E12" s="99"/>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B19" t="s">
        <v>1649</v>
      </c>
      <c r="E19" s="99"/>
    </row>
    <row r="20" spans="1:12">
      <c r="A20" t="s">
        <v>904</v>
      </c>
      <c r="B20" t="s">
        <v>1647</v>
      </c>
      <c r="E20" s="99"/>
    </row>
    <row r="21" spans="1:12">
      <c r="A21" t="s">
        <v>905</v>
      </c>
      <c r="B21" t="s">
        <v>1648</v>
      </c>
      <c r="E21" s="99"/>
    </row>
    <row r="22" spans="1:12">
      <c r="A22" t="s">
        <v>906</v>
      </c>
      <c r="E22" s="99"/>
    </row>
    <row r="23" spans="1:12">
      <c r="A23" t="s">
        <v>907</v>
      </c>
      <c r="B23" t="s">
        <v>976</v>
      </c>
      <c r="E23" s="99"/>
    </row>
    <row r="24" spans="1:12">
      <c r="A24" t="s">
        <v>908</v>
      </c>
      <c r="B24">
        <v>2025</v>
      </c>
      <c r="E24" s="99"/>
    </row>
    <row r="25" spans="1:12">
      <c r="A25" t="s">
        <v>909</v>
      </c>
      <c r="B25" t="s">
        <v>1650</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1646</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644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tbl-unint-injury-mortal-aar</v>
      </c>
    </row>
    <row r="4" spans="1:16">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c r="E7" s="99"/>
      <c r="F7" s="63">
        <v>2018</v>
      </c>
      <c r="G7" s="59">
        <v>49</v>
      </c>
      <c r="H7" s="59">
        <v>49</v>
      </c>
      <c r="I7" s="59">
        <v>38</v>
      </c>
      <c r="J7" s="59">
        <v>32</v>
      </c>
      <c r="K7" s="59">
        <v>75</v>
      </c>
      <c r="L7" s="59">
        <v>50</v>
      </c>
      <c r="M7" s="59">
        <v>27</v>
      </c>
      <c r="N7" s="59">
        <v>41</v>
      </c>
      <c r="O7" s="59">
        <v>34</v>
      </c>
      <c r="P7" s="14"/>
    </row>
    <row r="8" spans="1:16">
      <c r="E8" s="99"/>
      <c r="F8" s="63">
        <v>2019</v>
      </c>
      <c r="G8" s="59">
        <v>52</v>
      </c>
      <c r="H8" s="59">
        <v>49</v>
      </c>
      <c r="I8" s="59">
        <v>34</v>
      </c>
      <c r="J8" s="59">
        <v>36</v>
      </c>
      <c r="K8" s="59">
        <v>82</v>
      </c>
      <c r="L8" s="59">
        <v>57</v>
      </c>
      <c r="M8" s="59">
        <v>28</v>
      </c>
      <c r="N8" s="59">
        <v>40</v>
      </c>
      <c r="O8" s="59">
        <v>34</v>
      </c>
      <c r="P8" s="14"/>
    </row>
    <row r="9" spans="1:16">
      <c r="A9" s="98" t="s">
        <v>893</v>
      </c>
      <c r="B9" s="99"/>
      <c r="E9" s="99"/>
      <c r="F9" s="63">
        <v>2020</v>
      </c>
      <c r="G9" s="59">
        <v>52</v>
      </c>
      <c r="H9" s="59">
        <v>50</v>
      </c>
      <c r="I9" s="59">
        <v>36</v>
      </c>
      <c r="J9" s="59">
        <v>39</v>
      </c>
      <c r="K9" s="59">
        <v>85</v>
      </c>
      <c r="L9" s="59">
        <v>59</v>
      </c>
      <c r="M9" s="59">
        <v>30</v>
      </c>
      <c r="N9" s="59">
        <v>47</v>
      </c>
      <c r="O9" s="59">
        <v>41</v>
      </c>
      <c r="P9" s="14"/>
    </row>
    <row r="10" spans="1:16">
      <c r="A10" t="s">
        <v>894</v>
      </c>
      <c r="B10" t="s">
        <v>972</v>
      </c>
      <c r="E10" s="99"/>
      <c r="F10" s="63">
        <v>2021</v>
      </c>
      <c r="G10" s="59">
        <v>59</v>
      </c>
      <c r="H10" s="59">
        <v>56</v>
      </c>
      <c r="I10" s="59">
        <v>41</v>
      </c>
      <c r="J10" s="59">
        <v>38</v>
      </c>
      <c r="K10" s="59">
        <v>92</v>
      </c>
      <c r="L10" s="59">
        <v>64</v>
      </c>
      <c r="M10" s="59">
        <v>32</v>
      </c>
      <c r="N10" s="59">
        <v>52</v>
      </c>
      <c r="O10" s="59">
        <v>47</v>
      </c>
      <c r="P10" s="14"/>
    </row>
    <row r="11" spans="1:16">
      <c r="A11" t="s">
        <v>895</v>
      </c>
      <c r="B11" t="s">
        <v>973</v>
      </c>
      <c r="E11" s="99"/>
      <c r="F11" s="63"/>
      <c r="G11" s="14"/>
      <c r="H11" s="14"/>
      <c r="I11" s="14"/>
      <c r="J11" s="14"/>
      <c r="K11" s="14"/>
      <c r="L11" s="14"/>
      <c r="M11" s="14"/>
      <c r="N11" s="14"/>
      <c r="O11" s="14"/>
      <c r="P11" s="14"/>
    </row>
    <row r="12" spans="1:16">
      <c r="A12" t="s">
        <v>896</v>
      </c>
      <c r="B12" t="s">
        <v>715</v>
      </c>
      <c r="E12" s="99"/>
      <c r="F12" s="63"/>
      <c r="G12" s="14"/>
      <c r="H12" s="14"/>
      <c r="I12" s="14"/>
      <c r="J12" s="14"/>
      <c r="K12" s="14"/>
      <c r="L12" s="14"/>
      <c r="M12" s="14"/>
      <c r="N12" s="14"/>
      <c r="O12" s="14"/>
      <c r="P12" s="14"/>
    </row>
    <row r="13" spans="1:16">
      <c r="A13" t="s">
        <v>897</v>
      </c>
      <c r="E13" s="99"/>
    </row>
    <row r="14" spans="1:16">
      <c r="A14" t="s">
        <v>899</v>
      </c>
      <c r="B14" t="s">
        <v>715</v>
      </c>
      <c r="E14" s="99"/>
    </row>
    <row r="15" spans="1:16">
      <c r="A15" t="s">
        <v>901</v>
      </c>
      <c r="B15" t="b">
        <v>0</v>
      </c>
      <c r="E15" s="99"/>
    </row>
    <row r="16" spans="1:16">
      <c r="E16" s="99"/>
    </row>
    <row r="17" spans="1:12">
      <c r="E17" s="99"/>
    </row>
    <row r="18" spans="1:12">
      <c r="A18" s="98" t="s">
        <v>902</v>
      </c>
      <c r="B18" s="99"/>
      <c r="E18" s="99"/>
    </row>
    <row r="19" spans="1:12">
      <c r="A19" t="s">
        <v>903</v>
      </c>
      <c r="B19" t="s">
        <v>1649</v>
      </c>
      <c r="E19" s="99"/>
    </row>
    <row r="20" spans="1:12">
      <c r="A20" t="s">
        <v>904</v>
      </c>
      <c r="B20" t="s">
        <v>1647</v>
      </c>
      <c r="E20" s="99"/>
    </row>
    <row r="21" spans="1:12">
      <c r="A21" t="s">
        <v>905</v>
      </c>
      <c r="B21">
        <v>2021</v>
      </c>
      <c r="E21" s="99"/>
    </row>
    <row r="22" spans="1:12">
      <c r="A22" t="s">
        <v>906</v>
      </c>
      <c r="E22" s="99"/>
    </row>
    <row r="23" spans="1:12">
      <c r="A23" t="s">
        <v>907</v>
      </c>
      <c r="B23" t="s">
        <v>1121</v>
      </c>
      <c r="E23" s="99"/>
    </row>
    <row r="24" spans="1:12">
      <c r="A24" t="s">
        <v>908</v>
      </c>
      <c r="B24">
        <v>2025</v>
      </c>
      <c r="E24" s="99"/>
    </row>
    <row r="25" spans="1:12">
      <c r="A25" t="s">
        <v>909</v>
      </c>
      <c r="B25" t="s">
        <v>1657</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1658</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645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
      </c>
    </row>
    <row r="4" spans="1:16">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c r="A5" s="98" t="s">
        <v>885</v>
      </c>
      <c r="B5" s="99"/>
      <c r="E5" s="100" t="s">
        <v>886</v>
      </c>
      <c r="F5" s="55"/>
      <c r="G5" s="59" t="s">
        <v>220</v>
      </c>
      <c r="H5" s="59" t="s">
        <v>18</v>
      </c>
      <c r="I5" s="59" t="s">
        <v>537</v>
      </c>
      <c r="J5" s="59" t="s">
        <v>449</v>
      </c>
      <c r="K5" s="59" t="s">
        <v>409</v>
      </c>
      <c r="L5" s="59" t="s">
        <v>421</v>
      </c>
      <c r="M5" s="59" t="s">
        <v>470</v>
      </c>
      <c r="N5" s="55"/>
      <c r="O5" s="55"/>
    </row>
    <row r="6" spans="1:16" ht="15" customHeight="1">
      <c r="A6" t="s">
        <v>891</v>
      </c>
      <c r="B6" t="b">
        <v>0</v>
      </c>
      <c r="E6" s="99"/>
      <c r="F6" s="69">
        <v>2020</v>
      </c>
      <c r="G6" s="51">
        <v>541</v>
      </c>
      <c r="H6" s="51">
        <v>604</v>
      </c>
      <c r="I6" s="51">
        <v>237</v>
      </c>
      <c r="J6" s="51">
        <v>431</v>
      </c>
      <c r="K6" s="51">
        <v>583</v>
      </c>
      <c r="L6" s="51">
        <v>609</v>
      </c>
      <c r="M6" s="51">
        <v>497</v>
      </c>
      <c r="N6" s="59"/>
      <c r="O6" s="59"/>
      <c r="P6" s="14"/>
    </row>
    <row r="7" spans="1:16" ht="15.75" customHeight="1">
      <c r="E7" s="99"/>
      <c r="F7" s="69">
        <v>2021</v>
      </c>
      <c r="G7" s="51">
        <v>421</v>
      </c>
      <c r="H7" s="51">
        <v>593</v>
      </c>
      <c r="I7" s="51">
        <v>220</v>
      </c>
      <c r="J7" s="51">
        <v>456</v>
      </c>
      <c r="K7" s="51">
        <v>589</v>
      </c>
      <c r="L7" s="51">
        <v>494</v>
      </c>
      <c r="M7" s="51">
        <v>441</v>
      </c>
      <c r="N7" s="59"/>
      <c r="O7" s="59"/>
      <c r="P7" s="14"/>
    </row>
    <row r="8" spans="1:16">
      <c r="E8" s="99"/>
      <c r="F8" s="69">
        <v>2022</v>
      </c>
      <c r="G8" s="51">
        <v>436</v>
      </c>
      <c r="H8" s="51">
        <v>613</v>
      </c>
      <c r="I8" s="51">
        <v>222</v>
      </c>
      <c r="J8" s="51">
        <v>470</v>
      </c>
      <c r="K8" s="51">
        <v>542</v>
      </c>
      <c r="L8" s="51">
        <v>446</v>
      </c>
      <c r="M8" s="51">
        <v>408</v>
      </c>
      <c r="N8" s="59"/>
      <c r="O8" s="59"/>
      <c r="P8" s="14"/>
    </row>
    <row r="9" spans="1:16">
      <c r="A9" s="98" t="s">
        <v>893</v>
      </c>
      <c r="B9" s="99"/>
      <c r="E9" s="99"/>
      <c r="F9" s="69">
        <v>2023</v>
      </c>
      <c r="G9" s="51">
        <v>443</v>
      </c>
      <c r="H9" s="51">
        <v>573</v>
      </c>
      <c r="I9" s="51">
        <v>230</v>
      </c>
      <c r="J9" s="51">
        <v>399</v>
      </c>
      <c r="K9" s="51">
        <v>642</v>
      </c>
      <c r="L9" s="51">
        <v>444</v>
      </c>
      <c r="M9" s="51">
        <v>404</v>
      </c>
      <c r="N9" s="59"/>
      <c r="O9" s="59"/>
      <c r="P9" s="14"/>
    </row>
    <row r="10" spans="1:16">
      <c r="A10" t="s">
        <v>894</v>
      </c>
      <c r="B10" t="s">
        <v>983</v>
      </c>
      <c r="E10" s="99"/>
      <c r="F10" s="69">
        <v>2024</v>
      </c>
      <c r="G10" s="51">
        <v>464</v>
      </c>
      <c r="H10" s="51">
        <v>570</v>
      </c>
      <c r="I10" s="51">
        <v>226</v>
      </c>
      <c r="J10" s="51">
        <v>366</v>
      </c>
      <c r="K10" s="51">
        <v>636</v>
      </c>
      <c r="L10" s="51">
        <v>530</v>
      </c>
      <c r="M10" s="51">
        <v>388</v>
      </c>
    </row>
    <row r="11" spans="1:16">
      <c r="A11" t="s">
        <v>895</v>
      </c>
      <c r="B11" t="s">
        <v>887</v>
      </c>
      <c r="E11" s="99"/>
    </row>
    <row r="12" spans="1:16">
      <c r="A12" t="s">
        <v>896</v>
      </c>
      <c r="B12" t="s">
        <v>1645</v>
      </c>
      <c r="E12" s="99"/>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1713</v>
      </c>
      <c r="E19" s="99"/>
    </row>
    <row r="20" spans="1:12">
      <c r="A20" t="s">
        <v>904</v>
      </c>
      <c r="E20" s="99"/>
    </row>
    <row r="21" spans="1:12">
      <c r="A21" t="s">
        <v>905</v>
      </c>
      <c r="B21" t="s">
        <v>1714</v>
      </c>
      <c r="E21" s="99"/>
    </row>
    <row r="22" spans="1:12">
      <c r="A22" t="s">
        <v>906</v>
      </c>
      <c r="E22" s="99"/>
    </row>
    <row r="23" spans="1:12">
      <c r="A23" t="s">
        <v>907</v>
      </c>
      <c r="B23" t="s">
        <v>1121</v>
      </c>
      <c r="E23" s="99"/>
    </row>
    <row r="24" spans="1:12">
      <c r="A24" t="s">
        <v>908</v>
      </c>
      <c r="B24">
        <v>2025</v>
      </c>
      <c r="E24" s="99"/>
    </row>
    <row r="25" spans="1:12">
      <c r="A25" t="s">
        <v>909</v>
      </c>
      <c r="B25" t="s">
        <v>1715</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1712</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648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
      </c>
    </row>
    <row r="4" spans="1:16">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c r="A5" s="98" t="s">
        <v>885</v>
      </c>
      <c r="B5" s="99"/>
      <c r="E5" s="100" t="s">
        <v>886</v>
      </c>
      <c r="F5" s="55"/>
      <c r="G5" s="59" t="s">
        <v>220</v>
      </c>
      <c r="H5" s="59" t="s">
        <v>18</v>
      </c>
      <c r="I5" s="59" t="s">
        <v>537</v>
      </c>
      <c r="J5" s="59" t="s">
        <v>449</v>
      </c>
      <c r="K5" s="59" t="s">
        <v>409</v>
      </c>
      <c r="L5" s="59" t="s">
        <v>421</v>
      </c>
      <c r="M5" s="59" t="s">
        <v>470</v>
      </c>
      <c r="N5" s="55"/>
      <c r="O5" s="55"/>
    </row>
    <row r="6" spans="1:16" ht="15" customHeight="1">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c r="E7" s="99"/>
      <c r="F7" s="69">
        <v>2021</v>
      </c>
      <c r="G7" s="59">
        <v>30.9</v>
      </c>
      <c r="H7" s="59">
        <v>33.4</v>
      </c>
      <c r="I7" s="59">
        <v>26.4</v>
      </c>
      <c r="J7" s="59">
        <v>36.1</v>
      </c>
      <c r="K7" s="59">
        <v>30.4</v>
      </c>
      <c r="L7" s="59">
        <v>30.2</v>
      </c>
      <c r="M7" s="59">
        <v>34.200000000000003</v>
      </c>
      <c r="N7" s="59"/>
      <c r="O7" s="59"/>
      <c r="P7" s="14"/>
    </row>
    <row r="8" spans="1:16">
      <c r="E8" s="99"/>
      <c r="F8" s="69">
        <v>2022</v>
      </c>
      <c r="G8" s="59">
        <v>31.9</v>
      </c>
      <c r="H8" s="59">
        <v>35.799999999999997</v>
      </c>
      <c r="I8" s="59">
        <v>26.7</v>
      </c>
      <c r="J8" s="59">
        <v>36.799999999999997</v>
      </c>
      <c r="K8" s="59">
        <v>34</v>
      </c>
      <c r="L8" s="59">
        <v>30.3</v>
      </c>
      <c r="M8" s="59">
        <v>33.799999999999997</v>
      </c>
      <c r="N8" s="59"/>
      <c r="O8" s="59"/>
      <c r="P8" s="14"/>
    </row>
    <row r="9" spans="1:16">
      <c r="A9" s="98" t="s">
        <v>893</v>
      </c>
      <c r="B9" s="99"/>
      <c r="E9" s="99"/>
      <c r="F9" s="69">
        <v>2023</v>
      </c>
      <c r="G9" s="59">
        <v>32.6</v>
      </c>
      <c r="H9" s="59">
        <v>40.5</v>
      </c>
      <c r="I9" s="59">
        <v>26.7</v>
      </c>
      <c r="J9" s="59">
        <v>41.3</v>
      </c>
      <c r="K9" s="59">
        <v>32.700000000000003</v>
      </c>
      <c r="L9" s="59">
        <v>28.8</v>
      </c>
      <c r="M9" s="59">
        <v>33.799999999999997</v>
      </c>
      <c r="N9" s="59"/>
      <c r="O9" s="59"/>
      <c r="P9" s="14"/>
    </row>
    <row r="10" spans="1:16">
      <c r="A10" t="s">
        <v>894</v>
      </c>
      <c r="B10" t="s">
        <v>983</v>
      </c>
      <c r="E10" s="99"/>
      <c r="F10" s="69">
        <v>2024</v>
      </c>
      <c r="G10" s="59">
        <v>30.6</v>
      </c>
      <c r="H10" s="59">
        <v>38.5</v>
      </c>
      <c r="I10" s="59">
        <v>28.5</v>
      </c>
      <c r="J10" s="59">
        <v>38.4</v>
      </c>
      <c r="K10" s="59">
        <v>30.8</v>
      </c>
      <c r="L10" s="59">
        <v>29</v>
      </c>
      <c r="M10" s="59">
        <v>31.6</v>
      </c>
    </row>
    <row r="11" spans="1:16">
      <c r="A11" t="s">
        <v>895</v>
      </c>
      <c r="B11" t="s">
        <v>887</v>
      </c>
      <c r="E11" s="99"/>
    </row>
    <row r="12" spans="1:16">
      <c r="A12" t="s">
        <v>896</v>
      </c>
      <c r="B12" t="s">
        <v>1717</v>
      </c>
      <c r="E12" s="99"/>
    </row>
    <row r="13" spans="1:16">
      <c r="A13" t="s">
        <v>897</v>
      </c>
      <c r="E13" s="99"/>
    </row>
    <row r="14" spans="1:16">
      <c r="A14" t="s">
        <v>899</v>
      </c>
      <c r="B14" t="s">
        <v>1717</v>
      </c>
      <c r="E14" s="99"/>
    </row>
    <row r="15" spans="1:16">
      <c r="A15" t="s">
        <v>901</v>
      </c>
      <c r="B15" t="b">
        <v>1</v>
      </c>
      <c r="E15" s="99"/>
    </row>
    <row r="16" spans="1:16">
      <c r="E16" s="99"/>
    </row>
    <row r="17" spans="1:12">
      <c r="E17" s="99"/>
    </row>
    <row r="18" spans="1:12">
      <c r="A18" s="98" t="s">
        <v>902</v>
      </c>
      <c r="B18" s="99"/>
      <c r="E18" s="99"/>
    </row>
    <row r="19" spans="1:12">
      <c r="A19" t="s">
        <v>903</v>
      </c>
      <c r="B19" t="s">
        <v>1713</v>
      </c>
      <c r="E19" s="99"/>
    </row>
    <row r="20" spans="1:12">
      <c r="A20" t="s">
        <v>904</v>
      </c>
      <c r="E20" s="99"/>
    </row>
    <row r="21" spans="1:12">
      <c r="A21" t="s">
        <v>905</v>
      </c>
      <c r="B21" t="s">
        <v>1714</v>
      </c>
      <c r="E21" s="99"/>
    </row>
    <row r="22" spans="1:12">
      <c r="A22" t="s">
        <v>906</v>
      </c>
      <c r="E22" s="99"/>
    </row>
    <row r="23" spans="1:12">
      <c r="A23" t="s">
        <v>907</v>
      </c>
      <c r="B23" t="s">
        <v>1121</v>
      </c>
      <c r="E23" s="99"/>
    </row>
    <row r="24" spans="1:12">
      <c r="A24" t="s">
        <v>908</v>
      </c>
      <c r="B24">
        <v>2025</v>
      </c>
      <c r="E24" s="99"/>
    </row>
    <row r="25" spans="1:12">
      <c r="A25" t="s">
        <v>909</v>
      </c>
      <c r="B25" t="s">
        <v>1715</v>
      </c>
      <c r="E25" s="99"/>
      <c r="H25" s="52"/>
      <c r="I25" s="52"/>
    </row>
    <row r="26" spans="1:12">
      <c r="E26" s="99"/>
    </row>
    <row r="27" spans="1:12">
      <c r="A27" s="101" t="s">
        <v>910</v>
      </c>
      <c r="B27" s="99"/>
      <c r="E27" s="99"/>
    </row>
    <row r="28" spans="1:12">
      <c r="A28" s="115"/>
      <c r="B28" s="115"/>
      <c r="E28" s="99"/>
      <c r="H28" s="52"/>
      <c r="I28" s="52"/>
      <c r="J28" s="52"/>
      <c r="K28" s="52"/>
      <c r="L28" s="52"/>
    </row>
    <row r="29" spans="1:12">
      <c r="A29" s="117"/>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647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tbl-poison-control-cannabis</v>
      </c>
    </row>
    <row r="4" spans="1:16">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c r="A5" s="98" t="s">
        <v>885</v>
      </c>
      <c r="B5" s="99"/>
      <c r="E5" s="100" t="s">
        <v>886</v>
      </c>
      <c r="F5" s="55"/>
      <c r="G5" s="59" t="s">
        <v>220</v>
      </c>
      <c r="H5" s="59" t="s">
        <v>18</v>
      </c>
      <c r="I5" s="59" t="s">
        <v>537</v>
      </c>
      <c r="J5" s="59" t="s">
        <v>449</v>
      </c>
      <c r="K5" s="59" t="s">
        <v>409</v>
      </c>
      <c r="L5" s="59" t="s">
        <v>421</v>
      </c>
      <c r="M5" s="59" t="s">
        <v>470</v>
      </c>
      <c r="N5" s="55"/>
      <c r="O5" s="55"/>
    </row>
    <row r="6" spans="1:16" ht="15" customHeight="1">
      <c r="A6" t="s">
        <v>891</v>
      </c>
      <c r="B6" t="b">
        <v>0</v>
      </c>
      <c r="E6" s="99"/>
      <c r="F6" s="69">
        <v>2020</v>
      </c>
      <c r="G6" s="59">
        <v>1.4</v>
      </c>
      <c r="H6" s="59">
        <v>5.8</v>
      </c>
      <c r="I6" s="59">
        <v>2</v>
      </c>
      <c r="J6" s="59">
        <v>2.2000000000000002</v>
      </c>
      <c r="K6" s="51">
        <v>0</v>
      </c>
      <c r="L6" s="59">
        <v>1.7</v>
      </c>
      <c r="M6" s="59">
        <v>5.5</v>
      </c>
      <c r="N6" s="59"/>
      <c r="O6" s="59"/>
      <c r="P6" s="14"/>
    </row>
    <row r="7" spans="1:16" ht="15.75" customHeight="1">
      <c r="E7" s="99"/>
      <c r="F7" s="69">
        <v>2021</v>
      </c>
      <c r="G7" s="59">
        <v>3</v>
      </c>
      <c r="H7" s="59">
        <v>5.3</v>
      </c>
      <c r="I7" s="59">
        <v>2</v>
      </c>
      <c r="J7" s="59">
        <v>1.8</v>
      </c>
      <c r="K7" s="59">
        <v>10.199999999999999</v>
      </c>
      <c r="L7" s="59">
        <v>3.3</v>
      </c>
      <c r="M7" s="59">
        <v>7.1</v>
      </c>
      <c r="N7" s="59"/>
      <c r="O7" s="59"/>
      <c r="P7" s="14"/>
    </row>
    <row r="8" spans="1:16">
      <c r="E8" s="99"/>
      <c r="F8" s="69">
        <v>2022</v>
      </c>
      <c r="G8" s="59">
        <v>5.0999999999999996</v>
      </c>
      <c r="H8" s="59">
        <v>7.7</v>
      </c>
      <c r="I8" s="59">
        <v>3.1</v>
      </c>
      <c r="J8" s="59">
        <v>3.6</v>
      </c>
      <c r="K8" s="59">
        <v>7.6</v>
      </c>
      <c r="L8" s="59">
        <v>2.7</v>
      </c>
      <c r="M8" s="59">
        <v>6.4</v>
      </c>
      <c r="N8" s="59"/>
      <c r="O8" s="59"/>
      <c r="P8" s="14"/>
    </row>
    <row r="9" spans="1:16">
      <c r="A9" s="98" t="s">
        <v>893</v>
      </c>
      <c r="B9" s="99"/>
      <c r="E9" s="99"/>
      <c r="F9" s="69">
        <v>2023</v>
      </c>
      <c r="G9" s="59">
        <v>5</v>
      </c>
      <c r="H9" s="59">
        <v>5.7</v>
      </c>
      <c r="I9" s="59">
        <v>3.14</v>
      </c>
      <c r="J9" s="59">
        <v>2.4</v>
      </c>
      <c r="K9" s="59">
        <v>8.8000000000000007</v>
      </c>
      <c r="L9" s="59">
        <v>1.1000000000000001</v>
      </c>
      <c r="M9" s="59">
        <v>6.7</v>
      </c>
      <c r="N9" s="59"/>
      <c r="O9" s="59"/>
      <c r="P9" s="14"/>
    </row>
    <row r="10" spans="1:16">
      <c r="A10" t="s">
        <v>894</v>
      </c>
      <c r="B10" t="s">
        <v>983</v>
      </c>
      <c r="E10" s="99"/>
      <c r="F10" s="69">
        <v>2024</v>
      </c>
      <c r="G10" s="59">
        <v>5.7</v>
      </c>
      <c r="H10" s="59">
        <v>6.7</v>
      </c>
      <c r="I10" s="59">
        <v>2</v>
      </c>
      <c r="J10" s="59">
        <v>1.8</v>
      </c>
      <c r="K10" s="59">
        <v>8.8000000000000007</v>
      </c>
      <c r="L10" s="59">
        <v>3.3</v>
      </c>
      <c r="M10" s="59">
        <v>5.9</v>
      </c>
    </row>
    <row r="11" spans="1:16">
      <c r="A11" t="s">
        <v>895</v>
      </c>
      <c r="B11" t="s">
        <v>887</v>
      </c>
      <c r="E11" s="99"/>
    </row>
    <row r="12" spans="1:16">
      <c r="A12" t="s">
        <v>896</v>
      </c>
      <c r="B12" t="s">
        <v>1645</v>
      </c>
      <c r="E12" s="99"/>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1713</v>
      </c>
      <c r="E19" s="99"/>
    </row>
    <row r="20" spans="1:12">
      <c r="A20" t="s">
        <v>904</v>
      </c>
      <c r="E20" s="99"/>
    </row>
    <row r="21" spans="1:12">
      <c r="A21" t="s">
        <v>905</v>
      </c>
      <c r="B21" t="s">
        <v>1714</v>
      </c>
      <c r="E21" s="99"/>
    </row>
    <row r="22" spans="1:12">
      <c r="A22" t="s">
        <v>906</v>
      </c>
      <c r="E22" s="99"/>
    </row>
    <row r="23" spans="1:12">
      <c r="A23" t="s">
        <v>907</v>
      </c>
      <c r="B23" t="s">
        <v>1121</v>
      </c>
      <c r="E23" s="99"/>
    </row>
    <row r="24" spans="1:12">
      <c r="A24" t="s">
        <v>908</v>
      </c>
      <c r="B24">
        <v>2025</v>
      </c>
      <c r="E24" s="99"/>
    </row>
    <row r="25" spans="1:12">
      <c r="A25" t="s">
        <v>909</v>
      </c>
      <c r="B25" t="s">
        <v>1715</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1720</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651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tbl-mva-mortal-rate</v>
      </c>
    </row>
    <row r="4" spans="1:16">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c r="E7" s="99"/>
      <c r="F7" s="63">
        <v>2018</v>
      </c>
      <c r="G7" s="59">
        <v>8.1999999999999993</v>
      </c>
      <c r="H7" s="59">
        <v>9</v>
      </c>
      <c r="I7" s="59">
        <v>3.7</v>
      </c>
      <c r="J7" s="59">
        <v>4.7</v>
      </c>
      <c r="K7" s="59">
        <v>13.3</v>
      </c>
      <c r="L7" s="59">
        <v>8.4</v>
      </c>
      <c r="M7" s="59">
        <v>3.4</v>
      </c>
      <c r="N7" s="59">
        <v>7</v>
      </c>
      <c r="O7" s="59">
        <v>5.3</v>
      </c>
      <c r="P7" s="14"/>
    </row>
    <row r="8" spans="1:16">
      <c r="E8" s="99"/>
      <c r="F8" s="63">
        <v>2019</v>
      </c>
      <c r="G8" s="59">
        <v>9.1999999999999993</v>
      </c>
      <c r="H8" s="59">
        <v>7.9</v>
      </c>
      <c r="I8" s="59">
        <v>4.7</v>
      </c>
      <c r="J8" s="59">
        <v>4.5</v>
      </c>
      <c r="K8" s="59">
        <v>12.4</v>
      </c>
      <c r="L8" s="59">
        <v>9.5</v>
      </c>
      <c r="M8" s="59">
        <v>3.7</v>
      </c>
      <c r="N8" s="59">
        <v>7.1</v>
      </c>
      <c r="O8" s="59">
        <v>5.5</v>
      </c>
      <c r="P8" s="14"/>
    </row>
    <row r="9" spans="1:16">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c r="A10" t="s">
        <v>894</v>
      </c>
      <c r="B10" t="s">
        <v>972</v>
      </c>
      <c r="E10" s="99"/>
      <c r="F10" s="63">
        <v>2021</v>
      </c>
      <c r="G10" s="59">
        <v>9.9</v>
      </c>
      <c r="H10" s="59">
        <v>8.3000000000000007</v>
      </c>
      <c r="I10" s="59">
        <v>7.8</v>
      </c>
      <c r="J10" s="59">
        <v>5.7</v>
      </c>
      <c r="K10" s="59">
        <v>14.9</v>
      </c>
      <c r="L10" s="59">
        <v>10.7</v>
      </c>
      <c r="M10" s="59">
        <v>4.5</v>
      </c>
      <c r="N10" s="59">
        <v>8.5</v>
      </c>
      <c r="O10" s="59">
        <v>6.7</v>
      </c>
      <c r="P10" s="14"/>
    </row>
    <row r="11" spans="1:16">
      <c r="A11" t="s">
        <v>895</v>
      </c>
      <c r="B11" t="s">
        <v>973</v>
      </c>
      <c r="E11" s="99"/>
      <c r="F11" s="63"/>
      <c r="G11" s="14"/>
      <c r="H11" s="14"/>
      <c r="I11" s="14"/>
      <c r="J11" s="14"/>
      <c r="K11" s="14"/>
      <c r="L11" s="14"/>
      <c r="M11" s="14"/>
      <c r="N11" s="14"/>
      <c r="O11" s="14"/>
      <c r="P11" s="14"/>
    </row>
    <row r="12" spans="1:16">
      <c r="A12" t="s">
        <v>896</v>
      </c>
      <c r="B12" t="s">
        <v>715</v>
      </c>
      <c r="E12" s="99"/>
      <c r="F12" s="63"/>
      <c r="G12" s="14"/>
      <c r="H12" s="14"/>
      <c r="I12" s="14"/>
      <c r="J12" s="14"/>
      <c r="K12" s="14"/>
      <c r="L12" s="14"/>
      <c r="M12" s="14"/>
      <c r="N12" s="14"/>
      <c r="O12" s="14"/>
      <c r="P12" s="14"/>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1649</v>
      </c>
      <c r="E19" s="99"/>
    </row>
    <row r="20" spans="1:12">
      <c r="A20" t="s">
        <v>904</v>
      </c>
      <c r="B20" t="s">
        <v>1647</v>
      </c>
      <c r="E20" s="99"/>
    </row>
    <row r="21" spans="1:12">
      <c r="A21" t="s">
        <v>905</v>
      </c>
      <c r="B21" t="s">
        <v>1726</v>
      </c>
      <c r="E21" s="99"/>
    </row>
    <row r="22" spans="1:12">
      <c r="A22" t="s">
        <v>906</v>
      </c>
      <c r="E22" s="99"/>
    </row>
    <row r="23" spans="1:12">
      <c r="A23" t="s">
        <v>907</v>
      </c>
      <c r="B23" t="s">
        <v>1121</v>
      </c>
      <c r="E23" s="99"/>
    </row>
    <row r="24" spans="1:12">
      <c r="A24" t="s">
        <v>908</v>
      </c>
      <c r="B24">
        <v>2025</v>
      </c>
      <c r="E24" s="99"/>
    </row>
    <row r="25" spans="1:12">
      <c r="A25" t="s">
        <v>909</v>
      </c>
      <c r="B25" t="s">
        <v>1657</v>
      </c>
      <c r="E25" s="99"/>
      <c r="I25" s="52"/>
    </row>
    <row r="26" spans="1:12">
      <c r="E26" s="99"/>
    </row>
    <row r="27" spans="1:12">
      <c r="A27" s="101" t="s">
        <v>910</v>
      </c>
      <c r="B27" s="99"/>
      <c r="E27" s="99"/>
    </row>
    <row r="28" spans="1:12">
      <c r="A28" s="115"/>
      <c r="B28" s="115"/>
      <c r="E28" s="99"/>
      <c r="H28" s="52"/>
      <c r="I28" s="52"/>
      <c r="J28" s="52"/>
      <c r="K28" s="52"/>
      <c r="L28" s="52"/>
    </row>
    <row r="29" spans="1:12">
      <c r="A29" s="117" t="s">
        <v>1739</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650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tbl-mva-alcohol-injury-death-crude</v>
      </c>
    </row>
    <row r="4" spans="1:16">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c r="E7" s="99"/>
      <c r="F7" s="63">
        <v>2018</v>
      </c>
      <c r="G7" s="59">
        <v>35.200000000000003</v>
      </c>
      <c r="H7" s="59">
        <v>34.9</v>
      </c>
      <c r="I7" s="59">
        <v>44.2</v>
      </c>
      <c r="J7" s="59">
        <v>29.2</v>
      </c>
      <c r="K7" s="59">
        <v>50.1</v>
      </c>
      <c r="L7" s="59">
        <v>44.8</v>
      </c>
      <c r="M7" s="59">
        <v>28.9</v>
      </c>
      <c r="N7" s="59">
        <v>35.1</v>
      </c>
      <c r="O7" s="59">
        <v>28.8</v>
      </c>
      <c r="P7" s="14"/>
    </row>
    <row r="8" spans="1:16">
      <c r="E8" s="99"/>
      <c r="F8" s="63">
        <v>2019</v>
      </c>
      <c r="G8" s="59">
        <v>33.9</v>
      </c>
      <c r="H8" s="59">
        <v>34.200000000000003</v>
      </c>
      <c r="I8" s="59">
        <v>37.1</v>
      </c>
      <c r="J8" s="59">
        <v>29</v>
      </c>
      <c r="K8" s="59">
        <v>39.799999999999997</v>
      </c>
      <c r="L8" s="59">
        <v>43.1</v>
      </c>
      <c r="M8" s="59">
        <v>26.6</v>
      </c>
      <c r="N8" s="59">
        <v>33.5</v>
      </c>
      <c r="O8" s="59">
        <v>27.6</v>
      </c>
      <c r="P8" s="14"/>
    </row>
    <row r="9" spans="1:16">
      <c r="A9" s="98" t="s">
        <v>893</v>
      </c>
      <c r="B9" s="99"/>
      <c r="E9" s="99"/>
      <c r="F9" s="63">
        <v>2020</v>
      </c>
      <c r="G9" s="59">
        <v>32.5</v>
      </c>
      <c r="H9" s="59">
        <v>34.4</v>
      </c>
      <c r="I9" s="59">
        <v>33.1</v>
      </c>
      <c r="J9" s="59">
        <v>27.9</v>
      </c>
      <c r="K9" s="59">
        <v>31.2</v>
      </c>
      <c r="L9" s="59">
        <v>42</v>
      </c>
      <c r="M9" s="59">
        <v>24.1</v>
      </c>
      <c r="N9" s="59">
        <v>28.6</v>
      </c>
      <c r="O9" s="59">
        <v>23</v>
      </c>
      <c r="P9" s="14"/>
    </row>
    <row r="10" spans="1:16">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c r="A11" t="s">
        <v>895</v>
      </c>
      <c r="B11" t="s">
        <v>973</v>
      </c>
      <c r="E11" s="99"/>
      <c r="F11" s="63"/>
      <c r="G11" s="14"/>
      <c r="H11" s="14"/>
      <c r="I11" s="14"/>
      <c r="J11" s="14"/>
      <c r="K11" s="14"/>
      <c r="L11" s="14"/>
      <c r="M11" s="14"/>
      <c r="N11" s="14"/>
      <c r="O11" s="14"/>
      <c r="P11" s="14"/>
    </row>
    <row r="12" spans="1:16">
      <c r="A12" t="s">
        <v>896</v>
      </c>
      <c r="B12" t="s">
        <v>715</v>
      </c>
      <c r="E12" s="99"/>
      <c r="F12" s="63"/>
      <c r="G12" s="14"/>
      <c r="H12" s="14"/>
      <c r="I12" s="14"/>
      <c r="J12" s="14"/>
      <c r="K12" s="14"/>
      <c r="L12" s="14"/>
      <c r="M12" s="14"/>
      <c r="N12" s="14"/>
      <c r="O12" s="14"/>
      <c r="P12" s="14"/>
    </row>
    <row r="13" spans="1:16">
      <c r="A13" t="s">
        <v>897</v>
      </c>
      <c r="E13" s="99"/>
    </row>
    <row r="14" spans="1:16">
      <c r="A14" t="s">
        <v>899</v>
      </c>
      <c r="B14" t="s">
        <v>715</v>
      </c>
      <c r="E14" s="99"/>
    </row>
    <row r="15" spans="1:16">
      <c r="A15" t="s">
        <v>901</v>
      </c>
      <c r="B15" t="b">
        <v>0</v>
      </c>
      <c r="E15" s="99"/>
    </row>
    <row r="16" spans="1:16">
      <c r="E16" s="99"/>
    </row>
    <row r="17" spans="1:12">
      <c r="E17" s="99"/>
    </row>
    <row r="18" spans="1:12">
      <c r="A18" s="98" t="s">
        <v>902</v>
      </c>
      <c r="B18" s="99"/>
      <c r="E18" s="99"/>
    </row>
    <row r="19" spans="1:12">
      <c r="A19" t="s">
        <v>903</v>
      </c>
      <c r="B19" t="s">
        <v>1649</v>
      </c>
      <c r="E19" s="99"/>
    </row>
    <row r="20" spans="1:12">
      <c r="A20" t="s">
        <v>904</v>
      </c>
      <c r="B20" t="s">
        <v>1647</v>
      </c>
      <c r="E20" s="99"/>
    </row>
    <row r="21" spans="1:12">
      <c r="A21" t="s">
        <v>905</v>
      </c>
      <c r="B21" t="s">
        <v>1726</v>
      </c>
      <c r="E21" s="99"/>
    </row>
    <row r="22" spans="1:12">
      <c r="A22" t="s">
        <v>906</v>
      </c>
      <c r="E22" s="99"/>
    </row>
    <row r="23" spans="1:12">
      <c r="A23" t="s">
        <v>907</v>
      </c>
      <c r="B23" t="s">
        <v>1121</v>
      </c>
      <c r="E23" s="99"/>
    </row>
    <row r="24" spans="1:12">
      <c r="A24" t="s">
        <v>908</v>
      </c>
      <c r="B24">
        <v>2025</v>
      </c>
      <c r="E24" s="99"/>
    </row>
    <row r="25" spans="1:12">
      <c r="A25" t="s">
        <v>909</v>
      </c>
      <c r="B25" t="s">
        <v>1657</v>
      </c>
      <c r="E25" s="99"/>
      <c r="I25" s="52"/>
    </row>
    <row r="26" spans="1:12">
      <c r="E26" s="99"/>
    </row>
    <row r="27" spans="1:12">
      <c r="A27" s="101" t="s">
        <v>910</v>
      </c>
      <c r="B27" s="99"/>
      <c r="E27" s="99"/>
    </row>
    <row r="28" spans="1:12">
      <c r="A28" s="115"/>
      <c r="B28" s="115"/>
      <c r="E28" s="99"/>
      <c r="H28" s="52"/>
      <c r="I28" s="52"/>
      <c r="J28" s="52"/>
      <c r="K28" s="52"/>
      <c r="L28" s="52"/>
    </row>
    <row r="29" spans="1:12">
      <c r="A29" s="117" t="s">
        <v>1735</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3" max="13" width="12.140625" bestFit="1" customWidth="1"/>
    <col min="14" max="14" width="12.28515625" bestFit="1" customWidth="1"/>
    <col min="15" max="15" width="11" bestFit="1" customWidth="1"/>
  </cols>
  <sheetData>
    <row r="1" spans="1:16">
      <c r="A1" s="58" t="s">
        <v>882</v>
      </c>
      <c r="B1" s="114" t="s">
        <v>652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tbl-mva-mortal-rande-aar</v>
      </c>
    </row>
    <row r="4" spans="1:16">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c r="E7" s="99"/>
      <c r="F7" s="69" t="s">
        <v>929</v>
      </c>
      <c r="G7" s="59">
        <v>10.1</v>
      </c>
      <c r="H7" s="59">
        <v>5.8</v>
      </c>
      <c r="I7" s="59">
        <v>2</v>
      </c>
      <c r="J7" s="59">
        <v>2.2000000000000002</v>
      </c>
      <c r="K7" s="51">
        <v>0</v>
      </c>
      <c r="L7" s="59">
        <v>1.7</v>
      </c>
      <c r="M7" s="59">
        <v>5.5</v>
      </c>
      <c r="N7" s="59">
        <v>7.6</v>
      </c>
      <c r="O7" s="59">
        <v>6.3</v>
      </c>
      <c r="P7" s="14"/>
    </row>
    <row r="8" spans="1:16">
      <c r="E8" s="99"/>
      <c r="F8" s="69" t="s">
        <v>1571</v>
      </c>
      <c r="G8" s="59" t="s">
        <v>1752</v>
      </c>
      <c r="H8" s="59">
        <v>5.3</v>
      </c>
      <c r="I8" s="59">
        <v>2</v>
      </c>
      <c r="J8" s="59">
        <v>1.8</v>
      </c>
      <c r="K8" s="59">
        <v>10.199999999999999</v>
      </c>
      <c r="L8" s="59">
        <v>3.3</v>
      </c>
      <c r="M8" s="59">
        <v>7.1</v>
      </c>
      <c r="N8" s="59">
        <v>9.6999999999999993</v>
      </c>
      <c r="O8" s="59">
        <v>6.6</v>
      </c>
      <c r="P8" s="14"/>
    </row>
    <row r="9" spans="1:16">
      <c r="A9" s="98" t="s">
        <v>893</v>
      </c>
      <c r="B9" s="99"/>
      <c r="E9" s="99"/>
      <c r="F9" s="69" t="s">
        <v>1572</v>
      </c>
      <c r="G9" s="59" t="s">
        <v>1791</v>
      </c>
      <c r="H9" s="59">
        <v>7.7</v>
      </c>
      <c r="I9" s="59">
        <v>3.1</v>
      </c>
      <c r="J9" s="59">
        <v>3.6</v>
      </c>
      <c r="K9" s="59">
        <v>7.6</v>
      </c>
      <c r="L9" s="59">
        <v>2.7</v>
      </c>
      <c r="M9" s="59">
        <v>6.4</v>
      </c>
      <c r="N9" s="59">
        <v>3.4</v>
      </c>
      <c r="O9" s="59">
        <v>2.7</v>
      </c>
      <c r="P9" s="14"/>
    </row>
    <row r="10" spans="1:16">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c r="A11" t="s">
        <v>895</v>
      </c>
      <c r="B11" t="s">
        <v>1570</v>
      </c>
      <c r="E11" s="99"/>
      <c r="F11" s="69" t="s">
        <v>1256</v>
      </c>
      <c r="G11" s="59">
        <v>9.4</v>
      </c>
      <c r="H11" s="59">
        <v>6.7</v>
      </c>
      <c r="I11" s="59">
        <v>2</v>
      </c>
      <c r="J11" s="59">
        <v>1.8</v>
      </c>
      <c r="K11" s="59">
        <v>8.8000000000000007</v>
      </c>
      <c r="L11" s="59">
        <v>3.3</v>
      </c>
      <c r="M11" s="59">
        <v>5.9</v>
      </c>
      <c r="N11" s="59">
        <v>8</v>
      </c>
      <c r="O11" s="59">
        <v>6.2</v>
      </c>
    </row>
    <row r="12" spans="1:16">
      <c r="A12" t="s">
        <v>896</v>
      </c>
      <c r="B12" t="s">
        <v>715</v>
      </c>
      <c r="E12" s="99"/>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1746</v>
      </c>
      <c r="E19" s="99"/>
    </row>
    <row r="20" spans="1:12">
      <c r="A20" t="s">
        <v>904</v>
      </c>
      <c r="B20" t="s">
        <v>1750</v>
      </c>
      <c r="E20" s="99"/>
    </row>
    <row r="21" spans="1:12">
      <c r="A21" t="s">
        <v>905</v>
      </c>
      <c r="B21" t="s">
        <v>1648</v>
      </c>
      <c r="E21" s="99"/>
    </row>
    <row r="22" spans="1:12">
      <c r="A22" t="s">
        <v>906</v>
      </c>
      <c r="E22" s="99"/>
    </row>
    <row r="23" spans="1:12">
      <c r="A23" t="s">
        <v>907</v>
      </c>
      <c r="B23" t="s">
        <v>1121</v>
      </c>
      <c r="E23" s="99"/>
    </row>
    <row r="24" spans="1:12">
      <c r="A24" t="s">
        <v>908</v>
      </c>
      <c r="B24">
        <v>2025</v>
      </c>
      <c r="E24" s="99"/>
    </row>
    <row r="25" spans="1:12">
      <c r="A25" t="s">
        <v>909</v>
      </c>
      <c r="B25" t="s">
        <v>1749</v>
      </c>
      <c r="E25" s="99"/>
    </row>
    <row r="26" spans="1:12">
      <c r="E26" s="99"/>
      <c r="H26" s="52"/>
      <c r="I26" s="52"/>
    </row>
    <row r="27" spans="1:12">
      <c r="A27" s="101" t="s">
        <v>910</v>
      </c>
      <c r="B27" s="99"/>
      <c r="E27" s="99"/>
    </row>
    <row r="28" spans="1:12">
      <c r="A28" s="115"/>
      <c r="B28" s="115"/>
      <c r="E28" s="99"/>
    </row>
    <row r="29" spans="1:12">
      <c r="A29" s="117" t="s">
        <v>1748</v>
      </c>
      <c r="B29" s="117"/>
      <c r="C29" s="117"/>
      <c r="D29" s="117"/>
      <c r="E29" s="99"/>
      <c r="H29" s="52"/>
      <c r="I29" s="52"/>
      <c r="J29" s="52"/>
      <c r="K29" s="52"/>
      <c r="L29" s="52"/>
    </row>
    <row r="30" spans="1:12">
      <c r="A30" s="117"/>
      <c r="B30" s="117"/>
      <c r="C30" s="117"/>
      <c r="D30" s="117"/>
      <c r="E30" s="99"/>
    </row>
    <row r="31" spans="1:12">
      <c r="A31" s="117"/>
      <c r="B31" s="117"/>
      <c r="C31" s="117"/>
      <c r="D31" s="117"/>
      <c r="E31" s="99"/>
    </row>
    <row r="32" spans="1:12">
      <c r="A32" s="117"/>
      <c r="B32" s="117"/>
      <c r="C32" s="117"/>
      <c r="D32" s="117"/>
      <c r="E32" s="99"/>
      <c r="H32" s="52"/>
      <c r="I32" s="52"/>
      <c r="J32" s="52"/>
      <c r="K32" s="52"/>
      <c r="L32" s="52"/>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653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tbl-falls-hospital-aar</v>
      </c>
    </row>
    <row r="4" spans="1:16">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c r="E7" s="99"/>
      <c r="F7" s="63">
        <v>2018</v>
      </c>
      <c r="G7" s="59">
        <v>34.6</v>
      </c>
      <c r="H7" s="59">
        <v>39.799999999999997</v>
      </c>
      <c r="I7" s="59">
        <v>29.2</v>
      </c>
      <c r="J7" s="59">
        <v>30.9</v>
      </c>
      <c r="K7" s="59">
        <v>33.799999999999997</v>
      </c>
      <c r="L7" s="59">
        <v>39.6</v>
      </c>
      <c r="M7" s="59">
        <v>31.8</v>
      </c>
      <c r="N7" s="59">
        <v>37.6</v>
      </c>
      <c r="O7" s="59">
        <v>35.1</v>
      </c>
      <c r="P7" s="14"/>
    </row>
    <row r="8" spans="1:16">
      <c r="E8" s="99"/>
      <c r="F8" s="63">
        <v>2019</v>
      </c>
      <c r="G8" s="59">
        <v>35.1</v>
      </c>
      <c r="H8" s="59">
        <v>39.799999999999997</v>
      </c>
      <c r="I8" s="59">
        <v>29.3</v>
      </c>
      <c r="J8" s="59">
        <v>30.4</v>
      </c>
      <c r="K8" s="59">
        <v>35.299999999999997</v>
      </c>
      <c r="L8" s="59">
        <v>40</v>
      </c>
      <c r="M8" s="59">
        <v>33</v>
      </c>
      <c r="N8" s="59">
        <v>38</v>
      </c>
      <c r="O8" s="59">
        <v>36.4</v>
      </c>
      <c r="P8" s="14"/>
    </row>
    <row r="9" spans="1:16">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c r="A11" t="s">
        <v>895</v>
      </c>
      <c r="B11" t="s">
        <v>973</v>
      </c>
      <c r="E11" s="99"/>
      <c r="F11" s="63"/>
      <c r="G11" s="14"/>
      <c r="H11" s="14"/>
      <c r="I11" s="14"/>
      <c r="J11" s="14"/>
      <c r="K11" s="14"/>
      <c r="L11" s="14"/>
      <c r="M11" s="14"/>
      <c r="N11" s="14"/>
      <c r="O11" s="14"/>
      <c r="P11" s="14"/>
    </row>
    <row r="12" spans="1:16">
      <c r="A12" t="s">
        <v>896</v>
      </c>
      <c r="B12" t="s">
        <v>708</v>
      </c>
      <c r="E12" s="99"/>
      <c r="F12" s="63"/>
      <c r="G12" s="14"/>
      <c r="H12" s="14"/>
      <c r="I12" s="14"/>
      <c r="J12" s="14"/>
      <c r="K12" s="14"/>
      <c r="L12" s="14"/>
      <c r="M12" s="14"/>
      <c r="N12" s="14"/>
      <c r="O12" s="14"/>
      <c r="P12" s="14"/>
    </row>
    <row r="13" spans="1:16">
      <c r="A13" t="s">
        <v>897</v>
      </c>
      <c r="E13" s="99"/>
    </row>
    <row r="14" spans="1:16">
      <c r="A14" t="s">
        <v>899</v>
      </c>
      <c r="B14" t="s">
        <v>708</v>
      </c>
      <c r="E14" s="99"/>
    </row>
    <row r="15" spans="1:16">
      <c r="A15" t="s">
        <v>901</v>
      </c>
      <c r="B15" t="b">
        <v>0</v>
      </c>
      <c r="E15" s="99"/>
    </row>
    <row r="16" spans="1:16">
      <c r="E16" s="99"/>
    </row>
    <row r="17" spans="1:12">
      <c r="E17" s="99"/>
    </row>
    <row r="18" spans="1:12">
      <c r="A18" s="98" t="s">
        <v>902</v>
      </c>
      <c r="B18" s="99"/>
      <c r="E18" s="99"/>
    </row>
    <row r="19" spans="1:12">
      <c r="A19" t="s">
        <v>903</v>
      </c>
      <c r="B19" t="s">
        <v>1649</v>
      </c>
      <c r="E19" s="99"/>
    </row>
    <row r="20" spans="1:12">
      <c r="A20" t="s">
        <v>904</v>
      </c>
      <c r="B20" t="s">
        <v>1750</v>
      </c>
      <c r="E20" s="99"/>
    </row>
    <row r="21" spans="1:12">
      <c r="A21" t="s">
        <v>905</v>
      </c>
      <c r="B21" t="s">
        <v>1726</v>
      </c>
      <c r="E21" s="99"/>
    </row>
    <row r="22" spans="1:12">
      <c r="A22" t="s">
        <v>906</v>
      </c>
      <c r="E22" s="99"/>
    </row>
    <row r="23" spans="1:12">
      <c r="A23" t="s">
        <v>907</v>
      </c>
      <c r="B23" t="s">
        <v>1121</v>
      </c>
      <c r="E23" s="99"/>
    </row>
    <row r="24" spans="1:12">
      <c r="A24" t="s">
        <v>908</v>
      </c>
      <c r="B24">
        <v>2025</v>
      </c>
      <c r="E24" s="99"/>
    </row>
    <row r="25" spans="1:12" ht="255">
      <c r="A25" t="s">
        <v>909</v>
      </c>
      <c r="B25" s="50" t="s">
        <v>1792</v>
      </c>
      <c r="E25" s="99"/>
      <c r="I25" s="52"/>
    </row>
    <row r="26" spans="1:12">
      <c r="E26" s="99"/>
    </row>
    <row r="27" spans="1:12">
      <c r="A27" s="101" t="s">
        <v>910</v>
      </c>
      <c r="B27" s="99"/>
      <c r="E27" s="99"/>
    </row>
    <row r="28" spans="1:12">
      <c r="A28" s="115"/>
      <c r="B28" s="115"/>
      <c r="E28" s="99"/>
      <c r="H28" s="52"/>
      <c r="I28" s="52"/>
      <c r="J28" s="52"/>
      <c r="K28" s="52"/>
      <c r="L28" s="52"/>
    </row>
    <row r="29" spans="1:12">
      <c r="A29" s="117" t="s">
        <v>1793</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654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tbl-85+-falls-hospital</v>
      </c>
    </row>
    <row r="4" spans="1:16">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1643</v>
      </c>
      <c r="O5" s="101"/>
    </row>
    <row r="6" spans="1:16" ht="15" customHeight="1">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c r="E7" s="99"/>
      <c r="F7" s="63">
        <v>2018</v>
      </c>
      <c r="G7" s="59">
        <v>575</v>
      </c>
      <c r="H7" s="59">
        <v>690</v>
      </c>
      <c r="I7" s="59">
        <v>618</v>
      </c>
      <c r="J7" s="59">
        <v>523</v>
      </c>
      <c r="K7" s="59">
        <v>545</v>
      </c>
      <c r="L7" s="59">
        <v>682</v>
      </c>
      <c r="M7" s="59">
        <v>577</v>
      </c>
      <c r="N7" s="59">
        <v>650</v>
      </c>
      <c r="O7" s="59">
        <v>572</v>
      </c>
      <c r="P7" s="14"/>
    </row>
    <row r="8" spans="1:16">
      <c r="E8" s="99"/>
      <c r="F8" s="63">
        <v>2019</v>
      </c>
      <c r="G8" s="59">
        <v>582</v>
      </c>
      <c r="H8" s="59">
        <v>707</v>
      </c>
      <c r="I8" s="59">
        <v>606</v>
      </c>
      <c r="J8" s="59">
        <v>494</v>
      </c>
      <c r="K8" s="59">
        <v>550</v>
      </c>
      <c r="L8" s="59">
        <v>691</v>
      </c>
      <c r="M8" s="59">
        <v>595</v>
      </c>
      <c r="N8" s="59">
        <v>644</v>
      </c>
      <c r="O8" s="59">
        <v>581</v>
      </c>
      <c r="P8" s="14"/>
    </row>
    <row r="9" spans="1:16">
      <c r="A9" s="98" t="s">
        <v>893</v>
      </c>
      <c r="B9" s="99"/>
      <c r="E9" s="99"/>
      <c r="F9" s="63">
        <v>2020</v>
      </c>
      <c r="G9" s="59">
        <v>610</v>
      </c>
      <c r="H9" s="59">
        <v>690</v>
      </c>
      <c r="I9" s="59">
        <v>583</v>
      </c>
      <c r="J9" s="59">
        <v>495</v>
      </c>
      <c r="K9" s="59">
        <v>558</v>
      </c>
      <c r="L9" s="59">
        <v>688</v>
      </c>
      <c r="M9" s="59">
        <v>610</v>
      </c>
      <c r="N9" s="59">
        <v>577</v>
      </c>
      <c r="O9" s="59">
        <v>515</v>
      </c>
      <c r="P9" s="14"/>
    </row>
    <row r="10" spans="1:16">
      <c r="A10" t="s">
        <v>894</v>
      </c>
      <c r="B10" t="s">
        <v>972</v>
      </c>
      <c r="E10" s="99"/>
      <c r="F10" s="63">
        <v>2021</v>
      </c>
      <c r="G10" s="59">
        <v>645</v>
      </c>
      <c r="H10" s="59">
        <v>695</v>
      </c>
      <c r="I10" s="59">
        <v>540</v>
      </c>
      <c r="J10" s="59">
        <v>520</v>
      </c>
      <c r="K10" s="59">
        <v>647</v>
      </c>
      <c r="L10" s="59">
        <v>680</v>
      </c>
      <c r="M10" s="59">
        <v>597</v>
      </c>
      <c r="N10" s="59">
        <v>679</v>
      </c>
      <c r="O10" s="59">
        <v>597</v>
      </c>
      <c r="P10" s="14"/>
    </row>
    <row r="11" spans="1:16">
      <c r="A11" t="s">
        <v>895</v>
      </c>
      <c r="B11" t="s">
        <v>973</v>
      </c>
      <c r="E11" s="99"/>
      <c r="F11" s="63"/>
      <c r="G11" s="14"/>
      <c r="H11" s="14"/>
      <c r="I11" s="14"/>
      <c r="J11" s="14"/>
      <c r="K11" s="14"/>
      <c r="L11" s="14"/>
      <c r="M11" s="14"/>
      <c r="N11" s="14"/>
      <c r="O11" s="14"/>
      <c r="P11" s="14"/>
    </row>
    <row r="12" spans="1:16">
      <c r="A12" t="s">
        <v>896</v>
      </c>
      <c r="B12" t="s">
        <v>708</v>
      </c>
      <c r="E12" s="99"/>
      <c r="F12" s="63"/>
      <c r="G12" s="14"/>
      <c r="H12" s="14"/>
      <c r="I12" s="14"/>
      <c r="J12" s="14"/>
      <c r="K12" s="14"/>
      <c r="L12" s="14"/>
      <c r="M12" s="14"/>
      <c r="N12" s="14"/>
      <c r="O12" s="14"/>
      <c r="P12" s="14"/>
    </row>
    <row r="13" spans="1:16">
      <c r="A13" t="s">
        <v>897</v>
      </c>
      <c r="E13" s="99"/>
    </row>
    <row r="14" spans="1:16">
      <c r="A14" t="s">
        <v>899</v>
      </c>
      <c r="B14" t="s">
        <v>708</v>
      </c>
      <c r="E14" s="99"/>
    </row>
    <row r="15" spans="1:16">
      <c r="A15" t="s">
        <v>901</v>
      </c>
      <c r="B15" t="b">
        <v>0</v>
      </c>
      <c r="E15" s="99"/>
    </row>
    <row r="16" spans="1:16">
      <c r="E16" s="99"/>
    </row>
    <row r="17" spans="1:12">
      <c r="E17" s="99"/>
    </row>
    <row r="18" spans="1:12">
      <c r="A18" s="98" t="s">
        <v>902</v>
      </c>
      <c r="B18" s="99"/>
      <c r="E18" s="99"/>
    </row>
    <row r="19" spans="1:12">
      <c r="A19" t="s">
        <v>903</v>
      </c>
      <c r="B19" t="s">
        <v>1649</v>
      </c>
      <c r="E19" s="99"/>
    </row>
    <row r="20" spans="1:12">
      <c r="A20" t="s">
        <v>904</v>
      </c>
      <c r="B20" t="s">
        <v>1750</v>
      </c>
      <c r="E20" s="99"/>
    </row>
    <row r="21" spans="1:12">
      <c r="A21" t="s">
        <v>905</v>
      </c>
      <c r="B21" t="s">
        <v>1726</v>
      </c>
      <c r="E21" s="99"/>
    </row>
    <row r="22" spans="1:12">
      <c r="A22" t="s">
        <v>906</v>
      </c>
      <c r="E22" s="99"/>
    </row>
    <row r="23" spans="1:12">
      <c r="A23" t="s">
        <v>907</v>
      </c>
      <c r="B23" t="s">
        <v>1121</v>
      </c>
      <c r="E23" s="99"/>
    </row>
    <row r="24" spans="1:12">
      <c r="A24" t="s">
        <v>908</v>
      </c>
      <c r="B24">
        <v>2025</v>
      </c>
      <c r="E24" s="99"/>
    </row>
    <row r="25" spans="1:12">
      <c r="A25" t="s">
        <v>909</v>
      </c>
      <c r="B25" t="s">
        <v>1794</v>
      </c>
      <c r="E25" s="99"/>
      <c r="I25" s="52"/>
    </row>
    <row r="26" spans="1:12">
      <c r="E26" s="99"/>
    </row>
    <row r="27" spans="1:12">
      <c r="A27" s="101" t="s">
        <v>910</v>
      </c>
      <c r="B27" s="99"/>
      <c r="E27" s="99"/>
    </row>
    <row r="28" spans="1:12">
      <c r="A28" s="115"/>
      <c r="B28" s="115"/>
      <c r="E28" s="99"/>
      <c r="H28" s="52"/>
      <c r="I28" s="52"/>
      <c r="J28" s="52"/>
      <c r="K28" s="52"/>
      <c r="L28" s="52"/>
    </row>
    <row r="29" spans="1:12">
      <c r="A29" s="117" t="s">
        <v>1795</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656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tbl-65+-falls-hospital-rande-rate</v>
      </c>
    </row>
    <row r="4" spans="1:16">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c r="E7" s="99"/>
      <c r="F7" s="69" t="s">
        <v>929</v>
      </c>
      <c r="G7" s="59">
        <v>205.3</v>
      </c>
      <c r="H7" s="59">
        <v>22.8</v>
      </c>
      <c r="I7" s="59">
        <v>156</v>
      </c>
      <c r="J7" s="59">
        <v>191.7</v>
      </c>
      <c r="K7" s="59">
        <v>192.9</v>
      </c>
      <c r="L7" s="59">
        <v>210.6</v>
      </c>
      <c r="M7" s="59">
        <v>181.9</v>
      </c>
      <c r="N7" s="59">
        <v>202.9</v>
      </c>
      <c r="O7" s="59">
        <v>197.5</v>
      </c>
      <c r="P7" s="14"/>
    </row>
    <row r="8" spans="1:16">
      <c r="E8" s="99"/>
      <c r="F8" s="69" t="s">
        <v>1571</v>
      </c>
      <c r="G8" s="59">
        <v>48.3</v>
      </c>
      <c r="H8" s="59">
        <v>112.7</v>
      </c>
      <c r="I8" s="59" t="s">
        <v>754</v>
      </c>
      <c r="J8" s="59">
        <v>71.099999999999994</v>
      </c>
      <c r="K8" s="59">
        <v>134.69999999999999</v>
      </c>
      <c r="L8" s="59">
        <v>129.9</v>
      </c>
      <c r="M8" s="59">
        <v>100.8</v>
      </c>
      <c r="N8" s="59">
        <v>114.7</v>
      </c>
      <c r="O8" s="59">
        <v>103.7</v>
      </c>
      <c r="P8" s="14"/>
    </row>
    <row r="9" spans="1:16">
      <c r="A9" s="98" t="s">
        <v>893</v>
      </c>
      <c r="B9" s="99"/>
      <c r="E9" s="99"/>
      <c r="F9" s="69" t="s">
        <v>1572</v>
      </c>
      <c r="G9" s="59">
        <v>48.6</v>
      </c>
      <c r="H9" s="59">
        <v>78.099999999999994</v>
      </c>
      <c r="I9" s="59" t="s">
        <v>1800</v>
      </c>
      <c r="J9" s="59">
        <v>46.3</v>
      </c>
      <c r="K9" s="59" t="s">
        <v>754</v>
      </c>
      <c r="L9" s="59" t="s">
        <v>1801</v>
      </c>
      <c r="M9" s="59">
        <v>55</v>
      </c>
      <c r="N9" s="59">
        <v>76.400000000000006</v>
      </c>
      <c r="O9" s="59">
        <v>83.4</v>
      </c>
      <c r="P9" s="14"/>
    </row>
    <row r="10" spans="1:16">
      <c r="A10" t="s">
        <v>894</v>
      </c>
      <c r="B10" t="s">
        <v>983</v>
      </c>
      <c r="E10" s="99"/>
      <c r="F10" s="53" t="s">
        <v>927</v>
      </c>
      <c r="G10" s="59">
        <v>82.6</v>
      </c>
      <c r="H10" s="59">
        <v>106.8</v>
      </c>
      <c r="I10" s="59">
        <v>54.2</v>
      </c>
      <c r="J10" s="59">
        <v>93.3</v>
      </c>
      <c r="K10" s="59">
        <v>97.6</v>
      </c>
      <c r="L10" s="59">
        <v>88.1</v>
      </c>
      <c r="M10" s="59">
        <v>73.5</v>
      </c>
      <c r="N10" s="59">
        <v>106.5</v>
      </c>
      <c r="O10" s="59">
        <v>120.5</v>
      </c>
    </row>
    <row r="11" spans="1:16">
      <c r="A11" t="s">
        <v>895</v>
      </c>
      <c r="B11" t="s">
        <v>1570</v>
      </c>
      <c r="E11" s="99"/>
      <c r="F11" s="69" t="s">
        <v>1256</v>
      </c>
      <c r="G11" s="59">
        <v>205.8</v>
      </c>
      <c r="H11" s="59">
        <v>212.8</v>
      </c>
      <c r="I11" s="59">
        <v>155.9</v>
      </c>
      <c r="J11" s="59">
        <v>171.6</v>
      </c>
      <c r="K11" s="59">
        <v>188.1</v>
      </c>
      <c r="L11" s="59">
        <v>210.9</v>
      </c>
      <c r="M11" s="59">
        <v>196</v>
      </c>
      <c r="N11" s="59">
        <v>203.2</v>
      </c>
      <c r="O11" s="59">
        <v>188.7</v>
      </c>
    </row>
    <row r="12" spans="1:16">
      <c r="A12" t="s">
        <v>896</v>
      </c>
      <c r="B12" t="s">
        <v>708</v>
      </c>
      <c r="E12" s="99"/>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B19" t="s">
        <v>1746</v>
      </c>
      <c r="E19" s="99"/>
    </row>
    <row r="20" spans="1:12">
      <c r="A20" t="s">
        <v>904</v>
      </c>
      <c r="B20" t="s">
        <v>1750</v>
      </c>
      <c r="E20" s="99"/>
    </row>
    <row r="21" spans="1:12">
      <c r="A21" t="s">
        <v>905</v>
      </c>
      <c r="B21" t="s">
        <v>1648</v>
      </c>
      <c r="E21" s="99"/>
    </row>
    <row r="22" spans="1:12">
      <c r="A22" t="s">
        <v>906</v>
      </c>
      <c r="E22" s="99"/>
    </row>
    <row r="23" spans="1:12">
      <c r="A23" t="s">
        <v>907</v>
      </c>
      <c r="B23" t="s">
        <v>1121</v>
      </c>
      <c r="E23" s="99"/>
    </row>
    <row r="24" spans="1:12">
      <c r="A24" t="s">
        <v>908</v>
      </c>
      <c r="B24">
        <v>2025</v>
      </c>
      <c r="E24" s="99"/>
    </row>
    <row r="25" spans="1:12">
      <c r="A25" t="s">
        <v>909</v>
      </c>
      <c r="B25" t="s">
        <v>1797</v>
      </c>
      <c r="E25" s="99"/>
    </row>
    <row r="26" spans="1:12">
      <c r="E26" s="99"/>
      <c r="H26" s="52"/>
      <c r="I26" s="52"/>
    </row>
    <row r="27" spans="1:12">
      <c r="A27" s="101" t="s">
        <v>910</v>
      </c>
      <c r="B27" s="99"/>
      <c r="E27" s="99"/>
    </row>
    <row r="28" spans="1:12">
      <c r="A28" s="115"/>
      <c r="B28" s="115"/>
      <c r="E28" s="99"/>
    </row>
    <row r="29" spans="1:12">
      <c r="A29" s="117" t="s">
        <v>1796</v>
      </c>
      <c r="B29" s="117"/>
      <c r="C29" s="117"/>
      <c r="D29" s="117"/>
      <c r="E29" s="99"/>
      <c r="H29" s="52"/>
      <c r="I29" s="52"/>
      <c r="J29" s="52"/>
      <c r="K29" s="52"/>
      <c r="L29" s="52"/>
    </row>
    <row r="30" spans="1:12">
      <c r="A30" s="117"/>
      <c r="B30" s="117"/>
      <c r="C30" s="117"/>
      <c r="D30" s="117"/>
      <c r="E30" s="99"/>
    </row>
    <row r="31" spans="1:12">
      <c r="A31" s="117"/>
      <c r="B31" s="117"/>
      <c r="C31" s="117"/>
      <c r="D31" s="117"/>
      <c r="E31" s="99"/>
    </row>
    <row r="32" spans="1:12">
      <c r="A32" s="117"/>
      <c r="B32" s="117"/>
      <c r="C32" s="117"/>
      <c r="D32" s="117"/>
      <c r="E32" s="99"/>
      <c r="H32" s="52"/>
      <c r="I32" s="52"/>
      <c r="J32" s="52"/>
      <c r="K32" s="52"/>
      <c r="L32" s="52"/>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660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tbl-mortal-homicide-aar</v>
      </c>
    </row>
    <row r="4" spans="1:16">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c r="E7" s="99"/>
      <c r="F7" s="69">
        <v>2018</v>
      </c>
      <c r="G7" s="59">
        <v>1.9</v>
      </c>
      <c r="H7" s="59">
        <v>2.5</v>
      </c>
      <c r="I7" s="59" t="s">
        <v>1804</v>
      </c>
      <c r="J7" s="59">
        <v>1.7</v>
      </c>
      <c r="K7" s="59" t="s">
        <v>1807</v>
      </c>
      <c r="L7" s="59" t="s">
        <v>1809</v>
      </c>
      <c r="M7" s="59">
        <v>2.4</v>
      </c>
      <c r="N7" s="59">
        <v>2.9</v>
      </c>
      <c r="O7" s="59">
        <v>3.2</v>
      </c>
      <c r="P7" s="14"/>
    </row>
    <row r="8" spans="1:16">
      <c r="E8" s="99"/>
      <c r="F8" s="69">
        <v>2019</v>
      </c>
      <c r="G8" s="59">
        <v>2.4</v>
      </c>
      <c r="H8" s="59">
        <v>2.7</v>
      </c>
      <c r="I8" s="59" t="s">
        <v>1805</v>
      </c>
      <c r="J8" s="59">
        <v>2.4</v>
      </c>
      <c r="K8" s="59" t="s">
        <v>1808</v>
      </c>
      <c r="L8" s="59">
        <v>2.1</v>
      </c>
      <c r="M8" s="59">
        <v>2.6</v>
      </c>
      <c r="N8" s="59">
        <v>2.7</v>
      </c>
      <c r="O8" s="59">
        <v>3.1</v>
      </c>
      <c r="P8" s="14"/>
    </row>
    <row r="9" spans="1:16">
      <c r="A9" s="98" t="s">
        <v>893</v>
      </c>
      <c r="B9" s="99"/>
      <c r="E9" s="99"/>
      <c r="F9" s="69">
        <v>2020</v>
      </c>
      <c r="G9" s="59">
        <v>2.4</v>
      </c>
      <c r="H9" s="59">
        <v>2.8</v>
      </c>
      <c r="I9" s="59" t="s">
        <v>1805</v>
      </c>
      <c r="J9" s="59">
        <v>2.2999999999999998</v>
      </c>
      <c r="K9" s="59">
        <v>4.5999999999999996</v>
      </c>
      <c r="L9" s="59">
        <v>2.2000000000000002</v>
      </c>
      <c r="M9" s="59">
        <v>2.8</v>
      </c>
      <c r="N9" s="59">
        <v>3.8</v>
      </c>
      <c r="O9" s="59">
        <v>4.5</v>
      </c>
      <c r="P9" s="14"/>
    </row>
    <row r="10" spans="1:16">
      <c r="A10" t="s">
        <v>894</v>
      </c>
      <c r="B10" t="s">
        <v>972</v>
      </c>
      <c r="E10" s="99"/>
      <c r="F10" s="53">
        <v>2021</v>
      </c>
      <c r="G10" s="59">
        <v>2.5</v>
      </c>
      <c r="H10" s="59">
        <v>2.6</v>
      </c>
      <c r="I10" s="59" t="s">
        <v>1806</v>
      </c>
      <c r="J10" s="59">
        <v>2.2000000000000002</v>
      </c>
      <c r="K10" s="59">
        <v>5.5</v>
      </c>
      <c r="L10" s="59">
        <v>2.6</v>
      </c>
      <c r="M10" s="59">
        <v>2.9</v>
      </c>
      <c r="N10" s="59">
        <v>4.0999999999999996</v>
      </c>
      <c r="O10" s="59">
        <v>4.8</v>
      </c>
    </row>
    <row r="11" spans="1:16">
      <c r="A11" t="s">
        <v>895</v>
      </c>
      <c r="B11" t="s">
        <v>973</v>
      </c>
      <c r="E11" s="99"/>
      <c r="F11" s="69"/>
      <c r="G11" s="59"/>
      <c r="H11" s="59"/>
      <c r="I11" s="59"/>
      <c r="J11" s="59"/>
      <c r="K11" s="59"/>
      <c r="L11" s="59"/>
      <c r="M11" s="59"/>
      <c r="N11" s="59"/>
      <c r="O11" s="59"/>
    </row>
    <row r="12" spans="1:16">
      <c r="A12" t="s">
        <v>896</v>
      </c>
      <c r="B12" t="s">
        <v>715</v>
      </c>
      <c r="E12" s="99"/>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1746</v>
      </c>
      <c r="E19" s="99"/>
    </row>
    <row r="20" spans="1:12">
      <c r="A20" t="s">
        <v>904</v>
      </c>
      <c r="B20" t="s">
        <v>1750</v>
      </c>
      <c r="E20" s="99"/>
    </row>
    <row r="21" spans="1:12">
      <c r="A21" t="s">
        <v>905</v>
      </c>
      <c r="B21" t="s">
        <v>1726</v>
      </c>
      <c r="E21" s="99"/>
    </row>
    <row r="22" spans="1:12">
      <c r="A22" t="s">
        <v>906</v>
      </c>
      <c r="E22" s="99"/>
    </row>
    <row r="23" spans="1:12">
      <c r="A23" t="s">
        <v>907</v>
      </c>
      <c r="B23" t="s">
        <v>1121</v>
      </c>
      <c r="E23" s="99"/>
    </row>
    <row r="24" spans="1:12">
      <c r="A24" t="s">
        <v>908</v>
      </c>
      <c r="B24">
        <v>2025</v>
      </c>
      <c r="E24" s="99"/>
    </row>
    <row r="25" spans="1:12">
      <c r="A25" t="s">
        <v>909</v>
      </c>
      <c r="B25" t="s">
        <v>1803</v>
      </c>
      <c r="E25" s="99"/>
    </row>
    <row r="26" spans="1:12">
      <c r="E26" s="99"/>
      <c r="H26" s="52"/>
      <c r="I26" s="52"/>
    </row>
    <row r="27" spans="1:12">
      <c r="A27" s="101" t="s">
        <v>910</v>
      </c>
      <c r="B27" s="99"/>
      <c r="E27" s="99"/>
    </row>
    <row r="28" spans="1:12">
      <c r="A28" s="115"/>
      <c r="B28" s="115"/>
      <c r="E28" s="99"/>
    </row>
    <row r="29" spans="1:12">
      <c r="A29" s="117" t="s">
        <v>1802</v>
      </c>
      <c r="B29" s="117"/>
      <c r="C29" s="117"/>
      <c r="D29" s="117"/>
      <c r="E29" s="99"/>
      <c r="H29" s="52"/>
      <c r="I29" s="52"/>
      <c r="J29" s="52"/>
      <c r="K29" s="52"/>
      <c r="L29" s="52"/>
    </row>
    <row r="30" spans="1:12">
      <c r="A30" s="117"/>
      <c r="B30" s="117"/>
      <c r="C30" s="117"/>
      <c r="D30" s="117"/>
      <c r="E30" s="99"/>
    </row>
    <row r="31" spans="1:12">
      <c r="A31" s="117"/>
      <c r="B31" s="117"/>
      <c r="C31" s="117"/>
      <c r="D31" s="117"/>
      <c r="E31" s="99"/>
    </row>
    <row r="32" spans="1:12">
      <c r="A32" s="117"/>
      <c r="B32" s="117"/>
      <c r="C32" s="117"/>
      <c r="D32" s="117"/>
      <c r="E32" s="99"/>
      <c r="H32" s="52"/>
      <c r="I32" s="52"/>
      <c r="J32" s="52"/>
      <c r="K32" s="52"/>
      <c r="L32" s="52"/>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661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tbl-assault-hospital-aar</v>
      </c>
    </row>
    <row r="4" spans="1:16">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c r="E7" s="99"/>
      <c r="F7" s="69">
        <v>2018</v>
      </c>
      <c r="G7" s="59">
        <v>2.2000000000000002</v>
      </c>
      <c r="H7" s="59">
        <v>1.9</v>
      </c>
      <c r="I7" s="59">
        <v>0.6</v>
      </c>
      <c r="J7" s="59">
        <v>1.2</v>
      </c>
      <c r="K7" s="59">
        <v>2.6</v>
      </c>
      <c r="L7" s="59">
        <v>1.6</v>
      </c>
      <c r="M7" s="59">
        <v>2.2000000000000002</v>
      </c>
      <c r="N7" s="59">
        <v>2.2999999999999998</v>
      </c>
      <c r="O7" s="59">
        <v>3.3</v>
      </c>
      <c r="P7" s="14"/>
    </row>
    <row r="8" spans="1:16">
      <c r="E8" s="99"/>
      <c r="F8" s="69">
        <v>2019</v>
      </c>
      <c r="G8" s="59">
        <v>2.4</v>
      </c>
      <c r="H8" s="59">
        <v>2.1</v>
      </c>
      <c r="I8" s="59">
        <v>0.6</v>
      </c>
      <c r="J8" s="59">
        <v>1.3</v>
      </c>
      <c r="K8" s="59">
        <v>2.2999999999999998</v>
      </c>
      <c r="L8" s="59">
        <v>1.7</v>
      </c>
      <c r="M8" s="59">
        <v>2.1</v>
      </c>
      <c r="N8" s="59">
        <v>2.4</v>
      </c>
      <c r="O8" s="59">
        <v>3.3</v>
      </c>
      <c r="P8" s="14"/>
    </row>
    <row r="9" spans="1:16">
      <c r="A9" s="98" t="s">
        <v>893</v>
      </c>
      <c r="B9" s="99"/>
      <c r="E9" s="99"/>
      <c r="F9" s="69">
        <v>2020</v>
      </c>
      <c r="G9" s="59">
        <v>2.6</v>
      </c>
      <c r="H9" s="59">
        <v>2.1</v>
      </c>
      <c r="I9" s="59">
        <v>0.7</v>
      </c>
      <c r="J9" s="59">
        <v>1.2</v>
      </c>
      <c r="K9" s="59">
        <v>1.8</v>
      </c>
      <c r="L9" s="59">
        <v>1.7</v>
      </c>
      <c r="M9" s="59">
        <v>2.2000000000000002</v>
      </c>
      <c r="N9" s="59">
        <v>2.7</v>
      </c>
      <c r="O9" s="59">
        <v>3.7</v>
      </c>
      <c r="P9" s="14"/>
    </row>
    <row r="10" spans="1:16">
      <c r="A10" t="s">
        <v>894</v>
      </c>
      <c r="B10" t="s">
        <v>972</v>
      </c>
      <c r="E10" s="99"/>
      <c r="F10" s="69">
        <v>2021</v>
      </c>
      <c r="G10" s="59">
        <v>2.6</v>
      </c>
      <c r="H10" s="59">
        <v>2.1</v>
      </c>
      <c r="I10" s="59">
        <v>0.9</v>
      </c>
      <c r="J10" s="59">
        <v>1</v>
      </c>
      <c r="K10" s="59">
        <v>2</v>
      </c>
      <c r="L10" s="59">
        <v>1.8</v>
      </c>
      <c r="M10" s="59">
        <v>2</v>
      </c>
      <c r="N10" s="59">
        <v>2.5</v>
      </c>
      <c r="O10" s="59">
        <v>3.6</v>
      </c>
    </row>
    <row r="11" spans="1:16">
      <c r="A11" t="s">
        <v>895</v>
      </c>
      <c r="B11" t="s">
        <v>973</v>
      </c>
      <c r="E11" s="99"/>
      <c r="F11" s="69"/>
      <c r="G11" s="59"/>
      <c r="H11" s="59"/>
      <c r="I11" s="59"/>
      <c r="J11" s="59"/>
      <c r="K11" s="59"/>
      <c r="L11" s="59"/>
      <c r="M11" s="59"/>
      <c r="N11" s="59"/>
      <c r="O11" s="59"/>
    </row>
    <row r="12" spans="1:16">
      <c r="A12" t="s">
        <v>896</v>
      </c>
      <c r="B12" t="s">
        <v>708</v>
      </c>
      <c r="E12" s="99"/>
    </row>
    <row r="13" spans="1:16">
      <c r="A13" t="s">
        <v>897</v>
      </c>
      <c r="E13" s="99"/>
    </row>
    <row r="14" spans="1:16">
      <c r="A14" t="s">
        <v>899</v>
      </c>
      <c r="B14" t="s">
        <v>708</v>
      </c>
      <c r="E14" s="99"/>
    </row>
    <row r="15" spans="1:16">
      <c r="A15" t="s">
        <v>901</v>
      </c>
      <c r="B15" t="b">
        <v>1</v>
      </c>
      <c r="E15" s="99"/>
    </row>
    <row r="16" spans="1:16">
      <c r="E16" s="99"/>
    </row>
    <row r="17" spans="1:12">
      <c r="E17" s="99"/>
    </row>
    <row r="18" spans="1:12">
      <c r="A18" s="98" t="s">
        <v>902</v>
      </c>
      <c r="B18" s="99"/>
      <c r="E18" s="99"/>
    </row>
    <row r="19" spans="1:12">
      <c r="A19" t="s">
        <v>903</v>
      </c>
      <c r="B19" t="s">
        <v>1812</v>
      </c>
      <c r="E19" s="99"/>
    </row>
    <row r="20" spans="1:12">
      <c r="A20" t="s">
        <v>904</v>
      </c>
      <c r="B20" t="s">
        <v>1647</v>
      </c>
      <c r="E20" s="99"/>
    </row>
    <row r="21" spans="1:12">
      <c r="A21" t="s">
        <v>905</v>
      </c>
      <c r="B21" t="s">
        <v>1726</v>
      </c>
      <c r="E21" s="99"/>
    </row>
    <row r="22" spans="1:12">
      <c r="A22" t="s">
        <v>906</v>
      </c>
      <c r="E22" s="99"/>
      <c r="G22" s="67"/>
    </row>
    <row r="23" spans="1:12">
      <c r="A23" t="s">
        <v>907</v>
      </c>
      <c r="B23" t="s">
        <v>1121</v>
      </c>
      <c r="E23" s="99"/>
    </row>
    <row r="24" spans="1:12">
      <c r="A24" t="s">
        <v>908</v>
      </c>
      <c r="B24">
        <v>2025</v>
      </c>
      <c r="E24" s="99"/>
    </row>
    <row r="25" spans="1:12">
      <c r="A25" t="s">
        <v>909</v>
      </c>
      <c r="B25" t="s">
        <v>1811</v>
      </c>
      <c r="E25" s="99"/>
    </row>
    <row r="26" spans="1:12">
      <c r="E26" s="99"/>
      <c r="H26" s="52"/>
      <c r="I26" s="52"/>
    </row>
    <row r="27" spans="1:12">
      <c r="A27" s="101" t="s">
        <v>910</v>
      </c>
      <c r="B27" s="99"/>
      <c r="E27" s="99"/>
    </row>
    <row r="28" spans="1:12">
      <c r="A28" s="115"/>
      <c r="B28" s="115"/>
      <c r="E28" s="99"/>
    </row>
    <row r="29" spans="1:12">
      <c r="A29" s="117" t="s">
        <v>1810</v>
      </c>
      <c r="B29" s="117"/>
      <c r="C29" s="117"/>
      <c r="D29" s="117"/>
      <c r="E29" s="99"/>
      <c r="H29" s="52"/>
      <c r="I29" s="52"/>
      <c r="J29" s="52"/>
      <c r="K29" s="52"/>
      <c r="L29" s="52"/>
    </row>
    <row r="30" spans="1:12">
      <c r="A30" s="117"/>
      <c r="B30" s="117"/>
      <c r="C30" s="117"/>
      <c r="D30" s="117"/>
      <c r="E30" s="99"/>
    </row>
    <row r="31" spans="1:12">
      <c r="A31" s="117"/>
      <c r="B31" s="117"/>
      <c r="C31" s="117"/>
      <c r="D31" s="117"/>
      <c r="E31" s="99"/>
    </row>
    <row r="32" spans="1:12">
      <c r="A32" s="117"/>
      <c r="B32" s="117"/>
      <c r="C32" s="117"/>
      <c r="D32" s="117"/>
      <c r="E32" s="99"/>
      <c r="H32" s="52"/>
      <c r="I32" s="52"/>
      <c r="J32" s="52"/>
      <c r="K32" s="52"/>
      <c r="L32" s="52"/>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defaultColWidth="8.7109375" defaultRowHeight="15"/>
  <cols>
    <col min="1" max="1" width="20" bestFit="1" customWidth="1"/>
    <col min="2" max="2" width="16.7109375" customWidth="1"/>
    <col min="5" max="5" width="6.7109375" customWidth="1"/>
    <col min="6" max="6" width="15.140625" customWidth="1"/>
    <col min="7" max="7" width="9.42578125" customWidth="1"/>
    <col min="8" max="8" width="13.42578125" customWidth="1"/>
    <col min="9" max="9" width="11" customWidth="1"/>
    <col min="11" max="11" width="8.85546875" bestFit="1" customWidth="1"/>
    <col min="12" max="12" width="12.28515625" bestFit="1" customWidth="1"/>
    <col min="14" max="14" width="12.28515625" bestFit="1" customWidth="1"/>
    <col min="15" max="15" width="11" bestFit="1" customWidth="1"/>
  </cols>
  <sheetData>
    <row r="1" spans="1:16">
      <c r="A1" s="58" t="s">
        <v>882</v>
      </c>
      <c r="B1" s="114" t="s">
        <v>662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tbl-dv-victim-rate</v>
      </c>
    </row>
    <row r="4" spans="1:16">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c r="A6" t="s">
        <v>891</v>
      </c>
      <c r="B6" t="b">
        <v>0</v>
      </c>
      <c r="E6" s="99"/>
      <c r="F6" s="69">
        <v>2018</v>
      </c>
      <c r="G6" s="59">
        <v>292</v>
      </c>
      <c r="H6" s="59">
        <v>448</v>
      </c>
      <c r="I6" s="59">
        <v>108</v>
      </c>
      <c r="J6" s="59">
        <v>249</v>
      </c>
      <c r="K6" s="59">
        <v>162</v>
      </c>
      <c r="L6" s="59">
        <v>295</v>
      </c>
      <c r="M6" s="59">
        <v>178</v>
      </c>
      <c r="N6" s="59">
        <v>423</v>
      </c>
      <c r="O6" s="59">
        <v>402</v>
      </c>
      <c r="P6" s="14"/>
    </row>
    <row r="7" spans="1:16" ht="15.75" customHeight="1">
      <c r="E7" s="99"/>
      <c r="F7" s="69">
        <v>2019</v>
      </c>
      <c r="G7" s="59">
        <v>285</v>
      </c>
      <c r="H7" s="59">
        <v>512</v>
      </c>
      <c r="I7" s="59">
        <v>53</v>
      </c>
      <c r="J7" s="59">
        <v>204</v>
      </c>
      <c r="K7" s="59">
        <v>180</v>
      </c>
      <c r="L7" s="59">
        <v>297</v>
      </c>
      <c r="M7" s="59">
        <v>181</v>
      </c>
      <c r="N7" s="59">
        <v>428</v>
      </c>
      <c r="O7" s="59">
        <v>422</v>
      </c>
      <c r="P7" s="14"/>
    </row>
    <row r="8" spans="1:16">
      <c r="E8" s="99"/>
      <c r="F8" s="69">
        <v>2020</v>
      </c>
      <c r="G8" s="59">
        <v>305</v>
      </c>
      <c r="H8" s="59">
        <v>483</v>
      </c>
      <c r="I8" s="59">
        <v>48</v>
      </c>
      <c r="J8" s="59">
        <v>229</v>
      </c>
      <c r="K8" s="59">
        <v>182</v>
      </c>
      <c r="L8" s="59">
        <v>294</v>
      </c>
      <c r="M8" s="59">
        <v>173</v>
      </c>
      <c r="N8" s="59">
        <v>437</v>
      </c>
      <c r="O8" s="59">
        <v>451</v>
      </c>
      <c r="P8" s="14"/>
    </row>
    <row r="9" spans="1:16">
      <c r="A9" s="98" t="s">
        <v>893</v>
      </c>
      <c r="B9" s="99"/>
      <c r="E9" s="99"/>
      <c r="F9" s="69">
        <v>2021</v>
      </c>
      <c r="G9" s="59">
        <v>363</v>
      </c>
      <c r="H9" s="59">
        <v>470</v>
      </c>
      <c r="I9" s="59">
        <v>93</v>
      </c>
      <c r="J9" s="59">
        <v>288</v>
      </c>
      <c r="K9" s="59">
        <v>256</v>
      </c>
      <c r="L9" s="59">
        <v>362</v>
      </c>
      <c r="M9" s="59">
        <v>230</v>
      </c>
      <c r="N9" s="59">
        <v>464</v>
      </c>
      <c r="O9" s="59">
        <v>484</v>
      </c>
      <c r="P9" s="14"/>
    </row>
    <row r="10" spans="1:16">
      <c r="A10" t="s">
        <v>894</v>
      </c>
      <c r="B10" t="s">
        <v>972</v>
      </c>
      <c r="E10" s="99"/>
      <c r="F10" s="69"/>
      <c r="G10" s="59"/>
      <c r="H10" s="59"/>
      <c r="I10" s="59"/>
      <c r="J10" s="59"/>
      <c r="K10" s="59"/>
      <c r="L10" s="59"/>
      <c r="M10" s="59"/>
      <c r="N10" s="59"/>
      <c r="O10" s="59"/>
    </row>
    <row r="11" spans="1:16">
      <c r="A11" t="s">
        <v>895</v>
      </c>
      <c r="B11" t="s">
        <v>973</v>
      </c>
      <c r="E11" s="99"/>
    </row>
    <row r="12" spans="1:16">
      <c r="A12" t="s">
        <v>896</v>
      </c>
      <c r="B12" t="s">
        <v>715</v>
      </c>
      <c r="E12" s="99"/>
    </row>
    <row r="13" spans="1:16">
      <c r="A13" t="s">
        <v>897</v>
      </c>
      <c r="E13" s="99"/>
    </row>
    <row r="14" spans="1:16">
      <c r="A14" t="s">
        <v>899</v>
      </c>
      <c r="B14" t="s">
        <v>715</v>
      </c>
      <c r="E14" s="99"/>
    </row>
    <row r="15" spans="1:16">
      <c r="A15" t="s">
        <v>901</v>
      </c>
      <c r="B15" t="b">
        <v>1</v>
      </c>
      <c r="E15" s="99"/>
    </row>
    <row r="16" spans="1:16">
      <c r="E16" s="99"/>
    </row>
    <row r="17" spans="1:12">
      <c r="E17" s="99"/>
    </row>
    <row r="18" spans="1:12">
      <c r="A18" s="98" t="s">
        <v>902</v>
      </c>
      <c r="B18" s="99"/>
      <c r="E18" s="99"/>
    </row>
    <row r="19" spans="1:12">
      <c r="A19" t="s">
        <v>903</v>
      </c>
      <c r="B19" t="s">
        <v>190</v>
      </c>
      <c r="E19" s="99"/>
    </row>
    <row r="20" spans="1:12">
      <c r="A20" t="s">
        <v>904</v>
      </c>
      <c r="B20" t="s">
        <v>1815</v>
      </c>
      <c r="E20" s="99"/>
    </row>
    <row r="21" spans="1:12">
      <c r="A21" t="s">
        <v>905</v>
      </c>
      <c r="B21" t="s">
        <v>1816</v>
      </c>
      <c r="E21" s="99"/>
    </row>
    <row r="22" spans="1:12">
      <c r="A22" t="s">
        <v>906</v>
      </c>
      <c r="E22" s="99"/>
    </row>
    <row r="23" spans="1:12">
      <c r="A23" t="s">
        <v>907</v>
      </c>
      <c r="B23" t="s">
        <v>1153</v>
      </c>
      <c r="E23" s="99"/>
    </row>
    <row r="24" spans="1:12">
      <c r="A24" t="s">
        <v>908</v>
      </c>
      <c r="B24">
        <v>2025</v>
      </c>
      <c r="E24" s="99"/>
    </row>
    <row r="25" spans="1:12">
      <c r="A25" t="s">
        <v>909</v>
      </c>
      <c r="B25" t="s">
        <v>1814</v>
      </c>
      <c r="E25" s="99"/>
      <c r="H25" s="52"/>
      <c r="I25" s="52"/>
    </row>
    <row r="26" spans="1:12">
      <c r="E26" s="99"/>
    </row>
    <row r="27" spans="1:12">
      <c r="A27" s="101" t="s">
        <v>910</v>
      </c>
      <c r="B27" s="99"/>
      <c r="E27" s="99"/>
    </row>
    <row r="28" spans="1:12">
      <c r="A28" s="115"/>
      <c r="B28" s="115"/>
      <c r="E28" s="99"/>
      <c r="H28" s="52"/>
      <c r="I28" s="52"/>
      <c r="J28" s="52"/>
      <c r="K28" s="52"/>
      <c r="L28" s="52"/>
    </row>
    <row r="29" spans="1:12">
      <c r="A29" s="117" t="s">
        <v>1813</v>
      </c>
      <c r="B29" s="117"/>
      <c r="C29" s="117"/>
      <c r="D29" s="117"/>
      <c r="E29" s="99"/>
    </row>
    <row r="30" spans="1:12">
      <c r="A30" s="117"/>
      <c r="B30" s="117"/>
      <c r="C30" s="117"/>
      <c r="D30" s="117"/>
      <c r="E30" s="99"/>
    </row>
    <row r="31" spans="1:12">
      <c r="A31" s="117"/>
      <c r="B31" s="117"/>
      <c r="C31" s="117"/>
      <c r="D31" s="117"/>
      <c r="E31" s="99"/>
      <c r="H31" s="52"/>
      <c r="I31" s="52"/>
      <c r="J31" s="52"/>
      <c r="K31" s="52"/>
      <c r="L31" s="52"/>
    </row>
    <row r="32" spans="1:12">
      <c r="A32" s="117"/>
      <c r="B32" s="117"/>
      <c r="C32" s="117"/>
      <c r="D32" s="117"/>
      <c r="E32" s="99"/>
    </row>
    <row r="33" spans="1:5">
      <c r="A33" s="117"/>
      <c r="B33" s="117"/>
      <c r="C33" s="117"/>
      <c r="D33" s="117"/>
      <c r="E33" s="99"/>
    </row>
    <row r="34" spans="1:5">
      <c r="A34" s="117"/>
      <c r="B34" s="117"/>
      <c r="C34" s="117"/>
      <c r="D34" s="117"/>
      <c r="E34" s="99"/>
    </row>
    <row r="35" spans="1:5">
      <c r="A35" s="117"/>
      <c r="B35" s="117"/>
      <c r="C35" s="117"/>
      <c r="D35" s="117"/>
      <c r="E35" s="99"/>
    </row>
    <row r="36" spans="1:5">
      <c r="A36" s="117"/>
      <c r="B36" s="117"/>
      <c r="C36" s="117"/>
      <c r="D36" s="117"/>
      <c r="E36" s="99"/>
    </row>
    <row r="37" spans="1:5">
      <c r="A37" s="117"/>
      <c r="B37" s="117"/>
      <c r="C37" s="117"/>
      <c r="D37" s="117"/>
      <c r="E37" s="99"/>
    </row>
    <row r="38" spans="1:5">
      <c r="A38" s="117"/>
      <c r="B38" s="117"/>
      <c r="C38" s="117"/>
      <c r="D38" s="117"/>
      <c r="E38" s="99"/>
    </row>
    <row r="39" spans="1:5">
      <c r="A39" s="117"/>
      <c r="B39" s="117"/>
      <c r="C39" s="117"/>
      <c r="D39" s="117"/>
      <c r="E39" s="99"/>
    </row>
    <row r="40" spans="1:5">
      <c r="A40" s="117"/>
      <c r="B40" s="117"/>
      <c r="C40" s="117"/>
      <c r="D40" s="117"/>
      <c r="E40" s="99"/>
    </row>
    <row r="41" spans="1:5">
      <c r="E41" s="99"/>
    </row>
    <row r="42" spans="1:5">
      <c r="E42" s="99"/>
    </row>
    <row r="43" spans="1:5">
      <c r="E43" s="99"/>
    </row>
    <row r="44" spans="1:5">
      <c r="E44" s="99"/>
    </row>
    <row r="45" spans="1:5">
      <c r="E45" s="99"/>
    </row>
    <row r="46" spans="1:5">
      <c r="E46" s="99"/>
    </row>
    <row r="47" spans="1:5">
      <c r="E47" s="99"/>
    </row>
    <row r="48" spans="1: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defaultColWidth="11.42578125" defaultRowHeight="15"/>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14</v>
      </c>
      <c r="C1" s="97"/>
      <c r="D1" s="97"/>
      <c r="E1" s="97"/>
      <c r="F1" s="97"/>
      <c r="G1" s="97"/>
      <c r="H1" s="97"/>
      <c r="I1" s="97"/>
      <c r="J1" s="97"/>
      <c r="K1" s="97"/>
      <c r="L1" s="97"/>
      <c r="M1" s="97"/>
      <c r="N1" s="97"/>
      <c r="O1" s="97"/>
    </row>
    <row r="2" spans="1:15">
      <c r="A2" s="58" t="s">
        <v>883</v>
      </c>
    </row>
    <row r="3" spans="1:15">
      <c r="A3" s="58" t="s">
        <v>884</v>
      </c>
      <c r="B3" t="str">
        <f>IF($B$1="","",_xlfn.XLOOKUP($B$1,Master!$F$2:$F$308,Master!$G$2:$G$308,""))</f>
        <v>tbl-population-demographics</v>
      </c>
    </row>
    <row r="4" spans="1:15">
      <c r="A4" s="58" t="s">
        <v>6</v>
      </c>
      <c r="B4">
        <f>IF($B$1="","",_xlfn.XLOOKUP($B$1,Master!$F$2:$F$308,Master!$H$2:$H$308,""))</f>
        <v>0</v>
      </c>
      <c r="E4" s="13"/>
      <c r="F4" s="13"/>
      <c r="G4" s="16" t="s">
        <v>664</v>
      </c>
      <c r="H4" s="16" t="s">
        <v>679</v>
      </c>
      <c r="I4" s="16" t="s">
        <v>679</v>
      </c>
      <c r="J4" s="16"/>
      <c r="K4" s="16"/>
      <c r="L4" s="16"/>
      <c r="M4" s="16"/>
      <c r="N4" s="16"/>
      <c r="O4" s="16"/>
    </row>
    <row r="5" spans="1:15">
      <c r="A5" s="98" t="s">
        <v>885</v>
      </c>
      <c r="B5" s="99"/>
      <c r="E5" s="100" t="s">
        <v>886</v>
      </c>
    </row>
    <row r="6" spans="1:15" ht="15" customHeight="1">
      <c r="A6" t="s">
        <v>891</v>
      </c>
      <c r="E6" s="99"/>
    </row>
    <row r="7" spans="1:15" ht="15.75" customHeight="1">
      <c r="E7" s="99"/>
    </row>
    <row r="8" spans="1:15">
      <c r="E8" s="99"/>
    </row>
    <row r="9" spans="1:15">
      <c r="A9" s="98" t="s">
        <v>893</v>
      </c>
      <c r="B9" s="99"/>
      <c r="E9" s="99"/>
    </row>
    <row r="10" spans="1:15">
      <c r="A10" t="s">
        <v>894</v>
      </c>
      <c r="E10" s="99"/>
    </row>
    <row r="11" spans="1:15">
      <c r="A11" t="s">
        <v>895</v>
      </c>
      <c r="E11" s="99"/>
    </row>
    <row r="12" spans="1:15">
      <c r="A12" t="s">
        <v>896</v>
      </c>
      <c r="E12" s="99"/>
    </row>
    <row r="13" spans="1:15">
      <c r="A13" t="s">
        <v>897</v>
      </c>
      <c r="E13" s="99"/>
    </row>
    <row r="14" spans="1:15">
      <c r="A14" t="s">
        <v>899</v>
      </c>
      <c r="E14" s="99"/>
    </row>
    <row r="15" spans="1:15">
      <c r="A15" t="s">
        <v>901</v>
      </c>
      <c r="E15" s="99"/>
    </row>
    <row r="16" spans="1:15">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3" max="13" width="11" bestFit="1" customWidth="1"/>
    <col min="14" max="14" width="12.28515625" bestFit="1" customWidth="1"/>
    <col min="15" max="15" width="11" bestFit="1" customWidth="1"/>
  </cols>
  <sheetData>
    <row r="1" spans="1:15">
      <c r="A1" s="58" t="s">
        <v>882</v>
      </c>
      <c r="B1" s="102" t="s">
        <v>58</v>
      </c>
      <c r="C1" s="99"/>
      <c r="D1" s="99"/>
      <c r="E1" s="99"/>
      <c r="F1" s="99"/>
      <c r="G1" s="99"/>
      <c r="H1" s="99"/>
      <c r="I1" s="99"/>
      <c r="J1" s="99"/>
      <c r="K1" s="99"/>
      <c r="L1" s="99"/>
      <c r="M1" s="99"/>
      <c r="N1" s="99"/>
      <c r="O1" s="99"/>
    </row>
    <row r="2" spans="1:15">
      <c r="A2" s="58" t="s">
        <v>883</v>
      </c>
      <c r="B2" t="s">
        <v>1120</v>
      </c>
    </row>
    <row r="3" spans="1:15">
      <c r="A3" s="58" t="s">
        <v>884</v>
      </c>
      <c r="B3" t="str">
        <f>IF($B$1="","",_xlfn.XLOOKUP($B$1,Master!$F$2:$F$308,Master!$G$2:$G$308,""))</f>
        <v>tbl-labor-force</v>
      </c>
    </row>
    <row r="4" spans="1:15">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c r="A6" t="s">
        <v>891</v>
      </c>
      <c r="E6" s="99"/>
      <c r="F6" t="s">
        <v>1142</v>
      </c>
      <c r="G6">
        <v>63</v>
      </c>
      <c r="H6">
        <v>63.9</v>
      </c>
      <c r="I6">
        <v>65.2</v>
      </c>
      <c r="J6">
        <v>63.9</v>
      </c>
      <c r="K6">
        <v>56.1</v>
      </c>
      <c r="L6">
        <v>60.1</v>
      </c>
      <c r="M6">
        <v>65.5</v>
      </c>
      <c r="N6">
        <v>63.1</v>
      </c>
      <c r="O6">
        <v>63.6</v>
      </c>
    </row>
    <row r="7" spans="1:15" ht="15.75" customHeight="1">
      <c r="E7" s="99"/>
      <c r="F7" t="s">
        <v>1143</v>
      </c>
      <c r="G7">
        <v>62.8</v>
      </c>
      <c r="H7">
        <v>63.4</v>
      </c>
      <c r="I7">
        <v>64.7</v>
      </c>
      <c r="J7">
        <v>63.2</v>
      </c>
      <c r="K7">
        <v>58.1</v>
      </c>
      <c r="L7">
        <v>58.9</v>
      </c>
      <c r="M7">
        <v>65.2</v>
      </c>
      <c r="N7">
        <v>62.9</v>
      </c>
      <c r="O7">
        <v>63.5</v>
      </c>
    </row>
    <row r="8" spans="1:15">
      <c r="E8" s="99"/>
      <c r="F8" t="s">
        <v>1144</v>
      </c>
      <c r="G8">
        <v>63.3</v>
      </c>
      <c r="H8">
        <v>63.5</v>
      </c>
      <c r="I8">
        <v>64.7</v>
      </c>
      <c r="J8">
        <v>63.2</v>
      </c>
      <c r="K8">
        <v>59.1</v>
      </c>
      <c r="L8">
        <v>58.7</v>
      </c>
      <c r="M8">
        <v>65.400000000000006</v>
      </c>
      <c r="N8">
        <v>63</v>
      </c>
      <c r="O8">
        <v>63.5</v>
      </c>
    </row>
    <row r="9" spans="1:15">
      <c r="A9" s="98" t="s">
        <v>893</v>
      </c>
      <c r="B9" s="99"/>
      <c r="E9" s="99"/>
    </row>
    <row r="10" spans="1:15">
      <c r="A10" t="s">
        <v>894</v>
      </c>
      <c r="B10" t="s">
        <v>972</v>
      </c>
      <c r="E10" s="99"/>
    </row>
    <row r="11" spans="1:15">
      <c r="A11" t="s">
        <v>895</v>
      </c>
      <c r="B11" t="s">
        <v>1123</v>
      </c>
      <c r="E11" s="99"/>
    </row>
    <row r="12" spans="1:15">
      <c r="A12" t="s">
        <v>896</v>
      </c>
      <c r="E12" s="99"/>
    </row>
    <row r="13" spans="1:15">
      <c r="A13" t="s">
        <v>897</v>
      </c>
      <c r="E13" s="99"/>
    </row>
    <row r="14" spans="1:15">
      <c r="A14" t="s">
        <v>899</v>
      </c>
      <c r="B14" t="s">
        <v>1145</v>
      </c>
      <c r="E14" s="99"/>
    </row>
    <row r="15" spans="1:15">
      <c r="A15" t="s">
        <v>901</v>
      </c>
      <c r="E15" s="99"/>
    </row>
    <row r="16" spans="1:15">
      <c r="A16" t="s">
        <v>1146</v>
      </c>
      <c r="B16" t="s">
        <v>1147</v>
      </c>
      <c r="E16" s="99"/>
    </row>
    <row r="17" spans="1:5">
      <c r="E17" s="99"/>
    </row>
    <row r="18" spans="1:5">
      <c r="A18" s="98" t="s">
        <v>902</v>
      </c>
      <c r="B18" s="99"/>
      <c r="E18" s="99"/>
    </row>
    <row r="19" spans="1:5">
      <c r="A19" t="s">
        <v>903</v>
      </c>
      <c r="B19" t="s">
        <v>1148</v>
      </c>
      <c r="E19" s="99"/>
    </row>
    <row r="20" spans="1:5">
      <c r="A20" t="s">
        <v>904</v>
      </c>
      <c r="B20" t="s">
        <v>1149</v>
      </c>
      <c r="E20" s="99"/>
    </row>
    <row r="21" spans="1:5">
      <c r="A21" t="s">
        <v>905</v>
      </c>
      <c r="B21">
        <v>2023</v>
      </c>
      <c r="E21" s="99"/>
    </row>
    <row r="22" spans="1:5">
      <c r="A22" t="s">
        <v>906</v>
      </c>
      <c r="B22" t="s">
        <v>1150</v>
      </c>
      <c r="E22" s="99"/>
    </row>
    <row r="23" spans="1:5">
      <c r="A23" t="s">
        <v>907</v>
      </c>
      <c r="B23" t="s">
        <v>976</v>
      </c>
      <c r="E23" s="99"/>
    </row>
    <row r="24" spans="1:5">
      <c r="A24" t="s">
        <v>908</v>
      </c>
      <c r="B24">
        <v>2025</v>
      </c>
      <c r="E24" s="99"/>
    </row>
    <row r="25" spans="1:5">
      <c r="A25" t="s">
        <v>909</v>
      </c>
      <c r="E25" s="99"/>
    </row>
    <row r="26" spans="1:5">
      <c r="E26" s="99"/>
    </row>
    <row r="27" spans="1:5">
      <c r="A27" t="s">
        <v>910</v>
      </c>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3" max="13" width="11" bestFit="1" customWidth="1"/>
    <col min="14" max="14" width="12.28515625" bestFit="1" customWidth="1"/>
    <col min="15" max="15" width="11" bestFit="1" customWidth="1"/>
  </cols>
  <sheetData>
    <row r="1" spans="1:15">
      <c r="A1" s="58" t="s">
        <v>882</v>
      </c>
      <c r="B1" s="102" t="s">
        <v>63</v>
      </c>
      <c r="C1" s="99"/>
      <c r="D1" s="99"/>
      <c r="E1" s="99"/>
      <c r="F1" s="99"/>
      <c r="G1" s="99"/>
      <c r="H1" s="99"/>
      <c r="I1" s="99"/>
      <c r="J1" s="99"/>
      <c r="K1" s="99"/>
      <c r="L1" s="99"/>
      <c r="M1" s="99"/>
      <c r="N1" s="99"/>
      <c r="O1" s="99"/>
    </row>
    <row r="2" spans="1:15">
      <c r="A2" s="58" t="s">
        <v>883</v>
      </c>
      <c r="B2" t="s">
        <v>1120</v>
      </c>
    </row>
    <row r="3" spans="1:15" ht="16.350000000000001" customHeight="1">
      <c r="A3" s="58" t="s">
        <v>884</v>
      </c>
      <c r="B3" t="str">
        <f>IF($B$1="","",_xlfn.XLOOKUP($B$1,Master!$F$2:$F$308,Master!$G$2:$G$308,""))</f>
        <v>tbl-unemployed</v>
      </c>
    </row>
    <row r="4" spans="1:15">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c r="A6" t="s">
        <v>891</v>
      </c>
      <c r="E6" s="99"/>
      <c r="F6">
        <v>2021</v>
      </c>
      <c r="G6">
        <v>5.2</v>
      </c>
      <c r="H6">
        <v>5.4</v>
      </c>
      <c r="I6">
        <v>4.8</v>
      </c>
      <c r="J6" s="14">
        <v>6</v>
      </c>
      <c r="K6">
        <v>8</v>
      </c>
      <c r="L6">
        <v>5.0999999999999996</v>
      </c>
      <c r="M6">
        <v>6.1</v>
      </c>
      <c r="N6">
        <v>6.2</v>
      </c>
      <c r="O6">
        <v>5.5</v>
      </c>
    </row>
    <row r="7" spans="1:15" ht="15.75" customHeight="1">
      <c r="E7" s="99"/>
      <c r="F7">
        <v>2022</v>
      </c>
      <c r="G7" s="14">
        <v>5</v>
      </c>
      <c r="H7">
        <v>5.3</v>
      </c>
      <c r="I7">
        <v>4.4000000000000004</v>
      </c>
      <c r="J7">
        <v>6.2</v>
      </c>
      <c r="K7">
        <v>7.2</v>
      </c>
      <c r="L7">
        <v>5.0999999999999996</v>
      </c>
      <c r="M7">
        <v>6</v>
      </c>
      <c r="N7">
        <v>6.2</v>
      </c>
      <c r="O7">
        <v>5.3</v>
      </c>
    </row>
    <row r="8" spans="1:15">
      <c r="E8" s="99"/>
      <c r="F8">
        <v>2023</v>
      </c>
      <c r="G8">
        <v>4.8</v>
      </c>
      <c r="H8">
        <v>5.4</v>
      </c>
      <c r="I8">
        <v>4.0999999999999996</v>
      </c>
      <c r="J8">
        <v>5.9</v>
      </c>
      <c r="K8">
        <v>6.1</v>
      </c>
      <c r="L8">
        <v>5.0999999999999996</v>
      </c>
      <c r="M8">
        <v>6</v>
      </c>
      <c r="N8">
        <v>6.2</v>
      </c>
      <c r="O8">
        <v>5.2</v>
      </c>
    </row>
    <row r="9" spans="1:15">
      <c r="A9" s="98" t="s">
        <v>893</v>
      </c>
      <c r="B9" s="99"/>
      <c r="E9" s="99"/>
    </row>
    <row r="10" spans="1:15">
      <c r="A10" t="s">
        <v>894</v>
      </c>
      <c r="B10" t="s">
        <v>983</v>
      </c>
      <c r="E10" s="99"/>
    </row>
    <row r="11" spans="1:15">
      <c r="A11" t="s">
        <v>895</v>
      </c>
      <c r="B11" t="s">
        <v>887</v>
      </c>
      <c r="E11" s="99"/>
    </row>
    <row r="12" spans="1:15">
      <c r="A12" t="s">
        <v>896</v>
      </c>
      <c r="E12" s="99"/>
    </row>
    <row r="13" spans="1:15">
      <c r="A13" t="s">
        <v>897</v>
      </c>
      <c r="E13" s="99"/>
    </row>
    <row r="14" spans="1:15">
      <c r="A14" t="s">
        <v>899</v>
      </c>
      <c r="B14" t="s">
        <v>694</v>
      </c>
      <c r="E14" s="99"/>
    </row>
    <row r="15" spans="1:15">
      <c r="A15" t="s">
        <v>901</v>
      </c>
      <c r="B15" t="b">
        <v>1</v>
      </c>
      <c r="E15" s="99"/>
    </row>
    <row r="16" spans="1:15">
      <c r="A16" t="s">
        <v>1822</v>
      </c>
      <c r="B16" t="b">
        <v>1</v>
      </c>
      <c r="E16" s="99"/>
    </row>
    <row r="17" spans="1:5">
      <c r="E17" s="99"/>
    </row>
    <row r="18" spans="1:5">
      <c r="A18" s="98" t="s">
        <v>902</v>
      </c>
      <c r="B18" s="99"/>
      <c r="E18" s="99"/>
    </row>
    <row r="19" spans="1:5">
      <c r="A19" t="s">
        <v>903</v>
      </c>
      <c r="B19" t="s">
        <v>1148</v>
      </c>
      <c r="E19" s="99"/>
    </row>
    <row r="20" spans="1:5">
      <c r="A20" t="s">
        <v>904</v>
      </c>
      <c r="B20" t="s">
        <v>1149</v>
      </c>
      <c r="E20" s="99"/>
    </row>
    <row r="21" spans="1:5">
      <c r="A21" t="s">
        <v>905</v>
      </c>
      <c r="B21">
        <v>2023</v>
      </c>
      <c r="E21" s="99"/>
    </row>
    <row r="22" spans="1:5">
      <c r="A22" t="s">
        <v>906</v>
      </c>
      <c r="B22" t="s">
        <v>1150</v>
      </c>
      <c r="E22" s="99"/>
    </row>
    <row r="23" spans="1:5">
      <c r="A23" t="s">
        <v>907</v>
      </c>
      <c r="B23" t="s">
        <v>976</v>
      </c>
      <c r="E23" s="99"/>
    </row>
    <row r="24" spans="1:5">
      <c r="A24" t="s">
        <v>908</v>
      </c>
      <c r="B24">
        <v>2025</v>
      </c>
      <c r="E24" s="99"/>
    </row>
    <row r="25" spans="1:5">
      <c r="A25" t="s">
        <v>909</v>
      </c>
      <c r="E25" s="99"/>
    </row>
    <row r="26" spans="1:5">
      <c r="E26" s="99"/>
    </row>
    <row r="27" spans="1:5">
      <c r="A27" t="s">
        <v>910</v>
      </c>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67</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tbl-food-insecurity</v>
      </c>
    </row>
    <row r="4" spans="1:15">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v>2020</v>
      </c>
      <c r="G6">
        <v>8.6999999999999993</v>
      </c>
      <c r="H6">
        <v>9.4</v>
      </c>
      <c r="I6">
        <v>6.3</v>
      </c>
      <c r="J6">
        <v>9.6999999999999993</v>
      </c>
      <c r="K6">
        <v>11.5</v>
      </c>
      <c r="L6">
        <v>11.3</v>
      </c>
      <c r="M6">
        <v>7.9</v>
      </c>
      <c r="N6">
        <v>9.6</v>
      </c>
    </row>
    <row r="7" spans="1:15" ht="15.75" customHeight="1">
      <c r="E7" s="99"/>
      <c r="F7">
        <v>2021</v>
      </c>
      <c r="G7">
        <v>7.2</v>
      </c>
      <c r="H7">
        <v>7.8</v>
      </c>
      <c r="I7">
        <v>5.3</v>
      </c>
      <c r="J7">
        <v>8.1999999999999993</v>
      </c>
      <c r="K7">
        <v>9.9</v>
      </c>
      <c r="L7">
        <v>9.5</v>
      </c>
      <c r="M7">
        <v>6.6</v>
      </c>
      <c r="N7">
        <v>11.4</v>
      </c>
    </row>
    <row r="8" spans="1:15">
      <c r="E8" s="99"/>
      <c r="F8">
        <v>2022</v>
      </c>
      <c r="G8">
        <v>10</v>
      </c>
      <c r="H8">
        <v>11.3</v>
      </c>
      <c r="I8">
        <v>8.4</v>
      </c>
      <c r="J8">
        <v>11</v>
      </c>
      <c r="K8">
        <v>13.1</v>
      </c>
      <c r="L8">
        <v>12.8</v>
      </c>
      <c r="M8">
        <v>9.4</v>
      </c>
      <c r="N8">
        <v>13.4</v>
      </c>
    </row>
    <row r="9" spans="1:15">
      <c r="A9" s="98" t="s">
        <v>893</v>
      </c>
      <c r="B9" s="99"/>
      <c r="E9" s="99"/>
      <c r="F9">
        <v>2023</v>
      </c>
      <c r="G9">
        <v>10.8</v>
      </c>
      <c r="H9">
        <v>12.1</v>
      </c>
      <c r="I9">
        <v>8.9</v>
      </c>
      <c r="J9">
        <v>12</v>
      </c>
      <c r="K9">
        <v>14</v>
      </c>
      <c r="L9">
        <v>13.2</v>
      </c>
      <c r="M9">
        <v>10.7</v>
      </c>
      <c r="N9">
        <v>14.5</v>
      </c>
    </row>
    <row r="10" spans="1:15">
      <c r="A10" t="s">
        <v>894</v>
      </c>
      <c r="B10" t="s">
        <v>972</v>
      </c>
      <c r="E10" s="99"/>
    </row>
    <row r="11" spans="1:15">
      <c r="A11" t="s">
        <v>895</v>
      </c>
      <c r="E11" s="99"/>
    </row>
    <row r="12" spans="1:15">
      <c r="A12" t="s">
        <v>896</v>
      </c>
      <c r="E12" s="99"/>
    </row>
    <row r="13" spans="1:15">
      <c r="A13" t="s">
        <v>897</v>
      </c>
      <c r="E13" s="99"/>
    </row>
    <row r="14" spans="1:15">
      <c r="A14" t="s">
        <v>899</v>
      </c>
      <c r="B14" t="s">
        <v>1151</v>
      </c>
      <c r="E14" s="99"/>
    </row>
    <row r="15" spans="1:15">
      <c r="A15" t="s">
        <v>901</v>
      </c>
      <c r="B15" t="b">
        <v>0</v>
      </c>
      <c r="E15" s="99"/>
    </row>
    <row r="16" spans="1:15">
      <c r="E16" s="99"/>
    </row>
    <row r="17" spans="1:5">
      <c r="E17" s="99"/>
    </row>
    <row r="18" spans="1:5">
      <c r="A18" s="98" t="s">
        <v>902</v>
      </c>
      <c r="B18" s="99"/>
      <c r="E18" s="99"/>
    </row>
    <row r="19" spans="1:5">
      <c r="A19" t="s">
        <v>903</v>
      </c>
      <c r="B19" s="8"/>
      <c r="E19" s="99"/>
    </row>
    <row r="20" spans="1:5">
      <c r="A20" t="s">
        <v>904</v>
      </c>
      <c r="B20" s="8" t="s">
        <v>1152</v>
      </c>
      <c r="E20" s="99"/>
    </row>
    <row r="21" spans="1:5">
      <c r="A21" t="s">
        <v>905</v>
      </c>
      <c r="B21" s="8">
        <v>2023</v>
      </c>
      <c r="E21" s="99"/>
    </row>
    <row r="22" spans="1:5">
      <c r="A22" t="s">
        <v>906</v>
      </c>
      <c r="B22" s="8"/>
      <c r="E22" s="99"/>
    </row>
    <row r="23" spans="1:5">
      <c r="A23" t="s">
        <v>907</v>
      </c>
      <c r="B23" s="8" t="s">
        <v>1153</v>
      </c>
      <c r="E23" s="99"/>
    </row>
    <row r="24" spans="1:5">
      <c r="A24" t="s">
        <v>908</v>
      </c>
      <c r="B24" s="8">
        <v>2025</v>
      </c>
      <c r="E24" s="99"/>
    </row>
    <row r="25" spans="1:5">
      <c r="A25" t="s">
        <v>909</v>
      </c>
      <c r="B25" s="8" t="s">
        <v>1154</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defaultColWidth="8.7109375" defaultRowHeight="15"/>
  <cols>
    <col min="1" max="1" width="20" bestFit="1" customWidth="1"/>
    <col min="2" max="2" width="24" bestFit="1" customWidth="1"/>
    <col min="5" max="5" width="6.7109375" customWidth="1"/>
    <col min="7" max="7" width="9.42578125" customWidth="1"/>
    <col min="8" max="8" width="13.42578125" customWidth="1"/>
    <col min="9" max="9" width="11" customWidth="1"/>
    <col min="11" max="11" width="10.7109375" customWidth="1"/>
    <col min="12" max="12" width="11.42578125" customWidth="1"/>
    <col min="13" max="13" width="15.140625" customWidth="1"/>
    <col min="14" max="14" width="12.28515625" bestFit="1" customWidth="1"/>
    <col min="15" max="15" width="11" bestFit="1" customWidth="1"/>
  </cols>
  <sheetData>
    <row r="1" spans="1:15">
      <c r="A1" s="58" t="s">
        <v>882</v>
      </c>
      <c r="B1" s="114" t="s">
        <v>72</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tbl-childhood-food-insecurity</v>
      </c>
    </row>
    <row r="4" spans="1:15">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s="55" t="s">
        <v>220</v>
      </c>
      <c r="H5" s="55" t="s">
        <v>18</v>
      </c>
      <c r="I5" s="55" t="s">
        <v>537</v>
      </c>
      <c r="J5" s="55" t="s">
        <v>449</v>
      </c>
      <c r="K5" s="55" t="s">
        <v>409</v>
      </c>
      <c r="L5" s="55" t="s">
        <v>421</v>
      </c>
      <c r="M5" s="55" t="s">
        <v>470</v>
      </c>
      <c r="N5" s="55" t="s">
        <v>915</v>
      </c>
    </row>
    <row r="6" spans="1:15" ht="15" customHeight="1">
      <c r="A6" t="s">
        <v>891</v>
      </c>
      <c r="B6" t="b">
        <v>0</v>
      </c>
      <c r="E6" s="99"/>
      <c r="F6">
        <v>2020</v>
      </c>
      <c r="G6" s="59">
        <v>12</v>
      </c>
      <c r="H6" s="59">
        <v>14.8</v>
      </c>
      <c r="I6" s="59">
        <v>7.3</v>
      </c>
      <c r="J6" s="59">
        <v>15.8</v>
      </c>
      <c r="K6" s="59">
        <v>18.3</v>
      </c>
      <c r="L6" s="59">
        <v>15.1</v>
      </c>
      <c r="M6" s="59">
        <v>11.4</v>
      </c>
      <c r="N6" s="59">
        <v>14.6</v>
      </c>
    </row>
    <row r="7" spans="1:15" ht="15.75" customHeight="1">
      <c r="E7" s="99"/>
      <c r="F7">
        <v>2021</v>
      </c>
      <c r="G7" s="59">
        <v>8.1999999999999993</v>
      </c>
      <c r="H7" s="59">
        <v>10.4</v>
      </c>
      <c r="I7" s="59">
        <v>3.6</v>
      </c>
      <c r="J7" s="59">
        <v>11.3</v>
      </c>
      <c r="K7" s="59">
        <v>15</v>
      </c>
      <c r="L7" s="59">
        <v>10.6</v>
      </c>
      <c r="M7" s="59">
        <v>7.2</v>
      </c>
      <c r="N7" s="59">
        <v>15.4</v>
      </c>
    </row>
    <row r="8" spans="1:15">
      <c r="E8" s="99"/>
      <c r="F8">
        <v>2022</v>
      </c>
      <c r="G8" s="59">
        <v>12</v>
      </c>
      <c r="H8" s="59">
        <v>15.4</v>
      </c>
      <c r="I8" s="59">
        <v>6.7</v>
      </c>
      <c r="J8" s="59">
        <v>15.5</v>
      </c>
      <c r="K8" s="59">
        <v>19.899999999999999</v>
      </c>
      <c r="L8" s="59">
        <v>14.5</v>
      </c>
      <c r="M8" s="59">
        <v>10.5</v>
      </c>
      <c r="N8" s="59">
        <v>18.8</v>
      </c>
    </row>
    <row r="9" spans="1:15">
      <c r="A9" s="98" t="s">
        <v>893</v>
      </c>
      <c r="B9" s="99"/>
      <c r="E9" s="99"/>
      <c r="F9">
        <v>2023</v>
      </c>
      <c r="G9" s="59">
        <v>11.9</v>
      </c>
      <c r="H9" s="59">
        <v>15.6</v>
      </c>
      <c r="I9" s="59">
        <v>6.6</v>
      </c>
      <c r="J9" s="59">
        <v>16.3</v>
      </c>
      <c r="K9" s="59">
        <v>19.899999999999999</v>
      </c>
      <c r="L9" s="59">
        <v>14.6</v>
      </c>
      <c r="M9" s="59">
        <v>10.6</v>
      </c>
      <c r="N9" s="59">
        <v>19</v>
      </c>
    </row>
    <row r="10" spans="1:15">
      <c r="A10" t="s">
        <v>894</v>
      </c>
      <c r="B10" t="s">
        <v>972</v>
      </c>
      <c r="E10" s="99"/>
    </row>
    <row r="11" spans="1:15">
      <c r="A11" t="s">
        <v>895</v>
      </c>
      <c r="B11" t="s">
        <v>887</v>
      </c>
      <c r="E11" s="99"/>
    </row>
    <row r="12" spans="1:15">
      <c r="A12" t="s">
        <v>896</v>
      </c>
      <c r="E12" s="99"/>
    </row>
    <row r="13" spans="1:15">
      <c r="A13" t="s">
        <v>897</v>
      </c>
      <c r="E13" s="99"/>
    </row>
    <row r="14" spans="1:15">
      <c r="A14" t="s">
        <v>899</v>
      </c>
      <c r="B14" t="s">
        <v>1155</v>
      </c>
      <c r="E14" s="99"/>
    </row>
    <row r="15" spans="1:15">
      <c r="A15" t="s">
        <v>901</v>
      </c>
      <c r="E15" s="99"/>
    </row>
    <row r="16" spans="1:15">
      <c r="E16" s="99"/>
    </row>
    <row r="17" spans="1:5">
      <c r="E17" s="99"/>
    </row>
    <row r="18" spans="1:5">
      <c r="A18" s="98" t="s">
        <v>902</v>
      </c>
      <c r="B18" s="99"/>
      <c r="E18" s="99"/>
    </row>
    <row r="19" spans="1:5">
      <c r="A19" t="s">
        <v>903</v>
      </c>
      <c r="B19" s="61"/>
      <c r="E19" s="99"/>
    </row>
    <row r="20" spans="1:5">
      <c r="A20" t="s">
        <v>904</v>
      </c>
      <c r="B20" s="61" t="s">
        <v>1152</v>
      </c>
      <c r="E20" s="99"/>
    </row>
    <row r="21" spans="1:5">
      <c r="A21" t="s">
        <v>905</v>
      </c>
      <c r="B21" s="61">
        <v>2023</v>
      </c>
      <c r="E21" s="99"/>
    </row>
    <row r="22" spans="1:5">
      <c r="A22" t="s">
        <v>906</v>
      </c>
      <c r="B22" s="61"/>
      <c r="E22" s="99"/>
    </row>
    <row r="23" spans="1:5">
      <c r="A23" t="s">
        <v>907</v>
      </c>
      <c r="B23" s="61" t="s">
        <v>1153</v>
      </c>
      <c r="E23" s="99"/>
    </row>
    <row r="24" spans="1:5">
      <c r="A24" t="s">
        <v>908</v>
      </c>
      <c r="B24" s="61">
        <v>2025</v>
      </c>
      <c r="E24" s="99"/>
    </row>
    <row r="25" spans="1:5">
      <c r="A25" t="s">
        <v>909</v>
      </c>
      <c r="B25" s="61" t="s">
        <v>1154</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defaultColWidth="8.7109375" defaultRowHeight="15"/>
  <cols>
    <col min="1" max="1" width="20" bestFit="1" customWidth="1"/>
    <col min="2" max="2" width="51.7109375" bestFit="1" customWidth="1"/>
    <col min="5" max="5" width="6.7109375" customWidth="1"/>
    <col min="6" max="6" width="7.42578125" bestFit="1" customWidth="1"/>
    <col min="7" max="9" width="8.7109375" bestFit="1" customWidth="1"/>
    <col min="11" max="12" width="8.7109375" bestFit="1" customWidth="1"/>
    <col min="14" max="14" width="8.7109375" bestFit="1" customWidth="1"/>
    <col min="15" max="15" width="11" bestFit="1" customWidth="1"/>
  </cols>
  <sheetData>
    <row r="1" spans="1:17">
      <c r="A1" s="58" t="s">
        <v>882</v>
      </c>
      <c r="B1" s="114" t="s">
        <v>75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tbl-cost-burdened-renters</v>
      </c>
    </row>
    <row r="4" spans="1:17">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c r="A5" s="98" t="s">
        <v>885</v>
      </c>
      <c r="B5" s="99"/>
      <c r="E5" s="100" t="s">
        <v>886</v>
      </c>
      <c r="G5" s="55" t="s">
        <v>220</v>
      </c>
      <c r="H5" s="55" t="s">
        <v>18</v>
      </c>
      <c r="I5" s="55" t="s">
        <v>537</v>
      </c>
      <c r="J5" s="55" t="s">
        <v>449</v>
      </c>
      <c r="K5" s="55" t="s">
        <v>409</v>
      </c>
      <c r="L5" s="55" t="s">
        <v>421</v>
      </c>
      <c r="M5" s="55" t="s">
        <v>470</v>
      </c>
      <c r="N5" s="55" t="s">
        <v>915</v>
      </c>
    </row>
    <row r="6" spans="1:17" ht="15" customHeight="1">
      <c r="A6" t="s">
        <v>891</v>
      </c>
      <c r="B6" t="b">
        <v>0</v>
      </c>
      <c r="E6" s="99"/>
      <c r="F6">
        <v>2021</v>
      </c>
      <c r="G6" s="14">
        <v>52.3</v>
      </c>
      <c r="H6" s="14">
        <v>56.5</v>
      </c>
      <c r="I6" s="14">
        <v>52.7</v>
      </c>
      <c r="J6" s="14">
        <v>58.3</v>
      </c>
      <c r="K6" s="14">
        <v>48</v>
      </c>
      <c r="L6" s="14">
        <v>55.3</v>
      </c>
      <c r="M6" s="14">
        <v>53.2</v>
      </c>
      <c r="N6" s="14">
        <v>51.6</v>
      </c>
    </row>
    <row r="7" spans="1:17" ht="15.75" customHeight="1">
      <c r="E7" s="99"/>
      <c r="F7">
        <v>2022</v>
      </c>
      <c r="G7" s="14">
        <v>52.4</v>
      </c>
      <c r="H7" s="14">
        <v>56.1</v>
      </c>
      <c r="I7" s="14">
        <v>53.2</v>
      </c>
      <c r="J7" s="14">
        <v>58.9</v>
      </c>
      <c r="K7" s="14">
        <v>48.4</v>
      </c>
      <c r="L7" s="14">
        <v>55.3</v>
      </c>
      <c r="M7" s="14">
        <v>53.5</v>
      </c>
      <c r="N7" s="14">
        <v>51.7</v>
      </c>
    </row>
    <row r="8" spans="1:17">
      <c r="E8" s="99"/>
      <c r="F8">
        <v>2023</v>
      </c>
      <c r="G8" s="14">
        <v>52</v>
      </c>
      <c r="H8" s="14">
        <v>56.2</v>
      </c>
      <c r="I8" s="14">
        <v>56.5</v>
      </c>
      <c r="J8" s="14">
        <v>59.6</v>
      </c>
      <c r="K8" s="14">
        <v>48.7</v>
      </c>
      <c r="L8" s="14">
        <v>56.6</v>
      </c>
      <c r="M8" s="14">
        <v>53</v>
      </c>
      <c r="N8" s="14">
        <v>51.5</v>
      </c>
    </row>
    <row r="9" spans="1:17">
      <c r="A9" s="98" t="s">
        <v>893</v>
      </c>
      <c r="B9" s="99"/>
      <c r="E9" s="99"/>
    </row>
    <row r="10" spans="1:17">
      <c r="A10" t="s">
        <v>894</v>
      </c>
      <c r="B10" t="s">
        <v>983</v>
      </c>
      <c r="E10" s="99"/>
    </row>
    <row r="11" spans="1:17">
      <c r="A11" t="s">
        <v>895</v>
      </c>
      <c r="B11" t="s">
        <v>887</v>
      </c>
      <c r="E11" s="99"/>
    </row>
    <row r="12" spans="1:17">
      <c r="A12" t="s">
        <v>896</v>
      </c>
      <c r="E12" s="99"/>
    </row>
    <row r="13" spans="1:17">
      <c r="A13" t="s">
        <v>897</v>
      </c>
      <c r="B13" t="s">
        <v>1156</v>
      </c>
      <c r="E13" s="99"/>
    </row>
    <row r="14" spans="1:17">
      <c r="A14" t="s">
        <v>899</v>
      </c>
      <c r="E14" s="99"/>
    </row>
    <row r="15" spans="1:17">
      <c r="A15" t="s">
        <v>901</v>
      </c>
      <c r="B15" t="b">
        <v>0</v>
      </c>
      <c r="E15" s="99"/>
    </row>
    <row r="16" spans="1:17">
      <c r="A16" t="s">
        <v>1146</v>
      </c>
      <c r="B16" t="b">
        <v>1</v>
      </c>
      <c r="E16" s="99"/>
    </row>
    <row r="17" spans="1:5">
      <c r="E17" s="99"/>
    </row>
    <row r="18" spans="1:5">
      <c r="A18" s="98" t="s">
        <v>902</v>
      </c>
      <c r="B18" s="99"/>
      <c r="E18" s="99"/>
    </row>
    <row r="19" spans="1:5">
      <c r="A19" t="s">
        <v>903</v>
      </c>
      <c r="B19" s="61" t="s">
        <v>1157</v>
      </c>
      <c r="E19" s="99"/>
    </row>
    <row r="20" spans="1:5">
      <c r="A20" t="s">
        <v>904</v>
      </c>
      <c r="B20" s="61" t="s">
        <v>1158</v>
      </c>
      <c r="E20" s="99"/>
    </row>
    <row r="21" spans="1:5">
      <c r="A21" t="s">
        <v>905</v>
      </c>
      <c r="B21" s="61">
        <v>2023</v>
      </c>
      <c r="E21" s="99"/>
    </row>
    <row r="22" spans="1:5">
      <c r="A22" t="s">
        <v>906</v>
      </c>
      <c r="B22" s="61" t="s">
        <v>1150</v>
      </c>
      <c r="E22" s="99"/>
    </row>
    <row r="23" spans="1:5">
      <c r="A23" t="s">
        <v>907</v>
      </c>
      <c r="B23" s="61" t="s">
        <v>976</v>
      </c>
      <c r="E23" s="99"/>
    </row>
    <row r="24" spans="1:5">
      <c r="A24" t="s">
        <v>908</v>
      </c>
      <c r="B24" s="61">
        <v>2025</v>
      </c>
      <c r="E24" s="99"/>
    </row>
    <row r="25" spans="1:5">
      <c r="A25" t="s">
        <v>909</v>
      </c>
      <c r="B25" s="61"/>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defaultColWidth="8.7109375" defaultRowHeight="15"/>
  <cols>
    <col min="1" max="1" width="20" bestFit="1" customWidth="1"/>
    <col min="2" max="2" width="16.7109375" customWidth="1"/>
    <col min="5" max="5" width="6.7109375" customWidth="1"/>
    <col min="6" max="6" width="10" bestFit="1" customWidth="1"/>
    <col min="7" max="7" width="9.42578125" customWidth="1"/>
    <col min="8" max="8" width="13.42578125" customWidth="1"/>
    <col min="9" max="9" width="11" customWidth="1"/>
    <col min="11" max="11" width="10.7109375" customWidth="1"/>
    <col min="12" max="12" width="12.28515625" bestFit="1" customWidth="1"/>
    <col min="13" max="13" width="12.140625" bestFit="1" customWidth="1"/>
    <col min="14" max="14" width="12.28515625" bestFit="1" customWidth="1"/>
    <col min="15" max="15" width="11" bestFit="1" customWidth="1"/>
  </cols>
  <sheetData>
    <row r="1" spans="1:15">
      <c r="A1" s="58" t="s">
        <v>882</v>
      </c>
      <c r="B1" s="114" t="s">
        <v>80</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tbl-severely-cost-burdened</v>
      </c>
    </row>
    <row r="4" spans="1:15">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1159</v>
      </c>
      <c r="G6" s="14">
        <v>16</v>
      </c>
      <c r="H6" s="14">
        <v>19</v>
      </c>
      <c r="I6" s="14">
        <v>16</v>
      </c>
      <c r="J6" s="14">
        <v>22</v>
      </c>
      <c r="K6" s="14">
        <v>14</v>
      </c>
      <c r="L6" s="14">
        <v>18</v>
      </c>
      <c r="M6" s="14">
        <v>20</v>
      </c>
      <c r="N6" s="14">
        <v>19</v>
      </c>
    </row>
    <row r="7" spans="1:15" ht="15.75" customHeight="1">
      <c r="E7" s="99"/>
      <c r="F7" t="s">
        <v>969</v>
      </c>
      <c r="G7" s="14">
        <v>16</v>
      </c>
      <c r="H7" s="14">
        <v>19</v>
      </c>
      <c r="I7" s="14">
        <v>16</v>
      </c>
      <c r="J7" s="14">
        <v>22</v>
      </c>
      <c r="K7" s="14">
        <v>15</v>
      </c>
      <c r="L7" s="14">
        <v>18</v>
      </c>
      <c r="M7" s="14">
        <v>19</v>
      </c>
      <c r="N7" s="14">
        <v>19</v>
      </c>
    </row>
    <row r="8" spans="1:15">
      <c r="E8" s="99"/>
      <c r="F8" t="s">
        <v>970</v>
      </c>
      <c r="G8" s="14">
        <v>16</v>
      </c>
      <c r="H8" s="14">
        <v>20</v>
      </c>
      <c r="I8" s="14">
        <v>16</v>
      </c>
      <c r="J8" s="14">
        <v>22</v>
      </c>
      <c r="K8" s="14">
        <v>15</v>
      </c>
      <c r="L8" s="14">
        <v>18</v>
      </c>
      <c r="M8" s="14">
        <v>20</v>
      </c>
      <c r="N8" s="14">
        <v>19</v>
      </c>
    </row>
    <row r="9" spans="1:15">
      <c r="A9" s="98" t="s">
        <v>893</v>
      </c>
      <c r="B9" s="99"/>
      <c r="E9" s="99"/>
      <c r="F9" t="s">
        <v>971</v>
      </c>
      <c r="G9" s="14">
        <v>16</v>
      </c>
      <c r="H9" s="14">
        <v>20</v>
      </c>
      <c r="I9" s="14">
        <v>17</v>
      </c>
      <c r="J9" s="14">
        <v>22</v>
      </c>
      <c r="K9" s="14">
        <v>15</v>
      </c>
      <c r="L9" s="14">
        <v>18</v>
      </c>
      <c r="M9" s="14">
        <v>19</v>
      </c>
      <c r="N9" s="14">
        <v>19</v>
      </c>
    </row>
    <row r="10" spans="1:15">
      <c r="A10" t="s">
        <v>894</v>
      </c>
      <c r="B10" t="s">
        <v>983</v>
      </c>
      <c r="E10" s="99"/>
    </row>
    <row r="11" spans="1:15">
      <c r="A11" t="s">
        <v>895</v>
      </c>
      <c r="B11" t="s">
        <v>887</v>
      </c>
      <c r="E11" s="99"/>
    </row>
    <row r="12" spans="1:15">
      <c r="A12" t="s">
        <v>896</v>
      </c>
      <c r="E12" s="99"/>
    </row>
    <row r="13" spans="1:15">
      <c r="A13" t="s">
        <v>897</v>
      </c>
      <c r="E13" s="99"/>
    </row>
    <row r="14" spans="1:15">
      <c r="A14" t="s">
        <v>899</v>
      </c>
      <c r="B14" t="s">
        <v>1160</v>
      </c>
      <c r="E14" s="99"/>
    </row>
    <row r="15" spans="1:15">
      <c r="A15" t="s">
        <v>901</v>
      </c>
      <c r="B15" t="b">
        <v>1</v>
      </c>
      <c r="E15" s="99"/>
    </row>
    <row r="16" spans="1:15">
      <c r="E16" s="99"/>
    </row>
    <row r="17" spans="1:5">
      <c r="E17" s="99"/>
    </row>
    <row r="18" spans="1:5">
      <c r="A18" s="98" t="s">
        <v>902</v>
      </c>
      <c r="B18" s="99"/>
      <c r="E18" s="99"/>
    </row>
    <row r="19" spans="1:5">
      <c r="A19" t="s">
        <v>903</v>
      </c>
      <c r="E19" s="99"/>
    </row>
    <row r="20" spans="1:5">
      <c r="A20" t="s">
        <v>904</v>
      </c>
      <c r="B20" t="s">
        <v>1161</v>
      </c>
      <c r="E20" s="99"/>
    </row>
    <row r="21" spans="1:5">
      <c r="A21" t="s">
        <v>905</v>
      </c>
      <c r="B21">
        <v>2023</v>
      </c>
      <c r="E21" s="99"/>
    </row>
    <row r="22" spans="1:5">
      <c r="A22" t="s">
        <v>906</v>
      </c>
      <c r="E22" s="99"/>
    </row>
    <row r="23" spans="1:5">
      <c r="A23" t="s">
        <v>907</v>
      </c>
      <c r="B23" t="s">
        <v>976</v>
      </c>
      <c r="E23" s="99"/>
    </row>
    <row r="24" spans="1:5">
      <c r="A24" t="s">
        <v>908</v>
      </c>
      <c r="B24">
        <v>2025</v>
      </c>
      <c r="E24" s="99"/>
    </row>
    <row r="25" spans="1:5">
      <c r="A25" t="s">
        <v>909</v>
      </c>
      <c r="B25" t="s">
        <v>1162</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3" max="13" width="12.140625" bestFit="1" customWidth="1"/>
    <col min="14" max="14" width="12.28515625" bestFit="1" customWidth="1"/>
    <col min="15" max="15" width="11" bestFit="1" customWidth="1"/>
  </cols>
  <sheetData>
    <row r="1" spans="1:15">
      <c r="A1" s="58" t="s">
        <v>882</v>
      </c>
      <c r="B1" s="114" t="s">
        <v>85</v>
      </c>
      <c r="C1" s="97"/>
      <c r="D1" s="97"/>
      <c r="E1" s="97"/>
      <c r="F1" s="97"/>
      <c r="G1" s="97"/>
      <c r="H1" s="97"/>
      <c r="I1" s="97"/>
      <c r="J1" s="97"/>
      <c r="K1" s="97"/>
      <c r="L1" s="97"/>
      <c r="M1" s="97"/>
      <c r="N1" s="97"/>
      <c r="O1" s="97"/>
    </row>
    <row r="2" spans="1:15">
      <c r="A2" s="58" t="s">
        <v>883</v>
      </c>
      <c r="B2" t="s">
        <v>12</v>
      </c>
    </row>
    <row r="3" spans="1:15">
      <c r="A3" s="58" t="s">
        <v>884</v>
      </c>
      <c r="B3" t="str">
        <f>IF($B$1="","",_xlfn.XLOOKUP($B$1,Master!$F$2:$F$308,Master!$G$2:$G$308,""))</f>
        <v>tbl-hud-housing</v>
      </c>
    </row>
    <row r="4" spans="1:15">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c r="A6" t="s">
        <v>891</v>
      </c>
      <c r="B6" t="b">
        <v>0</v>
      </c>
      <c r="E6" s="99"/>
      <c r="F6" s="60">
        <v>2021</v>
      </c>
      <c r="G6" s="60">
        <v>7442</v>
      </c>
      <c r="H6" s="60">
        <v>18258</v>
      </c>
      <c r="I6" s="60">
        <v>945</v>
      </c>
      <c r="J6" s="60">
        <v>21732</v>
      </c>
      <c r="K6" s="60">
        <v>5018</v>
      </c>
      <c r="L6" s="60">
        <v>5484</v>
      </c>
      <c r="M6" s="60">
        <v>40230</v>
      </c>
      <c r="N6" s="60">
        <v>1025652</v>
      </c>
      <c r="O6" s="60"/>
    </row>
    <row r="7" spans="1:15" ht="15.75" customHeight="1">
      <c r="E7" s="99"/>
      <c r="F7" s="60">
        <v>2022</v>
      </c>
      <c r="G7" s="60">
        <v>7641</v>
      </c>
      <c r="H7" s="60">
        <v>18745</v>
      </c>
      <c r="I7" s="60">
        <v>929</v>
      </c>
      <c r="J7" s="60">
        <v>22170</v>
      </c>
      <c r="K7" s="60">
        <v>5228</v>
      </c>
      <c r="L7" s="60">
        <v>5479</v>
      </c>
      <c r="M7" s="60">
        <v>40412</v>
      </c>
      <c r="N7" s="60">
        <v>985104</v>
      </c>
      <c r="O7" s="60"/>
    </row>
    <row r="8" spans="1:15">
      <c r="E8" s="99"/>
      <c r="F8" s="60">
        <v>2023</v>
      </c>
      <c r="G8" s="60">
        <v>7630</v>
      </c>
      <c r="H8" s="60">
        <v>19000</v>
      </c>
      <c r="I8" s="60">
        <v>992</v>
      </c>
      <c r="J8" s="60">
        <v>23411</v>
      </c>
      <c r="K8" s="60">
        <v>4846</v>
      </c>
      <c r="L8" s="60">
        <v>5418</v>
      </c>
      <c r="M8" s="60">
        <v>40415</v>
      </c>
      <c r="N8" s="60">
        <v>987957</v>
      </c>
      <c r="O8" s="60"/>
    </row>
    <row r="9" spans="1:15">
      <c r="A9" s="98" t="s">
        <v>893</v>
      </c>
      <c r="B9" s="99"/>
      <c r="E9" s="99"/>
      <c r="F9" s="60">
        <v>2024</v>
      </c>
      <c r="G9" s="60">
        <v>7484</v>
      </c>
      <c r="H9" s="60">
        <v>19129</v>
      </c>
      <c r="I9" s="60">
        <v>1012</v>
      </c>
      <c r="J9" s="60">
        <v>23735</v>
      </c>
      <c r="K9" s="60">
        <v>4445</v>
      </c>
      <c r="L9" s="60">
        <v>4980</v>
      </c>
      <c r="M9" s="60">
        <v>40137</v>
      </c>
      <c r="N9" s="60">
        <v>1000730</v>
      </c>
      <c r="O9" s="60"/>
    </row>
    <row r="10" spans="1:15">
      <c r="A10" t="s">
        <v>894</v>
      </c>
      <c r="B10" t="s">
        <v>983</v>
      </c>
      <c r="E10" s="99"/>
    </row>
    <row r="11" spans="1:15">
      <c r="A11" t="s">
        <v>895</v>
      </c>
      <c r="B11" t="s">
        <v>1123</v>
      </c>
      <c r="E11" s="99"/>
    </row>
    <row r="12" spans="1:15">
      <c r="A12" t="s">
        <v>896</v>
      </c>
      <c r="E12" s="99"/>
    </row>
    <row r="13" spans="1:15">
      <c r="A13" t="s">
        <v>897</v>
      </c>
      <c r="B13" t="s">
        <v>1163</v>
      </c>
      <c r="E13" s="99"/>
    </row>
    <row r="14" spans="1:15">
      <c r="A14" t="s">
        <v>899</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B19" s="61"/>
      <c r="E19" s="99"/>
    </row>
    <row r="20" spans="1:5">
      <c r="A20" t="s">
        <v>904</v>
      </c>
      <c r="B20" s="61" t="s">
        <v>1164</v>
      </c>
      <c r="E20" s="99"/>
    </row>
    <row r="21" spans="1:5">
      <c r="A21" t="s">
        <v>905</v>
      </c>
      <c r="B21" s="61">
        <v>2024</v>
      </c>
      <c r="E21" s="99"/>
    </row>
    <row r="22" spans="1:5">
      <c r="A22" t="s">
        <v>906</v>
      </c>
      <c r="B22" s="61"/>
      <c r="E22" s="99"/>
    </row>
    <row r="23" spans="1:5">
      <c r="A23" t="s">
        <v>907</v>
      </c>
      <c r="B23" s="61" t="s">
        <v>1165</v>
      </c>
      <c r="E23" s="99"/>
    </row>
    <row r="24" spans="1:5">
      <c r="A24" t="s">
        <v>908</v>
      </c>
      <c r="B24" s="61">
        <v>2025</v>
      </c>
      <c r="E24" s="99"/>
    </row>
    <row r="25" spans="1:5">
      <c r="A25" t="s">
        <v>909</v>
      </c>
      <c r="B25" s="61" t="s">
        <v>1166</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defaultColWidth="8.7109375" defaultRowHeight="15"/>
  <cols>
    <col min="1" max="1" width="20" bestFit="1" customWidth="1"/>
    <col min="2" max="2" width="16.7109375" customWidth="1"/>
    <col min="5" max="5" width="6.7109375" customWidth="1"/>
    <col min="6" max="6" width="49.28515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 min="16" max="16" width="12.7109375" bestFit="1" customWidth="1"/>
  </cols>
  <sheetData>
    <row r="1" spans="1:16">
      <c r="A1" s="58" t="s">
        <v>882</v>
      </c>
      <c r="B1" s="114" t="s">
        <v>90</v>
      </c>
      <c r="C1" s="97"/>
      <c r="D1" s="97"/>
      <c r="E1" s="97"/>
      <c r="F1" s="97"/>
      <c r="G1" s="97"/>
      <c r="H1" s="97"/>
      <c r="I1" s="97"/>
      <c r="J1" s="97"/>
      <c r="K1" s="97"/>
      <c r="L1" s="97"/>
      <c r="M1" s="97"/>
      <c r="N1" s="97"/>
      <c r="O1" s="97"/>
    </row>
    <row r="2" spans="1:16">
      <c r="A2" s="58" t="s">
        <v>883</v>
      </c>
      <c r="B2" t="s">
        <v>12</v>
      </c>
    </row>
    <row r="3" spans="1:16">
      <c r="A3" s="58" t="s">
        <v>884</v>
      </c>
      <c r="B3" t="str">
        <f>IF($B$1="","",_xlfn.XLOOKUP($B$1,Master!$F$2:$F$308,Master!$G$2:$G$308,""))</f>
        <v>tbl-poverty-threshold</v>
      </c>
    </row>
    <row r="4" spans="1:16">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c r="A5" s="98" t="s">
        <v>885</v>
      </c>
      <c r="B5" s="99"/>
      <c r="E5" s="100" t="s">
        <v>886</v>
      </c>
      <c r="F5" s="112" t="s">
        <v>1167</v>
      </c>
      <c r="G5" s="101" t="s">
        <v>1168</v>
      </c>
      <c r="H5" s="101"/>
      <c r="I5" s="101"/>
      <c r="J5" s="101"/>
      <c r="K5" s="101"/>
      <c r="L5" s="101"/>
      <c r="M5" s="101"/>
      <c r="N5" s="101"/>
      <c r="O5" s="101"/>
      <c r="P5" s="101"/>
    </row>
    <row r="6" spans="1:16" ht="15" customHeight="1">
      <c r="A6" t="s">
        <v>891</v>
      </c>
      <c r="B6" t="b">
        <v>1</v>
      </c>
      <c r="E6" s="99"/>
      <c r="F6" s="112"/>
      <c r="G6" t="s">
        <v>1169</v>
      </c>
      <c r="H6" t="s">
        <v>1170</v>
      </c>
      <c r="I6" t="s">
        <v>1171</v>
      </c>
      <c r="J6" t="s">
        <v>1172</v>
      </c>
      <c r="K6" t="s">
        <v>1173</v>
      </c>
      <c r="L6" t="s">
        <v>1174</v>
      </c>
      <c r="M6" t="s">
        <v>1175</v>
      </c>
      <c r="N6" t="s">
        <v>1176</v>
      </c>
      <c r="O6" t="s">
        <v>1177</v>
      </c>
      <c r="P6" t="s">
        <v>1178</v>
      </c>
    </row>
    <row r="7" spans="1:16" ht="15.75" customHeight="1">
      <c r="E7" s="99"/>
      <c r="F7" s="118" t="s">
        <v>1179</v>
      </c>
      <c r="G7" s="118"/>
      <c r="H7" s="118"/>
      <c r="I7" s="118"/>
      <c r="J7" s="118"/>
      <c r="K7" s="118"/>
      <c r="L7" s="118"/>
      <c r="M7" s="118"/>
      <c r="N7" s="118"/>
      <c r="O7" s="118"/>
      <c r="P7" s="118"/>
    </row>
    <row r="8" spans="1:16">
      <c r="E8" s="99"/>
      <c r="F8" s="55" t="s">
        <v>1180</v>
      </c>
      <c r="G8" t="s">
        <v>1181</v>
      </c>
    </row>
    <row r="9" spans="1:16">
      <c r="A9" s="98" t="s">
        <v>893</v>
      </c>
      <c r="B9" s="99"/>
      <c r="E9" s="99"/>
      <c r="F9" s="55" t="s">
        <v>1182</v>
      </c>
      <c r="G9" t="s">
        <v>1183</v>
      </c>
    </row>
    <row r="10" spans="1:16">
      <c r="A10" t="s">
        <v>894</v>
      </c>
      <c r="E10" s="99"/>
      <c r="F10" s="119" t="s">
        <v>1184</v>
      </c>
      <c r="G10" s="119"/>
      <c r="H10" s="119"/>
      <c r="I10" s="119"/>
      <c r="J10" s="119"/>
      <c r="K10" s="119"/>
      <c r="L10" s="119"/>
      <c r="M10" s="119"/>
      <c r="N10" s="119"/>
      <c r="O10" s="119"/>
      <c r="P10" s="119"/>
    </row>
    <row r="11" spans="1:16">
      <c r="A11" t="s">
        <v>895</v>
      </c>
      <c r="E11" s="99"/>
      <c r="F11" s="55" t="s">
        <v>1185</v>
      </c>
      <c r="G11" t="s">
        <v>1186</v>
      </c>
      <c r="H11" t="s">
        <v>1187</v>
      </c>
    </row>
    <row r="12" spans="1:16">
      <c r="A12" t="s">
        <v>896</v>
      </c>
      <c r="E12" s="99"/>
      <c r="F12" s="55" t="s">
        <v>1188</v>
      </c>
      <c r="G12" t="s">
        <v>1189</v>
      </c>
      <c r="H12" t="s">
        <v>1190</v>
      </c>
    </row>
    <row r="13" spans="1:16">
      <c r="A13" t="s">
        <v>897</v>
      </c>
      <c r="E13" s="99"/>
      <c r="F13" t="s">
        <v>1191</v>
      </c>
      <c r="G13" t="s">
        <v>1192</v>
      </c>
      <c r="H13" t="s">
        <v>1193</v>
      </c>
      <c r="I13" t="s">
        <v>1194</v>
      </c>
    </row>
    <row r="14" spans="1:16">
      <c r="A14" t="s">
        <v>899</v>
      </c>
      <c r="E14" s="99"/>
      <c r="F14" t="s">
        <v>1195</v>
      </c>
      <c r="G14" t="s">
        <v>1196</v>
      </c>
      <c r="H14" t="s">
        <v>1197</v>
      </c>
      <c r="I14" t="s">
        <v>1198</v>
      </c>
      <c r="J14" t="s">
        <v>1199</v>
      </c>
    </row>
    <row r="15" spans="1:16">
      <c r="A15" t="s">
        <v>901</v>
      </c>
      <c r="E15" s="99"/>
      <c r="F15" t="s">
        <v>1200</v>
      </c>
      <c r="G15" t="s">
        <v>1201</v>
      </c>
      <c r="H15" t="s">
        <v>1202</v>
      </c>
      <c r="I15" t="s">
        <v>1203</v>
      </c>
      <c r="J15" t="s">
        <v>1204</v>
      </c>
      <c r="K15" t="s">
        <v>1205</v>
      </c>
    </row>
    <row r="16" spans="1:16">
      <c r="E16" s="99"/>
      <c r="F16" t="s">
        <v>1206</v>
      </c>
      <c r="G16" t="s">
        <v>1207</v>
      </c>
      <c r="H16" t="s">
        <v>1208</v>
      </c>
      <c r="I16" t="s">
        <v>1209</v>
      </c>
      <c r="J16" t="s">
        <v>1210</v>
      </c>
      <c r="K16" t="s">
        <v>1211</v>
      </c>
      <c r="L16" t="s">
        <v>1212</v>
      </c>
    </row>
    <row r="17" spans="1:16">
      <c r="E17" s="99"/>
      <c r="F17" t="s">
        <v>1213</v>
      </c>
      <c r="G17" t="s">
        <v>1214</v>
      </c>
      <c r="H17" t="s">
        <v>1215</v>
      </c>
      <c r="I17" t="s">
        <v>1216</v>
      </c>
      <c r="J17" t="s">
        <v>1217</v>
      </c>
      <c r="K17" t="s">
        <v>1218</v>
      </c>
      <c r="L17" t="s">
        <v>1219</v>
      </c>
      <c r="M17" t="s">
        <v>1220</v>
      </c>
    </row>
    <row r="18" spans="1:16">
      <c r="A18" s="98" t="s">
        <v>902</v>
      </c>
      <c r="B18" s="99"/>
      <c r="E18" s="99"/>
      <c r="F18" t="s">
        <v>1221</v>
      </c>
      <c r="G18" t="s">
        <v>1222</v>
      </c>
      <c r="H18" t="s">
        <v>1223</v>
      </c>
      <c r="I18" t="s">
        <v>1224</v>
      </c>
      <c r="J18" t="s">
        <v>1225</v>
      </c>
      <c r="K18" t="s">
        <v>1226</v>
      </c>
      <c r="L18" t="s">
        <v>1227</v>
      </c>
      <c r="M18" t="s">
        <v>1228</v>
      </c>
      <c r="N18" t="s">
        <v>1229</v>
      </c>
    </row>
    <row r="19" spans="1:16">
      <c r="A19" s="61" t="s">
        <v>903</v>
      </c>
      <c r="B19" s="61"/>
      <c r="E19" s="99"/>
      <c r="F19" t="s">
        <v>1230</v>
      </c>
      <c r="G19" t="s">
        <v>1231</v>
      </c>
      <c r="H19" t="s">
        <v>1232</v>
      </c>
      <c r="I19" t="s">
        <v>1233</v>
      </c>
      <c r="J19" t="s">
        <v>1234</v>
      </c>
      <c r="K19" t="s">
        <v>1235</v>
      </c>
      <c r="L19" t="s">
        <v>1236</v>
      </c>
      <c r="M19" t="s">
        <v>1237</v>
      </c>
      <c r="N19" t="s">
        <v>1238</v>
      </c>
      <c r="O19" t="s">
        <v>1239</v>
      </c>
      <c r="P19" t="s">
        <v>1239</v>
      </c>
    </row>
    <row r="20" spans="1:16">
      <c r="A20" s="61" t="s">
        <v>904</v>
      </c>
      <c r="B20" s="61" t="s">
        <v>1240</v>
      </c>
      <c r="E20" s="99"/>
    </row>
    <row r="21" spans="1:16">
      <c r="A21" s="61" t="s">
        <v>905</v>
      </c>
      <c r="B21" s="61">
        <v>2024</v>
      </c>
      <c r="E21" s="99"/>
    </row>
    <row r="22" spans="1:16">
      <c r="A22" s="61" t="s">
        <v>906</v>
      </c>
      <c r="B22" s="61"/>
      <c r="E22" s="99"/>
    </row>
    <row r="23" spans="1:16">
      <c r="A23" s="61" t="s">
        <v>907</v>
      </c>
      <c r="B23" s="61" t="s">
        <v>976</v>
      </c>
      <c r="E23" s="99"/>
    </row>
    <row r="24" spans="1:16">
      <c r="A24" s="61" t="s">
        <v>908</v>
      </c>
      <c r="B24" s="61">
        <v>2025</v>
      </c>
      <c r="E24" s="99"/>
    </row>
    <row r="25" spans="1:16">
      <c r="A25" s="61" t="s">
        <v>909</v>
      </c>
      <c r="B25" s="61" t="s">
        <v>1241</v>
      </c>
      <c r="E25" s="99"/>
    </row>
    <row r="26" spans="1:16">
      <c r="E26" s="99"/>
    </row>
    <row r="27" spans="1:16">
      <c r="A27" s="101" t="s">
        <v>910</v>
      </c>
      <c r="B27" s="99"/>
      <c r="E27" s="99"/>
    </row>
    <row r="28" spans="1:16">
      <c r="E28" s="99"/>
    </row>
    <row r="29" spans="1:16">
      <c r="E29" s="99"/>
    </row>
    <row r="30" spans="1:16">
      <c r="E30" s="99"/>
    </row>
    <row r="31" spans="1:16">
      <c r="E31" s="99"/>
    </row>
    <row r="32" spans="1:16">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8.7109375" bestFit="1" customWidth="1"/>
    <col min="9" max="9" width="11" customWidth="1"/>
    <col min="11" max="11" width="10.7109375" customWidth="1"/>
    <col min="12" max="12" width="8.7109375" bestFit="1" customWidth="1"/>
    <col min="13" max="13" width="12.140625" bestFit="1" customWidth="1"/>
    <col min="14" max="14" width="8.7109375" bestFit="1" customWidth="1"/>
    <col min="15" max="15" width="11" bestFit="1" customWidth="1"/>
  </cols>
  <sheetData>
    <row r="1" spans="1:15">
      <c r="A1" s="58" t="s">
        <v>882</v>
      </c>
      <c r="B1" s="114" t="s">
        <v>94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tbl-poverty-rate</v>
      </c>
    </row>
    <row r="4" spans="1:15">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c r="A5" s="98" t="s">
        <v>885</v>
      </c>
      <c r="B5" s="99"/>
      <c r="E5" s="100"/>
      <c r="G5" t="s">
        <v>220</v>
      </c>
      <c r="H5" t="s">
        <v>18</v>
      </c>
      <c r="I5" t="s">
        <v>537</v>
      </c>
      <c r="J5" t="s">
        <v>449</v>
      </c>
      <c r="K5" t="s">
        <v>409</v>
      </c>
      <c r="L5" t="s">
        <v>421</v>
      </c>
      <c r="M5" t="s">
        <v>470</v>
      </c>
      <c r="N5" t="s">
        <v>915</v>
      </c>
    </row>
    <row r="6" spans="1:15" ht="15" customHeight="1">
      <c r="A6" t="s">
        <v>891</v>
      </c>
      <c r="B6" t="b">
        <v>0</v>
      </c>
      <c r="E6" s="100"/>
      <c r="F6">
        <v>2021</v>
      </c>
      <c r="G6">
        <v>8.8000000000000007</v>
      </c>
      <c r="H6">
        <v>11.7</v>
      </c>
      <c r="I6">
        <v>6</v>
      </c>
      <c r="J6">
        <v>14.9</v>
      </c>
      <c r="K6">
        <v>14.1</v>
      </c>
      <c r="L6">
        <v>13.2</v>
      </c>
      <c r="M6">
        <v>8.1999999999999993</v>
      </c>
      <c r="N6">
        <v>13.5</v>
      </c>
    </row>
    <row r="7" spans="1:15" ht="15.75" customHeight="1">
      <c r="E7" s="100"/>
      <c r="F7">
        <v>2022</v>
      </c>
      <c r="G7">
        <v>8.6</v>
      </c>
      <c r="H7">
        <v>13</v>
      </c>
      <c r="I7">
        <v>6.3</v>
      </c>
      <c r="J7">
        <v>15.1</v>
      </c>
      <c r="K7">
        <v>14.8</v>
      </c>
      <c r="L7">
        <v>14.7</v>
      </c>
      <c r="M7">
        <v>8.5</v>
      </c>
      <c r="N7">
        <v>13.6</v>
      </c>
    </row>
    <row r="8" spans="1:15">
      <c r="E8" s="100"/>
      <c r="F8">
        <v>2023</v>
      </c>
      <c r="G8">
        <v>8.3000000000000007</v>
      </c>
      <c r="H8">
        <v>13</v>
      </c>
      <c r="I8">
        <v>6.5</v>
      </c>
      <c r="J8">
        <v>15.6</v>
      </c>
      <c r="K8">
        <v>15.2</v>
      </c>
      <c r="L8">
        <v>14.3</v>
      </c>
      <c r="M8">
        <v>8.9</v>
      </c>
      <c r="N8">
        <v>13.7</v>
      </c>
    </row>
    <row r="9" spans="1:15">
      <c r="A9" s="98" t="s">
        <v>893</v>
      </c>
      <c r="B9" s="99"/>
      <c r="E9" s="100"/>
    </row>
    <row r="10" spans="1:15">
      <c r="A10" t="s">
        <v>894</v>
      </c>
      <c r="B10" t="s">
        <v>983</v>
      </c>
      <c r="E10" s="100"/>
    </row>
    <row r="11" spans="1:15">
      <c r="A11" t="s">
        <v>895</v>
      </c>
      <c r="B11" t="s">
        <v>887</v>
      </c>
      <c r="E11" s="100"/>
    </row>
    <row r="12" spans="1:15">
      <c r="A12" t="s">
        <v>896</v>
      </c>
      <c r="E12" s="100"/>
    </row>
    <row r="13" spans="1:15">
      <c r="A13" t="s">
        <v>897</v>
      </c>
      <c r="B13" t="s">
        <v>1242</v>
      </c>
      <c r="E13" s="100"/>
    </row>
    <row r="14" spans="1:15">
      <c r="A14" t="s">
        <v>899</v>
      </c>
      <c r="E14" s="100"/>
    </row>
    <row r="15" spans="1:15">
      <c r="A15" t="s">
        <v>901</v>
      </c>
      <c r="B15" t="b">
        <v>1</v>
      </c>
      <c r="E15" s="100"/>
    </row>
    <row r="16" spans="1:15">
      <c r="A16" t="s">
        <v>1146</v>
      </c>
      <c r="B16" t="b">
        <v>1</v>
      </c>
      <c r="E16" s="100"/>
    </row>
    <row r="17" spans="1:5">
      <c r="E17" s="100"/>
    </row>
    <row r="18" spans="1:5">
      <c r="A18" s="98" t="s">
        <v>902</v>
      </c>
      <c r="B18" s="99"/>
      <c r="E18" s="100"/>
    </row>
    <row r="19" spans="1:5">
      <c r="A19" t="s">
        <v>903</v>
      </c>
      <c r="B19" t="s">
        <v>1243</v>
      </c>
      <c r="E19" s="100"/>
    </row>
    <row r="20" spans="1:5">
      <c r="A20" t="s">
        <v>904</v>
      </c>
      <c r="B20" t="s">
        <v>1244</v>
      </c>
      <c r="E20" s="100"/>
    </row>
    <row r="21" spans="1:5">
      <c r="A21" t="s">
        <v>905</v>
      </c>
      <c r="B21">
        <v>2023</v>
      </c>
      <c r="E21" s="100"/>
    </row>
    <row r="22" spans="1:5">
      <c r="A22" t="s">
        <v>906</v>
      </c>
      <c r="B22" t="s">
        <v>1150</v>
      </c>
      <c r="E22" s="100"/>
    </row>
    <row r="23" spans="1:5">
      <c r="A23" t="s">
        <v>907</v>
      </c>
      <c r="B23" t="s">
        <v>976</v>
      </c>
      <c r="E23" s="100"/>
    </row>
    <row r="24" spans="1:5">
      <c r="A24" t="s">
        <v>908</v>
      </c>
      <c r="B24">
        <v>2025</v>
      </c>
      <c r="E24" s="100"/>
    </row>
    <row r="25" spans="1:5">
      <c r="A25" t="s">
        <v>909</v>
      </c>
      <c r="E25" s="100"/>
    </row>
    <row r="26" spans="1:5">
      <c r="E26" s="100"/>
    </row>
    <row r="27" spans="1:5">
      <c r="A27" s="101" t="s">
        <v>910</v>
      </c>
      <c r="B27" s="99"/>
      <c r="E27" s="100"/>
    </row>
    <row r="28" spans="1:5">
      <c r="E28" s="100"/>
    </row>
    <row r="29" spans="1:5">
      <c r="E29" s="100"/>
    </row>
    <row r="30" spans="1:5">
      <c r="E30" s="100"/>
    </row>
    <row r="31" spans="1:5">
      <c r="E31" s="100"/>
    </row>
    <row r="32" spans="1:5">
      <c r="E32" s="100"/>
    </row>
    <row r="33" spans="5:5">
      <c r="E33" s="100"/>
    </row>
    <row r="34" spans="5:5">
      <c r="E34" s="100"/>
    </row>
    <row r="35" spans="5:5">
      <c r="E35" s="100"/>
    </row>
    <row r="36" spans="5:5">
      <c r="E36" s="100"/>
    </row>
    <row r="37" spans="5:5">
      <c r="E37" s="100"/>
    </row>
    <row r="38" spans="5:5">
      <c r="E38" s="100"/>
    </row>
    <row r="39" spans="5:5">
      <c r="E39" s="100"/>
    </row>
    <row r="40" spans="5:5">
      <c r="E40" s="100"/>
    </row>
    <row r="41" spans="5:5">
      <c r="E41" s="100"/>
    </row>
    <row r="42" spans="5:5">
      <c r="E42" s="100"/>
    </row>
    <row r="43" spans="5:5">
      <c r="E43" s="100"/>
    </row>
    <row r="44" spans="5:5">
      <c r="E44" s="100"/>
    </row>
    <row r="45" spans="5:5">
      <c r="E45" s="100"/>
    </row>
    <row r="46" spans="5:5">
      <c r="E46" s="100"/>
    </row>
    <row r="47" spans="5:5">
      <c r="E47" s="100"/>
    </row>
    <row r="48" spans="5:5">
      <c r="E48" s="100"/>
    </row>
    <row r="49" spans="5:5">
      <c r="E49" s="100"/>
    </row>
    <row r="50" spans="5:5">
      <c r="E50" s="100"/>
    </row>
    <row r="51" spans="5:5">
      <c r="E51" s="100"/>
    </row>
    <row r="52" spans="5:5">
      <c r="E52" s="100"/>
    </row>
    <row r="53" spans="5:5">
      <c r="E53" s="100"/>
    </row>
    <row r="54" spans="5:5">
      <c r="E54" s="100"/>
    </row>
    <row r="55" spans="5:5">
      <c r="E55" s="100"/>
    </row>
    <row r="56" spans="5:5">
      <c r="E56" s="100"/>
    </row>
    <row r="57" spans="5:5">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defaultColWidth="8.7109375" defaultRowHeight="15"/>
  <cols>
    <col min="1" max="1" width="20" bestFit="1" customWidth="1"/>
    <col min="2" max="2" width="16.7109375" customWidth="1"/>
    <col min="5" max="5" width="6.7109375" customWidth="1"/>
    <col min="6" max="6" width="36.28515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99</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tbl-poverty-by-race</v>
      </c>
    </row>
    <row r="4" spans="1:15">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c r="A5" s="98" t="s">
        <v>885</v>
      </c>
      <c r="B5" s="99"/>
      <c r="E5" s="100" t="s">
        <v>886</v>
      </c>
      <c r="F5" t="s">
        <v>1245</v>
      </c>
      <c r="G5" t="s">
        <v>220</v>
      </c>
      <c r="H5" t="s">
        <v>18</v>
      </c>
      <c r="I5" t="s">
        <v>537</v>
      </c>
      <c r="J5" t="s">
        <v>449</v>
      </c>
      <c r="K5" t="s">
        <v>409</v>
      </c>
      <c r="L5" t="s">
        <v>421</v>
      </c>
      <c r="M5" t="s">
        <v>470</v>
      </c>
      <c r="N5" t="s">
        <v>915</v>
      </c>
    </row>
    <row r="6" spans="1:15" ht="15" customHeight="1">
      <c r="A6" t="s">
        <v>891</v>
      </c>
      <c r="B6" t="b">
        <v>0</v>
      </c>
      <c r="E6" s="99"/>
      <c r="F6" t="s">
        <v>1246</v>
      </c>
      <c r="G6" s="43">
        <v>3.3</v>
      </c>
      <c r="H6" s="43">
        <v>7.9</v>
      </c>
      <c r="I6" s="43">
        <v>2.8</v>
      </c>
      <c r="J6" s="43">
        <v>11.1</v>
      </c>
      <c r="K6" s="43">
        <v>8.1999999999999993</v>
      </c>
      <c r="L6" s="43">
        <v>4.9000000000000004</v>
      </c>
      <c r="M6" s="43">
        <v>2.6</v>
      </c>
      <c r="N6">
        <v>5.7</v>
      </c>
    </row>
    <row r="7" spans="1:15" ht="15.75" customHeight="1">
      <c r="E7" s="99"/>
      <c r="F7" t="s">
        <v>1247</v>
      </c>
      <c r="G7" s="43">
        <v>14.2</v>
      </c>
      <c r="H7" s="43">
        <v>12.5</v>
      </c>
      <c r="I7" s="43">
        <v>0</v>
      </c>
      <c r="J7" s="43">
        <v>8.6</v>
      </c>
      <c r="K7" s="43">
        <v>30.5</v>
      </c>
      <c r="L7" s="43">
        <v>14.1</v>
      </c>
      <c r="M7" s="43">
        <v>10.8</v>
      </c>
      <c r="N7">
        <v>16.5</v>
      </c>
    </row>
    <row r="8" spans="1:15">
      <c r="E8" s="99"/>
      <c r="F8" t="s">
        <v>1248</v>
      </c>
      <c r="G8" s="43" t="s">
        <v>1249</v>
      </c>
      <c r="H8" s="43" t="s">
        <v>1250</v>
      </c>
      <c r="I8" s="43" t="s">
        <v>1251</v>
      </c>
      <c r="J8" s="43" t="s">
        <v>1252</v>
      </c>
      <c r="K8" s="43" t="s">
        <v>1253</v>
      </c>
      <c r="L8" s="43" t="s">
        <v>1254</v>
      </c>
      <c r="M8" s="43">
        <v>5.4</v>
      </c>
      <c r="N8">
        <v>11.1</v>
      </c>
    </row>
    <row r="9" spans="1:15">
      <c r="A9" s="98" t="s">
        <v>893</v>
      </c>
      <c r="B9" s="99"/>
      <c r="E9" s="99"/>
      <c r="F9" t="s">
        <v>1255</v>
      </c>
      <c r="G9" s="43">
        <v>11.2</v>
      </c>
      <c r="H9" s="43">
        <v>11.3</v>
      </c>
      <c r="I9" s="43">
        <v>6.6</v>
      </c>
      <c r="J9" s="43">
        <v>12.8</v>
      </c>
      <c r="K9" s="43">
        <v>14.3</v>
      </c>
      <c r="L9" s="43">
        <v>24.4</v>
      </c>
      <c r="M9" s="43">
        <v>10.4</v>
      </c>
      <c r="N9">
        <v>17.100000000000001</v>
      </c>
    </row>
    <row r="10" spans="1:15">
      <c r="A10" t="s">
        <v>894</v>
      </c>
      <c r="B10" t="s">
        <v>983</v>
      </c>
      <c r="E10" s="99"/>
      <c r="F10" t="s">
        <v>1256</v>
      </c>
      <c r="G10" s="43">
        <v>5.3</v>
      </c>
      <c r="H10" s="43">
        <v>9.1999999999999993</v>
      </c>
      <c r="I10" s="43">
        <v>3.8</v>
      </c>
      <c r="J10" s="43">
        <v>10.3</v>
      </c>
      <c r="K10" s="43">
        <v>10.5</v>
      </c>
      <c r="L10" s="43">
        <v>7.1</v>
      </c>
      <c r="M10" s="43">
        <v>5.7</v>
      </c>
      <c r="N10">
        <v>9.6999999999999993</v>
      </c>
    </row>
    <row r="11" spans="1:15">
      <c r="A11" t="s">
        <v>895</v>
      </c>
      <c r="B11" t="s">
        <v>1257</v>
      </c>
      <c r="E11" s="99"/>
    </row>
    <row r="12" spans="1:15">
      <c r="A12" t="s">
        <v>896</v>
      </c>
      <c r="B12" t="s">
        <v>1245</v>
      </c>
      <c r="E12" s="99"/>
    </row>
    <row r="13" spans="1:15">
      <c r="A13" t="s">
        <v>897</v>
      </c>
      <c r="E13" s="99"/>
    </row>
    <row r="14" spans="1:15">
      <c r="A14" t="s">
        <v>899</v>
      </c>
      <c r="B14" t="s">
        <v>1242</v>
      </c>
      <c r="E14" s="99"/>
    </row>
    <row r="15" spans="1:15">
      <c r="A15" t="s">
        <v>901</v>
      </c>
      <c r="B15" t="b">
        <v>1</v>
      </c>
      <c r="E15" s="99"/>
    </row>
    <row r="16" spans="1:15">
      <c r="A16" t="s">
        <v>1146</v>
      </c>
      <c r="B16" t="b">
        <v>0</v>
      </c>
      <c r="E16" s="99"/>
    </row>
    <row r="17" spans="1:5">
      <c r="E17" s="99"/>
    </row>
    <row r="18" spans="1:5">
      <c r="A18" s="98" t="s">
        <v>902</v>
      </c>
      <c r="B18" s="99"/>
      <c r="E18" s="99"/>
    </row>
    <row r="19" spans="1:5">
      <c r="A19" t="s">
        <v>903</v>
      </c>
      <c r="B19" t="s">
        <v>1258</v>
      </c>
      <c r="E19" s="99"/>
    </row>
    <row r="20" spans="1:5">
      <c r="A20" t="s">
        <v>904</v>
      </c>
      <c r="B20" t="s">
        <v>1259</v>
      </c>
      <c r="E20" s="99"/>
    </row>
    <row r="21" spans="1:5">
      <c r="A21" t="s">
        <v>905</v>
      </c>
      <c r="B21">
        <v>2023</v>
      </c>
      <c r="E21" s="99"/>
    </row>
    <row r="22" spans="1:5">
      <c r="A22" t="s">
        <v>906</v>
      </c>
      <c r="B22" t="s">
        <v>1150</v>
      </c>
      <c r="E22" s="99"/>
    </row>
    <row r="23" spans="1:5">
      <c r="A23" t="s">
        <v>907</v>
      </c>
      <c r="B23" t="s">
        <v>976</v>
      </c>
      <c r="E23" s="99"/>
    </row>
    <row r="24" spans="1:5">
      <c r="A24" t="s">
        <v>908</v>
      </c>
      <c r="B24">
        <v>2025</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defaultColWidth="8.7109375" defaultRowHeight="15"/>
  <cols>
    <col min="1" max="1" width="20" bestFit="1" customWidth="1"/>
    <col min="2" max="2" width="38.7109375" bestFit="1" customWidth="1"/>
    <col min="5" max="5" width="6.7109375" customWidth="1"/>
    <col min="6" max="6" width="11.1406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105</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tbl-economically-disadvantaged</v>
      </c>
    </row>
    <row r="4" spans="1:15">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1260</v>
      </c>
      <c r="G6" s="14">
        <v>39.200000000000003</v>
      </c>
      <c r="H6" s="14">
        <v>47</v>
      </c>
      <c r="I6" s="14">
        <v>28.5</v>
      </c>
      <c r="J6" s="14">
        <v>43.9</v>
      </c>
      <c r="K6" s="14">
        <v>60.4</v>
      </c>
      <c r="L6" s="14">
        <v>48.6</v>
      </c>
      <c r="M6" s="14">
        <v>38.9</v>
      </c>
      <c r="N6" s="14">
        <v>56.2</v>
      </c>
    </row>
    <row r="7" spans="1:15" ht="15.75" customHeight="1">
      <c r="E7" s="99"/>
      <c r="F7" t="s">
        <v>1261</v>
      </c>
      <c r="G7" s="14">
        <v>43.1</v>
      </c>
      <c r="H7" s="14">
        <v>49</v>
      </c>
      <c r="I7" s="14">
        <v>32.1</v>
      </c>
      <c r="J7" s="14">
        <v>48.1</v>
      </c>
      <c r="K7" s="14">
        <v>62.7</v>
      </c>
      <c r="L7" s="14">
        <v>52.5</v>
      </c>
      <c r="M7" s="14">
        <v>39.6</v>
      </c>
      <c r="N7" s="14">
        <v>59.1</v>
      </c>
    </row>
    <row r="8" spans="1:15">
      <c r="E8" s="99"/>
      <c r="F8" t="s">
        <v>1262</v>
      </c>
      <c r="G8" s="14">
        <v>43.3</v>
      </c>
      <c r="H8" s="14">
        <v>49.5</v>
      </c>
      <c r="I8" s="14">
        <v>32.5</v>
      </c>
      <c r="J8" s="14">
        <v>51</v>
      </c>
      <c r="K8" s="14">
        <v>61.4</v>
      </c>
      <c r="L8" s="14">
        <v>48.8</v>
      </c>
      <c r="M8" s="14">
        <v>39.700000000000003</v>
      </c>
      <c r="N8" s="14">
        <v>59.2</v>
      </c>
    </row>
    <row r="9" spans="1:15">
      <c r="A9" s="98" t="s">
        <v>893</v>
      </c>
      <c r="B9" s="99"/>
      <c r="E9" s="99"/>
    </row>
    <row r="10" spans="1:15">
      <c r="A10" t="s">
        <v>894</v>
      </c>
      <c r="B10" t="s">
        <v>983</v>
      </c>
      <c r="E10" s="99"/>
    </row>
    <row r="11" spans="1:15">
      <c r="A11" t="s">
        <v>895</v>
      </c>
      <c r="B11" t="s">
        <v>887</v>
      </c>
      <c r="E11" s="99"/>
    </row>
    <row r="12" spans="1:15">
      <c r="A12" t="s">
        <v>896</v>
      </c>
      <c r="E12" s="99"/>
    </row>
    <row r="13" spans="1:15">
      <c r="A13" t="s">
        <v>897</v>
      </c>
      <c r="E13" s="99"/>
    </row>
    <row r="14" spans="1:15">
      <c r="A14" t="s">
        <v>899</v>
      </c>
      <c r="B14" t="s">
        <v>1263</v>
      </c>
      <c r="E14" s="99"/>
    </row>
    <row r="15" spans="1:15">
      <c r="A15" t="s">
        <v>901</v>
      </c>
      <c r="B15" t="b">
        <v>0</v>
      </c>
      <c r="E15" s="99"/>
    </row>
    <row r="16" spans="1:15">
      <c r="A16" t="s">
        <v>1146</v>
      </c>
      <c r="B16" t="b">
        <v>0</v>
      </c>
      <c r="E16" s="99"/>
    </row>
    <row r="17" spans="1:5">
      <c r="E17" s="99"/>
    </row>
    <row r="18" spans="1:5">
      <c r="A18" s="98" t="s">
        <v>902</v>
      </c>
      <c r="B18" s="99"/>
      <c r="E18" s="99"/>
    </row>
    <row r="19" spans="1:5">
      <c r="A19" t="s">
        <v>903</v>
      </c>
      <c r="B19" s="61"/>
      <c r="E19" s="99"/>
    </row>
    <row r="20" spans="1:5">
      <c r="A20" t="s">
        <v>904</v>
      </c>
      <c r="B20" s="61" t="s">
        <v>1264</v>
      </c>
      <c r="E20" s="99"/>
    </row>
    <row r="21" spans="1:5">
      <c r="A21" t="s">
        <v>905</v>
      </c>
      <c r="B21" s="61">
        <v>2024</v>
      </c>
      <c r="E21" s="99"/>
    </row>
    <row r="22" spans="1:5">
      <c r="A22" t="s">
        <v>906</v>
      </c>
      <c r="B22" s="61"/>
      <c r="E22" s="99"/>
    </row>
    <row r="23" spans="1:5">
      <c r="A23" t="s">
        <v>907</v>
      </c>
      <c r="B23" s="61" t="s">
        <v>976</v>
      </c>
      <c r="E23" s="99"/>
    </row>
    <row r="24" spans="1:5">
      <c r="A24" t="s">
        <v>908</v>
      </c>
      <c r="B24" s="61">
        <v>2025</v>
      </c>
      <c r="E24" s="99"/>
    </row>
    <row r="25" spans="1:5">
      <c r="A25" t="s">
        <v>909</v>
      </c>
      <c r="B25" s="61" t="s">
        <v>1265</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defaultColWidth="8.7109375" defaultRowHeight="15"/>
  <cols>
    <col min="1" max="1" width="20" bestFit="1" customWidth="1"/>
    <col min="2" max="2" width="16.7109375" customWidth="1"/>
    <col min="5" max="5" width="6.7109375" customWidth="1"/>
    <col min="6" max="6" width="14.7109375" bestFit="1" customWidth="1"/>
    <col min="7" max="7" width="11.7109375" bestFit="1" customWidth="1"/>
    <col min="8" max="8" width="20" bestFit="1" customWidth="1"/>
    <col min="9" max="9" width="26.7109375" bestFit="1" customWidth="1"/>
    <col min="10" max="10" width="10.7109375" bestFit="1" customWidth="1"/>
    <col min="11" max="11" width="24" bestFit="1" customWidth="1"/>
    <col min="12" max="12" width="27.7109375" bestFit="1" customWidth="1"/>
    <col min="13" max="13" width="15.28515625" bestFit="1" customWidth="1"/>
    <col min="14" max="14" width="14.42578125" bestFit="1" customWidth="1"/>
    <col min="15" max="15" width="11" bestFit="1" customWidth="1"/>
  </cols>
  <sheetData>
    <row r="1" spans="1:15">
      <c r="A1" s="58" t="s">
        <v>882</v>
      </c>
      <c r="B1" s="114" t="s">
        <v>110</v>
      </c>
      <c r="C1" s="97"/>
      <c r="D1" s="97"/>
      <c r="E1" s="97"/>
      <c r="F1" s="97"/>
      <c r="G1" s="97"/>
      <c r="H1" s="97"/>
      <c r="I1" s="97"/>
      <c r="J1" s="97"/>
      <c r="K1" s="97"/>
      <c r="L1" s="97"/>
      <c r="M1" s="97"/>
      <c r="N1" s="97"/>
      <c r="O1" s="97"/>
    </row>
    <row r="2" spans="1:15">
      <c r="A2" s="58" t="s">
        <v>883</v>
      </c>
      <c r="B2" t="s">
        <v>12</v>
      </c>
    </row>
    <row r="3" spans="1:15">
      <c r="A3" s="58" t="s">
        <v>884</v>
      </c>
      <c r="B3" t="str">
        <f>IF($B$1="","",_xlfn.XLOOKUP($B$1,Master!$F$2:$F$308,Master!$G$2:$G$308,""))</f>
        <v>tbl-alice-budget</v>
      </c>
    </row>
    <row r="4" spans="1:15">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c r="A5" s="98" t="s">
        <v>885</v>
      </c>
      <c r="B5" s="99"/>
      <c r="E5" s="100" t="s">
        <v>886</v>
      </c>
      <c r="G5" t="s">
        <v>1266</v>
      </c>
      <c r="H5" t="s">
        <v>1267</v>
      </c>
      <c r="I5" t="s">
        <v>1268</v>
      </c>
      <c r="J5" t="s">
        <v>1269</v>
      </c>
      <c r="K5" t="s">
        <v>1270</v>
      </c>
      <c r="L5" t="s">
        <v>1271</v>
      </c>
      <c r="M5" t="s">
        <v>1272</v>
      </c>
      <c r="N5" t="s">
        <v>1273</v>
      </c>
    </row>
    <row r="6" spans="1:15" ht="15" customHeight="1">
      <c r="A6" t="s">
        <v>891</v>
      </c>
      <c r="B6" t="b">
        <v>0</v>
      </c>
      <c r="E6" s="99"/>
      <c r="F6" t="s">
        <v>1274</v>
      </c>
      <c r="G6" s="41">
        <v>1103</v>
      </c>
      <c r="H6" s="41">
        <v>1189</v>
      </c>
      <c r="I6" s="41">
        <v>1189</v>
      </c>
      <c r="J6" s="41">
        <v>1189</v>
      </c>
      <c r="K6" s="41">
        <v>1437</v>
      </c>
      <c r="L6" s="41">
        <v>1437</v>
      </c>
      <c r="M6" s="41">
        <v>1103</v>
      </c>
      <c r="N6" s="41">
        <v>1189</v>
      </c>
    </row>
    <row r="7" spans="1:15" ht="15.75" customHeight="1">
      <c r="E7" s="99"/>
      <c r="F7" t="s">
        <v>1275</v>
      </c>
      <c r="G7" s="41">
        <v>0</v>
      </c>
      <c r="H7" s="41">
        <v>423</v>
      </c>
      <c r="I7" s="41">
        <v>1126</v>
      </c>
      <c r="J7" s="41">
        <v>0</v>
      </c>
      <c r="K7" s="41">
        <v>844</v>
      </c>
      <c r="L7" s="41">
        <v>2345</v>
      </c>
      <c r="M7" s="41">
        <v>0</v>
      </c>
      <c r="N7" s="41">
        <v>0</v>
      </c>
    </row>
    <row r="8" spans="1:15">
      <c r="E8" s="99"/>
      <c r="F8" t="s">
        <v>1276</v>
      </c>
      <c r="G8" s="41">
        <v>516</v>
      </c>
      <c r="H8" s="41">
        <v>873</v>
      </c>
      <c r="I8" s="41">
        <v>783</v>
      </c>
      <c r="J8" s="41">
        <v>946</v>
      </c>
      <c r="K8" s="41">
        <v>1587</v>
      </c>
      <c r="L8" s="41">
        <v>1400</v>
      </c>
      <c r="M8" s="41">
        <v>475</v>
      </c>
      <c r="N8" s="41">
        <v>870</v>
      </c>
    </row>
    <row r="9" spans="1:15">
      <c r="A9" s="98" t="s">
        <v>893</v>
      </c>
      <c r="B9" s="99"/>
      <c r="E9" s="99"/>
      <c r="F9" t="s">
        <v>1277</v>
      </c>
      <c r="G9" s="41">
        <v>401</v>
      </c>
      <c r="H9" s="41">
        <v>535</v>
      </c>
      <c r="I9" s="41">
        <v>506</v>
      </c>
      <c r="J9" s="41">
        <v>617</v>
      </c>
      <c r="K9" s="41">
        <v>957</v>
      </c>
      <c r="L9" s="41">
        <v>899</v>
      </c>
      <c r="M9" s="41">
        <v>346</v>
      </c>
      <c r="N9" s="41">
        <v>508</v>
      </c>
    </row>
    <row r="10" spans="1:15">
      <c r="A10" t="s">
        <v>894</v>
      </c>
      <c r="E10" s="99"/>
      <c r="F10" t="s">
        <v>1278</v>
      </c>
      <c r="G10" s="41">
        <v>196</v>
      </c>
      <c r="H10" s="41">
        <v>452</v>
      </c>
      <c r="I10" s="41">
        <v>452</v>
      </c>
      <c r="J10" s="41">
        <v>452</v>
      </c>
      <c r="K10" s="41">
        <v>775</v>
      </c>
      <c r="L10" s="41">
        <v>775</v>
      </c>
      <c r="M10" s="41">
        <v>543</v>
      </c>
      <c r="N10" s="41">
        <v>1086</v>
      </c>
    </row>
    <row r="11" spans="1:15">
      <c r="A11" t="s">
        <v>895</v>
      </c>
      <c r="E11" s="99"/>
      <c r="F11" t="s">
        <v>1279</v>
      </c>
      <c r="G11" s="41">
        <v>86</v>
      </c>
      <c r="H11" s="41">
        <v>86</v>
      </c>
      <c r="I11" s="41">
        <v>86</v>
      </c>
      <c r="J11" s="41">
        <v>116</v>
      </c>
      <c r="K11" s="41">
        <v>116</v>
      </c>
      <c r="L11" s="41">
        <v>116</v>
      </c>
      <c r="M11" s="41">
        <v>86</v>
      </c>
      <c r="N11" s="41">
        <v>116</v>
      </c>
    </row>
    <row r="12" spans="1:15">
      <c r="A12" t="s">
        <v>896</v>
      </c>
      <c r="E12" s="99"/>
      <c r="F12" t="s">
        <v>1280</v>
      </c>
      <c r="G12" s="41">
        <v>230</v>
      </c>
      <c r="H12" s="41">
        <v>356</v>
      </c>
      <c r="I12" s="41">
        <v>414</v>
      </c>
      <c r="J12" s="41">
        <v>332</v>
      </c>
      <c r="K12" s="41">
        <v>572</v>
      </c>
      <c r="L12" s="41">
        <v>697</v>
      </c>
      <c r="M12" s="41">
        <v>255</v>
      </c>
      <c r="N12" s="41">
        <v>377</v>
      </c>
    </row>
    <row r="13" spans="1:15">
      <c r="A13" t="s">
        <v>897</v>
      </c>
      <c r="E13" s="99"/>
      <c r="F13" t="s">
        <v>1281</v>
      </c>
      <c r="G13" s="41">
        <v>439</v>
      </c>
      <c r="H13" s="41">
        <v>461</v>
      </c>
      <c r="I13" s="41">
        <v>625</v>
      </c>
      <c r="J13" s="41">
        <v>529</v>
      </c>
      <c r="K13" s="41">
        <v>684</v>
      </c>
      <c r="L13" s="41">
        <v>1037</v>
      </c>
      <c r="M13" s="41">
        <v>510</v>
      </c>
      <c r="N13" s="41">
        <v>861</v>
      </c>
    </row>
    <row r="14" spans="1:15">
      <c r="A14" t="s">
        <v>899</v>
      </c>
      <c r="E14" s="99"/>
      <c r="F14" t="s">
        <v>1282</v>
      </c>
      <c r="G14" s="41">
        <v>2971</v>
      </c>
      <c r="H14" s="41">
        <v>4375</v>
      </c>
      <c r="I14" s="41">
        <v>5181</v>
      </c>
      <c r="J14" s="41">
        <v>4181</v>
      </c>
      <c r="K14" s="41">
        <v>6972</v>
      </c>
      <c r="L14" s="41">
        <v>8706</v>
      </c>
      <c r="M14" s="41">
        <v>3318</v>
      </c>
      <c r="N14" s="41">
        <v>5007</v>
      </c>
    </row>
    <row r="15" spans="1:15">
      <c r="A15" t="s">
        <v>901</v>
      </c>
      <c r="E15" s="99"/>
      <c r="F15" t="s">
        <v>1283</v>
      </c>
      <c r="G15" s="41">
        <v>35652</v>
      </c>
      <c r="H15" s="41">
        <v>52500</v>
      </c>
      <c r="I15" s="41">
        <v>62172</v>
      </c>
      <c r="J15" s="41">
        <v>50172</v>
      </c>
      <c r="K15" s="41">
        <v>83664</v>
      </c>
      <c r="L15" s="41">
        <v>104472</v>
      </c>
      <c r="M15" s="41">
        <v>39816</v>
      </c>
      <c r="N15" s="41">
        <v>60084</v>
      </c>
    </row>
    <row r="16" spans="1:15">
      <c r="E16" s="99"/>
      <c r="F16" t="s">
        <v>1284</v>
      </c>
      <c r="G16" s="41">
        <v>17.829999999999998</v>
      </c>
      <c r="H16" s="41">
        <v>26.25</v>
      </c>
      <c r="I16" s="41">
        <v>31.09</v>
      </c>
      <c r="J16" s="41">
        <v>25.09</v>
      </c>
      <c r="K16" s="41">
        <v>41.83</v>
      </c>
      <c r="L16" s="41">
        <v>52.24</v>
      </c>
      <c r="M16" s="41">
        <v>19.91</v>
      </c>
      <c r="N16" s="41">
        <v>30.04</v>
      </c>
    </row>
    <row r="17" spans="1:5">
      <c r="E17" s="99"/>
    </row>
    <row r="18" spans="1:5">
      <c r="A18" s="98" t="s">
        <v>902</v>
      </c>
      <c r="B18" s="99"/>
      <c r="E18" s="99"/>
    </row>
    <row r="19" spans="1:5">
      <c r="A19" t="s">
        <v>903</v>
      </c>
      <c r="E19" s="99"/>
    </row>
    <row r="20" spans="1:5">
      <c r="A20" t="s">
        <v>904</v>
      </c>
      <c r="B20" t="s">
        <v>1285</v>
      </c>
      <c r="E20" s="99"/>
    </row>
    <row r="21" spans="1:5">
      <c r="A21" t="s">
        <v>905</v>
      </c>
      <c r="B21">
        <v>2023</v>
      </c>
      <c r="E21" s="99"/>
    </row>
    <row r="22" spans="1:5">
      <c r="A22" t="s">
        <v>906</v>
      </c>
      <c r="E22" s="99"/>
    </row>
    <row r="23" spans="1:5">
      <c r="A23" t="s">
        <v>907</v>
      </c>
      <c r="B23" t="s">
        <v>976</v>
      </c>
      <c r="E23" s="99"/>
    </row>
    <row r="24" spans="1:5">
      <c r="A24" t="s">
        <v>908</v>
      </c>
      <c r="B24">
        <v>2025</v>
      </c>
      <c r="E24" s="99"/>
    </row>
    <row r="25" spans="1:5">
      <c r="A25" t="s">
        <v>909</v>
      </c>
      <c r="B25" t="s">
        <v>1286</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defaultColWidth="8.7109375" defaultRowHeight="15"/>
  <cols>
    <col min="1" max="1" width="20" bestFit="1" customWidth="1"/>
    <col min="2" max="2" width="16.7109375" customWidth="1"/>
    <col min="5" max="5" width="6.7109375" customWidth="1"/>
    <col min="6" max="6" width="18.28515625" bestFit="1" customWidth="1"/>
    <col min="7" max="7" width="9.42578125" customWidth="1"/>
    <col min="8" max="8" width="13.42578125" customWidth="1"/>
    <col min="9" max="9" width="11" customWidth="1"/>
    <col min="11" max="11" width="10.7109375" customWidth="1"/>
    <col min="12" max="12" width="12.28515625" bestFit="1" customWidth="1"/>
    <col min="13" max="13" width="12.140625" bestFit="1" customWidth="1"/>
    <col min="14" max="14" width="12.28515625" bestFit="1" customWidth="1"/>
    <col min="15" max="15" width="11" bestFit="1" customWidth="1"/>
  </cols>
  <sheetData>
    <row r="1" spans="1:15">
      <c r="A1" s="58" t="s">
        <v>882</v>
      </c>
      <c r="B1" s="114" t="s">
        <v>114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tbl-alice-threshold</v>
      </c>
    </row>
    <row r="4" spans="1:15">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1287</v>
      </c>
      <c r="G6" s="14">
        <v>31</v>
      </c>
      <c r="H6" s="14">
        <v>33</v>
      </c>
      <c r="I6" s="14">
        <v>32</v>
      </c>
      <c r="J6" s="14">
        <v>38</v>
      </c>
      <c r="K6" s="14">
        <v>30</v>
      </c>
      <c r="L6" s="14">
        <v>32</v>
      </c>
      <c r="M6" s="14">
        <v>28</v>
      </c>
      <c r="N6" s="14">
        <v>33</v>
      </c>
    </row>
    <row r="7" spans="1:15" ht="15.75" customHeight="1">
      <c r="E7" s="99"/>
      <c r="F7" t="s">
        <v>1027</v>
      </c>
      <c r="G7" s="14">
        <v>6</v>
      </c>
      <c r="H7" s="14">
        <v>10</v>
      </c>
      <c r="I7" s="14">
        <v>6</v>
      </c>
      <c r="J7" s="14">
        <v>12</v>
      </c>
      <c r="K7" s="14">
        <v>15</v>
      </c>
      <c r="L7" s="14">
        <v>10</v>
      </c>
      <c r="M7" s="14">
        <v>10</v>
      </c>
      <c r="N7" s="14">
        <v>14</v>
      </c>
    </row>
    <row r="8" spans="1:15">
      <c r="E8" s="99"/>
      <c r="F8" t="s">
        <v>1288</v>
      </c>
      <c r="G8" s="14">
        <v>62</v>
      </c>
      <c r="H8" s="14">
        <v>57</v>
      </c>
      <c r="I8" s="14">
        <v>63</v>
      </c>
      <c r="J8" s="14">
        <v>50</v>
      </c>
      <c r="K8" s="14">
        <v>54</v>
      </c>
      <c r="L8" s="14">
        <v>58</v>
      </c>
      <c r="M8" s="14">
        <v>61</v>
      </c>
      <c r="N8" s="14">
        <v>52</v>
      </c>
    </row>
    <row r="9" spans="1:15">
      <c r="A9" s="98" t="s">
        <v>893</v>
      </c>
      <c r="B9" s="99"/>
      <c r="E9" s="99"/>
    </row>
    <row r="10" spans="1:15">
      <c r="A10" t="s">
        <v>894</v>
      </c>
      <c r="B10" t="s">
        <v>1020</v>
      </c>
      <c r="E10" s="99"/>
    </row>
    <row r="11" spans="1:15">
      <c r="A11" t="s">
        <v>895</v>
      </c>
      <c r="B11" t="s">
        <v>985</v>
      </c>
      <c r="E11" s="99"/>
    </row>
    <row r="12" spans="1:15">
      <c r="A12" t="s">
        <v>896</v>
      </c>
      <c r="E12" s="99"/>
    </row>
    <row r="13" spans="1:15">
      <c r="A13" t="s">
        <v>897</v>
      </c>
      <c r="E13" s="99"/>
    </row>
    <row r="14" spans="1:15">
      <c r="A14" t="s">
        <v>899</v>
      </c>
      <c r="B14" t="s">
        <v>1289</v>
      </c>
      <c r="E14" s="99"/>
    </row>
    <row r="15" spans="1:15">
      <c r="A15" t="s">
        <v>901</v>
      </c>
      <c r="B15" t="b">
        <v>1</v>
      </c>
      <c r="E15" s="99"/>
    </row>
    <row r="16" spans="1:15">
      <c r="A16" t="s">
        <v>1146</v>
      </c>
      <c r="B16" t="b">
        <v>1</v>
      </c>
      <c r="E16" s="99"/>
    </row>
    <row r="17" spans="1:5">
      <c r="E17" s="99"/>
    </row>
    <row r="18" spans="1:5">
      <c r="A18" s="98" t="s">
        <v>902</v>
      </c>
      <c r="B18" s="99"/>
      <c r="E18" s="99"/>
    </row>
    <row r="19" spans="1:5">
      <c r="A19" t="s">
        <v>903</v>
      </c>
      <c r="E19" s="99"/>
    </row>
    <row r="20" spans="1:5">
      <c r="A20" t="s">
        <v>904</v>
      </c>
      <c r="B20" t="s">
        <v>1285</v>
      </c>
      <c r="E20" s="99"/>
    </row>
    <row r="21" spans="1:5">
      <c r="A21" t="s">
        <v>905</v>
      </c>
      <c r="B21">
        <v>2023</v>
      </c>
      <c r="E21" s="99"/>
    </row>
    <row r="22" spans="1:5">
      <c r="A22" t="s">
        <v>906</v>
      </c>
      <c r="E22" s="99"/>
    </row>
    <row r="23" spans="1:5">
      <c r="A23" t="s">
        <v>907</v>
      </c>
      <c r="B23" t="s">
        <v>976</v>
      </c>
      <c r="E23" s="99"/>
    </row>
    <row r="24" spans="1:5">
      <c r="A24" t="s">
        <v>908</v>
      </c>
      <c r="B24">
        <v>2025</v>
      </c>
      <c r="E24" s="99"/>
    </row>
    <row r="25" spans="1:5">
      <c r="A25" t="s">
        <v>909</v>
      </c>
      <c r="B25" t="s">
        <v>1286</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defaultColWidth="8.7109375" defaultRowHeight="15"/>
  <cols>
    <col min="1" max="1" width="20" bestFit="1" customWidth="1"/>
    <col min="2" max="2" width="55.7109375" bestFit="1"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3" max="13" width="12.140625" bestFit="1" customWidth="1"/>
    <col min="14" max="14" width="12.28515625" bestFit="1" customWidth="1"/>
    <col min="15" max="15" width="11" bestFit="1" customWidth="1"/>
  </cols>
  <sheetData>
    <row r="1" spans="1:15">
      <c r="A1" s="58" t="s">
        <v>882</v>
      </c>
      <c r="B1" s="114" t="s">
        <v>118</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tbl-graduation-rate</v>
      </c>
    </row>
    <row r="4" spans="1:15">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F5" s="60"/>
      <c r="G5" s="60" t="s">
        <v>220</v>
      </c>
      <c r="H5" s="60" t="s">
        <v>18</v>
      </c>
      <c r="I5" s="60" t="s">
        <v>537</v>
      </c>
      <c r="J5" s="60" t="s">
        <v>449</v>
      </c>
      <c r="K5" s="60" t="s">
        <v>409</v>
      </c>
      <c r="L5" s="60" t="s">
        <v>421</v>
      </c>
      <c r="M5" s="60" t="s">
        <v>470</v>
      </c>
      <c r="N5" s="60" t="s">
        <v>915</v>
      </c>
    </row>
    <row r="6" spans="1:15" ht="15" customHeight="1">
      <c r="A6" t="s">
        <v>891</v>
      </c>
      <c r="B6" t="b">
        <v>0</v>
      </c>
      <c r="E6" s="99"/>
      <c r="F6" s="60">
        <v>2021</v>
      </c>
      <c r="G6" s="42">
        <v>87</v>
      </c>
      <c r="H6" s="42">
        <v>89</v>
      </c>
      <c r="I6" s="42">
        <v>94</v>
      </c>
      <c r="J6" s="42">
        <v>90</v>
      </c>
      <c r="K6" s="42">
        <v>82</v>
      </c>
      <c r="L6" s="42">
        <v>87</v>
      </c>
      <c r="M6" s="42">
        <v>91</v>
      </c>
      <c r="N6" s="42">
        <v>86</v>
      </c>
    </row>
    <row r="7" spans="1:15" ht="15.75" customHeight="1">
      <c r="E7" s="99"/>
      <c r="F7" s="60">
        <v>2022</v>
      </c>
      <c r="G7" s="42">
        <v>86</v>
      </c>
      <c r="H7" s="42">
        <v>89</v>
      </c>
      <c r="I7" s="42">
        <v>94</v>
      </c>
      <c r="J7" s="42">
        <v>88</v>
      </c>
      <c r="K7" s="42">
        <v>78</v>
      </c>
      <c r="L7" s="42">
        <v>87</v>
      </c>
      <c r="M7" s="42">
        <v>92</v>
      </c>
      <c r="N7" s="42">
        <v>87</v>
      </c>
    </row>
    <row r="8" spans="1:15">
      <c r="E8" s="99"/>
      <c r="F8" s="60">
        <v>2023</v>
      </c>
      <c r="G8" s="42">
        <v>87</v>
      </c>
      <c r="H8" s="42">
        <v>89</v>
      </c>
      <c r="I8" s="42">
        <v>91</v>
      </c>
      <c r="J8" s="42">
        <v>86</v>
      </c>
      <c r="K8" s="42">
        <v>76</v>
      </c>
      <c r="L8" s="42">
        <v>87</v>
      </c>
      <c r="M8" s="42">
        <v>91</v>
      </c>
      <c r="N8" s="42">
        <v>86</v>
      </c>
    </row>
    <row r="9" spans="1:15">
      <c r="A9" s="98" t="s">
        <v>893</v>
      </c>
      <c r="B9" s="99"/>
      <c r="E9" s="99"/>
    </row>
    <row r="10" spans="1:15">
      <c r="A10" t="s">
        <v>894</v>
      </c>
      <c r="B10" t="s">
        <v>983</v>
      </c>
      <c r="E10" s="99"/>
    </row>
    <row r="11" spans="1:15">
      <c r="A11" t="s">
        <v>895</v>
      </c>
      <c r="B11" t="s">
        <v>887</v>
      </c>
      <c r="E11" s="99"/>
    </row>
    <row r="12" spans="1:15">
      <c r="A12" t="s">
        <v>896</v>
      </c>
      <c r="E12" s="99"/>
    </row>
    <row r="13" spans="1:15">
      <c r="A13" t="s">
        <v>897</v>
      </c>
      <c r="E13" s="99"/>
    </row>
    <row r="14" spans="1:15">
      <c r="A14" t="s">
        <v>899</v>
      </c>
      <c r="B14" t="s">
        <v>1290</v>
      </c>
      <c r="E14" s="99"/>
    </row>
    <row r="15" spans="1:15">
      <c r="A15" t="s">
        <v>901</v>
      </c>
      <c r="B15" t="b">
        <v>0</v>
      </c>
      <c r="E15" s="99"/>
    </row>
    <row r="16" spans="1:15">
      <c r="A16" t="s">
        <v>1146</v>
      </c>
      <c r="B16" t="b">
        <v>1</v>
      </c>
      <c r="E16" s="99"/>
    </row>
    <row r="17" spans="1:5">
      <c r="E17" s="99"/>
    </row>
    <row r="18" spans="1:5">
      <c r="A18" s="98" t="s">
        <v>902</v>
      </c>
      <c r="B18" s="99"/>
      <c r="E18" s="99"/>
    </row>
    <row r="19" spans="1:5">
      <c r="A19" t="s">
        <v>903</v>
      </c>
      <c r="B19" s="61"/>
      <c r="E19" s="99"/>
    </row>
    <row r="20" spans="1:5">
      <c r="A20" t="s">
        <v>904</v>
      </c>
      <c r="B20" s="61" t="s">
        <v>1291</v>
      </c>
      <c r="E20" s="99"/>
    </row>
    <row r="21" spans="1:5">
      <c r="A21" t="s">
        <v>905</v>
      </c>
      <c r="B21" s="61">
        <v>2023</v>
      </c>
      <c r="E21" s="99"/>
    </row>
    <row r="22" spans="1:5">
      <c r="A22" t="s">
        <v>906</v>
      </c>
      <c r="B22" s="61"/>
      <c r="E22" s="99"/>
    </row>
    <row r="23" spans="1:5">
      <c r="A23" t="s">
        <v>907</v>
      </c>
      <c r="B23" s="61" t="s">
        <v>976</v>
      </c>
      <c r="E23" s="99"/>
    </row>
    <row r="24" spans="1:5">
      <c r="A24" t="s">
        <v>908</v>
      </c>
      <c r="B24" s="61">
        <v>2025</v>
      </c>
      <c r="E24" s="99"/>
    </row>
    <row r="25" spans="1:5">
      <c r="A25" t="s">
        <v>909</v>
      </c>
      <c r="B25" s="61" t="s">
        <v>1292</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defaultColWidth="8.7109375" defaultRowHeight="15"/>
  <cols>
    <col min="1" max="1" width="20" bestFit="1" customWidth="1"/>
    <col min="2" max="2" width="16.7109375" customWidth="1"/>
    <col min="5" max="5" width="6.7109375" customWidth="1"/>
    <col min="6" max="6" width="31.7109375" bestFit="1" customWidth="1"/>
    <col min="7" max="7" width="9" bestFit="1" customWidth="1"/>
    <col min="8" max="9" width="8.7109375" bestFit="1" customWidth="1"/>
    <col min="10" max="10" width="9" bestFit="1" customWidth="1"/>
    <col min="11" max="12" width="8.7109375" bestFit="1" customWidth="1"/>
    <col min="13" max="13" width="12.140625" bestFit="1" customWidth="1"/>
    <col min="14" max="14" width="8.7109375" bestFit="1" customWidth="1"/>
    <col min="15" max="15" width="11" bestFit="1" customWidth="1"/>
  </cols>
  <sheetData>
    <row r="1" spans="1:15">
      <c r="A1" s="58" t="s">
        <v>882</v>
      </c>
      <c r="B1" s="114" t="s">
        <v>122</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tbl-graduation-by-race</v>
      </c>
    </row>
    <row r="4" spans="1:15">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c r="A5" s="98" t="s">
        <v>885</v>
      </c>
      <c r="B5" s="99"/>
      <c r="E5" s="100" t="s">
        <v>886</v>
      </c>
      <c r="F5" s="60"/>
      <c r="G5" s="60" t="s">
        <v>220</v>
      </c>
      <c r="H5" s="60" t="s">
        <v>18</v>
      </c>
      <c r="I5" s="60" t="s">
        <v>537</v>
      </c>
      <c r="J5" s="60" t="s">
        <v>449</v>
      </c>
      <c r="K5" s="60" t="s">
        <v>409</v>
      </c>
      <c r="L5" s="60" t="s">
        <v>421</v>
      </c>
      <c r="M5" s="60" t="s">
        <v>470</v>
      </c>
      <c r="N5" s="60" t="s">
        <v>915</v>
      </c>
    </row>
    <row r="6" spans="1:15" ht="15" customHeight="1">
      <c r="A6" t="s">
        <v>891</v>
      </c>
      <c r="B6" t="b">
        <v>0</v>
      </c>
      <c r="E6" s="99"/>
      <c r="F6" s="60" t="s">
        <v>1293</v>
      </c>
      <c r="G6" s="60">
        <v>91</v>
      </c>
      <c r="H6" s="60">
        <v>96</v>
      </c>
      <c r="I6" s="60">
        <v>100</v>
      </c>
      <c r="J6" s="60">
        <v>97</v>
      </c>
      <c r="K6" s="60" t="s">
        <v>754</v>
      </c>
      <c r="L6" s="60" t="s">
        <v>754</v>
      </c>
      <c r="M6" s="60">
        <v>97</v>
      </c>
      <c r="N6" s="60">
        <v>93</v>
      </c>
    </row>
    <row r="7" spans="1:15" ht="15.75" customHeight="1">
      <c r="E7" s="99"/>
      <c r="F7" s="60" t="s">
        <v>1294</v>
      </c>
      <c r="G7" s="60">
        <v>78</v>
      </c>
      <c r="H7" s="60">
        <v>85</v>
      </c>
      <c r="I7" s="60">
        <v>97</v>
      </c>
      <c r="J7" s="60">
        <v>86</v>
      </c>
      <c r="K7" s="60">
        <v>66</v>
      </c>
      <c r="L7" s="60">
        <v>84</v>
      </c>
      <c r="M7" s="60">
        <v>83</v>
      </c>
      <c r="N7" s="60">
        <v>81</v>
      </c>
    </row>
    <row r="8" spans="1:15">
      <c r="E8" s="99"/>
      <c r="F8" s="60" t="s">
        <v>1295</v>
      </c>
      <c r="G8" s="60">
        <v>92</v>
      </c>
      <c r="H8" s="60">
        <v>93</v>
      </c>
      <c r="I8" s="60">
        <v>95</v>
      </c>
      <c r="J8" s="60">
        <v>94</v>
      </c>
      <c r="K8" s="60">
        <v>84</v>
      </c>
      <c r="L8" s="60">
        <v>90</v>
      </c>
      <c r="M8" s="60">
        <v>96</v>
      </c>
      <c r="N8" s="60">
        <v>91</v>
      </c>
    </row>
    <row r="9" spans="1:15">
      <c r="A9" s="98" t="s">
        <v>893</v>
      </c>
      <c r="B9" s="99"/>
      <c r="E9" s="99"/>
      <c r="F9" s="60" t="s">
        <v>1296</v>
      </c>
      <c r="G9" s="60">
        <v>80</v>
      </c>
      <c r="H9" s="60">
        <v>88</v>
      </c>
      <c r="I9" s="60" t="s">
        <v>754</v>
      </c>
      <c r="J9" s="60" t="s">
        <v>754</v>
      </c>
      <c r="K9" s="60">
        <v>68</v>
      </c>
      <c r="L9" s="60">
        <v>74</v>
      </c>
      <c r="M9" s="60">
        <v>94</v>
      </c>
      <c r="N9" s="60">
        <v>84</v>
      </c>
    </row>
    <row r="10" spans="1:15">
      <c r="A10" t="s">
        <v>894</v>
      </c>
      <c r="B10" t="s">
        <v>983</v>
      </c>
      <c r="E10" s="99"/>
      <c r="F10" s="60" t="s">
        <v>927</v>
      </c>
      <c r="G10" s="60">
        <v>79</v>
      </c>
      <c r="H10" s="60">
        <v>83</v>
      </c>
      <c r="I10" s="60">
        <v>80</v>
      </c>
      <c r="J10" s="60">
        <v>74</v>
      </c>
      <c r="K10" s="60">
        <v>63</v>
      </c>
      <c r="L10" s="60">
        <v>80</v>
      </c>
      <c r="M10" s="60">
        <v>85</v>
      </c>
      <c r="N10" s="60">
        <v>81</v>
      </c>
    </row>
    <row r="11" spans="1:15">
      <c r="A11" t="s">
        <v>895</v>
      </c>
      <c r="B11" t="s">
        <v>1245</v>
      </c>
      <c r="E11" s="99"/>
    </row>
    <row r="12" spans="1:15">
      <c r="A12" t="s">
        <v>896</v>
      </c>
      <c r="E12" s="99"/>
    </row>
    <row r="13" spans="1:15">
      <c r="A13" t="s">
        <v>897</v>
      </c>
      <c r="E13" s="99"/>
    </row>
    <row r="14" spans="1:15">
      <c r="A14" t="s">
        <v>899</v>
      </c>
      <c r="B14" t="s">
        <v>1290</v>
      </c>
      <c r="E14" s="99"/>
    </row>
    <row r="15" spans="1:15">
      <c r="A15" t="s">
        <v>901</v>
      </c>
      <c r="B15" t="b">
        <v>1</v>
      </c>
      <c r="E15" s="99"/>
    </row>
    <row r="16" spans="1:15">
      <c r="A16" t="s">
        <v>1146</v>
      </c>
      <c r="B16" t="b">
        <v>0</v>
      </c>
      <c r="E16" s="99"/>
    </row>
    <row r="17" spans="1:5">
      <c r="E17" s="99"/>
    </row>
    <row r="18" spans="1:5">
      <c r="A18" s="98" t="s">
        <v>902</v>
      </c>
      <c r="B18" s="99"/>
      <c r="E18" s="99"/>
    </row>
    <row r="19" spans="1:5">
      <c r="A19" t="s">
        <v>903</v>
      </c>
      <c r="B19" s="61"/>
      <c r="E19" s="99"/>
    </row>
    <row r="20" spans="1:5">
      <c r="A20" t="s">
        <v>904</v>
      </c>
      <c r="B20" s="61" t="s">
        <v>1291</v>
      </c>
      <c r="E20" s="99"/>
    </row>
    <row r="21" spans="1:5">
      <c r="A21" t="s">
        <v>905</v>
      </c>
      <c r="B21" s="61">
        <v>2023</v>
      </c>
      <c r="E21" s="99"/>
    </row>
    <row r="22" spans="1:5">
      <c r="A22" t="s">
        <v>906</v>
      </c>
      <c r="B22" s="61"/>
      <c r="E22" s="99"/>
    </row>
    <row r="23" spans="1:5">
      <c r="A23" t="s">
        <v>907</v>
      </c>
      <c r="B23" s="61" t="s">
        <v>976</v>
      </c>
      <c r="E23" s="99"/>
    </row>
    <row r="24" spans="1:5">
      <c r="A24" t="s">
        <v>908</v>
      </c>
      <c r="B24" s="61">
        <v>2025</v>
      </c>
      <c r="E24" s="99"/>
    </row>
    <row r="25" spans="1:5">
      <c r="A25" t="s">
        <v>909</v>
      </c>
      <c r="B25" s="61" t="s">
        <v>1292</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defaultColWidth="8.7109375" defaultRowHeight="15"/>
  <cols>
    <col min="1" max="1" width="20" bestFit="1" customWidth="1"/>
    <col min="2" max="2" width="16.7109375" customWidth="1"/>
    <col min="5" max="5" width="6.7109375" customWidth="1"/>
    <col min="6" max="6" width="30.28515625" bestFit="1"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126</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tbl-educational-attainment</v>
      </c>
    </row>
    <row r="4" spans="1:15">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c r="E7" s="99"/>
      <c r="F7" t="s">
        <v>1297</v>
      </c>
      <c r="G7" s="14">
        <v>10.1</v>
      </c>
      <c r="H7" s="14">
        <v>10.3</v>
      </c>
      <c r="I7" s="14">
        <v>8.4</v>
      </c>
      <c r="J7" s="14">
        <v>7.8</v>
      </c>
      <c r="K7" s="14">
        <v>10.3</v>
      </c>
      <c r="L7" s="14">
        <v>9.6</v>
      </c>
      <c r="M7" s="14">
        <v>6.4</v>
      </c>
      <c r="N7" s="14">
        <v>8.9</v>
      </c>
    </row>
    <row r="8" spans="1:15">
      <c r="E8" s="99"/>
      <c r="F8" t="s">
        <v>947</v>
      </c>
      <c r="G8" s="14">
        <v>21</v>
      </c>
      <c r="H8" s="14">
        <v>18.2</v>
      </c>
      <c r="I8" s="14">
        <v>24.2</v>
      </c>
      <c r="J8" s="14">
        <v>23.2</v>
      </c>
      <c r="K8" s="14">
        <v>17</v>
      </c>
      <c r="L8" s="14">
        <v>20.2</v>
      </c>
      <c r="M8" s="14">
        <v>26</v>
      </c>
      <c r="N8" s="14">
        <v>22</v>
      </c>
    </row>
    <row r="9" spans="1:15">
      <c r="A9" s="98" t="s">
        <v>893</v>
      </c>
      <c r="B9" s="99"/>
      <c r="E9" s="99"/>
      <c r="F9" t="s">
        <v>948</v>
      </c>
      <c r="G9" s="14">
        <v>18.7</v>
      </c>
      <c r="H9" s="14">
        <v>14.1</v>
      </c>
      <c r="I9" s="14">
        <v>19.3</v>
      </c>
      <c r="J9" s="14">
        <v>18.899999999999999</v>
      </c>
      <c r="K9" s="14">
        <v>12.7</v>
      </c>
      <c r="L9" s="14">
        <v>16.899999999999999</v>
      </c>
      <c r="M9" s="14">
        <v>26.5</v>
      </c>
      <c r="N9" s="14">
        <v>17.5</v>
      </c>
    </row>
    <row r="10" spans="1:15">
      <c r="A10" t="s">
        <v>894</v>
      </c>
      <c r="B10" t="s">
        <v>1020</v>
      </c>
      <c r="E10" s="99"/>
    </row>
    <row r="11" spans="1:15">
      <c r="A11" t="s">
        <v>895</v>
      </c>
      <c r="B11" t="s">
        <v>1298</v>
      </c>
      <c r="E11" s="99"/>
    </row>
    <row r="12" spans="1:15">
      <c r="A12" t="s">
        <v>896</v>
      </c>
      <c r="E12" s="99"/>
    </row>
    <row r="13" spans="1:15">
      <c r="A13" t="s">
        <v>897</v>
      </c>
      <c r="E13" s="99"/>
    </row>
    <row r="14" spans="1:15">
      <c r="A14" t="s">
        <v>899</v>
      </c>
      <c r="B14" t="s">
        <v>1289</v>
      </c>
      <c r="E14" s="99"/>
    </row>
    <row r="15" spans="1:15">
      <c r="A15" t="s">
        <v>901</v>
      </c>
      <c r="B15" t="b">
        <v>1</v>
      </c>
      <c r="E15" s="99"/>
    </row>
    <row r="16" spans="1:15">
      <c r="A16" t="s">
        <v>1146</v>
      </c>
      <c r="B16" t="b">
        <v>0</v>
      </c>
      <c r="E16" s="99"/>
    </row>
    <row r="17" spans="1:5">
      <c r="E17" s="99"/>
    </row>
    <row r="18" spans="1:5">
      <c r="A18" s="98" t="s">
        <v>902</v>
      </c>
      <c r="B18" s="99"/>
      <c r="E18" s="99"/>
    </row>
    <row r="19" spans="1:5">
      <c r="A19" t="s">
        <v>903</v>
      </c>
      <c r="B19" s="61" t="s">
        <v>1299</v>
      </c>
      <c r="E19" s="99"/>
    </row>
    <row r="20" spans="1:5">
      <c r="A20" t="s">
        <v>904</v>
      </c>
      <c r="B20" s="61" t="s">
        <v>1300</v>
      </c>
      <c r="E20" s="99"/>
    </row>
    <row r="21" spans="1:5">
      <c r="A21" t="s">
        <v>905</v>
      </c>
      <c r="B21" s="61">
        <v>2023</v>
      </c>
      <c r="E21" s="99"/>
    </row>
    <row r="22" spans="1:5">
      <c r="A22" t="s">
        <v>906</v>
      </c>
      <c r="B22" s="61" t="s">
        <v>1150</v>
      </c>
      <c r="E22" s="99"/>
    </row>
    <row r="23" spans="1:5">
      <c r="A23" t="s">
        <v>907</v>
      </c>
      <c r="B23" s="61" t="s">
        <v>976</v>
      </c>
      <c r="E23" s="99"/>
    </row>
    <row r="24" spans="1:5">
      <c r="A24" t="s">
        <v>908</v>
      </c>
      <c r="B24" s="61">
        <v>2025</v>
      </c>
      <c r="E24" s="99"/>
    </row>
    <row r="25" spans="1:5">
      <c r="A25" t="s">
        <v>909</v>
      </c>
      <c r="B25" s="61"/>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130</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tbl-language-proficiency</v>
      </c>
    </row>
    <row r="4" spans="1:15">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E6" s="99"/>
      <c r="F6">
        <v>2021</v>
      </c>
      <c r="G6">
        <v>4.7</v>
      </c>
      <c r="H6">
        <v>10.6</v>
      </c>
      <c r="I6">
        <v>5.3</v>
      </c>
      <c r="J6">
        <v>18.600000000000001</v>
      </c>
      <c r="K6">
        <v>5.9</v>
      </c>
      <c r="L6">
        <v>2.9</v>
      </c>
      <c r="M6">
        <v>12.7</v>
      </c>
      <c r="N6">
        <v>13.1</v>
      </c>
    </row>
    <row r="7" spans="1:15" ht="15.75" customHeight="1">
      <c r="E7" s="99"/>
      <c r="F7">
        <v>2022</v>
      </c>
      <c r="G7">
        <v>4.8</v>
      </c>
      <c r="H7">
        <v>11.3</v>
      </c>
      <c r="I7">
        <v>5.6</v>
      </c>
      <c r="J7">
        <v>18.8</v>
      </c>
      <c r="K7">
        <v>7.3</v>
      </c>
      <c r="L7">
        <v>3</v>
      </c>
      <c r="M7">
        <v>12.2</v>
      </c>
      <c r="N7">
        <v>13.1</v>
      </c>
    </row>
    <row r="8" spans="1:15">
      <c r="E8" s="99"/>
      <c r="F8">
        <v>2023</v>
      </c>
      <c r="G8">
        <v>5.4</v>
      </c>
      <c r="H8">
        <v>12.2</v>
      </c>
      <c r="I8">
        <v>6</v>
      </c>
      <c r="J8">
        <v>20</v>
      </c>
      <c r="K8">
        <v>8</v>
      </c>
      <c r="L8">
        <v>3.4</v>
      </c>
      <c r="M8">
        <v>12.4</v>
      </c>
      <c r="N8">
        <v>13.3</v>
      </c>
    </row>
    <row r="9" spans="1:15">
      <c r="A9" s="98" t="s">
        <v>893</v>
      </c>
      <c r="B9" s="99"/>
      <c r="E9" s="99"/>
    </row>
    <row r="10" spans="1:15">
      <c r="A10" t="s">
        <v>894</v>
      </c>
      <c r="B10" t="s">
        <v>983</v>
      </c>
      <c r="E10" s="99"/>
    </row>
    <row r="11" spans="1:15">
      <c r="A11" t="s">
        <v>895</v>
      </c>
      <c r="B11" t="s">
        <v>887</v>
      </c>
      <c r="E11" s="99"/>
    </row>
    <row r="12" spans="1:15">
      <c r="A12" t="s">
        <v>896</v>
      </c>
      <c r="E12" s="99"/>
    </row>
    <row r="13" spans="1:15">
      <c r="A13" t="s">
        <v>897</v>
      </c>
      <c r="E13" s="99"/>
    </row>
    <row r="14" spans="1:15">
      <c r="A14" t="s">
        <v>899</v>
      </c>
      <c r="B14" t="s">
        <v>1301</v>
      </c>
      <c r="E14" s="99"/>
    </row>
    <row r="15" spans="1:15">
      <c r="A15" t="s">
        <v>901</v>
      </c>
      <c r="B15" t="b">
        <v>0</v>
      </c>
      <c r="E15" s="99"/>
    </row>
    <row r="16" spans="1:15">
      <c r="A16" t="s">
        <v>1146</v>
      </c>
      <c r="B16" t="b">
        <v>1</v>
      </c>
      <c r="E16" s="99"/>
    </row>
    <row r="17" spans="1:5">
      <c r="E17" s="99"/>
    </row>
    <row r="18" spans="1:5">
      <c r="A18" s="98" t="s">
        <v>902</v>
      </c>
      <c r="B18" s="99"/>
      <c r="E18" s="99"/>
    </row>
    <row r="19" spans="1:5">
      <c r="A19" t="s">
        <v>903</v>
      </c>
      <c r="B19" t="s">
        <v>1302</v>
      </c>
      <c r="E19" s="99"/>
    </row>
    <row r="20" spans="1:5">
      <c r="A20" t="s">
        <v>904</v>
      </c>
      <c r="B20" t="s">
        <v>1303</v>
      </c>
      <c r="E20" s="99"/>
    </row>
    <row r="21" spans="1:5">
      <c r="A21" t="s">
        <v>905</v>
      </c>
      <c r="B21">
        <v>2023</v>
      </c>
      <c r="E21" s="99"/>
    </row>
    <row r="22" spans="1:5">
      <c r="A22" t="s">
        <v>906</v>
      </c>
      <c r="B22" t="s">
        <v>1150</v>
      </c>
      <c r="E22" s="99"/>
    </row>
    <row r="23" spans="1:5">
      <c r="A23" t="s">
        <v>907</v>
      </c>
      <c r="B23" t="s">
        <v>976</v>
      </c>
      <c r="E23" s="99"/>
    </row>
    <row r="24" spans="1:5">
      <c r="A24" t="s">
        <v>908</v>
      </c>
      <c r="B24">
        <v>2025</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defaultColWidth="8.7109375" defaultRowHeight="15"/>
  <cols>
    <col min="1" max="1" width="20" bestFit="1" customWidth="1"/>
    <col min="2" max="2" width="16.7109375" customWidth="1"/>
    <col min="5" max="5" width="6.7109375" customWidth="1"/>
    <col min="7" max="7" width="9.42578125" customWidth="1"/>
    <col min="8" max="8" width="13.42578125" customWidth="1"/>
    <col min="9" max="9" width="11" customWidth="1"/>
    <col min="11" max="11" width="10.7109375" customWidth="1"/>
    <col min="12" max="12" width="12.28515625" bestFit="1" customWidth="1"/>
    <col min="14" max="14" width="12.28515625" bestFit="1" customWidth="1"/>
    <col min="15" max="15" width="11" bestFit="1" customWidth="1"/>
  </cols>
  <sheetData>
    <row r="1" spans="1:15">
      <c r="A1" s="58" t="s">
        <v>882</v>
      </c>
      <c r="B1" s="114" t="s">
        <v>134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tbl-disconnected-youth</v>
      </c>
    </row>
    <row r="4" spans="1:15">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1304</v>
      </c>
      <c r="G6" s="42">
        <v>4</v>
      </c>
      <c r="H6" s="42">
        <v>8</v>
      </c>
      <c r="I6" s="42">
        <v>4</v>
      </c>
      <c r="J6" s="42">
        <v>5</v>
      </c>
      <c r="K6" s="42">
        <v>12</v>
      </c>
      <c r="L6" s="42">
        <v>6</v>
      </c>
      <c r="M6" s="42">
        <v>6</v>
      </c>
      <c r="N6" s="42">
        <v>6</v>
      </c>
    </row>
    <row r="7" spans="1:15" ht="15.75" customHeight="1">
      <c r="E7" s="99"/>
      <c r="F7" t="s">
        <v>1305</v>
      </c>
      <c r="G7" s="42">
        <v>5</v>
      </c>
      <c r="H7" s="42">
        <v>8</v>
      </c>
      <c r="I7" s="42" t="s">
        <v>754</v>
      </c>
      <c r="J7" s="42">
        <v>5</v>
      </c>
      <c r="K7" s="42">
        <v>12</v>
      </c>
      <c r="L7" s="42">
        <v>6</v>
      </c>
      <c r="M7" s="42">
        <v>6</v>
      </c>
      <c r="N7" s="42">
        <v>6</v>
      </c>
    </row>
    <row r="8" spans="1:15">
      <c r="E8" s="99"/>
      <c r="F8" t="s">
        <v>1159</v>
      </c>
      <c r="G8" s="42">
        <v>5</v>
      </c>
      <c r="H8" s="42">
        <v>10</v>
      </c>
      <c r="I8" s="42" t="s">
        <v>754</v>
      </c>
      <c r="J8" s="42">
        <v>5</v>
      </c>
      <c r="K8" s="42">
        <v>17</v>
      </c>
      <c r="L8" s="42">
        <v>6</v>
      </c>
      <c r="M8" s="42">
        <v>4</v>
      </c>
      <c r="N8" s="42">
        <v>6</v>
      </c>
    </row>
    <row r="9" spans="1:15">
      <c r="A9" s="98" t="s">
        <v>893</v>
      </c>
      <c r="B9" s="99"/>
      <c r="E9" s="99"/>
      <c r="F9" t="s">
        <v>969</v>
      </c>
      <c r="G9" s="42">
        <v>6</v>
      </c>
      <c r="H9" s="42">
        <v>8</v>
      </c>
      <c r="I9" s="42" t="s">
        <v>754</v>
      </c>
      <c r="J9" s="42">
        <v>4</v>
      </c>
      <c r="K9" s="42">
        <v>17</v>
      </c>
      <c r="L9" s="42">
        <v>6</v>
      </c>
      <c r="M9" s="42">
        <v>4</v>
      </c>
      <c r="N9" s="42">
        <v>6</v>
      </c>
    </row>
    <row r="10" spans="1:15">
      <c r="A10" t="s">
        <v>894</v>
      </c>
      <c r="B10" t="s">
        <v>972</v>
      </c>
      <c r="E10" s="99"/>
      <c r="F10" t="s">
        <v>970</v>
      </c>
      <c r="G10" s="42">
        <v>7</v>
      </c>
      <c r="H10" s="42">
        <v>8</v>
      </c>
      <c r="I10" s="42" t="s">
        <v>754</v>
      </c>
      <c r="J10" s="42">
        <v>6</v>
      </c>
      <c r="K10" s="42">
        <v>25</v>
      </c>
      <c r="L10" s="42">
        <v>9</v>
      </c>
      <c r="M10" s="42">
        <v>5</v>
      </c>
      <c r="N10" s="42">
        <v>7</v>
      </c>
    </row>
    <row r="11" spans="1:15">
      <c r="A11" t="s">
        <v>895</v>
      </c>
      <c r="B11" t="s">
        <v>973</v>
      </c>
      <c r="E11" s="99"/>
      <c r="F11" t="s">
        <v>971</v>
      </c>
      <c r="G11" s="42">
        <v>6</v>
      </c>
      <c r="H11" s="42">
        <v>8</v>
      </c>
      <c r="I11" s="42" t="s">
        <v>754</v>
      </c>
      <c r="J11" s="42">
        <v>6</v>
      </c>
      <c r="K11" s="42">
        <v>24</v>
      </c>
      <c r="L11" s="42">
        <v>9</v>
      </c>
      <c r="M11" s="42">
        <v>5</v>
      </c>
      <c r="N11" s="42">
        <v>7</v>
      </c>
    </row>
    <row r="12" spans="1:15">
      <c r="A12" t="s">
        <v>896</v>
      </c>
      <c r="E12" s="99"/>
    </row>
    <row r="13" spans="1:15">
      <c r="A13" t="s">
        <v>897</v>
      </c>
      <c r="E13" s="99"/>
    </row>
    <row r="14" spans="1:15">
      <c r="A14" t="s">
        <v>899</v>
      </c>
      <c r="B14" t="s">
        <v>1306</v>
      </c>
      <c r="E14" s="99"/>
    </row>
    <row r="15" spans="1:15">
      <c r="A15" t="s">
        <v>901</v>
      </c>
      <c r="B15" t="b">
        <v>0</v>
      </c>
      <c r="E15" s="99"/>
    </row>
    <row r="16" spans="1:15">
      <c r="A16" t="s">
        <v>1146</v>
      </c>
      <c r="B16" t="b">
        <v>1</v>
      </c>
      <c r="E16" s="99"/>
    </row>
    <row r="17" spans="1:5">
      <c r="E17" s="99"/>
    </row>
    <row r="18" spans="1:5">
      <c r="A18" s="98" t="s">
        <v>902</v>
      </c>
      <c r="B18" s="99"/>
      <c r="E18" s="99"/>
    </row>
    <row r="19" spans="1:5">
      <c r="A19" t="s">
        <v>903</v>
      </c>
      <c r="B19" t="s">
        <v>1307</v>
      </c>
      <c r="E19" s="99"/>
    </row>
    <row r="20" spans="1:5">
      <c r="A20" t="s">
        <v>904</v>
      </c>
      <c r="B20" t="s">
        <v>1308</v>
      </c>
      <c r="E20" s="99"/>
    </row>
    <row r="21" spans="1:5">
      <c r="A21" t="s">
        <v>905</v>
      </c>
      <c r="B21">
        <v>2023</v>
      </c>
      <c r="E21" s="99"/>
    </row>
    <row r="22" spans="1:5">
      <c r="A22" t="s">
        <v>906</v>
      </c>
      <c r="B22" t="s">
        <v>1150</v>
      </c>
      <c r="E22" s="99"/>
    </row>
    <row r="23" spans="1:5">
      <c r="A23" t="s">
        <v>907</v>
      </c>
      <c r="B23" t="s">
        <v>976</v>
      </c>
      <c r="E23" s="99"/>
    </row>
    <row r="24" spans="1:5">
      <c r="A24" t="s">
        <v>908</v>
      </c>
      <c r="B24">
        <v>2025</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defaultColWidth="8.7109375" defaultRowHeight="15"/>
  <cols>
    <col min="1" max="1" width="20" bestFit="1" customWidth="1"/>
    <col min="2" max="2" width="16.7109375"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138</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tbl-residential-segregation</v>
      </c>
    </row>
    <row r="4" spans="1:15">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t="s">
        <v>1309</v>
      </c>
      <c r="G6" s="42">
        <v>52</v>
      </c>
      <c r="H6" s="42">
        <v>44</v>
      </c>
      <c r="I6" s="42">
        <v>39</v>
      </c>
      <c r="J6" s="42">
        <v>58</v>
      </c>
      <c r="K6" s="42">
        <v>46</v>
      </c>
      <c r="L6" s="42">
        <v>49</v>
      </c>
      <c r="M6" s="42">
        <v>62</v>
      </c>
      <c r="N6" s="42">
        <v>74</v>
      </c>
    </row>
    <row r="7" spans="1:15" ht="15.75" customHeight="1">
      <c r="E7" s="99"/>
      <c r="F7" t="s">
        <v>1159</v>
      </c>
      <c r="G7" s="42">
        <v>50</v>
      </c>
      <c r="H7" s="42">
        <v>45</v>
      </c>
      <c r="I7" s="42">
        <v>44</v>
      </c>
      <c r="J7" s="42">
        <v>55</v>
      </c>
      <c r="K7" s="42">
        <v>50</v>
      </c>
      <c r="L7" s="42">
        <v>50</v>
      </c>
      <c r="M7" s="42">
        <v>59</v>
      </c>
      <c r="N7" s="42">
        <v>74</v>
      </c>
    </row>
    <row r="8" spans="1:15">
      <c r="E8" s="99"/>
      <c r="F8" t="s">
        <v>969</v>
      </c>
      <c r="G8" s="42">
        <v>47</v>
      </c>
      <c r="H8" s="42">
        <v>47</v>
      </c>
      <c r="I8" s="42">
        <v>38</v>
      </c>
      <c r="J8" s="42">
        <v>58</v>
      </c>
      <c r="K8" s="42">
        <v>55</v>
      </c>
      <c r="L8" s="42">
        <v>46</v>
      </c>
      <c r="M8" s="42">
        <v>59</v>
      </c>
      <c r="N8" s="42">
        <v>74</v>
      </c>
    </row>
    <row r="9" spans="1:15">
      <c r="A9" s="98" t="s">
        <v>893</v>
      </c>
      <c r="B9" s="99"/>
      <c r="E9" s="99"/>
      <c r="F9" t="s">
        <v>970</v>
      </c>
      <c r="G9" s="42">
        <v>46</v>
      </c>
      <c r="H9" s="42">
        <v>49</v>
      </c>
      <c r="I9" s="42">
        <v>45</v>
      </c>
      <c r="J9" s="42">
        <v>56</v>
      </c>
      <c r="K9" s="42">
        <v>51</v>
      </c>
      <c r="L9" s="42">
        <v>43</v>
      </c>
      <c r="M9" s="42">
        <v>60</v>
      </c>
      <c r="N9" s="42">
        <v>74</v>
      </c>
    </row>
    <row r="10" spans="1:15">
      <c r="A10" t="s">
        <v>894</v>
      </c>
      <c r="B10" t="s">
        <v>972</v>
      </c>
      <c r="E10" s="99"/>
      <c r="F10" t="s">
        <v>971</v>
      </c>
      <c r="G10" s="42">
        <v>49</v>
      </c>
      <c r="H10" s="42">
        <v>48</v>
      </c>
      <c r="I10" s="42">
        <v>49</v>
      </c>
      <c r="J10" s="42">
        <v>58</v>
      </c>
      <c r="K10" s="42">
        <v>43</v>
      </c>
      <c r="L10" s="42" t="s">
        <v>754</v>
      </c>
      <c r="M10" s="42">
        <v>63</v>
      </c>
      <c r="N10" s="42">
        <v>74</v>
      </c>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defaultColWidth="8.7109375" defaultRowHeight="15"/>
  <cols>
    <col min="1" max="1" width="20" bestFit="1" customWidth="1"/>
    <col min="2" max="2" width="16.7109375"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142</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tbl-adult-medical-care-cost</v>
      </c>
    </row>
    <row r="4" spans="1:15">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v>2016</v>
      </c>
      <c r="G6" s="42">
        <v>8.6</v>
      </c>
      <c r="H6" s="42">
        <v>11.1</v>
      </c>
      <c r="I6" s="42">
        <v>13.5</v>
      </c>
      <c r="J6" s="42">
        <v>11.8</v>
      </c>
      <c r="K6" s="42">
        <v>20.9</v>
      </c>
      <c r="L6" s="42">
        <v>11.2</v>
      </c>
      <c r="M6" s="42">
        <v>12.4</v>
      </c>
      <c r="N6" s="42">
        <v>11.5</v>
      </c>
    </row>
    <row r="7" spans="1:15" ht="15.75" customHeight="1">
      <c r="E7" s="99"/>
      <c r="F7">
        <v>2018</v>
      </c>
      <c r="G7" s="42">
        <v>7.7</v>
      </c>
      <c r="H7" s="42">
        <v>8.5</v>
      </c>
      <c r="I7" s="42">
        <v>11.4</v>
      </c>
      <c r="J7" s="42">
        <v>11.8</v>
      </c>
      <c r="K7" s="42">
        <v>11.3</v>
      </c>
      <c r="L7" s="42">
        <v>12.7</v>
      </c>
      <c r="M7" s="42">
        <v>7.5</v>
      </c>
      <c r="N7" s="42">
        <v>11.3</v>
      </c>
    </row>
    <row r="8" spans="1:15">
      <c r="E8" s="99"/>
      <c r="F8">
        <v>2021</v>
      </c>
      <c r="G8" s="42">
        <v>8.6999999999999993</v>
      </c>
      <c r="H8" s="42" t="s">
        <v>1310</v>
      </c>
      <c r="I8" s="42">
        <v>9.9</v>
      </c>
      <c r="J8" s="42">
        <v>8.4</v>
      </c>
      <c r="K8" s="42">
        <v>4.9000000000000004</v>
      </c>
      <c r="L8" s="42">
        <v>5.3</v>
      </c>
      <c r="M8" s="42">
        <v>8.3000000000000007</v>
      </c>
      <c r="N8" s="42">
        <v>8.4</v>
      </c>
    </row>
    <row r="9" spans="1:15">
      <c r="A9" s="98" t="s">
        <v>893</v>
      </c>
      <c r="B9" s="99"/>
      <c r="E9" s="99"/>
      <c r="G9" s="42"/>
      <c r="H9" s="42"/>
      <c r="I9" s="42"/>
      <c r="J9" s="42"/>
      <c r="K9" s="42"/>
      <c r="L9" s="42"/>
      <c r="M9" s="42"/>
      <c r="N9" s="42"/>
    </row>
    <row r="10" spans="1:15">
      <c r="A10" t="s">
        <v>894</v>
      </c>
      <c r="B10" t="s">
        <v>972</v>
      </c>
      <c r="E10" s="99"/>
      <c r="G10" s="42"/>
      <c r="H10" s="42"/>
      <c r="I10" s="42"/>
      <c r="J10" s="42"/>
      <c r="K10" s="42"/>
      <c r="L10" s="42"/>
      <c r="M10" s="42"/>
      <c r="N10" s="42"/>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146</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tbl-children-uninsured</v>
      </c>
    </row>
    <row r="4" spans="1:15">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v>2020</v>
      </c>
      <c r="G6" s="42">
        <v>2.4</v>
      </c>
      <c r="H6" s="42">
        <v>2.2999999999999998</v>
      </c>
      <c r="I6" s="42">
        <v>2.5</v>
      </c>
      <c r="J6" s="42">
        <v>2.4</v>
      </c>
      <c r="K6" s="42">
        <v>4.0999999999999996</v>
      </c>
      <c r="L6" s="42">
        <v>2.5</v>
      </c>
      <c r="M6" s="42">
        <v>2.7</v>
      </c>
      <c r="N6" s="42">
        <v>2.5</v>
      </c>
    </row>
    <row r="7" spans="1:15" ht="15.75" customHeight="1">
      <c r="E7" s="99"/>
      <c r="F7">
        <v>2021</v>
      </c>
      <c r="G7" s="42">
        <v>2.7</v>
      </c>
      <c r="H7" s="42">
        <v>2.8</v>
      </c>
      <c r="I7" s="42">
        <v>2.5</v>
      </c>
      <c r="J7" s="42">
        <v>2.2999999999999998</v>
      </c>
      <c r="K7" s="42">
        <v>3.2</v>
      </c>
      <c r="L7" s="42">
        <v>2.8</v>
      </c>
      <c r="M7" s="42">
        <v>3.2</v>
      </c>
      <c r="N7" s="42">
        <v>2.6</v>
      </c>
    </row>
    <row r="8" spans="1:15">
      <c r="E8" s="99"/>
      <c r="F8">
        <v>2022</v>
      </c>
      <c r="G8" s="42">
        <v>2.2999999999999998</v>
      </c>
      <c r="H8" s="42">
        <v>2.8</v>
      </c>
      <c r="I8" s="42">
        <v>2.5</v>
      </c>
      <c r="J8" s="42">
        <v>3</v>
      </c>
      <c r="K8" s="42">
        <v>3.4</v>
      </c>
      <c r="L8" s="42">
        <v>2.7</v>
      </c>
      <c r="M8" s="42">
        <v>2.2999999999999998</v>
      </c>
      <c r="N8" s="42">
        <v>2.5</v>
      </c>
    </row>
    <row r="9" spans="1:15">
      <c r="A9" s="98" t="s">
        <v>893</v>
      </c>
      <c r="B9" s="99"/>
      <c r="E9" s="99"/>
      <c r="F9">
        <v>2023</v>
      </c>
      <c r="G9" s="42">
        <v>2.6</v>
      </c>
      <c r="H9" s="42">
        <v>2.7</v>
      </c>
      <c r="I9" s="42">
        <v>2.4</v>
      </c>
      <c r="J9" s="42">
        <v>2.8</v>
      </c>
      <c r="K9" s="42">
        <v>3.5</v>
      </c>
      <c r="L9" s="42">
        <v>3</v>
      </c>
      <c r="M9" s="42">
        <v>2.8</v>
      </c>
      <c r="N9" s="42">
        <v>2.8</v>
      </c>
    </row>
    <row r="10" spans="1:15">
      <c r="A10" t="s">
        <v>894</v>
      </c>
      <c r="B10" t="s">
        <v>972</v>
      </c>
      <c r="E10" s="99"/>
      <c r="G10" s="42"/>
      <c r="H10" s="42"/>
      <c r="I10" s="42"/>
      <c r="J10" s="42"/>
      <c r="K10" s="42"/>
      <c r="L10" s="42"/>
      <c r="M10" s="42"/>
      <c r="N10" s="42"/>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150</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tbl-adult-health-insured</v>
      </c>
    </row>
    <row r="4" spans="1:15">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c r="A5" s="98" t="s">
        <v>885</v>
      </c>
      <c r="B5" s="99"/>
      <c r="E5" s="100" t="s">
        <v>886</v>
      </c>
      <c r="G5" t="s">
        <v>220</v>
      </c>
      <c r="H5" t="s">
        <v>18</v>
      </c>
      <c r="I5" t="s">
        <v>537</v>
      </c>
      <c r="J5" t="s">
        <v>449</v>
      </c>
      <c r="K5" t="s">
        <v>409</v>
      </c>
      <c r="L5" t="s">
        <v>421</v>
      </c>
      <c r="M5" t="s">
        <v>470</v>
      </c>
      <c r="N5" t="s">
        <v>915</v>
      </c>
    </row>
    <row r="6" spans="1:15" ht="15" customHeight="1">
      <c r="A6" t="s">
        <v>891</v>
      </c>
      <c r="B6" t="b">
        <v>0</v>
      </c>
      <c r="E6" s="99"/>
      <c r="F6">
        <v>2020</v>
      </c>
      <c r="G6" s="42">
        <v>94.5</v>
      </c>
      <c r="H6" s="42">
        <v>93.2</v>
      </c>
      <c r="I6" s="42">
        <v>95.1</v>
      </c>
      <c r="J6" s="42">
        <v>93.3</v>
      </c>
      <c r="K6" s="42">
        <v>92.6</v>
      </c>
      <c r="L6" s="42">
        <v>92.6</v>
      </c>
      <c r="M6" s="42">
        <v>93.2</v>
      </c>
      <c r="N6" s="42">
        <v>92.7</v>
      </c>
    </row>
    <row r="7" spans="1:15" ht="15.75" customHeight="1">
      <c r="E7" s="99"/>
      <c r="F7">
        <v>2021</v>
      </c>
      <c r="G7" s="42">
        <v>94.2</v>
      </c>
      <c r="H7" s="42">
        <v>93.5</v>
      </c>
      <c r="I7" s="42">
        <v>94.6</v>
      </c>
      <c r="J7" s="42">
        <v>93.3</v>
      </c>
      <c r="K7" s="42">
        <v>92.4</v>
      </c>
      <c r="L7" s="42">
        <v>92.7</v>
      </c>
      <c r="M7" s="42">
        <v>93</v>
      </c>
      <c r="N7" s="42">
        <v>92.6</v>
      </c>
    </row>
    <row r="8" spans="1:15">
      <c r="E8" s="99"/>
      <c r="F8">
        <v>2022</v>
      </c>
      <c r="G8" s="42">
        <v>94.6</v>
      </c>
      <c r="H8" s="42">
        <v>93.3</v>
      </c>
      <c r="I8" s="42">
        <v>95</v>
      </c>
      <c r="J8" s="42">
        <v>93.6</v>
      </c>
      <c r="K8" s="42">
        <v>92.9</v>
      </c>
      <c r="L8" s="42">
        <v>91.8</v>
      </c>
      <c r="M8" s="42">
        <v>93.6</v>
      </c>
      <c r="N8" s="42">
        <v>93.2</v>
      </c>
    </row>
    <row r="9" spans="1:15">
      <c r="A9" s="98" t="s">
        <v>893</v>
      </c>
      <c r="B9" s="99"/>
      <c r="E9" s="99"/>
      <c r="F9">
        <v>2023</v>
      </c>
      <c r="G9" s="42">
        <v>94.4</v>
      </c>
      <c r="H9" s="42">
        <v>93</v>
      </c>
      <c r="I9" s="42">
        <v>94.9</v>
      </c>
      <c r="J9" s="42">
        <v>92.3</v>
      </c>
      <c r="K9" s="42">
        <v>92.5</v>
      </c>
      <c r="L9" s="42">
        <v>92</v>
      </c>
      <c r="M9" s="42">
        <v>93.6</v>
      </c>
      <c r="N9" s="42">
        <v>93.2</v>
      </c>
    </row>
    <row r="10" spans="1:15">
      <c r="A10" t="s">
        <v>894</v>
      </c>
      <c r="B10" t="s">
        <v>972</v>
      </c>
      <c r="E10" s="99"/>
      <c r="G10" s="42"/>
      <c r="H10" s="42"/>
      <c r="I10" s="42"/>
      <c r="J10" s="42"/>
      <c r="K10" s="42"/>
      <c r="L10" s="42"/>
      <c r="M10" s="42"/>
      <c r="N10" s="42"/>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15.140625" bestFit="1" customWidth="1"/>
    <col min="7" max="7" width="48.7109375" bestFit="1" customWidth="1"/>
    <col min="8" max="8" width="35.28515625" bestFit="1" customWidth="1"/>
    <col min="9" max="9" width="8.7109375" bestFit="1" customWidth="1"/>
    <col min="10" max="10" width="14" bestFit="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152</v>
      </c>
      <c r="C1" s="97"/>
      <c r="D1" s="97"/>
      <c r="E1" s="97"/>
      <c r="F1" s="97"/>
      <c r="G1" s="97"/>
      <c r="H1" s="97"/>
      <c r="I1" s="97"/>
      <c r="J1" s="97"/>
      <c r="K1" s="97"/>
      <c r="L1" s="97"/>
      <c r="M1" s="97"/>
      <c r="N1" s="97"/>
      <c r="O1" s="97"/>
    </row>
    <row r="2" spans="1:15">
      <c r="A2" s="58" t="s">
        <v>883</v>
      </c>
      <c r="B2" t="s">
        <v>12</v>
      </c>
    </row>
    <row r="3" spans="1:15">
      <c r="A3" s="58" t="s">
        <v>884</v>
      </c>
      <c r="B3" t="str">
        <f>IF($B$1="","",_xlfn.XLOOKUP($B$1,Master!$F$2:$F$308,Master!$G$2:$G$308,""))</f>
        <v>tbl-medically-underserved</v>
      </c>
    </row>
    <row r="4" spans="1:15">
      <c r="A4" s="58" t="s">
        <v>6</v>
      </c>
      <c r="B4">
        <f>IF($B$1="","",_xlfn.XLOOKUP($B$1,Master!$F$2:$F$308,Master!$H$2:$H$308,""))</f>
        <v>0</v>
      </c>
      <c r="E4" s="13"/>
      <c r="F4" s="16" t="s">
        <v>664</v>
      </c>
      <c r="G4" s="16" t="s">
        <v>664</v>
      </c>
      <c r="H4" s="16" t="s">
        <v>664</v>
      </c>
      <c r="I4" s="16" t="s">
        <v>664</v>
      </c>
      <c r="J4" s="16" t="s">
        <v>714</v>
      </c>
      <c r="K4" s="16"/>
      <c r="L4" s="16"/>
      <c r="M4" s="16"/>
      <c r="N4" s="16"/>
      <c r="O4" s="16"/>
    </row>
    <row r="5" spans="1:15">
      <c r="A5" s="98" t="s">
        <v>885</v>
      </c>
      <c r="B5" s="99"/>
      <c r="E5" s="100" t="s">
        <v>886</v>
      </c>
      <c r="G5" t="s">
        <v>1311</v>
      </c>
      <c r="H5" t="s">
        <v>1312</v>
      </c>
      <c r="I5" t="s">
        <v>1313</v>
      </c>
      <c r="J5" t="s">
        <v>1314</v>
      </c>
    </row>
    <row r="6" spans="1:15" ht="15" customHeight="1">
      <c r="A6" t="s">
        <v>891</v>
      </c>
      <c r="B6" t="b">
        <v>0</v>
      </c>
      <c r="E6" s="99"/>
      <c r="F6" t="s">
        <v>220</v>
      </c>
      <c r="G6" s="42" t="s">
        <v>1315</v>
      </c>
      <c r="H6" s="42" t="s">
        <v>1316</v>
      </c>
      <c r="I6" s="42">
        <v>59.2</v>
      </c>
      <c r="J6" s="44">
        <v>37036</v>
      </c>
      <c r="K6" s="42"/>
      <c r="L6" s="42"/>
      <c r="M6" s="42"/>
      <c r="N6" s="42"/>
    </row>
    <row r="7" spans="1:15" ht="15.75" customHeight="1">
      <c r="E7" s="99"/>
      <c r="F7" t="s">
        <v>220</v>
      </c>
      <c r="G7" s="42" t="s">
        <v>1317</v>
      </c>
      <c r="H7" s="42" t="s">
        <v>1316</v>
      </c>
      <c r="I7" s="42">
        <v>44.8</v>
      </c>
      <c r="J7" s="44">
        <v>36997</v>
      </c>
      <c r="K7" s="42"/>
      <c r="L7" s="42"/>
      <c r="M7" s="42"/>
      <c r="N7" s="42"/>
    </row>
    <row r="8" spans="1:15">
      <c r="E8" s="99"/>
      <c r="F8" t="s">
        <v>220</v>
      </c>
      <c r="G8" s="42" t="s">
        <v>1318</v>
      </c>
      <c r="H8" s="42" t="s">
        <v>1319</v>
      </c>
      <c r="I8" s="42" t="s">
        <v>900</v>
      </c>
      <c r="J8" s="44">
        <v>34156</v>
      </c>
      <c r="K8" s="42"/>
      <c r="L8" s="42"/>
      <c r="M8" s="42"/>
      <c r="N8" s="42"/>
    </row>
    <row r="9" spans="1:15">
      <c r="A9" s="98" t="s">
        <v>893</v>
      </c>
      <c r="B9" s="99"/>
      <c r="E9" s="99"/>
      <c r="F9" t="s">
        <v>18</v>
      </c>
      <c r="G9" s="42" t="s">
        <v>1320</v>
      </c>
      <c r="H9" s="42" t="s">
        <v>1321</v>
      </c>
      <c r="I9" s="42">
        <v>55.5</v>
      </c>
      <c r="J9" s="44">
        <v>34458</v>
      </c>
      <c r="K9" s="42"/>
      <c r="L9" s="42"/>
      <c r="M9" s="42"/>
      <c r="N9" s="42"/>
    </row>
    <row r="10" spans="1:15">
      <c r="A10" t="s">
        <v>894</v>
      </c>
      <c r="E10" s="99"/>
      <c r="F10" t="s">
        <v>18</v>
      </c>
      <c r="G10" s="42" t="s">
        <v>1322</v>
      </c>
      <c r="H10" s="42" t="s">
        <v>1321</v>
      </c>
      <c r="I10" s="42">
        <v>60.8</v>
      </c>
      <c r="J10" s="44">
        <v>36340</v>
      </c>
      <c r="K10" s="42"/>
      <c r="L10" s="42"/>
      <c r="M10" s="42"/>
      <c r="N10" s="42"/>
    </row>
    <row r="11" spans="1:15">
      <c r="A11" t="s">
        <v>895</v>
      </c>
      <c r="E11" s="99"/>
      <c r="F11" t="s">
        <v>18</v>
      </c>
      <c r="G11" s="42" t="s">
        <v>1323</v>
      </c>
      <c r="H11" s="42" t="s">
        <v>1321</v>
      </c>
      <c r="I11" s="42">
        <v>45</v>
      </c>
      <c r="J11" s="44">
        <v>34171</v>
      </c>
      <c r="K11" s="42"/>
      <c r="L11" s="42"/>
      <c r="M11" s="42"/>
      <c r="N11" s="42"/>
    </row>
    <row r="12" spans="1:15">
      <c r="A12" t="s">
        <v>896</v>
      </c>
      <c r="E12" s="99"/>
      <c r="F12" t="s">
        <v>18</v>
      </c>
      <c r="G12" t="s">
        <v>1324</v>
      </c>
      <c r="H12" t="s">
        <v>1316</v>
      </c>
      <c r="I12">
        <v>58.2</v>
      </c>
      <c r="J12" s="45">
        <v>34432</v>
      </c>
    </row>
    <row r="13" spans="1:15">
      <c r="A13" t="s">
        <v>897</v>
      </c>
      <c r="E13" s="99"/>
      <c r="F13" t="s">
        <v>449</v>
      </c>
      <c r="G13" t="s">
        <v>1325</v>
      </c>
      <c r="H13" t="s">
        <v>1321</v>
      </c>
      <c r="I13">
        <v>45.5</v>
      </c>
      <c r="J13" s="45">
        <v>34184</v>
      </c>
    </row>
    <row r="14" spans="1:15">
      <c r="A14" t="s">
        <v>899</v>
      </c>
      <c r="E14" s="99"/>
      <c r="F14" t="s">
        <v>449</v>
      </c>
      <c r="G14" t="s">
        <v>1326</v>
      </c>
      <c r="H14" t="s">
        <v>1316</v>
      </c>
      <c r="I14">
        <v>61.6</v>
      </c>
      <c r="J14" s="45">
        <v>38925</v>
      </c>
    </row>
    <row r="15" spans="1:15">
      <c r="A15" t="s">
        <v>901</v>
      </c>
      <c r="E15" s="99"/>
      <c r="F15" t="s">
        <v>409</v>
      </c>
      <c r="G15" t="s">
        <v>1327</v>
      </c>
      <c r="H15" t="s">
        <v>1316</v>
      </c>
      <c r="I15">
        <v>59.3</v>
      </c>
      <c r="J15" s="45">
        <v>37407</v>
      </c>
    </row>
    <row r="16" spans="1:15">
      <c r="A16" t="s">
        <v>1146</v>
      </c>
      <c r="E16" s="99"/>
      <c r="F16" t="s">
        <v>409</v>
      </c>
      <c r="G16" t="s">
        <v>1328</v>
      </c>
      <c r="H16" t="s">
        <v>1316</v>
      </c>
      <c r="I16">
        <v>61.4</v>
      </c>
      <c r="J16" s="45">
        <v>38162</v>
      </c>
    </row>
    <row r="17" spans="1:10">
      <c r="E17" s="99"/>
      <c r="F17" t="s">
        <v>1329</v>
      </c>
      <c r="G17" t="s">
        <v>1330</v>
      </c>
      <c r="H17" t="s">
        <v>1316</v>
      </c>
      <c r="I17">
        <v>61.8</v>
      </c>
      <c r="J17" s="45">
        <v>37425</v>
      </c>
    </row>
    <row r="18" spans="1:10">
      <c r="A18" s="98" t="s">
        <v>902</v>
      </c>
      <c r="B18" s="99"/>
      <c r="E18" s="99"/>
      <c r="F18" t="s">
        <v>421</v>
      </c>
      <c r="G18" t="s">
        <v>1331</v>
      </c>
      <c r="H18" t="s">
        <v>1321</v>
      </c>
      <c r="I18">
        <v>58.8</v>
      </c>
      <c r="J18" s="45">
        <v>29713</v>
      </c>
    </row>
    <row r="19" spans="1:10">
      <c r="A19" t="s">
        <v>903</v>
      </c>
      <c r="E19" s="99"/>
      <c r="F19" t="s">
        <v>470</v>
      </c>
      <c r="G19" t="s">
        <v>1332</v>
      </c>
      <c r="H19" t="s">
        <v>1321</v>
      </c>
      <c r="I19">
        <v>61.6</v>
      </c>
      <c r="J19" s="45">
        <v>34520</v>
      </c>
    </row>
    <row r="20" spans="1:10">
      <c r="A20" t="s">
        <v>904</v>
      </c>
      <c r="E20" s="99"/>
      <c r="F20" t="s">
        <v>470</v>
      </c>
      <c r="G20" t="s">
        <v>1333</v>
      </c>
      <c r="H20" t="s">
        <v>1321</v>
      </c>
      <c r="I20">
        <v>54</v>
      </c>
      <c r="J20" s="45">
        <v>28586</v>
      </c>
    </row>
    <row r="21" spans="1:10">
      <c r="A21" t="s">
        <v>905</v>
      </c>
      <c r="E21" s="99"/>
      <c r="F21" t="s">
        <v>470</v>
      </c>
      <c r="G21" t="s">
        <v>1334</v>
      </c>
      <c r="H21" t="s">
        <v>1319</v>
      </c>
      <c r="I21" t="s">
        <v>900</v>
      </c>
      <c r="J21" s="45">
        <v>37680</v>
      </c>
    </row>
    <row r="22" spans="1:10">
      <c r="A22" t="s">
        <v>906</v>
      </c>
      <c r="E22" s="99"/>
      <c r="F22" t="s">
        <v>470</v>
      </c>
      <c r="G22" t="s">
        <v>1335</v>
      </c>
      <c r="H22" t="s">
        <v>1321</v>
      </c>
      <c r="I22">
        <v>58.8</v>
      </c>
      <c r="J22" s="45">
        <v>34458</v>
      </c>
    </row>
    <row r="23" spans="1:10">
      <c r="A23" t="s">
        <v>907</v>
      </c>
      <c r="E23" s="99"/>
      <c r="F23" t="s">
        <v>470</v>
      </c>
      <c r="G23" t="s">
        <v>1336</v>
      </c>
      <c r="H23" t="s">
        <v>1319</v>
      </c>
      <c r="I23" t="s">
        <v>900</v>
      </c>
      <c r="J23" s="45">
        <v>34067</v>
      </c>
    </row>
    <row r="24" spans="1:10">
      <c r="A24" t="s">
        <v>908</v>
      </c>
      <c r="E24" s="99"/>
      <c r="F24" t="s">
        <v>470</v>
      </c>
      <c r="G24" t="s">
        <v>1337</v>
      </c>
      <c r="H24" t="s">
        <v>1321</v>
      </c>
      <c r="I24">
        <v>41.2</v>
      </c>
      <c r="J24" s="45">
        <v>32423</v>
      </c>
    </row>
    <row r="25" spans="1:10">
      <c r="A25" t="s">
        <v>909</v>
      </c>
      <c r="E25" s="99"/>
    </row>
    <row r="26" spans="1:10">
      <c r="E26" s="99"/>
    </row>
    <row r="27" spans="1:10">
      <c r="A27" s="101" t="s">
        <v>910</v>
      </c>
      <c r="B27" s="99"/>
      <c r="E27" s="99"/>
    </row>
    <row r="28" spans="1:10">
      <c r="E28" s="99"/>
    </row>
    <row r="29" spans="1:10">
      <c r="E29" s="99"/>
    </row>
    <row r="30" spans="1:10">
      <c r="E30" s="99"/>
    </row>
    <row r="31" spans="1:10">
      <c r="E31" s="99"/>
    </row>
    <row r="32" spans="1:10">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157</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tbl-primary-care-providers</v>
      </c>
    </row>
    <row r="4" spans="1:15">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c r="A5" s="98" t="s">
        <v>885</v>
      </c>
      <c r="B5" s="99"/>
      <c r="E5" s="100" t="s">
        <v>886</v>
      </c>
      <c r="F5" s="46"/>
      <c r="G5" s="46" t="s">
        <v>220</v>
      </c>
      <c r="H5" s="46" t="s">
        <v>18</v>
      </c>
      <c r="I5" s="46" t="s">
        <v>537</v>
      </c>
      <c r="J5" s="46" t="s">
        <v>449</v>
      </c>
      <c r="K5" s="46" t="s">
        <v>409</v>
      </c>
      <c r="L5" s="46" t="s">
        <v>421</v>
      </c>
      <c r="M5" s="46" t="s">
        <v>470</v>
      </c>
      <c r="N5" s="46" t="s">
        <v>915</v>
      </c>
    </row>
    <row r="6" spans="1:15" ht="15" customHeight="1">
      <c r="A6" t="s">
        <v>891</v>
      </c>
      <c r="B6" t="b">
        <v>0</v>
      </c>
      <c r="E6" s="99"/>
      <c r="F6">
        <v>2019</v>
      </c>
      <c r="G6" s="60" t="s">
        <v>1338</v>
      </c>
      <c r="H6" s="60" t="s">
        <v>1339</v>
      </c>
      <c r="I6" s="60" t="s">
        <v>1340</v>
      </c>
      <c r="J6" s="60" t="s">
        <v>1341</v>
      </c>
      <c r="K6" s="60" t="s">
        <v>1342</v>
      </c>
      <c r="L6" s="60" t="s">
        <v>1343</v>
      </c>
      <c r="M6" s="60" t="s">
        <v>1344</v>
      </c>
      <c r="N6" s="60" t="s">
        <v>1345</v>
      </c>
    </row>
    <row r="7" spans="1:15" ht="15.75" customHeight="1">
      <c r="E7" s="99"/>
      <c r="F7">
        <v>2020</v>
      </c>
      <c r="G7" s="60" t="s">
        <v>1346</v>
      </c>
      <c r="H7" s="60" t="s">
        <v>1346</v>
      </c>
      <c r="I7" s="60" t="s">
        <v>1347</v>
      </c>
      <c r="J7" s="60" t="s">
        <v>1348</v>
      </c>
      <c r="K7" s="60" t="s">
        <v>1349</v>
      </c>
      <c r="L7" s="60" t="s">
        <v>1350</v>
      </c>
      <c r="M7" s="60" t="s">
        <v>1344</v>
      </c>
      <c r="N7" s="60" t="s">
        <v>1351</v>
      </c>
    </row>
    <row r="8" spans="1:15">
      <c r="E8" s="99"/>
      <c r="F8">
        <v>2021</v>
      </c>
      <c r="G8" s="60" t="s">
        <v>1352</v>
      </c>
      <c r="H8" s="60" t="s">
        <v>1338</v>
      </c>
      <c r="I8" s="60" t="s">
        <v>1353</v>
      </c>
      <c r="J8" s="60" t="s">
        <v>1345</v>
      </c>
      <c r="K8" s="60" t="s">
        <v>1354</v>
      </c>
      <c r="L8" s="60" t="s">
        <v>1355</v>
      </c>
      <c r="M8" s="60" t="s">
        <v>1356</v>
      </c>
      <c r="N8" s="60" t="s">
        <v>1357</v>
      </c>
    </row>
    <row r="9" spans="1:15">
      <c r="A9" s="98" t="s">
        <v>893</v>
      </c>
      <c r="B9" s="99"/>
      <c r="E9" s="99"/>
      <c r="G9" s="42"/>
      <c r="H9" s="42"/>
      <c r="I9" s="42"/>
      <c r="J9" s="42"/>
      <c r="K9" s="42"/>
      <c r="L9" s="42"/>
      <c r="M9" s="42"/>
      <c r="N9" s="42"/>
    </row>
    <row r="10" spans="1:15">
      <c r="A10" t="s">
        <v>894</v>
      </c>
      <c r="B10" t="s">
        <v>972</v>
      </c>
      <c r="E10" s="99"/>
      <c r="G10" s="42"/>
      <c r="H10" s="42"/>
      <c r="I10" s="42"/>
      <c r="J10" s="42"/>
      <c r="K10" s="42"/>
      <c r="L10" s="42"/>
      <c r="M10" s="42"/>
      <c r="N10" s="42"/>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161</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tbl-dentists</v>
      </c>
    </row>
    <row r="4" spans="1:15">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c r="A5" s="98" t="s">
        <v>885</v>
      </c>
      <c r="B5" s="99"/>
      <c r="E5" s="100" t="s">
        <v>886</v>
      </c>
      <c r="F5" s="46"/>
      <c r="G5" s="46" t="s">
        <v>220</v>
      </c>
      <c r="H5" s="46" t="s">
        <v>18</v>
      </c>
      <c r="I5" s="46" t="s">
        <v>537</v>
      </c>
      <c r="J5" s="46" t="s">
        <v>449</v>
      </c>
      <c r="K5" s="46" t="s">
        <v>409</v>
      </c>
      <c r="L5" s="46" t="s">
        <v>421</v>
      </c>
      <c r="M5" s="46" t="s">
        <v>470</v>
      </c>
      <c r="N5" s="46" t="s">
        <v>915</v>
      </c>
    </row>
    <row r="6" spans="1:15" ht="15" customHeight="1">
      <c r="A6" t="s">
        <v>891</v>
      </c>
      <c r="B6" t="b">
        <v>0</v>
      </c>
      <c r="E6" s="99"/>
      <c r="F6">
        <v>2019</v>
      </c>
      <c r="G6" s="60" t="s">
        <v>1358</v>
      </c>
      <c r="H6" s="60" t="s">
        <v>1359</v>
      </c>
      <c r="I6" s="60" t="s">
        <v>1360</v>
      </c>
      <c r="J6" s="60" t="s">
        <v>1361</v>
      </c>
      <c r="K6" s="60" t="s">
        <v>1362</v>
      </c>
      <c r="L6" s="60" t="s">
        <v>1363</v>
      </c>
      <c r="M6" s="60" t="s">
        <v>1364</v>
      </c>
      <c r="N6" s="60" t="s">
        <v>1351</v>
      </c>
    </row>
    <row r="7" spans="1:15" ht="15.75" customHeight="1">
      <c r="E7" s="99"/>
      <c r="F7">
        <v>2020</v>
      </c>
      <c r="G7" s="60" t="s">
        <v>1365</v>
      </c>
      <c r="H7" s="60" t="s">
        <v>1366</v>
      </c>
      <c r="I7" s="60" t="s">
        <v>1367</v>
      </c>
      <c r="J7" s="60" t="s">
        <v>1368</v>
      </c>
      <c r="K7" s="60" t="s">
        <v>1369</v>
      </c>
      <c r="L7" s="60" t="s">
        <v>1343</v>
      </c>
      <c r="M7" s="60" t="s">
        <v>1370</v>
      </c>
      <c r="N7" s="60" t="s">
        <v>1371</v>
      </c>
    </row>
    <row r="8" spans="1:15">
      <c r="E8" s="99"/>
      <c r="F8">
        <v>2021</v>
      </c>
      <c r="G8" s="60" t="s">
        <v>1352</v>
      </c>
      <c r="H8" s="60" t="s">
        <v>1372</v>
      </c>
      <c r="I8" s="60" t="s">
        <v>1373</v>
      </c>
      <c r="J8" s="60" t="s">
        <v>1374</v>
      </c>
      <c r="K8" s="60" t="s">
        <v>1375</v>
      </c>
      <c r="L8" s="60" t="s">
        <v>1372</v>
      </c>
      <c r="M8" s="60" t="s">
        <v>1376</v>
      </c>
      <c r="N8" s="60" t="s">
        <v>1377</v>
      </c>
    </row>
    <row r="9" spans="1:15">
      <c r="A9" s="98" t="s">
        <v>893</v>
      </c>
      <c r="B9" s="99"/>
      <c r="E9" s="99"/>
      <c r="F9">
        <v>2022</v>
      </c>
      <c r="G9" s="60" t="s">
        <v>1378</v>
      </c>
      <c r="H9" s="60" t="s">
        <v>1338</v>
      </c>
      <c r="I9" s="60" t="s">
        <v>1379</v>
      </c>
      <c r="J9" s="60" t="s">
        <v>1374</v>
      </c>
      <c r="K9" s="60" t="s">
        <v>1380</v>
      </c>
      <c r="L9" s="60" t="s">
        <v>1381</v>
      </c>
      <c r="M9" s="60" t="s">
        <v>1382</v>
      </c>
      <c r="N9" s="60" t="s">
        <v>1383</v>
      </c>
    </row>
    <row r="10" spans="1:15">
      <c r="A10" t="s">
        <v>894</v>
      </c>
      <c r="B10" t="s">
        <v>972</v>
      </c>
      <c r="E10" s="99"/>
      <c r="G10" s="42"/>
      <c r="H10" s="42"/>
      <c r="I10" s="42"/>
      <c r="J10" s="42"/>
      <c r="K10" s="42"/>
      <c r="L10" s="42"/>
      <c r="M10" s="42"/>
      <c r="N10" s="42"/>
    </row>
    <row r="11" spans="1:15">
      <c r="A11" t="s">
        <v>895</v>
      </c>
      <c r="B11" t="s">
        <v>973</v>
      </c>
      <c r="E11" s="99"/>
      <c r="G11" s="42"/>
      <c r="H11" s="42"/>
      <c r="I11" s="42"/>
      <c r="J11" s="42"/>
      <c r="K11" s="42"/>
      <c r="L11" s="42"/>
      <c r="M11" s="42"/>
      <c r="N11" s="42"/>
    </row>
    <row r="12" spans="1:15">
      <c r="A12" t="s">
        <v>896</v>
      </c>
      <c r="E12" s="99"/>
    </row>
    <row r="13" spans="1:15">
      <c r="A13" t="s">
        <v>897</v>
      </c>
      <c r="E13" s="99"/>
    </row>
    <row r="14" spans="1:15">
      <c r="A14" t="s">
        <v>899</v>
      </c>
      <c r="B14" t="s">
        <v>680</v>
      </c>
      <c r="E14" s="99"/>
    </row>
    <row r="15" spans="1:15">
      <c r="A15" t="s">
        <v>901</v>
      </c>
      <c r="B15" t="b">
        <v>0</v>
      </c>
      <c r="E15" s="99"/>
    </row>
    <row r="16" spans="1:15">
      <c r="A16" t="s">
        <v>1146</v>
      </c>
      <c r="E16" s="99"/>
    </row>
    <row r="17" spans="1:5">
      <c r="E17" s="99"/>
    </row>
    <row r="18" spans="1:5">
      <c r="A18" s="98" t="s">
        <v>902</v>
      </c>
      <c r="B18" s="99"/>
      <c r="E18" s="99"/>
    </row>
    <row r="19" spans="1:5">
      <c r="A19" t="s">
        <v>903</v>
      </c>
      <c r="E19" s="99"/>
    </row>
    <row r="20" spans="1:5">
      <c r="A20" t="s">
        <v>904</v>
      </c>
      <c r="E20" s="99"/>
    </row>
    <row r="21" spans="1:5">
      <c r="A21" t="s">
        <v>905</v>
      </c>
      <c r="E21" s="99"/>
    </row>
    <row r="22" spans="1:5">
      <c r="A22" t="s">
        <v>906</v>
      </c>
      <c r="E22" s="99"/>
    </row>
    <row r="23" spans="1:5">
      <c r="A23" t="s">
        <v>907</v>
      </c>
      <c r="E23" s="99"/>
    </row>
    <row r="24" spans="1:5">
      <c r="A24" t="s">
        <v>908</v>
      </c>
      <c r="E24" s="99"/>
    </row>
    <row r="25" spans="1:5">
      <c r="A25" t="s">
        <v>909</v>
      </c>
      <c r="E25" s="99"/>
    </row>
    <row r="26" spans="1:5">
      <c r="E26" s="99"/>
    </row>
    <row r="27" spans="1:5">
      <c r="A27" s="101" t="s">
        <v>910</v>
      </c>
      <c r="B27" s="99"/>
      <c r="E27" s="99"/>
    </row>
    <row r="28" spans="1:5">
      <c r="E28" s="99"/>
    </row>
    <row r="29" spans="1:5">
      <c r="E29" s="99"/>
    </row>
    <row r="30" spans="1:5">
      <c r="E30" s="99"/>
    </row>
    <row r="31" spans="1:5">
      <c r="E31" s="99"/>
    </row>
    <row r="32" spans="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165</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tbl-mental-health-providers</v>
      </c>
    </row>
    <row r="4" spans="1:15">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c r="E7" s="99"/>
      <c r="F7">
        <v>2022</v>
      </c>
      <c r="G7" s="46" t="s">
        <v>1391</v>
      </c>
      <c r="H7" s="46" t="s">
        <v>1385</v>
      </c>
      <c r="I7" s="46" t="s">
        <v>1392</v>
      </c>
      <c r="J7" s="46" t="s">
        <v>1393</v>
      </c>
      <c r="K7" s="46" t="s">
        <v>1394</v>
      </c>
      <c r="L7" s="46" t="s">
        <v>1386</v>
      </c>
      <c r="M7" s="46" t="s">
        <v>1390</v>
      </c>
      <c r="N7" s="46" t="s">
        <v>1395</v>
      </c>
      <c r="O7" s="46"/>
    </row>
    <row r="8" spans="1:15">
      <c r="E8" s="99"/>
      <c r="F8">
        <v>2023</v>
      </c>
      <c r="G8" s="46" t="s">
        <v>1395</v>
      </c>
      <c r="H8" s="46" t="s">
        <v>1396</v>
      </c>
      <c r="I8" s="46" t="s">
        <v>1390</v>
      </c>
      <c r="J8" s="46" t="s">
        <v>1395</v>
      </c>
      <c r="K8" s="46" t="s">
        <v>1397</v>
      </c>
      <c r="L8" s="46" t="s">
        <v>1398</v>
      </c>
      <c r="M8" s="46" t="s">
        <v>1399</v>
      </c>
      <c r="N8" s="46" t="s">
        <v>1400</v>
      </c>
      <c r="O8" s="46"/>
    </row>
    <row r="9" spans="1:15">
      <c r="A9" s="98" t="s">
        <v>893</v>
      </c>
      <c r="B9" s="99"/>
      <c r="E9" s="99"/>
      <c r="F9">
        <v>2024</v>
      </c>
      <c r="G9" s="46" t="s">
        <v>1401</v>
      </c>
      <c r="H9" s="46" t="s">
        <v>1402</v>
      </c>
      <c r="I9" s="46" t="s">
        <v>1403</v>
      </c>
      <c r="J9" s="46" t="s">
        <v>1401</v>
      </c>
      <c r="K9" s="46" t="s">
        <v>1397</v>
      </c>
      <c r="L9" s="46" t="s">
        <v>1392</v>
      </c>
      <c r="M9" s="46" t="s">
        <v>1404</v>
      </c>
      <c r="N9" s="46" t="s">
        <v>1386</v>
      </c>
      <c r="O9" s="46"/>
    </row>
    <row r="10" spans="1:15">
      <c r="A10" t="s">
        <v>894</v>
      </c>
      <c r="B10" t="s">
        <v>972</v>
      </c>
      <c r="E10" s="99"/>
      <c r="F10" s="46"/>
      <c r="G10" s="47"/>
      <c r="H10" s="47"/>
      <c r="I10" s="47"/>
      <c r="J10" s="47"/>
      <c r="K10" s="47"/>
      <c r="L10" s="47"/>
      <c r="M10" s="47"/>
      <c r="N10" s="47"/>
      <c r="O10" s="46"/>
    </row>
    <row r="11" spans="1:15">
      <c r="A11" t="s">
        <v>895</v>
      </c>
      <c r="B11" t="s">
        <v>973</v>
      </c>
      <c r="E11" s="99"/>
      <c r="F11" s="46"/>
      <c r="G11" s="47"/>
      <c r="H11" s="47"/>
      <c r="I11" s="47"/>
      <c r="J11" s="47"/>
      <c r="K11" s="47"/>
      <c r="L11" s="47"/>
      <c r="M11" s="47"/>
      <c r="N11" s="47"/>
      <c r="O11" s="46"/>
    </row>
    <row r="12" spans="1:15">
      <c r="A12" t="s">
        <v>896</v>
      </c>
      <c r="E12" s="99"/>
      <c r="F12" s="46"/>
      <c r="G12" s="46"/>
      <c r="H12" s="46"/>
      <c r="I12" s="46"/>
      <c r="J12" s="46"/>
      <c r="K12" s="46"/>
      <c r="L12" s="46"/>
      <c r="M12" s="46"/>
      <c r="N12" s="46"/>
      <c r="O12" s="46"/>
    </row>
    <row r="13" spans="1:15">
      <c r="A13" t="s">
        <v>897</v>
      </c>
      <c r="E13" s="99"/>
      <c r="F13" s="46"/>
      <c r="G13" s="46"/>
      <c r="H13" s="46"/>
      <c r="I13" s="46"/>
      <c r="J13" s="46"/>
      <c r="K13" s="46"/>
      <c r="L13" s="46"/>
      <c r="M13" s="46"/>
      <c r="N13" s="46"/>
      <c r="O13" s="46"/>
    </row>
    <row r="14" spans="1:15">
      <c r="A14" t="s">
        <v>899</v>
      </c>
      <c r="B14" t="s">
        <v>680</v>
      </c>
      <c r="E14" s="99"/>
      <c r="F14" s="46"/>
      <c r="G14" s="48"/>
      <c r="H14" s="47"/>
      <c r="I14" s="47"/>
      <c r="J14" s="47"/>
      <c r="K14" s="47"/>
      <c r="L14" s="47"/>
      <c r="M14" s="47"/>
      <c r="N14" s="47"/>
      <c r="O14" s="46"/>
    </row>
    <row r="15" spans="1:15">
      <c r="A15" t="s">
        <v>901</v>
      </c>
      <c r="B15" t="b">
        <v>0</v>
      </c>
      <c r="E15" s="99"/>
      <c r="F15" s="46"/>
      <c r="G15" s="48"/>
      <c r="H15" s="47"/>
      <c r="I15" s="47"/>
      <c r="J15" s="47"/>
      <c r="K15" s="47"/>
      <c r="L15" s="47"/>
      <c r="M15" s="47"/>
      <c r="N15" s="47"/>
      <c r="O15" s="46"/>
    </row>
    <row r="16" spans="1:15">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170</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tbl-adult-access-primary-care</v>
      </c>
    </row>
    <row r="4" spans="1:15">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c r="A6" t="s">
        <v>891</v>
      </c>
      <c r="B6" t="b">
        <v>0</v>
      </c>
      <c r="E6" s="99"/>
      <c r="F6">
        <v>2016</v>
      </c>
      <c r="G6">
        <v>82.8</v>
      </c>
      <c r="H6">
        <v>81.8</v>
      </c>
      <c r="I6">
        <v>86.7</v>
      </c>
      <c r="J6">
        <v>84.1</v>
      </c>
      <c r="K6">
        <v>84.6</v>
      </c>
      <c r="L6">
        <v>82.5</v>
      </c>
      <c r="M6">
        <v>79.2</v>
      </c>
      <c r="N6" s="49" t="s">
        <v>900</v>
      </c>
      <c r="O6">
        <v>82.6</v>
      </c>
    </row>
    <row r="7" spans="1:15" ht="15.75" customHeight="1">
      <c r="E7" s="99"/>
      <c r="F7">
        <v>2018</v>
      </c>
      <c r="G7">
        <v>85.7</v>
      </c>
      <c r="H7">
        <v>80.7</v>
      </c>
      <c r="I7">
        <v>89</v>
      </c>
      <c r="J7">
        <v>83.8</v>
      </c>
      <c r="K7">
        <v>75</v>
      </c>
      <c r="L7">
        <v>78.3</v>
      </c>
      <c r="M7">
        <v>81.400000000000006</v>
      </c>
      <c r="N7" s="49" t="s">
        <v>900</v>
      </c>
      <c r="O7">
        <v>79.099999999999994</v>
      </c>
    </row>
    <row r="8" spans="1:15">
      <c r="E8" s="99"/>
      <c r="F8">
        <v>2021</v>
      </c>
      <c r="G8">
        <v>81.599999999999994</v>
      </c>
      <c r="H8">
        <v>88.9</v>
      </c>
      <c r="I8">
        <v>90.5</v>
      </c>
      <c r="J8">
        <v>84.1</v>
      </c>
      <c r="K8">
        <v>76.900000000000006</v>
      </c>
      <c r="L8">
        <v>89.5</v>
      </c>
      <c r="M8">
        <v>84.9</v>
      </c>
      <c r="N8">
        <v>86.5</v>
      </c>
      <c r="O8">
        <v>85</v>
      </c>
    </row>
    <row r="9" spans="1:15">
      <c r="A9" s="98" t="s">
        <v>893</v>
      </c>
      <c r="B9" s="99"/>
      <c r="E9" s="99"/>
      <c r="G9" s="46"/>
      <c r="H9" s="46"/>
      <c r="I9" s="46"/>
      <c r="J9" s="46"/>
      <c r="K9" s="46"/>
      <c r="L9" s="46"/>
      <c r="M9" s="46"/>
      <c r="N9" s="46"/>
      <c r="O9" s="46"/>
    </row>
    <row r="10" spans="1:15">
      <c r="A10" t="s">
        <v>894</v>
      </c>
      <c r="B10" t="s">
        <v>983</v>
      </c>
      <c r="E10" s="99"/>
      <c r="F10" s="46"/>
      <c r="G10" s="47"/>
      <c r="H10" s="47"/>
      <c r="I10" s="47"/>
      <c r="J10" s="47"/>
      <c r="K10" s="47"/>
      <c r="L10" s="47"/>
      <c r="M10" s="47"/>
      <c r="N10" s="47"/>
      <c r="O10" s="46"/>
    </row>
    <row r="11" spans="1:15">
      <c r="A11" t="s">
        <v>895</v>
      </c>
      <c r="B11" t="s">
        <v>887</v>
      </c>
      <c r="E11" s="99"/>
      <c r="F11" s="46"/>
      <c r="G11" s="47"/>
      <c r="H11" s="47"/>
      <c r="I11" s="47"/>
      <c r="J11" s="47"/>
      <c r="K11" s="47"/>
      <c r="L11" s="47"/>
      <c r="M11" s="47"/>
      <c r="N11" s="47"/>
      <c r="O11" s="46"/>
    </row>
    <row r="12" spans="1:15">
      <c r="A12" t="s">
        <v>896</v>
      </c>
      <c r="E12" s="99"/>
      <c r="F12" s="46"/>
      <c r="G12" s="46"/>
      <c r="H12" s="46"/>
      <c r="I12" s="46"/>
      <c r="J12" s="46"/>
      <c r="K12" s="46"/>
      <c r="L12" s="46"/>
      <c r="M12" s="46"/>
      <c r="N12" s="46"/>
      <c r="O12" s="46"/>
    </row>
    <row r="13" spans="1:15">
      <c r="A13" t="s">
        <v>897</v>
      </c>
      <c r="E13" s="99"/>
      <c r="F13" s="46"/>
      <c r="G13" s="46"/>
      <c r="H13" s="46"/>
      <c r="I13" s="46"/>
      <c r="J13" s="46"/>
      <c r="K13" s="46"/>
      <c r="L13" s="46"/>
      <c r="M13" s="46"/>
      <c r="N13" s="46"/>
      <c r="O13" s="46"/>
    </row>
    <row r="14" spans="1:15">
      <c r="A14" t="s">
        <v>899</v>
      </c>
      <c r="E14" s="99"/>
      <c r="F14" s="46"/>
      <c r="G14" s="48"/>
      <c r="H14" s="47"/>
      <c r="I14" s="47"/>
      <c r="J14" s="47"/>
      <c r="K14" s="47"/>
      <c r="L14" s="47"/>
      <c r="M14" s="47"/>
      <c r="N14" s="47"/>
      <c r="O14" s="46"/>
    </row>
    <row r="15" spans="1:15">
      <c r="A15" t="s">
        <v>901</v>
      </c>
      <c r="B15" t="b">
        <v>1</v>
      </c>
      <c r="E15" s="99"/>
      <c r="F15" s="46"/>
      <c r="G15" s="48"/>
      <c r="H15" s="47"/>
      <c r="I15" s="47"/>
      <c r="J15" s="47"/>
      <c r="K15" s="47"/>
      <c r="L15" s="47"/>
      <c r="M15" s="47"/>
      <c r="N15" s="47"/>
      <c r="O15" s="46"/>
    </row>
    <row r="16" spans="1:15">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defaultColWidth="8.7109375" defaultRowHeight="15"/>
  <cols>
    <col min="1" max="1" width="20" bestFit="1" customWidth="1"/>
    <col min="2" max="2" width="18.425781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5">
      <c r="A1" s="58" t="s">
        <v>882</v>
      </c>
      <c r="B1" s="114" t="s">
        <v>174</v>
      </c>
      <c r="C1" s="97"/>
      <c r="D1" s="97"/>
      <c r="E1" s="97"/>
      <c r="F1" s="97"/>
      <c r="G1" s="97"/>
      <c r="H1" s="97"/>
      <c r="I1" s="97"/>
      <c r="J1" s="97"/>
      <c r="K1" s="97"/>
      <c r="L1" s="97"/>
      <c r="M1" s="97"/>
      <c r="N1" s="97"/>
      <c r="O1" s="97"/>
    </row>
    <row r="2" spans="1:15">
      <c r="A2" s="58" t="s">
        <v>883</v>
      </c>
      <c r="B2" t="s">
        <v>1120</v>
      </c>
    </row>
    <row r="3" spans="1:15">
      <c r="A3" s="58" t="s">
        <v>884</v>
      </c>
      <c r="B3" t="str">
        <f>IF($B$1="","",_xlfn.XLOOKUP($B$1,Master!$F$2:$F$308,Master!$G$2:$G$308,""))</f>
        <v>tbl-pph</v>
      </c>
    </row>
    <row r="4" spans="1:15">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c r="A6" t="s">
        <v>891</v>
      </c>
      <c r="B6" t="b">
        <v>0</v>
      </c>
      <c r="E6" s="99"/>
      <c r="F6" t="s">
        <v>1405</v>
      </c>
      <c r="G6">
        <v>86.4</v>
      </c>
      <c r="H6">
        <v>106.3</v>
      </c>
      <c r="I6">
        <v>60.2</v>
      </c>
      <c r="J6">
        <v>76.7</v>
      </c>
      <c r="K6">
        <v>100.9</v>
      </c>
      <c r="L6">
        <v>95.7</v>
      </c>
      <c r="M6">
        <v>77.099999999999994</v>
      </c>
      <c r="N6" s="49">
        <v>92.7</v>
      </c>
      <c r="O6">
        <v>97.3</v>
      </c>
    </row>
    <row r="7" spans="1:15" ht="15.75" customHeight="1">
      <c r="E7" s="99"/>
      <c r="N7" s="49"/>
    </row>
    <row r="8" spans="1:15">
      <c r="E8" s="99"/>
    </row>
    <row r="9" spans="1:15">
      <c r="A9" s="98" t="s">
        <v>893</v>
      </c>
      <c r="B9" s="99"/>
      <c r="E9" s="99"/>
      <c r="G9" s="46"/>
      <c r="H9" s="46"/>
      <c r="I9" s="46"/>
      <c r="J9" s="46"/>
      <c r="K9" s="46"/>
      <c r="L9" s="46"/>
      <c r="M9" s="46"/>
      <c r="N9" s="46"/>
      <c r="O9" s="46"/>
    </row>
    <row r="10" spans="1:15">
      <c r="A10" t="s">
        <v>894</v>
      </c>
      <c r="B10" t="s">
        <v>1002</v>
      </c>
      <c r="E10" s="99"/>
      <c r="F10" s="46"/>
      <c r="G10" s="47"/>
      <c r="H10" s="47"/>
      <c r="I10" s="47"/>
      <c r="J10" s="47"/>
      <c r="K10" s="47"/>
      <c r="L10" s="47"/>
      <c r="M10" s="47"/>
      <c r="N10" s="47"/>
      <c r="O10" s="46"/>
    </row>
    <row r="11" spans="1:15">
      <c r="A11" t="s">
        <v>895</v>
      </c>
      <c r="B11" t="s">
        <v>887</v>
      </c>
      <c r="E11" s="99"/>
      <c r="F11" s="46"/>
      <c r="G11" s="47"/>
      <c r="H11" s="47"/>
      <c r="I11" s="47"/>
      <c r="J11" s="47"/>
      <c r="K11" s="47"/>
      <c r="L11" s="47"/>
      <c r="M11" s="47"/>
      <c r="N11" s="47"/>
      <c r="O11" s="46"/>
    </row>
    <row r="12" spans="1:15">
      <c r="A12" t="s">
        <v>896</v>
      </c>
      <c r="E12" s="99"/>
      <c r="F12" s="46"/>
      <c r="G12" s="46"/>
      <c r="H12" s="46"/>
      <c r="I12" s="46"/>
      <c r="J12" s="46"/>
      <c r="K12" s="46"/>
      <c r="L12" s="46"/>
      <c r="M12" s="46"/>
      <c r="N12" s="46"/>
      <c r="O12" s="46"/>
    </row>
    <row r="13" spans="1:15">
      <c r="A13" t="s">
        <v>897</v>
      </c>
      <c r="E13" s="99"/>
      <c r="F13" s="46"/>
      <c r="G13" s="46"/>
      <c r="H13" s="46"/>
      <c r="I13" s="46"/>
      <c r="J13" s="46"/>
      <c r="K13" s="46"/>
      <c r="L13" s="46"/>
      <c r="M13" s="46"/>
      <c r="N13" s="46"/>
      <c r="O13" s="46"/>
    </row>
    <row r="14" spans="1:15">
      <c r="A14" t="s">
        <v>899</v>
      </c>
      <c r="E14" s="99"/>
      <c r="F14" s="46"/>
      <c r="G14" s="48"/>
      <c r="H14" s="47"/>
      <c r="I14" s="47"/>
      <c r="J14" s="47"/>
      <c r="K14" s="47"/>
      <c r="L14" s="47"/>
      <c r="M14" s="47"/>
      <c r="N14" s="47"/>
      <c r="O14" s="46"/>
    </row>
    <row r="15" spans="1:15">
      <c r="A15" t="s">
        <v>901</v>
      </c>
      <c r="B15" t="b">
        <v>0</v>
      </c>
      <c r="E15" s="99"/>
      <c r="F15" s="46"/>
      <c r="G15" s="48"/>
      <c r="H15" s="47"/>
      <c r="I15" s="47"/>
      <c r="J15" s="47"/>
      <c r="K15" s="47"/>
      <c r="L15" s="47"/>
      <c r="M15" s="47"/>
      <c r="N15" s="47"/>
      <c r="O15" s="46"/>
    </row>
    <row r="16" spans="1:15">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tbl-pph-black-white-nh</v>
      </c>
    </row>
    <row r="4" spans="1:16">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c r="A6" t="s">
        <v>891</v>
      </c>
      <c r="B6" t="b">
        <v>0</v>
      </c>
      <c r="E6" s="99"/>
      <c r="F6">
        <v>2019</v>
      </c>
      <c r="G6">
        <v>-37.5</v>
      </c>
      <c r="H6">
        <v>115.9</v>
      </c>
      <c r="I6" t="s">
        <v>1442</v>
      </c>
      <c r="J6">
        <v>58.5</v>
      </c>
      <c r="K6">
        <v>111</v>
      </c>
      <c r="L6">
        <v>51.5</v>
      </c>
      <c r="M6">
        <v>145.30000000000001</v>
      </c>
      <c r="N6" s="49">
        <v>95.3</v>
      </c>
      <c r="O6">
        <v>20.2</v>
      </c>
      <c r="P6">
        <v>117.6</v>
      </c>
    </row>
    <row r="7" spans="1:16" ht="15.75" customHeight="1">
      <c r="E7" s="99"/>
      <c r="F7">
        <v>2020</v>
      </c>
      <c r="G7">
        <v>-20.100000000000001</v>
      </c>
      <c r="H7">
        <v>108.9</v>
      </c>
      <c r="I7" t="s">
        <v>1443</v>
      </c>
      <c r="J7">
        <v>62.4</v>
      </c>
      <c r="K7">
        <v>75.900000000000006</v>
      </c>
      <c r="L7">
        <v>31.5</v>
      </c>
      <c r="M7">
        <v>115.1</v>
      </c>
      <c r="N7" s="49">
        <v>78.7</v>
      </c>
      <c r="O7">
        <v>19.7</v>
      </c>
      <c r="P7">
        <v>99</v>
      </c>
    </row>
    <row r="8" spans="1:16">
      <c r="E8" s="99"/>
      <c r="F8">
        <v>2021</v>
      </c>
      <c r="G8">
        <v>-15.4</v>
      </c>
      <c r="H8">
        <v>77.599999999999994</v>
      </c>
      <c r="I8" t="s">
        <v>754</v>
      </c>
      <c r="J8">
        <v>49.7</v>
      </c>
      <c r="K8">
        <v>41.9</v>
      </c>
      <c r="L8">
        <v>46.7</v>
      </c>
      <c r="M8">
        <v>106.9</v>
      </c>
      <c r="N8">
        <v>71.400000000000006</v>
      </c>
      <c r="O8">
        <v>22.2</v>
      </c>
      <c r="P8">
        <v>103.3</v>
      </c>
    </row>
    <row r="9" spans="1:16">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708</v>
      </c>
      <c r="E14" s="99"/>
      <c r="F14" s="46"/>
      <c r="G14" s="48"/>
      <c r="H14" s="47"/>
      <c r="I14" s="47"/>
      <c r="J14" s="47"/>
      <c r="K14" s="47"/>
      <c r="L14" s="47"/>
      <c r="M14" s="47"/>
      <c r="N14" s="47"/>
      <c r="O14" s="46"/>
    </row>
    <row r="15" spans="1:16">
      <c r="A15" t="s">
        <v>901</v>
      </c>
      <c r="B15" t="b">
        <v>0</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1453</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tbl-pph-white-nh</v>
      </c>
    </row>
    <row r="4" spans="1:16">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c r="A6" t="s">
        <v>891</v>
      </c>
      <c r="B6" t="b">
        <v>0</v>
      </c>
      <c r="E6" s="99"/>
      <c r="F6">
        <v>2019</v>
      </c>
      <c r="G6">
        <v>-18</v>
      </c>
      <c r="H6">
        <v>-6.4</v>
      </c>
      <c r="I6">
        <v>-22.3</v>
      </c>
      <c r="J6">
        <v>29.6</v>
      </c>
      <c r="K6">
        <v>2.4</v>
      </c>
      <c r="L6">
        <v>-8.5</v>
      </c>
      <c r="M6">
        <v>-8.9</v>
      </c>
      <c r="N6" s="49">
        <v>-10.8</v>
      </c>
      <c r="O6">
        <v>0.8</v>
      </c>
      <c r="P6">
        <v>36.299999999999997</v>
      </c>
    </row>
    <row r="7" spans="1:16" ht="15.75" customHeight="1">
      <c r="E7" s="99"/>
      <c r="F7">
        <v>2020</v>
      </c>
      <c r="G7">
        <v>-12.6</v>
      </c>
      <c r="H7">
        <v>10.9</v>
      </c>
      <c r="I7">
        <v>-22.7</v>
      </c>
      <c r="J7">
        <v>28.1</v>
      </c>
      <c r="K7">
        <v>-21.3</v>
      </c>
      <c r="L7">
        <v>5.6</v>
      </c>
      <c r="M7">
        <v>7</v>
      </c>
      <c r="N7" s="49">
        <v>1.2</v>
      </c>
      <c r="O7">
        <v>8.1</v>
      </c>
      <c r="P7">
        <v>29.7</v>
      </c>
    </row>
    <row r="8" spans="1:16">
      <c r="E8" s="99"/>
      <c r="F8">
        <v>2021</v>
      </c>
      <c r="G8">
        <v>-18.3</v>
      </c>
      <c r="H8">
        <v>-8.6999999999999993</v>
      </c>
      <c r="I8">
        <v>-25.5</v>
      </c>
      <c r="J8">
        <v>18.100000000000001</v>
      </c>
      <c r="K8">
        <v>-12</v>
      </c>
      <c r="L8">
        <v>8.1</v>
      </c>
      <c r="M8">
        <v>7.5</v>
      </c>
      <c r="N8">
        <v>-1.6</v>
      </c>
      <c r="O8">
        <v>4.0999999999999996</v>
      </c>
      <c r="P8">
        <v>30.1</v>
      </c>
    </row>
    <row r="9" spans="1:16">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708</v>
      </c>
      <c r="E14" s="99"/>
      <c r="F14" s="46"/>
      <c r="G14" s="48"/>
      <c r="H14" s="47"/>
      <c r="I14" s="47"/>
      <c r="J14" s="47"/>
      <c r="K14" s="47"/>
      <c r="L14" s="47"/>
      <c r="M14" s="47"/>
      <c r="N14" s="47"/>
      <c r="O14" s="46"/>
    </row>
    <row r="15" spans="1:16">
      <c r="A15" t="s">
        <v>901</v>
      </c>
      <c r="B15" t="b">
        <v>0</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1454</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tbl-food-environment</v>
      </c>
    </row>
    <row r="4" spans="1:16">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c r="A6" t="s">
        <v>891</v>
      </c>
      <c r="B6" t="b">
        <v>0</v>
      </c>
      <c r="E6" s="99"/>
      <c r="F6">
        <v>2018</v>
      </c>
      <c r="G6">
        <v>8.6</v>
      </c>
      <c r="H6">
        <v>8.6</v>
      </c>
      <c r="I6">
        <v>8.1999999999999993</v>
      </c>
      <c r="J6">
        <v>8.6999999999999993</v>
      </c>
      <c r="K6">
        <v>8.1999999999999993</v>
      </c>
      <c r="L6">
        <v>8</v>
      </c>
      <c r="M6">
        <v>9.1999999999999993</v>
      </c>
      <c r="N6" s="49">
        <v>9</v>
      </c>
    </row>
    <row r="7" spans="1:16" ht="15.75" customHeight="1">
      <c r="E7" s="99"/>
      <c r="F7">
        <v>2019</v>
      </c>
      <c r="G7">
        <v>8.6</v>
      </c>
      <c r="H7">
        <v>8.5</v>
      </c>
      <c r="I7">
        <v>9</v>
      </c>
      <c r="J7">
        <v>8.6999999999999993</v>
      </c>
      <c r="K7">
        <v>8.3000000000000007</v>
      </c>
      <c r="L7">
        <v>8.1</v>
      </c>
      <c r="M7">
        <v>9.3000000000000007</v>
      </c>
      <c r="N7" s="49">
        <v>9</v>
      </c>
    </row>
    <row r="8" spans="1:16">
      <c r="E8" s="99"/>
      <c r="F8">
        <v>2022</v>
      </c>
      <c r="G8">
        <v>8.6999999999999993</v>
      </c>
      <c r="H8">
        <v>8.4</v>
      </c>
      <c r="I8">
        <v>9</v>
      </c>
      <c r="J8">
        <v>8.6</v>
      </c>
      <c r="K8">
        <v>8.3000000000000007</v>
      </c>
      <c r="L8">
        <v>8.1</v>
      </c>
      <c r="M8">
        <v>9.3000000000000007</v>
      </c>
      <c r="N8">
        <v>8.6999999999999993</v>
      </c>
    </row>
    <row r="9" spans="1:16">
      <c r="A9" s="98" t="s">
        <v>893</v>
      </c>
      <c r="B9" s="99"/>
      <c r="E9" s="99"/>
      <c r="G9" s="46"/>
      <c r="H9" s="46"/>
      <c r="I9" s="46"/>
      <c r="J9" s="46"/>
      <c r="K9" s="46"/>
      <c r="L9" s="46"/>
      <c r="M9" s="46"/>
      <c r="N9" s="46"/>
      <c r="O9" s="46"/>
    </row>
    <row r="10" spans="1:16">
      <c r="A10" t="s">
        <v>894</v>
      </c>
      <c r="B10" t="s">
        <v>983</v>
      </c>
      <c r="E10" s="99"/>
      <c r="F10" s="46"/>
      <c r="G10" s="47"/>
      <c r="H10" s="47"/>
      <c r="I10" s="47"/>
      <c r="J10" s="47"/>
      <c r="K10" s="47"/>
      <c r="L10" s="47"/>
      <c r="M10" s="47"/>
      <c r="N10" s="47"/>
      <c r="O10" s="46"/>
    </row>
    <row r="11" spans="1:16">
      <c r="A11" t="s">
        <v>895</v>
      </c>
      <c r="B11" t="s">
        <v>887</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B16" t="b">
        <v>1</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1464</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tbl-limited-healthy-foods</v>
      </c>
    </row>
    <row r="4" spans="1:16">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c r="A6" t="s">
        <v>891</v>
      </c>
      <c r="B6" t="b">
        <v>0</v>
      </c>
      <c r="E6" s="99"/>
      <c r="F6">
        <v>2015</v>
      </c>
      <c r="G6" s="14">
        <v>6.1</v>
      </c>
      <c r="H6" s="14">
        <v>6.4</v>
      </c>
      <c r="I6" s="14">
        <v>7.5</v>
      </c>
      <c r="J6" s="14">
        <v>3.7</v>
      </c>
      <c r="K6" s="14">
        <v>2.2000000000000002</v>
      </c>
      <c r="L6" s="14">
        <v>7.5</v>
      </c>
      <c r="M6" s="14">
        <v>1.4</v>
      </c>
      <c r="N6" s="14">
        <v>3.7</v>
      </c>
    </row>
    <row r="7" spans="1:16" ht="15.75" customHeight="1">
      <c r="E7" s="99"/>
      <c r="F7">
        <v>2019</v>
      </c>
      <c r="G7" s="14">
        <v>5.7</v>
      </c>
      <c r="H7" s="14">
        <v>6</v>
      </c>
      <c r="I7" s="14">
        <v>6.7</v>
      </c>
      <c r="J7" s="14">
        <v>4.4000000000000004</v>
      </c>
      <c r="K7" s="14">
        <v>2.9</v>
      </c>
      <c r="L7" s="14">
        <v>6.1</v>
      </c>
      <c r="M7" s="14">
        <v>1.4</v>
      </c>
      <c r="N7" s="14">
        <v>2</v>
      </c>
    </row>
    <row r="8" spans="1:16">
      <c r="E8" s="99"/>
      <c r="G8" s="14"/>
      <c r="H8" s="14"/>
      <c r="I8" s="14"/>
      <c r="J8" s="14"/>
      <c r="K8" s="14"/>
      <c r="L8" s="14"/>
      <c r="M8" s="14"/>
      <c r="N8" s="14"/>
    </row>
    <row r="9" spans="1:16">
      <c r="A9" s="98" t="s">
        <v>893</v>
      </c>
      <c r="B9" s="99"/>
      <c r="E9" s="99"/>
      <c r="G9" s="46"/>
      <c r="H9" s="46"/>
      <c r="I9" s="46"/>
      <c r="J9" s="46"/>
      <c r="K9" s="46"/>
      <c r="L9" s="46"/>
      <c r="M9" s="46"/>
      <c r="N9" s="46"/>
      <c r="O9" s="46"/>
    </row>
    <row r="10" spans="1:16">
      <c r="A10" t="s">
        <v>894</v>
      </c>
      <c r="B10" t="s">
        <v>983</v>
      </c>
      <c r="E10" s="99"/>
      <c r="F10" s="46"/>
      <c r="G10" s="47"/>
      <c r="H10" s="47"/>
      <c r="I10" s="47"/>
      <c r="J10" s="47"/>
      <c r="K10" s="47"/>
      <c r="L10" s="47"/>
      <c r="M10" s="47"/>
      <c r="N10" s="47"/>
      <c r="O10" s="46"/>
    </row>
    <row r="11" spans="1:16">
      <c r="A11" t="s">
        <v>895</v>
      </c>
      <c r="B11" t="s">
        <v>887</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1464</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189</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tbl-violent-crime</v>
      </c>
    </row>
    <row r="4" spans="1:16">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c r="A6" t="s">
        <v>891</v>
      </c>
      <c r="B6" t="b">
        <v>0</v>
      </c>
      <c r="E6" s="99"/>
      <c r="F6">
        <v>2018</v>
      </c>
      <c r="G6" s="14">
        <v>186.4</v>
      </c>
      <c r="H6" s="14">
        <v>210.7</v>
      </c>
      <c r="I6" s="14">
        <v>55.4</v>
      </c>
      <c r="J6" s="14">
        <v>113.5</v>
      </c>
      <c r="K6" s="14">
        <v>264.2</v>
      </c>
      <c r="L6" s="14">
        <v>161.1</v>
      </c>
      <c r="M6" s="14">
        <v>173.6</v>
      </c>
      <c r="N6" s="14">
        <v>204</v>
      </c>
      <c r="O6">
        <v>351</v>
      </c>
    </row>
    <row r="7" spans="1:16" ht="15.75" customHeight="1">
      <c r="E7" s="99"/>
      <c r="F7">
        <v>2019</v>
      </c>
      <c r="G7" s="14">
        <v>194.8</v>
      </c>
      <c r="H7" s="14">
        <v>190.9</v>
      </c>
      <c r="I7" s="14">
        <v>49.9</v>
      </c>
      <c r="J7" s="14">
        <v>115.5</v>
      </c>
      <c r="K7" s="14">
        <v>249.9</v>
      </c>
      <c r="L7" s="14">
        <v>145.6</v>
      </c>
      <c r="M7" s="14">
        <v>169.3</v>
      </c>
      <c r="N7" s="14">
        <v>199.4</v>
      </c>
      <c r="O7">
        <v>359.4</v>
      </c>
    </row>
    <row r="8" spans="1:16">
      <c r="E8" s="99"/>
      <c r="F8">
        <v>2020</v>
      </c>
      <c r="G8" s="14">
        <v>198</v>
      </c>
      <c r="H8" s="14">
        <v>174.6</v>
      </c>
      <c r="I8" s="14">
        <v>37.9</v>
      </c>
      <c r="J8" s="14">
        <v>104.9</v>
      </c>
      <c r="K8" s="14">
        <v>196.7</v>
      </c>
      <c r="L8" s="14">
        <v>128.5</v>
      </c>
      <c r="M8" s="14">
        <v>164.4</v>
      </c>
      <c r="N8" s="14">
        <v>206.2</v>
      </c>
      <c r="O8">
        <v>365.7</v>
      </c>
    </row>
    <row r="9" spans="1:16">
      <c r="A9" s="98" t="s">
        <v>893</v>
      </c>
      <c r="B9" s="99"/>
      <c r="E9" s="99"/>
      <c r="F9">
        <v>2021</v>
      </c>
      <c r="G9" s="46" t="s">
        <v>1466</v>
      </c>
      <c r="H9" s="46" t="s">
        <v>1467</v>
      </c>
      <c r="I9" s="46" t="s">
        <v>1468</v>
      </c>
      <c r="J9" s="46" t="s">
        <v>1469</v>
      </c>
      <c r="K9" s="46" t="s">
        <v>1470</v>
      </c>
      <c r="L9" s="46" t="s">
        <v>1471</v>
      </c>
      <c r="M9" s="46" t="s">
        <v>1472</v>
      </c>
      <c r="N9" s="46" t="s">
        <v>1473</v>
      </c>
      <c r="O9" s="46" t="s">
        <v>1474</v>
      </c>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715</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1465</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192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tbl-density-matter</v>
      </c>
    </row>
    <row r="4" spans="1:16">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c r="E7" s="99"/>
      <c r="F7">
        <v>2016</v>
      </c>
      <c r="G7" s="14">
        <v>7.9</v>
      </c>
      <c r="H7" s="14">
        <v>6.2</v>
      </c>
      <c r="I7" s="14">
        <v>8</v>
      </c>
      <c r="J7" s="14">
        <v>8.5</v>
      </c>
      <c r="K7" s="14">
        <v>7.3</v>
      </c>
      <c r="L7" s="14">
        <v>7.5</v>
      </c>
      <c r="M7" s="14">
        <v>9</v>
      </c>
      <c r="N7" s="14">
        <v>6.6</v>
      </c>
    </row>
    <row r="8" spans="1:16">
      <c r="E8" s="99"/>
      <c r="F8">
        <v>2018</v>
      </c>
      <c r="G8" s="14">
        <v>7.7</v>
      </c>
      <c r="H8" s="14">
        <v>6.4</v>
      </c>
      <c r="I8" s="14">
        <v>7.9</v>
      </c>
      <c r="J8" s="14">
        <v>8.8000000000000007</v>
      </c>
      <c r="K8" s="14">
        <v>7.2</v>
      </c>
      <c r="L8" s="14">
        <v>7.4</v>
      </c>
      <c r="M8" s="14">
        <v>9.3000000000000007</v>
      </c>
      <c r="N8" s="14">
        <v>6.9</v>
      </c>
    </row>
    <row r="9" spans="1:16">
      <c r="A9" s="98" t="s">
        <v>893</v>
      </c>
      <c r="B9" s="99"/>
      <c r="E9" s="99"/>
      <c r="F9">
        <v>2020</v>
      </c>
      <c r="G9" s="46" t="s">
        <v>1477</v>
      </c>
      <c r="H9" s="46" t="s">
        <v>1478</v>
      </c>
      <c r="I9" s="46" t="s">
        <v>1461</v>
      </c>
      <c r="J9" s="46" t="s">
        <v>1479</v>
      </c>
      <c r="K9" s="46" t="s">
        <v>1480</v>
      </c>
      <c r="L9" s="46" t="s">
        <v>1481</v>
      </c>
      <c r="M9" s="46" t="s">
        <v>1482</v>
      </c>
      <c r="N9" s="46" t="s">
        <v>1480</v>
      </c>
      <c r="O9" s="46"/>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1475</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1476</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197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tbl-lead-children</v>
      </c>
    </row>
    <row r="4" spans="1:16">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c r="A6" t="s">
        <v>891</v>
      </c>
      <c r="B6" t="b">
        <v>0</v>
      </c>
      <c r="E6" s="99"/>
      <c r="F6">
        <v>2013</v>
      </c>
      <c r="G6" s="14">
        <v>57.2</v>
      </c>
      <c r="H6" s="14">
        <v>53.4</v>
      </c>
      <c r="I6" s="14">
        <v>61.3</v>
      </c>
      <c r="J6" s="14">
        <v>71.3</v>
      </c>
      <c r="K6" s="14">
        <v>36.4</v>
      </c>
      <c r="L6" s="14">
        <v>51.7</v>
      </c>
      <c r="M6" s="14">
        <v>65.5</v>
      </c>
      <c r="N6" s="14">
        <v>61.6</v>
      </c>
      <c r="O6">
        <v>62.8</v>
      </c>
    </row>
    <row r="7" spans="1:16" ht="15.75" customHeight="1">
      <c r="E7" s="99"/>
      <c r="F7">
        <v>2016</v>
      </c>
      <c r="G7" s="14">
        <v>58.8</v>
      </c>
      <c r="H7" s="14">
        <v>52.3</v>
      </c>
      <c r="I7" s="14">
        <v>62.4</v>
      </c>
      <c r="J7" s="14">
        <v>60.3</v>
      </c>
      <c r="K7" s="14">
        <v>46.1</v>
      </c>
      <c r="L7" s="14">
        <v>53.5</v>
      </c>
      <c r="M7" s="14">
        <v>64.3</v>
      </c>
      <c r="N7" s="14">
        <v>59.4</v>
      </c>
      <c r="O7">
        <v>63.3</v>
      </c>
    </row>
    <row r="8" spans="1:16">
      <c r="E8" s="99"/>
      <c r="F8">
        <v>2017</v>
      </c>
      <c r="G8" s="14">
        <v>60.7</v>
      </c>
      <c r="H8" s="14">
        <v>51</v>
      </c>
      <c r="I8" s="14">
        <v>60.8</v>
      </c>
      <c r="J8" s="14">
        <v>57</v>
      </c>
      <c r="K8" s="14">
        <v>44.4</v>
      </c>
      <c r="L8" s="14">
        <v>55.3</v>
      </c>
      <c r="M8" s="14">
        <v>63.6</v>
      </c>
      <c r="N8" s="14">
        <v>58.4</v>
      </c>
      <c r="O8">
        <v>62.4</v>
      </c>
    </row>
    <row r="9" spans="1:16">
      <c r="A9" s="98" t="s">
        <v>893</v>
      </c>
      <c r="B9" s="99"/>
      <c r="E9" s="99"/>
      <c r="F9">
        <v>2019</v>
      </c>
      <c r="G9" s="46" t="s">
        <v>1484</v>
      </c>
      <c r="H9" s="46" t="s">
        <v>1485</v>
      </c>
      <c r="I9" s="46" t="s">
        <v>1486</v>
      </c>
      <c r="J9" s="46" t="s">
        <v>1487</v>
      </c>
      <c r="K9" s="46" t="s">
        <v>1488</v>
      </c>
      <c r="L9" s="46" t="s">
        <v>1489</v>
      </c>
      <c r="M9" s="46" t="s">
        <v>1490</v>
      </c>
      <c r="N9" s="46" t="s">
        <v>1491</v>
      </c>
      <c r="O9" s="46" t="s">
        <v>1492</v>
      </c>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1483</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10"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202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tbl-severe-housing</v>
      </c>
    </row>
    <row r="4" spans="1:16">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c r="A6" t="s">
        <v>891</v>
      </c>
      <c r="B6" t="b">
        <v>0</v>
      </c>
      <c r="E6" s="99"/>
      <c r="F6" t="s">
        <v>969</v>
      </c>
      <c r="G6" s="14">
        <v>17</v>
      </c>
      <c r="H6" s="14">
        <v>21</v>
      </c>
      <c r="I6" s="14">
        <v>17</v>
      </c>
      <c r="J6" s="14">
        <v>26</v>
      </c>
      <c r="K6" s="14">
        <v>16</v>
      </c>
      <c r="L6" s="14">
        <v>18</v>
      </c>
      <c r="M6" s="14">
        <v>22</v>
      </c>
      <c r="N6" s="14">
        <v>23</v>
      </c>
      <c r="O6" s="14">
        <v>17</v>
      </c>
    </row>
    <row r="7" spans="1:16" ht="15.75" customHeight="1">
      <c r="E7" s="99"/>
      <c r="G7" s="14"/>
      <c r="H7" s="14"/>
      <c r="I7" s="14"/>
      <c r="J7" s="14"/>
      <c r="K7" s="14"/>
      <c r="L7" s="14"/>
      <c r="M7" s="14"/>
      <c r="N7" s="14"/>
    </row>
    <row r="8" spans="1:16">
      <c r="E8" s="99"/>
      <c r="G8" s="14"/>
      <c r="H8" s="14"/>
      <c r="I8" s="14"/>
      <c r="J8" s="14"/>
      <c r="K8" s="14"/>
      <c r="L8" s="14"/>
      <c r="M8" s="14"/>
      <c r="N8" s="14"/>
    </row>
    <row r="9" spans="1:16">
      <c r="A9" s="98" t="s">
        <v>893</v>
      </c>
      <c r="B9" s="99"/>
      <c r="E9" s="99"/>
      <c r="G9" s="46"/>
      <c r="H9" s="46"/>
      <c r="I9" s="46"/>
      <c r="J9" s="46"/>
      <c r="K9" s="46"/>
      <c r="L9" s="46"/>
      <c r="M9" s="46"/>
      <c r="N9" s="46"/>
      <c r="O9" s="46"/>
    </row>
    <row r="10" spans="1:16">
      <c r="A10" t="s">
        <v>894</v>
      </c>
      <c r="B10" t="s">
        <v>1002</v>
      </c>
      <c r="E10" s="99"/>
      <c r="F10" s="46"/>
      <c r="G10" s="47"/>
      <c r="H10" s="47"/>
      <c r="I10" s="47"/>
      <c r="J10" s="47"/>
      <c r="K10" s="47"/>
      <c r="L10" s="47"/>
      <c r="M10" s="47"/>
      <c r="N10" s="47"/>
      <c r="O10" s="46"/>
    </row>
    <row r="11" spans="1:16">
      <c r="A11" t="s">
        <v>895</v>
      </c>
      <c r="B11" t="s">
        <v>887</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1493</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204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tbl-no-vehicles</v>
      </c>
    </row>
    <row r="4" spans="1:16">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c r="A6" t="s">
        <v>891</v>
      </c>
      <c r="B6" t="b">
        <v>0</v>
      </c>
      <c r="E6" s="99"/>
      <c r="F6">
        <v>2021</v>
      </c>
      <c r="G6" s="14">
        <v>7.2</v>
      </c>
      <c r="H6" s="14">
        <v>8.9</v>
      </c>
      <c r="I6" s="14">
        <v>4.7</v>
      </c>
      <c r="J6" s="14">
        <v>10.4</v>
      </c>
      <c r="K6" s="14">
        <v>10.4</v>
      </c>
      <c r="L6" s="14">
        <v>6.8</v>
      </c>
      <c r="M6" s="14">
        <v>14.3</v>
      </c>
      <c r="N6" s="14">
        <v>28.9</v>
      </c>
    </row>
    <row r="7" spans="1:16" ht="15.75" customHeight="1">
      <c r="E7" s="99"/>
      <c r="F7">
        <v>2022</v>
      </c>
      <c r="G7" s="14">
        <v>7.2</v>
      </c>
      <c r="H7" s="14">
        <v>8.6</v>
      </c>
      <c r="I7" s="14">
        <v>4.0999999999999996</v>
      </c>
      <c r="J7" s="14">
        <v>9.9</v>
      </c>
      <c r="K7" s="14">
        <v>9.9</v>
      </c>
      <c r="L7" s="14">
        <v>7.2</v>
      </c>
      <c r="M7" s="14">
        <v>14.2</v>
      </c>
      <c r="N7" s="14">
        <v>29</v>
      </c>
    </row>
    <row r="8" spans="1:16">
      <c r="E8" s="99"/>
      <c r="F8">
        <v>2023</v>
      </c>
      <c r="G8" s="14">
        <v>7</v>
      </c>
      <c r="H8" s="14">
        <v>8.6</v>
      </c>
      <c r="I8" s="14">
        <v>4.2</v>
      </c>
      <c r="J8" s="14">
        <v>9.6999999999999993</v>
      </c>
      <c r="K8" s="14">
        <v>8.8000000000000007</v>
      </c>
      <c r="L8" s="14">
        <v>7.5</v>
      </c>
      <c r="M8" s="14">
        <v>14.2</v>
      </c>
      <c r="N8" s="14">
        <v>29</v>
      </c>
    </row>
    <row r="9" spans="1:16">
      <c r="A9" s="98" t="s">
        <v>893</v>
      </c>
      <c r="B9" s="99"/>
      <c r="E9" s="99"/>
      <c r="G9" s="46"/>
      <c r="H9" s="46"/>
      <c r="I9" s="46"/>
      <c r="J9" s="46"/>
      <c r="K9" s="46"/>
      <c r="L9" s="46"/>
      <c r="M9" s="46"/>
      <c r="N9" s="46"/>
      <c r="O9" s="46"/>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1494</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206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tbl-mode-to-work</v>
      </c>
    </row>
    <row r="4" spans="1:16">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c r="A5" s="98" t="s">
        <v>885</v>
      </c>
      <c r="B5" s="99"/>
      <c r="E5" s="100" t="s">
        <v>886</v>
      </c>
      <c r="F5" s="46"/>
      <c r="G5" s="46" t="s">
        <v>979</v>
      </c>
      <c r="H5" s="46" t="s">
        <v>980</v>
      </c>
      <c r="I5" s="46" t="s">
        <v>981</v>
      </c>
      <c r="J5" s="46" t="s">
        <v>982</v>
      </c>
      <c r="K5" s="46" t="s">
        <v>984</v>
      </c>
      <c r="L5" s="46" t="s">
        <v>986</v>
      </c>
      <c r="M5" s="46"/>
      <c r="N5" s="46"/>
      <c r="O5" s="46"/>
    </row>
    <row r="6" spans="1:16" ht="15" customHeight="1">
      <c r="A6" t="s">
        <v>891</v>
      </c>
      <c r="B6" t="b">
        <v>0</v>
      </c>
      <c r="E6" s="99"/>
      <c r="F6" t="s">
        <v>220</v>
      </c>
      <c r="G6" s="14">
        <v>71.400000000000006</v>
      </c>
      <c r="H6" s="14">
        <v>7.5</v>
      </c>
      <c r="I6" s="14">
        <v>3.7</v>
      </c>
      <c r="J6" s="14">
        <v>2.2999999999999998</v>
      </c>
      <c r="K6" s="14">
        <v>1.7</v>
      </c>
      <c r="L6" s="14">
        <v>13.4</v>
      </c>
      <c r="M6" s="14"/>
      <c r="N6" s="14"/>
    </row>
    <row r="7" spans="1:16" ht="15.75" customHeight="1">
      <c r="E7" s="99"/>
      <c r="F7" t="s">
        <v>18</v>
      </c>
      <c r="G7" s="14">
        <v>69.8</v>
      </c>
      <c r="H7" s="14">
        <v>9.6</v>
      </c>
      <c r="I7" s="14">
        <v>4.4000000000000004</v>
      </c>
      <c r="J7" s="14">
        <v>3.1</v>
      </c>
      <c r="K7" s="14">
        <v>2</v>
      </c>
      <c r="L7" s="14">
        <v>11.1</v>
      </c>
      <c r="M7" s="14"/>
      <c r="N7" s="14"/>
    </row>
    <row r="8" spans="1:16">
      <c r="E8" s="99"/>
      <c r="F8" t="s">
        <v>537</v>
      </c>
      <c r="G8" s="14">
        <v>70.599999999999994</v>
      </c>
      <c r="H8" s="14">
        <v>7.6</v>
      </c>
      <c r="I8" s="14">
        <v>5.6</v>
      </c>
      <c r="J8" s="14">
        <v>1.5</v>
      </c>
      <c r="K8" s="14">
        <v>1</v>
      </c>
      <c r="L8" s="14">
        <v>13.7</v>
      </c>
      <c r="M8" s="14"/>
      <c r="N8" s="14"/>
    </row>
    <row r="9" spans="1:16">
      <c r="A9" s="98" t="s">
        <v>893</v>
      </c>
      <c r="B9" s="99"/>
      <c r="E9" s="99"/>
      <c r="F9" t="s">
        <v>449</v>
      </c>
      <c r="G9" s="46" t="s">
        <v>1496</v>
      </c>
      <c r="H9" s="46" t="s">
        <v>1497</v>
      </c>
      <c r="I9" s="46" t="s">
        <v>1498</v>
      </c>
      <c r="J9" s="46" t="s">
        <v>1499</v>
      </c>
      <c r="K9" s="46" t="s">
        <v>1500</v>
      </c>
      <c r="L9" s="46" t="s">
        <v>1501</v>
      </c>
      <c r="M9" s="46"/>
      <c r="N9" s="46"/>
      <c r="O9" s="46"/>
    </row>
    <row r="10" spans="1:16">
      <c r="A10" t="s">
        <v>894</v>
      </c>
      <c r="B10" t="s">
        <v>983</v>
      </c>
      <c r="E10" s="99"/>
      <c r="F10" s="46" t="s">
        <v>409</v>
      </c>
      <c r="G10" s="47" t="s">
        <v>1502</v>
      </c>
      <c r="H10" s="47" t="s">
        <v>1482</v>
      </c>
      <c r="I10" s="47" t="s">
        <v>1503</v>
      </c>
      <c r="J10" s="47" t="s">
        <v>1504</v>
      </c>
      <c r="K10" s="47" t="s">
        <v>1505</v>
      </c>
      <c r="L10" s="47" t="s">
        <v>1506</v>
      </c>
      <c r="M10" s="47"/>
      <c r="N10" s="47"/>
      <c r="O10" s="46"/>
    </row>
    <row r="11" spans="1:16">
      <c r="A11" t="s">
        <v>895</v>
      </c>
      <c r="B11" t="s">
        <v>985</v>
      </c>
      <c r="E11" s="99"/>
      <c r="F11" s="46" t="s">
        <v>421</v>
      </c>
      <c r="G11" s="47" t="s">
        <v>1507</v>
      </c>
      <c r="H11" s="47" t="s">
        <v>1508</v>
      </c>
      <c r="I11" s="47" t="s">
        <v>1509</v>
      </c>
      <c r="J11" s="47" t="s">
        <v>1504</v>
      </c>
      <c r="K11" s="47" t="s">
        <v>1510</v>
      </c>
      <c r="L11" s="47" t="s">
        <v>1511</v>
      </c>
      <c r="M11" s="47"/>
      <c r="N11" s="47"/>
      <c r="O11" s="46"/>
    </row>
    <row r="12" spans="1:16">
      <c r="A12" t="s">
        <v>896</v>
      </c>
      <c r="E12" s="99"/>
      <c r="F12" s="46" t="s">
        <v>470</v>
      </c>
      <c r="G12" s="46" t="s">
        <v>1512</v>
      </c>
      <c r="H12" s="46" t="s">
        <v>1513</v>
      </c>
      <c r="I12" s="46" t="s">
        <v>1514</v>
      </c>
      <c r="J12" s="46" t="s">
        <v>1515</v>
      </c>
      <c r="K12" s="46" t="s">
        <v>1509</v>
      </c>
      <c r="L12" s="46" t="s">
        <v>1516</v>
      </c>
      <c r="M12" s="46"/>
      <c r="N12" s="46"/>
      <c r="O12" s="46"/>
    </row>
    <row r="13" spans="1:16">
      <c r="A13" t="s">
        <v>897</v>
      </c>
      <c r="E13" s="99"/>
      <c r="F13" s="46" t="s">
        <v>915</v>
      </c>
      <c r="G13" s="46" t="s">
        <v>1517</v>
      </c>
      <c r="H13" s="46" t="s">
        <v>1518</v>
      </c>
      <c r="I13" s="46" t="s">
        <v>1519</v>
      </c>
      <c r="J13" s="46" t="s">
        <v>1520</v>
      </c>
      <c r="K13" s="46" t="s">
        <v>1521</v>
      </c>
      <c r="L13" s="46" t="s">
        <v>1522</v>
      </c>
      <c r="M13" s="46"/>
      <c r="N13" s="46"/>
      <c r="O13" s="46"/>
    </row>
    <row r="14" spans="1:16">
      <c r="A14" t="s">
        <v>899</v>
      </c>
      <c r="B14" t="s">
        <v>694</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1495</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211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tbl-mean-time-work</v>
      </c>
    </row>
    <row r="4" spans="1:16">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c r="E7" s="99"/>
      <c r="F7">
        <v>2022</v>
      </c>
      <c r="G7" s="14">
        <v>32.299999999999997</v>
      </c>
      <c r="H7" s="14">
        <v>34.1</v>
      </c>
      <c r="I7" s="14">
        <v>39.9</v>
      </c>
      <c r="J7" s="14">
        <v>31</v>
      </c>
      <c r="K7" s="14">
        <v>28.1</v>
      </c>
      <c r="L7" s="14">
        <v>28.1</v>
      </c>
      <c r="M7" s="14">
        <v>34.799999999999997</v>
      </c>
      <c r="N7" s="14">
        <v>33.200000000000003</v>
      </c>
    </row>
    <row r="8" spans="1:16">
      <c r="E8" s="99"/>
      <c r="F8">
        <v>2023</v>
      </c>
      <c r="G8" s="14">
        <v>31.4</v>
      </c>
      <c r="H8" s="14">
        <v>34.200000000000003</v>
      </c>
      <c r="I8" s="14">
        <v>39.5</v>
      </c>
      <c r="J8" s="14">
        <v>30.3</v>
      </c>
      <c r="K8" s="14">
        <v>27.8</v>
      </c>
      <c r="L8" s="14">
        <v>27.8</v>
      </c>
      <c r="M8" s="14">
        <v>34.700000000000003</v>
      </c>
      <c r="N8" s="14">
        <v>32.799999999999997</v>
      </c>
    </row>
    <row r="9" spans="1:16">
      <c r="A9" s="98" t="s">
        <v>893</v>
      </c>
      <c r="B9" s="99"/>
      <c r="E9" s="99"/>
      <c r="G9" s="46"/>
      <c r="H9" s="46"/>
      <c r="I9" s="46"/>
      <c r="J9" s="46"/>
      <c r="K9" s="46"/>
      <c r="L9" s="46"/>
      <c r="M9" s="46"/>
      <c r="N9" s="46"/>
      <c r="O9" s="46"/>
    </row>
    <row r="10" spans="1:16">
      <c r="A10" t="s">
        <v>894</v>
      </c>
      <c r="B10" t="s">
        <v>972</v>
      </c>
      <c r="E10" s="99"/>
      <c r="F10" s="46"/>
      <c r="G10" s="47"/>
      <c r="H10" s="47"/>
      <c r="I10" s="47"/>
      <c r="J10" s="47"/>
      <c r="K10" s="47"/>
      <c r="L10" s="47"/>
      <c r="M10" s="47"/>
      <c r="N10" s="47"/>
      <c r="O10" s="46"/>
    </row>
    <row r="11" spans="1:16">
      <c r="A11" t="s">
        <v>895</v>
      </c>
      <c r="B11" t="s">
        <v>973</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B14" t="s">
        <v>989</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B25" t="s">
        <v>1523</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defaultColWidth="8.85546875" defaultRowHeight="15"/>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42578125" bestFit="1" customWidth="1"/>
    <col min="7" max="7" width="9.42578125"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1655</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tbl-dc-pav</v>
      </c>
    </row>
    <row r="4" spans="1:16">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t="s">
        <v>1022</v>
      </c>
      <c r="G5" s="46" t="s">
        <v>1023</v>
      </c>
      <c r="H5" s="46" t="s">
        <v>1024</v>
      </c>
      <c r="I5" s="46" t="s">
        <v>1025</v>
      </c>
      <c r="J5" s="46" t="s">
        <v>1659</v>
      </c>
      <c r="K5" s="46" t="s">
        <v>1660</v>
      </c>
      <c r="L5" s="46"/>
      <c r="M5" s="46"/>
      <c r="N5" s="46"/>
      <c r="O5" s="46"/>
    </row>
    <row r="6" spans="1:16" ht="15" customHeight="1">
      <c r="A6" t="s">
        <v>891</v>
      </c>
      <c r="B6" t="b">
        <v>0</v>
      </c>
      <c r="E6" s="99"/>
      <c r="F6">
        <v>412</v>
      </c>
      <c r="G6" s="14">
        <v>324</v>
      </c>
      <c r="H6" s="14">
        <v>265</v>
      </c>
      <c r="I6" s="14">
        <v>286</v>
      </c>
      <c r="J6" s="14">
        <v>206</v>
      </c>
      <c r="K6" s="14">
        <v>167</v>
      </c>
      <c r="L6" s="14"/>
      <c r="M6" s="14"/>
      <c r="N6" s="14"/>
    </row>
    <row r="7" spans="1:16" ht="15.75" customHeight="1">
      <c r="E7" s="99"/>
      <c r="G7" s="14"/>
      <c r="H7" s="14"/>
      <c r="I7" s="14"/>
      <c r="J7" s="14"/>
      <c r="K7" s="14"/>
      <c r="L7" s="14"/>
      <c r="M7" s="14"/>
      <c r="N7" s="14"/>
    </row>
    <row r="8" spans="1:16">
      <c r="E8" s="99"/>
      <c r="G8" s="14"/>
      <c r="H8" s="14"/>
      <c r="I8" s="14"/>
      <c r="J8" s="14"/>
      <c r="K8" s="14"/>
      <c r="L8" s="14"/>
      <c r="M8" s="14"/>
      <c r="N8" s="14"/>
    </row>
    <row r="9" spans="1:16">
      <c r="A9" s="98" t="s">
        <v>893</v>
      </c>
      <c r="B9" s="99"/>
      <c r="E9" s="99"/>
      <c r="G9" s="46"/>
      <c r="H9" s="46"/>
      <c r="I9" s="46"/>
      <c r="J9" s="46"/>
      <c r="K9" s="46"/>
      <c r="L9" s="46"/>
      <c r="M9" s="46"/>
      <c r="N9" s="46"/>
      <c r="O9" s="46"/>
    </row>
    <row r="10" spans="1:16">
      <c r="A10" t="s">
        <v>894</v>
      </c>
      <c r="B10" t="s">
        <v>1002</v>
      </c>
      <c r="E10" s="99"/>
      <c r="F10" s="46"/>
      <c r="G10" s="47"/>
      <c r="H10" s="47"/>
      <c r="I10" s="47"/>
      <c r="J10" s="47"/>
      <c r="K10" s="47"/>
      <c r="L10" s="47"/>
      <c r="M10" s="47"/>
      <c r="N10" s="47"/>
      <c r="O10" s="46"/>
    </row>
    <row r="11" spans="1:16">
      <c r="A11" t="s">
        <v>895</v>
      </c>
      <c r="B11" t="s">
        <v>985</v>
      </c>
      <c r="E11" s="99"/>
      <c r="F11" s="46"/>
      <c r="G11" s="47"/>
      <c r="H11" s="47"/>
      <c r="I11" s="47"/>
      <c r="J11" s="47"/>
      <c r="K11" s="47"/>
      <c r="L11" s="47"/>
      <c r="M11" s="47"/>
      <c r="N11" s="47"/>
      <c r="O11" s="46"/>
    </row>
    <row r="12" spans="1:16">
      <c r="A12" t="s">
        <v>896</v>
      </c>
      <c r="E12" s="99"/>
      <c r="F12" s="46"/>
      <c r="G12" s="46"/>
      <c r="H12" s="46"/>
      <c r="I12" s="46"/>
      <c r="J12" s="46"/>
      <c r="K12" s="46"/>
      <c r="L12" s="46"/>
      <c r="M12" s="46"/>
      <c r="N12" s="46"/>
      <c r="O12" s="46"/>
    </row>
    <row r="13" spans="1:16">
      <c r="A13" t="s">
        <v>897</v>
      </c>
      <c r="E13" s="99"/>
      <c r="F13" s="46"/>
      <c r="G13" s="46"/>
      <c r="H13" s="46"/>
      <c r="I13" s="46"/>
      <c r="J13" s="46"/>
      <c r="K13" s="46"/>
      <c r="L13" s="46"/>
      <c r="M13" s="46"/>
      <c r="N13" s="46"/>
      <c r="O13" s="46"/>
    </row>
    <row r="14" spans="1:16">
      <c r="A14" t="s">
        <v>899</v>
      </c>
      <c r="E14" s="99"/>
      <c r="F14" s="46"/>
      <c r="G14" s="48"/>
      <c r="H14" s="47"/>
      <c r="I14" s="47"/>
      <c r="J14" s="47"/>
      <c r="K14" s="47"/>
      <c r="L14" s="47"/>
      <c r="M14" s="47"/>
      <c r="N14" s="47"/>
      <c r="O14" s="46"/>
    </row>
    <row r="15" spans="1:16">
      <c r="A15" t="s">
        <v>901</v>
      </c>
      <c r="B15" t="b">
        <v>1</v>
      </c>
      <c r="E15" s="99"/>
      <c r="F15" s="46"/>
      <c r="G15" s="48"/>
      <c r="H15" s="47"/>
      <c r="I15" s="47"/>
      <c r="J15" s="47"/>
      <c r="K15" s="47"/>
      <c r="L15" s="47"/>
      <c r="M15" s="47"/>
      <c r="N15" s="47"/>
      <c r="O15" s="46"/>
    </row>
    <row r="16" spans="1:16">
      <c r="A16" t="s">
        <v>1146</v>
      </c>
      <c r="E16" s="99"/>
      <c r="F16" s="46"/>
      <c r="G16" s="48"/>
      <c r="H16" s="47"/>
      <c r="I16" s="47"/>
      <c r="J16" s="47"/>
      <c r="K16" s="47"/>
      <c r="L16" s="47"/>
      <c r="M16" s="47"/>
      <c r="N16" s="47"/>
      <c r="O16" s="46"/>
    </row>
    <row r="17" spans="1:15">
      <c r="E17" s="99"/>
      <c r="F17" s="46"/>
      <c r="G17" s="48"/>
      <c r="H17" s="47"/>
      <c r="I17" s="47"/>
      <c r="J17" s="47"/>
      <c r="K17" s="47"/>
      <c r="L17" s="47"/>
      <c r="M17" s="47"/>
      <c r="N17" s="47"/>
      <c r="O17" s="46"/>
    </row>
    <row r="18" spans="1:15">
      <c r="A18" s="98" t="s">
        <v>902</v>
      </c>
      <c r="B18" s="99"/>
      <c r="E18" s="99"/>
      <c r="F18" s="46"/>
      <c r="G18" s="46"/>
      <c r="H18" s="46"/>
      <c r="I18" s="46"/>
      <c r="J18" s="46"/>
      <c r="K18" s="46"/>
      <c r="L18" s="46"/>
      <c r="M18" s="46"/>
      <c r="N18" s="46"/>
      <c r="O18" s="46"/>
    </row>
    <row r="19" spans="1:15">
      <c r="A19" t="s">
        <v>903</v>
      </c>
      <c r="E19" s="99"/>
      <c r="F19" s="46"/>
      <c r="G19" s="46"/>
      <c r="H19" s="46"/>
      <c r="I19" s="46"/>
      <c r="J19" s="46"/>
      <c r="K19" s="46"/>
      <c r="L19" s="46"/>
      <c r="M19" s="46"/>
      <c r="N19" s="46"/>
      <c r="O19" s="46"/>
    </row>
    <row r="20" spans="1:15">
      <c r="A20" t="s">
        <v>904</v>
      </c>
      <c r="E20" s="99"/>
      <c r="F20" s="46"/>
      <c r="G20" s="46"/>
      <c r="H20" s="46"/>
      <c r="I20" s="46"/>
      <c r="J20" s="46"/>
      <c r="K20" s="46"/>
      <c r="L20" s="46"/>
      <c r="M20" s="46"/>
      <c r="N20" s="46"/>
      <c r="O20" s="46"/>
    </row>
    <row r="21" spans="1:15">
      <c r="A21" t="s">
        <v>905</v>
      </c>
      <c r="E21" s="99"/>
      <c r="F21" s="46"/>
      <c r="G21" s="46"/>
      <c r="H21" s="46"/>
      <c r="I21" s="46"/>
      <c r="J21" s="46"/>
      <c r="K21" s="46"/>
      <c r="L21" s="46"/>
      <c r="M21" s="46"/>
      <c r="N21" s="46"/>
      <c r="O21" s="46"/>
    </row>
    <row r="22" spans="1:15">
      <c r="A22" t="s">
        <v>906</v>
      </c>
      <c r="E22" s="99"/>
    </row>
    <row r="23" spans="1:15">
      <c r="A23" t="s">
        <v>907</v>
      </c>
      <c r="E23" s="99"/>
    </row>
    <row r="24" spans="1:15">
      <c r="A24" t="s">
        <v>908</v>
      </c>
      <c r="E24" s="99"/>
    </row>
    <row r="25" spans="1:15">
      <c r="A25" t="s">
        <v>909</v>
      </c>
      <c r="E25" s="99"/>
    </row>
    <row r="26" spans="1:15">
      <c r="E26" s="99"/>
    </row>
    <row r="27" spans="1:15">
      <c r="A27" s="101" t="s">
        <v>910</v>
      </c>
      <c r="B27" s="99"/>
      <c r="E27" s="99"/>
    </row>
    <row r="28" spans="1:15">
      <c r="E28" s="99"/>
    </row>
    <row r="29" spans="1:15">
      <c r="E29" s="99"/>
    </row>
    <row r="30" spans="1:15">
      <c r="E30" s="99"/>
    </row>
    <row r="31" spans="1:15">
      <c r="E31" s="99"/>
    </row>
    <row r="32" spans="1:15">
      <c r="E32" s="99"/>
    </row>
    <row r="33" spans="5:5">
      <c r="E33" s="99"/>
    </row>
    <row r="34" spans="5:5">
      <c r="E34" s="99"/>
    </row>
    <row r="35" spans="5:5">
      <c r="E35" s="99"/>
    </row>
    <row r="36" spans="5:5">
      <c r="E36" s="99"/>
    </row>
    <row r="37" spans="5:5">
      <c r="E37" s="99"/>
    </row>
    <row r="38" spans="5:5">
      <c r="E38" s="99"/>
    </row>
    <row r="39" spans="5:5">
      <c r="E39" s="99"/>
    </row>
    <row r="40" spans="5:5">
      <c r="E40" s="99"/>
    </row>
    <row r="41" spans="5:5">
      <c r="E41" s="99"/>
    </row>
    <row r="42" spans="5:5">
      <c r="E42" s="99"/>
    </row>
    <row r="43" spans="5:5">
      <c r="E43" s="99"/>
    </row>
    <row r="44" spans="5:5">
      <c r="E44" s="99"/>
    </row>
    <row r="45" spans="5:5">
      <c r="E45" s="99"/>
    </row>
    <row r="46" spans="5:5">
      <c r="E46" s="99"/>
    </row>
    <row r="47" spans="5:5">
      <c r="E47" s="99"/>
    </row>
    <row r="48" spans="5:5">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8" bestFit="1" customWidth="1"/>
    <col min="7" max="7" width="8" bestFit="1"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1661</v>
      </c>
      <c r="C1" s="97"/>
      <c r="D1" s="97"/>
      <c r="E1" s="97"/>
      <c r="F1" s="97"/>
      <c r="G1" s="97"/>
      <c r="H1" s="97"/>
      <c r="I1" s="97"/>
      <c r="J1" s="97"/>
      <c r="K1" s="97"/>
      <c r="L1" s="97"/>
      <c r="M1" s="97"/>
      <c r="N1" s="97"/>
      <c r="O1" s="97"/>
    </row>
    <row r="2" spans="1:16">
      <c r="A2" s="58" t="s">
        <v>883</v>
      </c>
      <c r="B2" t="s">
        <v>12</v>
      </c>
    </row>
    <row r="3" spans="1:16">
      <c r="A3" s="58" t="s">
        <v>884</v>
      </c>
      <c r="B3" t="str">
        <f>IF($B$1="","",_xlfn.XLOOKUP($B$1,Master!$F$2:$F$308,Master!$G$2:$G$308,""))</f>
        <v>tbl-rccha-demo</v>
      </c>
    </row>
    <row r="4" spans="1:16">
      <c r="A4" s="58" t="s">
        <v>6</v>
      </c>
      <c r="B4" t="str">
        <f>IF($B$1="","",_xlfn.XLOOKUP($B$1,Master!$F$2:$F$308,Master!$H$2:$H$308,""))</f>
        <v>fig-rccha-demo</v>
      </c>
      <c r="E4" s="13"/>
      <c r="F4" s="16" t="s">
        <v>664</v>
      </c>
      <c r="G4" s="16" t="s">
        <v>671</v>
      </c>
      <c r="H4" s="16" t="s">
        <v>679</v>
      </c>
      <c r="I4" s="16"/>
      <c r="J4" s="16"/>
      <c r="K4" s="16"/>
      <c r="L4" s="16"/>
      <c r="M4" s="16"/>
      <c r="N4" s="16"/>
      <c r="O4" s="16"/>
      <c r="P4" s="16"/>
    </row>
    <row r="5" spans="1:16">
      <c r="A5" s="98" t="s">
        <v>885</v>
      </c>
      <c r="B5" s="99"/>
      <c r="E5" s="100" t="s">
        <v>886</v>
      </c>
      <c r="F5" s="46"/>
      <c r="G5" s="46" t="s">
        <v>1</v>
      </c>
      <c r="H5" s="46" t="s">
        <v>694</v>
      </c>
      <c r="J5" s="46"/>
      <c r="K5" s="46"/>
      <c r="L5" s="46"/>
      <c r="M5" s="46"/>
      <c r="N5" s="46"/>
      <c r="O5" s="46"/>
    </row>
    <row r="6" spans="1:16" ht="15" customHeight="1">
      <c r="A6" t="s">
        <v>891</v>
      </c>
      <c r="B6" t="b">
        <v>0</v>
      </c>
      <c r="E6" s="99"/>
      <c r="F6" t="s">
        <v>1663</v>
      </c>
      <c r="J6" s="14"/>
      <c r="K6" s="14"/>
      <c r="L6" s="14"/>
      <c r="M6" s="14"/>
      <c r="N6" s="14"/>
    </row>
    <row r="7" spans="1:16" ht="15.75" customHeight="1">
      <c r="E7" s="99"/>
      <c r="F7" s="59" t="s">
        <v>911</v>
      </c>
      <c r="G7" s="59">
        <v>180</v>
      </c>
      <c r="H7" s="59">
        <v>29.9</v>
      </c>
      <c r="J7" s="14"/>
      <c r="K7" s="14"/>
      <c r="L7" s="14"/>
      <c r="M7" s="14"/>
      <c r="N7" s="14"/>
    </row>
    <row r="8" spans="1:16">
      <c r="E8" s="99"/>
      <c r="F8" s="59" t="s">
        <v>912</v>
      </c>
      <c r="G8" s="59">
        <v>410</v>
      </c>
      <c r="H8" s="59">
        <v>68</v>
      </c>
      <c r="J8" s="14"/>
      <c r="K8" s="14"/>
      <c r="L8" s="14"/>
      <c r="M8" s="14"/>
      <c r="N8" s="14"/>
    </row>
    <row r="9" spans="1:16">
      <c r="A9" s="98" t="s">
        <v>893</v>
      </c>
      <c r="B9" s="99"/>
      <c r="E9" s="99"/>
      <c r="F9" t="s">
        <v>1664</v>
      </c>
      <c r="J9" s="46"/>
      <c r="K9" s="46"/>
      <c r="L9" s="46"/>
      <c r="M9" s="46"/>
      <c r="N9" s="46"/>
      <c r="O9" s="46"/>
    </row>
    <row r="10" spans="1:16">
      <c r="A10" t="s">
        <v>894</v>
      </c>
      <c r="E10" s="99"/>
      <c r="F10" s="59" t="s">
        <v>1665</v>
      </c>
      <c r="G10" s="59">
        <v>90</v>
      </c>
      <c r="H10" s="59">
        <v>14.9</v>
      </c>
      <c r="J10" s="47"/>
      <c r="K10" s="47"/>
      <c r="L10" s="47"/>
      <c r="M10" s="47"/>
      <c r="N10" s="47"/>
      <c r="O10" s="46"/>
    </row>
    <row r="11" spans="1:16">
      <c r="A11" t="s">
        <v>895</v>
      </c>
      <c r="E11" s="99"/>
      <c r="F11" s="68" t="s">
        <v>1666</v>
      </c>
      <c r="G11" s="68" t="s">
        <v>1667</v>
      </c>
      <c r="H11" s="68" t="s">
        <v>1668</v>
      </c>
      <c r="J11" s="47"/>
      <c r="K11" s="47"/>
      <c r="L11" s="47"/>
      <c r="M11" s="47"/>
      <c r="N11" s="47"/>
      <c r="O11" s="46"/>
    </row>
    <row r="12" spans="1:16">
      <c r="A12" t="s">
        <v>896</v>
      </c>
      <c r="E12" s="99"/>
      <c r="F12" s="47" t="s">
        <v>1669</v>
      </c>
      <c r="G12" s="47" t="s">
        <v>1670</v>
      </c>
      <c r="H12" s="47" t="s">
        <v>1671</v>
      </c>
      <c r="J12" s="46"/>
      <c r="K12" s="46"/>
      <c r="L12" s="46"/>
      <c r="M12" s="46"/>
      <c r="N12" s="46"/>
      <c r="O12" s="46"/>
    </row>
    <row r="13" spans="1:16">
      <c r="A13" t="s">
        <v>897</v>
      </c>
      <c r="E13" s="99"/>
      <c r="F13" s="47" t="s">
        <v>1672</v>
      </c>
      <c r="G13" s="47" t="s">
        <v>1673</v>
      </c>
      <c r="H13" s="47" t="s">
        <v>1674</v>
      </c>
      <c r="I13" s="46"/>
      <c r="J13" s="46"/>
      <c r="K13" s="46"/>
      <c r="L13" s="46"/>
      <c r="M13" s="46"/>
      <c r="N13" s="46"/>
      <c r="O13" s="46"/>
    </row>
    <row r="14" spans="1:16">
      <c r="A14" t="s">
        <v>899</v>
      </c>
      <c r="E14" s="99"/>
      <c r="F14" s="68" t="s">
        <v>1675</v>
      </c>
      <c r="G14" s="68" t="s">
        <v>1676</v>
      </c>
      <c r="H14" s="68" t="s">
        <v>1677</v>
      </c>
      <c r="I14" s="46"/>
      <c r="J14" s="47"/>
      <c r="K14" s="47"/>
      <c r="L14" s="47"/>
      <c r="M14" s="47"/>
      <c r="N14" s="47"/>
      <c r="O14" s="46"/>
    </row>
    <row r="15" spans="1:16">
      <c r="A15" t="s">
        <v>901</v>
      </c>
      <c r="E15" s="99"/>
      <c r="F15" t="s">
        <v>1245</v>
      </c>
      <c r="G15" s="68"/>
      <c r="H15" s="68"/>
      <c r="I15" s="46"/>
      <c r="J15" s="47"/>
      <c r="K15" s="47"/>
      <c r="L15" s="47"/>
      <c r="M15" s="47"/>
      <c r="N15" s="47"/>
      <c r="O15" s="46"/>
    </row>
    <row r="16" spans="1:16">
      <c r="A16" t="s">
        <v>1146</v>
      </c>
      <c r="E16" s="99"/>
      <c r="F16" s="55" t="s">
        <v>1678</v>
      </c>
      <c r="G16" s="68" t="s">
        <v>1679</v>
      </c>
      <c r="H16" s="68" t="s">
        <v>1680</v>
      </c>
      <c r="I16" s="46"/>
      <c r="J16" s="47"/>
      <c r="K16" s="47"/>
      <c r="L16" s="47"/>
      <c r="M16" s="47"/>
      <c r="N16" s="47"/>
      <c r="O16" s="46"/>
    </row>
    <row r="17" spans="1:15">
      <c r="E17" s="99"/>
      <c r="F17" s="55" t="s">
        <v>1681</v>
      </c>
      <c r="G17" s="68" t="s">
        <v>1682</v>
      </c>
      <c r="H17" s="68" t="s">
        <v>1683</v>
      </c>
      <c r="I17" s="46"/>
      <c r="J17" s="47"/>
      <c r="K17" s="47"/>
      <c r="L17" s="47"/>
      <c r="M17" s="47"/>
      <c r="N17" s="47"/>
      <c r="O17" s="46"/>
    </row>
    <row r="18" spans="1:15">
      <c r="A18" s="98" t="s">
        <v>902</v>
      </c>
      <c r="B18" s="99"/>
      <c r="E18" s="99"/>
      <c r="F18" s="55" t="s">
        <v>1684</v>
      </c>
      <c r="G18" s="68" t="s">
        <v>1685</v>
      </c>
      <c r="H18" s="68" t="s">
        <v>1686</v>
      </c>
      <c r="I18" s="46"/>
      <c r="J18" s="46"/>
      <c r="K18" s="46"/>
      <c r="L18" s="46"/>
      <c r="M18" s="46"/>
      <c r="N18" s="46"/>
      <c r="O18" s="46"/>
    </row>
    <row r="19" spans="1:15">
      <c r="A19" t="s">
        <v>903</v>
      </c>
      <c r="E19" s="99"/>
      <c r="F19" s="55" t="s">
        <v>1716</v>
      </c>
      <c r="G19" s="68" t="s">
        <v>1687</v>
      </c>
      <c r="H19" s="68" t="s">
        <v>1688</v>
      </c>
      <c r="I19" s="46"/>
      <c r="J19" s="46"/>
      <c r="K19" s="46"/>
      <c r="L19" s="46"/>
      <c r="M19" s="46"/>
      <c r="N19" s="46"/>
      <c r="O19" s="46"/>
    </row>
    <row r="20" spans="1:15">
      <c r="A20" t="s">
        <v>904</v>
      </c>
      <c r="E20" s="99"/>
      <c r="F20" s="55" t="s">
        <v>1689</v>
      </c>
      <c r="G20" s="68" t="s">
        <v>1690</v>
      </c>
      <c r="H20" s="68" t="s">
        <v>1691</v>
      </c>
      <c r="I20" s="46"/>
      <c r="J20" s="46"/>
      <c r="K20" s="46"/>
      <c r="L20" s="46"/>
      <c r="M20" s="46"/>
      <c r="N20" s="46"/>
      <c r="O20" s="46"/>
    </row>
    <row r="21" spans="1:15">
      <c r="A21" t="s">
        <v>905</v>
      </c>
      <c r="E21" s="99"/>
      <c r="F21" s="55" t="s">
        <v>1692</v>
      </c>
      <c r="G21" s="68" t="s">
        <v>1693</v>
      </c>
      <c r="H21" s="68" t="s">
        <v>1694</v>
      </c>
      <c r="I21" s="46"/>
      <c r="J21" s="46"/>
      <c r="K21" s="46"/>
      <c r="L21" s="46"/>
      <c r="M21" s="46"/>
      <c r="N21" s="46"/>
      <c r="O21" s="46"/>
    </row>
    <row r="22" spans="1:15">
      <c r="A22" t="s">
        <v>906</v>
      </c>
      <c r="E22" s="99"/>
      <c r="F22" s="55" t="s">
        <v>1695</v>
      </c>
      <c r="G22" s="68" t="s">
        <v>1696</v>
      </c>
      <c r="H22" s="68" t="s">
        <v>1697</v>
      </c>
      <c r="I22" s="46"/>
    </row>
    <row r="23" spans="1:15">
      <c r="A23" t="s">
        <v>907</v>
      </c>
      <c r="E23" s="99"/>
      <c r="F23" s="55" t="s">
        <v>728</v>
      </c>
      <c r="G23" s="68" t="s">
        <v>1698</v>
      </c>
      <c r="H23" s="68" t="s">
        <v>1699</v>
      </c>
      <c r="I23" s="46"/>
    </row>
    <row r="24" spans="1:15">
      <c r="A24" t="s">
        <v>908</v>
      </c>
      <c r="E24" s="99"/>
      <c r="F24" s="46" t="s">
        <v>1700</v>
      </c>
      <c r="G24" s="46"/>
      <c r="H24" s="46"/>
      <c r="I24" s="46"/>
    </row>
    <row r="25" spans="1:15">
      <c r="A25" t="s">
        <v>909</v>
      </c>
      <c r="E25" s="99"/>
      <c r="F25" s="68" t="s">
        <v>1701</v>
      </c>
      <c r="G25" s="68" t="s">
        <v>1702</v>
      </c>
      <c r="H25" s="68" t="s">
        <v>1703</v>
      </c>
      <c r="I25" s="46"/>
    </row>
    <row r="26" spans="1:15">
      <c r="E26" s="99"/>
      <c r="F26" s="55" t="s">
        <v>1704</v>
      </c>
      <c r="G26" s="55">
        <v>98</v>
      </c>
      <c r="H26" s="70">
        <v>0.16300000000000001</v>
      </c>
      <c r="I26" s="46"/>
    </row>
    <row r="27" spans="1:15">
      <c r="A27" s="101" t="s">
        <v>910</v>
      </c>
      <c r="B27" s="99"/>
      <c r="E27" s="99"/>
      <c r="F27" s="55" t="s">
        <v>1705</v>
      </c>
      <c r="G27" s="55">
        <v>116</v>
      </c>
      <c r="H27" s="70">
        <v>0.192</v>
      </c>
      <c r="I27" s="46"/>
    </row>
    <row r="28" spans="1:15">
      <c r="E28" s="99"/>
      <c r="F28" s="55" t="s">
        <v>1706</v>
      </c>
      <c r="G28" s="55">
        <v>86</v>
      </c>
      <c r="H28" s="70">
        <v>0.14299999999999999</v>
      </c>
      <c r="I28" s="46"/>
    </row>
    <row r="29" spans="1:15">
      <c r="E29" s="99"/>
      <c r="F29" s="55" t="s">
        <v>1707</v>
      </c>
      <c r="G29" s="55">
        <v>46</v>
      </c>
      <c r="H29" s="70">
        <v>7.5999999999999998E-2</v>
      </c>
      <c r="I29" s="46"/>
    </row>
    <row r="30" spans="1:15">
      <c r="E30" s="99"/>
      <c r="F30" s="55" t="s">
        <v>1708</v>
      </c>
      <c r="G30" s="55">
        <v>37</v>
      </c>
      <c r="H30" s="70">
        <v>6.0999999999999999E-2</v>
      </c>
      <c r="I30" s="46"/>
    </row>
    <row r="31" spans="1:15">
      <c r="E31" s="99"/>
      <c r="F31" s="55" t="s">
        <v>1709</v>
      </c>
      <c r="G31" s="55">
        <v>50</v>
      </c>
      <c r="H31" s="70">
        <v>8.3000000000000004E-2</v>
      </c>
      <c r="I31" s="46"/>
    </row>
    <row r="32" spans="1:15">
      <c r="E32" s="99"/>
      <c r="F32" t="s">
        <v>1710</v>
      </c>
      <c r="G32" s="46"/>
      <c r="H32" s="46"/>
      <c r="I32" s="46"/>
    </row>
    <row r="33" spans="5:9">
      <c r="E33" s="99"/>
      <c r="F33" s="55">
        <v>1</v>
      </c>
      <c r="G33" s="55">
        <v>75</v>
      </c>
      <c r="H33" s="70">
        <v>0.124</v>
      </c>
      <c r="I33" s="46"/>
    </row>
    <row r="34" spans="5:9">
      <c r="E34" s="99"/>
      <c r="F34" s="55">
        <v>2</v>
      </c>
      <c r="G34" s="55">
        <v>164</v>
      </c>
      <c r="H34" s="70">
        <v>0.27200000000000002</v>
      </c>
      <c r="I34" s="47"/>
    </row>
    <row r="35" spans="5:9">
      <c r="E35" s="99"/>
      <c r="F35" s="55">
        <v>3</v>
      </c>
      <c r="G35" s="55">
        <v>107</v>
      </c>
      <c r="H35" s="70">
        <v>0.17699999999999999</v>
      </c>
      <c r="I35" s="47"/>
    </row>
    <row r="36" spans="5:9">
      <c r="E36" s="99"/>
      <c r="F36" s="55">
        <v>4</v>
      </c>
      <c r="G36" s="55">
        <v>126</v>
      </c>
      <c r="H36" s="70">
        <v>0.20899999999999999</v>
      </c>
      <c r="I36" s="47"/>
    </row>
    <row r="37" spans="5:9">
      <c r="E37" s="99"/>
      <c r="F37" s="55" t="s">
        <v>1711</v>
      </c>
      <c r="G37" s="55">
        <v>117</v>
      </c>
      <c r="H37" s="70">
        <v>0.19400000000000001</v>
      </c>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140625" bestFit="1" customWidth="1"/>
    <col min="7" max="7" width="8" bestFit="1" customWidth="1"/>
    <col min="8" max="8" width="13.42578125" customWidth="1"/>
    <col min="9" max="9" width="11" customWidth="1"/>
    <col min="11" max="11" width="10.7109375"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1718</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tbl-resp-zip</v>
      </c>
    </row>
    <row r="4" spans="1:16">
      <c r="A4" s="58" t="s">
        <v>6</v>
      </c>
      <c r="B4" t="str">
        <f>IF($B$1="","",_xlfn.XLOOKUP($B$1,Master!$F$2:$F$308,Master!$H$2:$H$308,""))</f>
        <v>fig-resp-zip</v>
      </c>
      <c r="E4" s="13"/>
      <c r="F4" s="16" t="s">
        <v>671</v>
      </c>
      <c r="G4" s="16" t="s">
        <v>679</v>
      </c>
      <c r="H4" s="16"/>
      <c r="I4" s="16"/>
      <c r="J4" s="16"/>
      <c r="K4" s="16"/>
      <c r="L4" s="16"/>
      <c r="M4" s="16"/>
      <c r="N4" s="16"/>
      <c r="O4" s="16"/>
      <c r="P4" s="16"/>
    </row>
    <row r="5" spans="1:16">
      <c r="A5" s="98" t="s">
        <v>885</v>
      </c>
      <c r="B5" s="99"/>
      <c r="E5" s="100" t="s">
        <v>886</v>
      </c>
      <c r="F5" s="76">
        <v>10901</v>
      </c>
      <c r="G5" s="77">
        <v>0.11442786069651742</v>
      </c>
      <c r="H5" s="46"/>
      <c r="I5" s="46"/>
      <c r="J5" s="46"/>
      <c r="K5" s="46"/>
      <c r="L5" s="46"/>
      <c r="M5" s="46"/>
      <c r="N5" s="46"/>
      <c r="O5" s="46"/>
    </row>
    <row r="6" spans="1:16" ht="15" customHeight="1">
      <c r="A6" t="s">
        <v>891</v>
      </c>
      <c r="B6" t="b">
        <v>0</v>
      </c>
      <c r="E6" s="99"/>
      <c r="F6" s="76">
        <v>10911</v>
      </c>
      <c r="G6" s="77">
        <v>4.9751243781094526E-3</v>
      </c>
      <c r="J6" s="14"/>
      <c r="K6" s="14"/>
      <c r="L6" s="14"/>
      <c r="M6" s="14"/>
      <c r="N6" s="14"/>
    </row>
    <row r="7" spans="1:16" ht="15.75" customHeight="1">
      <c r="E7" s="99"/>
      <c r="F7" s="76">
        <v>10913</v>
      </c>
      <c r="G7" s="77">
        <v>1.9900497512437811E-2</v>
      </c>
      <c r="H7" s="59"/>
      <c r="J7" s="14"/>
      <c r="K7" s="14"/>
      <c r="L7" s="14"/>
      <c r="M7" s="14"/>
      <c r="N7" s="14"/>
    </row>
    <row r="8" spans="1:16">
      <c r="E8" s="99"/>
      <c r="F8" s="76">
        <v>10920</v>
      </c>
      <c r="G8" s="77">
        <v>1.9900497512437811E-2</v>
      </c>
      <c r="H8" s="59"/>
      <c r="J8" s="14"/>
      <c r="K8" s="14"/>
      <c r="L8" s="14"/>
      <c r="M8" s="14"/>
      <c r="N8" s="14"/>
    </row>
    <row r="9" spans="1:16">
      <c r="A9" s="98" t="s">
        <v>893</v>
      </c>
      <c r="B9" s="99"/>
      <c r="E9" s="99"/>
      <c r="F9" s="76">
        <v>10923</v>
      </c>
      <c r="G9" s="77">
        <v>4.809286898839138E-2</v>
      </c>
      <c r="J9" s="46"/>
      <c r="K9" s="46"/>
      <c r="L9" s="46"/>
      <c r="M9" s="46"/>
      <c r="N9" s="46"/>
      <c r="O9" s="46"/>
    </row>
    <row r="10" spans="1:16">
      <c r="A10" t="s">
        <v>894</v>
      </c>
      <c r="B10" t="s">
        <v>1002</v>
      </c>
      <c r="E10" s="99"/>
      <c r="F10" s="76">
        <v>10927</v>
      </c>
      <c r="G10" s="77">
        <v>4.4776119402985072E-2</v>
      </c>
      <c r="H10" s="59"/>
      <c r="J10" s="47"/>
      <c r="K10" s="47"/>
      <c r="L10" s="47"/>
      <c r="M10" s="47"/>
      <c r="N10" s="47"/>
      <c r="O10" s="46"/>
    </row>
    <row r="11" spans="1:16">
      <c r="A11" t="s">
        <v>895</v>
      </c>
      <c r="B11" t="s">
        <v>1820</v>
      </c>
      <c r="E11" s="99"/>
      <c r="F11" s="76">
        <v>10931</v>
      </c>
      <c r="G11" s="77">
        <v>8.291873963515755E-3</v>
      </c>
      <c r="H11" s="68"/>
      <c r="J11" s="47"/>
      <c r="K11" s="47"/>
      <c r="L11" s="47"/>
      <c r="M11" s="47"/>
      <c r="N11" s="47"/>
      <c r="O11" s="46"/>
    </row>
    <row r="12" spans="1:16">
      <c r="A12" t="s">
        <v>896</v>
      </c>
      <c r="E12" s="99"/>
      <c r="F12" s="76">
        <v>10952</v>
      </c>
      <c r="G12" s="77">
        <v>7.2968490878938641E-2</v>
      </c>
      <c r="H12" s="47"/>
      <c r="J12" s="46"/>
      <c r="K12" s="46"/>
      <c r="L12" s="46"/>
      <c r="M12" s="46"/>
      <c r="N12" s="46"/>
      <c r="O12" s="46"/>
    </row>
    <row r="13" spans="1:16">
      <c r="A13" t="s">
        <v>897</v>
      </c>
      <c r="E13" s="99"/>
      <c r="F13" s="76">
        <v>10954</v>
      </c>
      <c r="G13" s="77">
        <v>7.9601990049751242E-2</v>
      </c>
      <c r="H13" s="47"/>
      <c r="I13" s="46"/>
      <c r="J13" s="46"/>
      <c r="K13" s="46"/>
      <c r="L13" s="46"/>
      <c r="M13" s="46"/>
      <c r="N13" s="46"/>
      <c r="O13" s="46"/>
    </row>
    <row r="14" spans="1:16">
      <c r="A14" t="s">
        <v>899</v>
      </c>
      <c r="B14" t="s">
        <v>1819</v>
      </c>
      <c r="E14" s="99"/>
      <c r="F14" s="76">
        <v>10956</v>
      </c>
      <c r="G14" s="77">
        <v>0.12437810945273632</v>
      </c>
      <c r="H14" s="68"/>
      <c r="I14" s="46"/>
      <c r="J14" s="47"/>
      <c r="K14" s="47"/>
      <c r="L14" s="47"/>
      <c r="M14" s="47"/>
      <c r="N14" s="47"/>
      <c r="O14" s="46"/>
    </row>
    <row r="15" spans="1:16">
      <c r="A15" t="s">
        <v>901</v>
      </c>
      <c r="B15" t="b">
        <v>1</v>
      </c>
      <c r="E15" s="99"/>
      <c r="F15" s="76">
        <v>10960</v>
      </c>
      <c r="G15" s="77">
        <v>6.633499170812604E-2</v>
      </c>
      <c r="H15" s="68"/>
      <c r="I15" s="46"/>
      <c r="J15" s="47"/>
      <c r="K15" s="47"/>
      <c r="L15" s="47"/>
      <c r="M15" s="47"/>
      <c r="N15" s="47"/>
      <c r="O15" s="46"/>
    </row>
    <row r="16" spans="1:16">
      <c r="A16" t="s">
        <v>1146</v>
      </c>
      <c r="E16" s="99"/>
      <c r="F16" s="76">
        <v>10962</v>
      </c>
      <c r="G16" s="77">
        <v>1.1608623548922056E-2</v>
      </c>
      <c r="H16" s="68"/>
      <c r="I16" s="46"/>
      <c r="J16" s="47"/>
      <c r="K16" s="47"/>
      <c r="L16" s="47"/>
      <c r="M16" s="47"/>
      <c r="N16" s="47"/>
      <c r="O16" s="46"/>
    </row>
    <row r="17" spans="1:15">
      <c r="E17" s="99"/>
      <c r="F17" s="76" t="s">
        <v>1817</v>
      </c>
      <c r="G17" s="77">
        <v>1.658374792703151E-3</v>
      </c>
      <c r="H17" s="68"/>
      <c r="I17" s="46"/>
      <c r="J17" s="47"/>
      <c r="K17" s="47"/>
      <c r="L17" s="47"/>
      <c r="M17" s="47"/>
      <c r="N17" s="47"/>
      <c r="O17" s="46"/>
    </row>
    <row r="18" spans="1:15">
      <c r="A18" s="98" t="s">
        <v>902</v>
      </c>
      <c r="B18" s="99"/>
      <c r="E18" s="99"/>
      <c r="F18" s="76">
        <v>10965</v>
      </c>
      <c r="G18" s="77">
        <v>2.8192371475953566E-2</v>
      </c>
      <c r="H18" s="68"/>
      <c r="I18" s="46"/>
      <c r="J18" s="46"/>
      <c r="K18" s="46"/>
      <c r="L18" s="46"/>
      <c r="M18" s="46"/>
      <c r="N18" s="46"/>
      <c r="O18" s="46"/>
    </row>
    <row r="19" spans="1:15">
      <c r="A19" t="s">
        <v>903</v>
      </c>
      <c r="E19" s="99"/>
      <c r="F19" s="76">
        <v>10968</v>
      </c>
      <c r="G19" s="77">
        <v>4.9751243781094526E-3</v>
      </c>
      <c r="H19" s="68"/>
      <c r="I19" s="46"/>
      <c r="J19" s="46"/>
      <c r="K19" s="46"/>
      <c r="L19" s="46"/>
      <c r="M19" s="46"/>
      <c r="N19" s="46"/>
      <c r="O19" s="46"/>
    </row>
    <row r="20" spans="1:15">
      <c r="A20" t="s">
        <v>904</v>
      </c>
      <c r="E20" s="99"/>
      <c r="F20" s="76">
        <v>10970</v>
      </c>
      <c r="G20" s="77">
        <v>3.8142620232172471E-2</v>
      </c>
      <c r="H20" s="68"/>
      <c r="I20" s="46"/>
      <c r="J20" s="46"/>
      <c r="K20" s="46"/>
      <c r="L20" s="46"/>
      <c r="M20" s="46"/>
      <c r="N20" s="46"/>
      <c r="O20" s="46"/>
    </row>
    <row r="21" spans="1:15">
      <c r="A21" t="s">
        <v>905</v>
      </c>
      <c r="E21" s="99"/>
      <c r="F21" s="76">
        <v>10974</v>
      </c>
      <c r="G21" s="77">
        <v>1.1608623548922056E-2</v>
      </c>
      <c r="H21" s="68"/>
      <c r="I21" s="46"/>
      <c r="J21" s="46"/>
      <c r="K21" s="46"/>
      <c r="L21" s="46"/>
      <c r="M21" s="46"/>
      <c r="N21" s="46"/>
      <c r="O21" s="46"/>
    </row>
    <row r="22" spans="1:15">
      <c r="A22" t="s">
        <v>906</v>
      </c>
      <c r="E22" s="99"/>
      <c r="F22" s="76">
        <v>10976</v>
      </c>
      <c r="G22" s="77">
        <v>1.658374792703151E-3</v>
      </c>
      <c r="H22" s="68"/>
      <c r="I22" s="46"/>
    </row>
    <row r="23" spans="1:15">
      <c r="A23" t="s">
        <v>907</v>
      </c>
      <c r="E23" s="99"/>
      <c r="F23" s="76">
        <v>10977</v>
      </c>
      <c r="G23" s="77">
        <v>0.14427860696517414</v>
      </c>
      <c r="H23" s="68"/>
      <c r="I23" s="46"/>
    </row>
    <row r="24" spans="1:15">
      <c r="A24" t="s">
        <v>908</v>
      </c>
      <c r="E24" s="99"/>
      <c r="F24" s="76">
        <v>10980</v>
      </c>
      <c r="G24" s="77">
        <v>4.975124378109453E-2</v>
      </c>
      <c r="H24" s="46"/>
      <c r="I24" s="46"/>
    </row>
    <row r="25" spans="1:15">
      <c r="A25" t="s">
        <v>909</v>
      </c>
      <c r="E25" s="99"/>
      <c r="F25" s="76" t="s">
        <v>1818</v>
      </c>
      <c r="G25" s="77">
        <v>4.9751243781094526E-3</v>
      </c>
      <c r="H25" s="68"/>
      <c r="I25" s="46"/>
    </row>
    <row r="26" spans="1:15">
      <c r="E26" s="99"/>
      <c r="F26" s="76">
        <v>10983</v>
      </c>
      <c r="G26" s="77">
        <v>1.824212271973466E-2</v>
      </c>
      <c r="H26" s="70"/>
      <c r="I26" s="46"/>
    </row>
    <row r="27" spans="1:15">
      <c r="A27" s="101" t="s">
        <v>910</v>
      </c>
      <c r="B27" s="99"/>
      <c r="E27" s="99"/>
      <c r="F27" s="76">
        <v>10984</v>
      </c>
      <c r="G27" s="77">
        <v>1.658374792703151E-2</v>
      </c>
      <c r="H27" s="70"/>
      <c r="I27" s="46"/>
    </row>
    <row r="28" spans="1:15">
      <c r="E28" s="99"/>
      <c r="F28" s="76">
        <v>10986</v>
      </c>
      <c r="G28" s="77">
        <v>6.6334991708126038E-3</v>
      </c>
      <c r="H28" s="70"/>
      <c r="I28" s="46"/>
    </row>
    <row r="29" spans="1:15">
      <c r="E29" s="99"/>
      <c r="F29" s="76">
        <v>10989</v>
      </c>
      <c r="G29" s="77">
        <v>1.824212271973466E-2</v>
      </c>
      <c r="H29" s="70"/>
      <c r="I29" s="46"/>
    </row>
    <row r="30" spans="1:15">
      <c r="E30" s="99"/>
      <c r="F30" s="76">
        <v>10993</v>
      </c>
      <c r="G30" s="77">
        <v>1.824212271973466E-2</v>
      </c>
      <c r="H30" s="70"/>
      <c r="I30" s="46"/>
    </row>
    <row r="31" spans="1:15">
      <c r="E31" s="99"/>
      <c r="F31" s="76">
        <v>10994</v>
      </c>
      <c r="G31" s="77">
        <v>2.1558872305140961E-2</v>
      </c>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19.285156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1721</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tbl-resp-qol-rc</v>
      </c>
    </row>
    <row r="4" spans="1:16">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c r="A5" s="98" t="s">
        <v>885</v>
      </c>
      <c r="B5" s="99"/>
      <c r="E5" s="100" t="s">
        <v>886</v>
      </c>
      <c r="F5" s="68" t="s">
        <v>1929</v>
      </c>
      <c r="G5" s="68" t="s">
        <v>1934</v>
      </c>
      <c r="H5" s="46"/>
      <c r="I5" s="46"/>
      <c r="J5" s="46"/>
      <c r="K5" s="46"/>
      <c r="L5" s="46"/>
      <c r="M5" s="46"/>
      <c r="N5" s="46"/>
      <c r="O5" s="46"/>
    </row>
    <row r="6" spans="1:16" ht="15" customHeight="1">
      <c r="A6" t="s">
        <v>891</v>
      </c>
      <c r="B6" t="b">
        <v>0</v>
      </c>
      <c r="E6" s="99"/>
      <c r="F6" s="55" t="s">
        <v>1930</v>
      </c>
      <c r="G6" s="55">
        <v>51.2</v>
      </c>
      <c r="J6" s="14"/>
      <c r="K6" s="14"/>
      <c r="L6" s="14"/>
      <c r="M6" s="14"/>
      <c r="N6" s="14"/>
    </row>
    <row r="7" spans="1:16" ht="15.75" customHeight="1">
      <c r="E7" s="99"/>
      <c r="F7" s="59" t="s">
        <v>1931</v>
      </c>
      <c r="G7" s="59">
        <v>21.9</v>
      </c>
      <c r="H7" s="59"/>
      <c r="J7" s="14"/>
      <c r="K7" s="14"/>
      <c r="L7" s="14"/>
      <c r="M7" s="14"/>
      <c r="N7" s="14"/>
    </row>
    <row r="8" spans="1:16">
      <c r="E8" s="99"/>
      <c r="F8" s="59" t="s">
        <v>1932</v>
      </c>
      <c r="G8" s="59">
        <v>4.0999999999999996</v>
      </c>
      <c r="H8" s="59"/>
      <c r="J8" s="14"/>
      <c r="K8" s="14"/>
      <c r="L8" s="14"/>
      <c r="M8" s="14"/>
      <c r="N8" s="14"/>
    </row>
    <row r="9" spans="1:16">
      <c r="A9" s="98" t="s">
        <v>893</v>
      </c>
      <c r="B9" s="99"/>
      <c r="E9" s="99"/>
      <c r="F9" s="55" t="s">
        <v>1933</v>
      </c>
      <c r="G9" s="55">
        <v>1.2</v>
      </c>
      <c r="J9" s="46"/>
      <c r="K9" s="46"/>
      <c r="L9" s="46"/>
      <c r="M9" s="46"/>
      <c r="N9" s="46"/>
      <c r="O9" s="46"/>
    </row>
    <row r="10" spans="1:16">
      <c r="A10" t="s">
        <v>894</v>
      </c>
      <c r="B10" t="s">
        <v>1002</v>
      </c>
      <c r="E10" s="99"/>
      <c r="F10" s="59"/>
      <c r="G10" s="59"/>
      <c r="H10" s="59"/>
      <c r="J10" s="47"/>
      <c r="K10" s="47"/>
      <c r="L10" s="47"/>
      <c r="M10" s="47"/>
      <c r="N10" s="47"/>
      <c r="O10" s="46"/>
    </row>
    <row r="11" spans="1:16">
      <c r="A11" t="s">
        <v>895</v>
      </c>
      <c r="E11" s="99"/>
      <c r="F11" s="68"/>
      <c r="G11" s="68"/>
      <c r="H11" s="68"/>
      <c r="J11" s="47"/>
      <c r="K11" s="47"/>
      <c r="L11" s="47"/>
      <c r="M11" s="47"/>
      <c r="N11" s="47"/>
      <c r="O11" s="46"/>
    </row>
    <row r="12" spans="1:16">
      <c r="A12" t="s">
        <v>896</v>
      </c>
      <c r="E12" s="99"/>
      <c r="F12" s="47"/>
      <c r="G12" s="47"/>
      <c r="H12" s="47"/>
      <c r="J12" s="46"/>
      <c r="K12" s="46"/>
      <c r="L12" s="46"/>
      <c r="M12" s="46"/>
      <c r="N12" s="46"/>
      <c r="O12" s="46"/>
    </row>
    <row r="13" spans="1:16">
      <c r="A13" t="s">
        <v>897</v>
      </c>
      <c r="E13" s="99"/>
      <c r="F13" s="47"/>
      <c r="G13" s="47"/>
      <c r="H13" s="47"/>
      <c r="I13" s="46"/>
      <c r="J13" s="46"/>
      <c r="K13" s="46"/>
      <c r="L13" s="46"/>
      <c r="M13" s="46"/>
      <c r="N13" s="46"/>
      <c r="O13" s="46"/>
    </row>
    <row r="14" spans="1:16">
      <c r="A14" t="s">
        <v>899</v>
      </c>
      <c r="B14" t="s">
        <v>1819</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defaultColWidth="8.7109375" defaultRowHeight="15"/>
  <cols>
    <col min="1" max="1" width="20" bestFit="1" customWidth="1"/>
    <col min="2" max="2" width="22.140625" bestFit="1" customWidth="1"/>
    <col min="5" max="5" width="6.7109375" customWidth="1"/>
    <col min="6" max="6" width="43" bestFit="1" customWidth="1"/>
    <col min="7" max="7" width="21.42578125" bestFit="1" customWidth="1"/>
    <col min="8" max="8" width="30.85546875" bestFit="1" customWidth="1"/>
    <col min="9" max="9" width="33.85546875" bestFit="1" customWidth="1"/>
    <col min="10" max="10" width="17" bestFit="1" customWidth="1"/>
    <col min="11" max="11" width="9.85546875" bestFit="1" customWidth="1"/>
    <col min="12" max="12" width="12.7109375" bestFit="1" customWidth="1"/>
    <col min="13" max="13" width="28.28515625" bestFit="1" customWidth="1"/>
    <col min="14" max="14" width="38.42578125" bestFit="1" customWidth="1"/>
    <col min="15" max="15" width="38.42578125" customWidth="1"/>
    <col min="16" max="16" width="49.7109375" bestFit="1" customWidth="1"/>
    <col min="17" max="17" width="49.28515625" bestFit="1" customWidth="1"/>
    <col min="18" max="18" width="19.28515625" bestFit="1" customWidth="1"/>
  </cols>
  <sheetData>
    <row r="1" spans="1:18">
      <c r="A1" s="58" t="s">
        <v>882</v>
      </c>
      <c r="B1" s="114" t="s">
        <v>1724</v>
      </c>
      <c r="C1" s="97"/>
      <c r="D1" s="97"/>
      <c r="E1" s="97"/>
      <c r="F1" s="97"/>
      <c r="G1" s="97"/>
      <c r="H1" s="97"/>
      <c r="I1" s="97"/>
      <c r="J1" s="97"/>
      <c r="K1" s="97"/>
      <c r="L1" s="97"/>
      <c r="M1" s="97"/>
      <c r="N1" s="97"/>
      <c r="O1" s="97"/>
      <c r="P1" s="97"/>
    </row>
    <row r="2" spans="1:18">
      <c r="A2" s="58" t="s">
        <v>883</v>
      </c>
      <c r="B2" t="s">
        <v>56</v>
      </c>
    </row>
    <row r="3" spans="1:18">
      <c r="A3" s="58" t="s">
        <v>884</v>
      </c>
      <c r="B3" t="str">
        <f>IF($B$1="","",_xlfn.XLOOKUP($B$1,Master!$F$2:$F$308,Master!$G$2:$G$308,""))</f>
        <v>tbl-t3-pos-rc</v>
      </c>
    </row>
    <row r="4" spans="1:18">
      <c r="A4" s="58" t="s">
        <v>6</v>
      </c>
      <c r="B4" t="str">
        <f>IF($B$1="","",_xlfn.XLOOKUP($B$1,Master!$F$2:$F$308,Master!$H$2:$H$308,""))</f>
        <v>fig-t3-pos-rc</v>
      </c>
      <c r="E4" s="13"/>
      <c r="F4" s="16" t="s">
        <v>679</v>
      </c>
      <c r="G4" s="16" t="s">
        <v>679</v>
      </c>
      <c r="H4" s="16"/>
      <c r="I4" s="16"/>
      <c r="J4" s="16"/>
      <c r="K4" s="16"/>
      <c r="L4" s="16"/>
      <c r="M4" s="16"/>
      <c r="N4" s="16"/>
      <c r="O4" s="16"/>
      <c r="P4" s="16"/>
      <c r="Q4" s="16"/>
      <c r="R4" s="16"/>
    </row>
    <row r="5" spans="1:18">
      <c r="A5" s="98" t="s">
        <v>885</v>
      </c>
      <c r="B5" s="99"/>
      <c r="E5" s="100" t="s">
        <v>886</v>
      </c>
      <c r="F5" s="59" t="s">
        <v>1725</v>
      </c>
      <c r="G5" s="47" t="s">
        <v>1935</v>
      </c>
      <c r="H5" s="46"/>
      <c r="I5" s="46"/>
      <c r="J5" s="46"/>
      <c r="K5" s="46"/>
      <c r="L5" s="46"/>
      <c r="M5" s="46"/>
      <c r="N5" s="46"/>
      <c r="O5" s="46"/>
      <c r="P5" s="46"/>
      <c r="Q5" s="46"/>
      <c r="R5" s="46"/>
    </row>
    <row r="6" spans="1:18" ht="15" customHeight="1">
      <c r="A6" t="s">
        <v>891</v>
      </c>
      <c r="B6" t="b">
        <v>0</v>
      </c>
      <c r="E6" s="99"/>
      <c r="F6" t="s">
        <v>1727</v>
      </c>
      <c r="G6" s="47">
        <v>2.8</v>
      </c>
      <c r="J6" s="14"/>
      <c r="K6" s="14"/>
      <c r="L6" s="14"/>
      <c r="M6" s="14"/>
      <c r="N6" s="14"/>
      <c r="O6" s="14"/>
      <c r="P6" s="14"/>
      <c r="Q6" s="14"/>
      <c r="R6" s="14"/>
    </row>
    <row r="7" spans="1:18" ht="15.75" customHeight="1">
      <c r="E7" s="99"/>
      <c r="F7" s="59" t="s">
        <v>1728</v>
      </c>
      <c r="G7" s="47">
        <v>10.6</v>
      </c>
      <c r="H7" s="59"/>
      <c r="J7" s="14"/>
      <c r="K7" s="14"/>
      <c r="L7" s="14"/>
      <c r="M7" s="14"/>
      <c r="N7" s="14"/>
      <c r="O7" s="14"/>
    </row>
    <row r="8" spans="1:18">
      <c r="E8" s="99"/>
      <c r="F8" s="68" t="s">
        <v>1729</v>
      </c>
      <c r="G8" s="47">
        <v>6.6</v>
      </c>
      <c r="H8" s="59"/>
      <c r="J8" s="14"/>
      <c r="K8" s="14"/>
      <c r="L8" s="14"/>
      <c r="M8" s="14"/>
      <c r="N8" s="14"/>
      <c r="O8" s="14"/>
    </row>
    <row r="9" spans="1:18">
      <c r="A9" s="98" t="s">
        <v>893</v>
      </c>
      <c r="B9" s="99"/>
      <c r="E9" s="99"/>
      <c r="F9" s="47" t="s">
        <v>1730</v>
      </c>
      <c r="G9" s="47">
        <v>21.1</v>
      </c>
      <c r="J9" s="46"/>
      <c r="K9" s="46"/>
      <c r="L9" s="46"/>
      <c r="M9" s="46"/>
      <c r="N9" s="46"/>
      <c r="O9" s="46"/>
      <c r="P9" s="46"/>
    </row>
    <row r="10" spans="1:18">
      <c r="A10" t="s">
        <v>894</v>
      </c>
      <c r="B10" t="s">
        <v>1741</v>
      </c>
      <c r="E10" s="99"/>
      <c r="F10" s="47" t="s">
        <v>1731</v>
      </c>
      <c r="G10" s="47">
        <v>16.399999999999999</v>
      </c>
      <c r="H10" s="59"/>
      <c r="J10" s="47"/>
      <c r="K10" s="47"/>
      <c r="L10" s="47"/>
      <c r="M10" s="47"/>
      <c r="N10" s="47"/>
      <c r="O10" s="47"/>
      <c r="P10" s="46"/>
    </row>
    <row r="11" spans="1:18">
      <c r="A11" t="s">
        <v>895</v>
      </c>
      <c r="E11" s="99"/>
      <c r="F11" s="68" t="s">
        <v>1732</v>
      </c>
      <c r="G11" s="47">
        <v>35</v>
      </c>
      <c r="H11" s="68"/>
      <c r="J11" s="47"/>
      <c r="K11" s="47"/>
      <c r="L11" s="47"/>
      <c r="M11" s="47"/>
      <c r="N11" s="47"/>
      <c r="O11" s="47"/>
      <c r="P11" s="46"/>
    </row>
    <row r="12" spans="1:18">
      <c r="A12" t="s">
        <v>896</v>
      </c>
      <c r="E12" s="99"/>
      <c r="F12" s="68" t="s">
        <v>1733</v>
      </c>
      <c r="G12" s="47">
        <v>4.0999999999999996</v>
      </c>
      <c r="J12" s="46"/>
      <c r="K12" s="46"/>
      <c r="L12" s="46"/>
      <c r="M12" s="46"/>
      <c r="N12" s="46"/>
      <c r="O12" s="46"/>
      <c r="P12" s="46"/>
    </row>
    <row r="13" spans="1:18">
      <c r="A13" t="s">
        <v>897</v>
      </c>
      <c r="E13" s="99"/>
      <c r="F13" s="68" t="s">
        <v>1734</v>
      </c>
      <c r="G13" s="47">
        <v>17.399999999999999</v>
      </c>
      <c r="I13" s="46"/>
      <c r="J13" s="46"/>
      <c r="K13" s="46"/>
      <c r="L13" s="46"/>
      <c r="M13" s="46"/>
      <c r="N13" s="46"/>
      <c r="O13" s="46"/>
      <c r="P13" s="46"/>
    </row>
    <row r="14" spans="1:18">
      <c r="A14" t="s">
        <v>899</v>
      </c>
      <c r="B14" t="s">
        <v>1819</v>
      </c>
      <c r="E14" s="99"/>
      <c r="F14" s="68" t="s">
        <v>1740</v>
      </c>
      <c r="G14" s="47">
        <v>29.7</v>
      </c>
      <c r="I14" s="46"/>
      <c r="J14" s="47"/>
      <c r="K14" s="47"/>
      <c r="L14" s="47"/>
      <c r="M14" s="47"/>
      <c r="N14" s="47"/>
      <c r="O14" s="47"/>
      <c r="P14" s="46"/>
    </row>
    <row r="15" spans="1:18">
      <c r="A15" t="s">
        <v>901</v>
      </c>
      <c r="B15" t="b">
        <v>1</v>
      </c>
      <c r="E15" s="99"/>
      <c r="F15" s="68" t="s">
        <v>1736</v>
      </c>
      <c r="G15" s="47">
        <v>41</v>
      </c>
      <c r="I15" s="46"/>
      <c r="J15" s="47"/>
      <c r="K15" s="47"/>
      <c r="L15" s="47"/>
      <c r="M15" s="47"/>
      <c r="N15" s="47"/>
      <c r="O15" s="47"/>
      <c r="P15" s="46"/>
    </row>
    <row r="16" spans="1:18">
      <c r="A16" t="s">
        <v>1146</v>
      </c>
      <c r="E16" s="99"/>
      <c r="F16" s="68" t="s">
        <v>1737</v>
      </c>
      <c r="G16" s="47">
        <v>12.1</v>
      </c>
      <c r="I16" s="46"/>
      <c r="J16" s="47"/>
      <c r="K16" s="47"/>
      <c r="L16" s="47"/>
      <c r="M16" s="47"/>
      <c r="N16" s="47"/>
      <c r="O16" s="47"/>
      <c r="P16" s="46"/>
    </row>
    <row r="17" spans="1:16">
      <c r="E17" s="99"/>
      <c r="F17" s="68" t="s">
        <v>1738</v>
      </c>
      <c r="G17" s="47">
        <v>61.5</v>
      </c>
      <c r="I17" s="46"/>
      <c r="J17" s="47"/>
      <c r="K17" s="47"/>
      <c r="L17" s="47"/>
      <c r="M17" s="47"/>
      <c r="N17" s="47"/>
      <c r="O17" s="47"/>
      <c r="P17" s="46"/>
    </row>
    <row r="18" spans="1:16">
      <c r="A18" s="98" t="s">
        <v>902</v>
      </c>
      <c r="B18" s="99"/>
      <c r="E18" s="99"/>
      <c r="F18" s="55"/>
      <c r="I18" s="46"/>
      <c r="J18" s="46"/>
      <c r="K18" s="46"/>
      <c r="L18" s="46"/>
      <c r="M18" s="46"/>
      <c r="N18" s="46"/>
      <c r="O18" s="46"/>
      <c r="P18" s="46"/>
    </row>
    <row r="19" spans="1:16">
      <c r="A19" t="s">
        <v>903</v>
      </c>
      <c r="E19" s="99"/>
      <c r="F19" s="55"/>
      <c r="I19" s="46"/>
      <c r="J19" s="46"/>
      <c r="K19" s="46"/>
      <c r="L19" s="46"/>
      <c r="M19" s="46"/>
      <c r="N19" s="46"/>
      <c r="O19" s="46"/>
      <c r="P19" s="46"/>
    </row>
    <row r="20" spans="1:16">
      <c r="A20" t="s">
        <v>904</v>
      </c>
      <c r="E20" s="99"/>
      <c r="F20" s="55"/>
      <c r="I20" s="46"/>
      <c r="J20" s="46"/>
      <c r="K20" s="46"/>
      <c r="L20" s="46"/>
      <c r="M20" s="46"/>
      <c r="N20" s="46"/>
      <c r="O20" s="46"/>
      <c r="P20" s="46"/>
    </row>
    <row r="21" spans="1:16">
      <c r="A21" t="s">
        <v>905</v>
      </c>
      <c r="E21" s="99"/>
      <c r="F21" s="55"/>
      <c r="G21" s="68"/>
      <c r="I21" s="46"/>
      <c r="J21" s="46"/>
      <c r="K21" s="46"/>
      <c r="L21" s="46"/>
      <c r="M21" s="46"/>
      <c r="N21" s="46"/>
      <c r="O21" s="46"/>
      <c r="P21" s="46"/>
    </row>
    <row r="22" spans="1:16">
      <c r="A22" t="s">
        <v>906</v>
      </c>
      <c r="E22" s="99"/>
      <c r="F22" s="55"/>
      <c r="G22" s="68"/>
      <c r="I22" s="46"/>
    </row>
    <row r="23" spans="1:16">
      <c r="A23" t="s">
        <v>907</v>
      </c>
      <c r="E23" s="99"/>
      <c r="F23" s="55"/>
      <c r="G23" s="68"/>
      <c r="I23" s="46"/>
    </row>
    <row r="24" spans="1:16">
      <c r="A24" t="s">
        <v>908</v>
      </c>
      <c r="E24" s="99"/>
      <c r="F24" s="46"/>
      <c r="G24" s="46"/>
      <c r="H24" s="46"/>
      <c r="I24" s="46"/>
    </row>
    <row r="25" spans="1:16">
      <c r="A25" t="s">
        <v>909</v>
      </c>
      <c r="E25" s="99"/>
      <c r="F25" s="68"/>
      <c r="G25" s="68"/>
      <c r="H25" s="68"/>
      <c r="I25" s="46"/>
    </row>
    <row r="26" spans="1:16">
      <c r="E26" s="99"/>
      <c r="F26" s="55"/>
      <c r="G26" s="55"/>
      <c r="H26" s="70"/>
      <c r="I26" s="46"/>
    </row>
    <row r="27" spans="1:16">
      <c r="A27" s="101" t="s">
        <v>910</v>
      </c>
      <c r="B27" s="99"/>
      <c r="E27" s="99"/>
      <c r="F27" s="55"/>
      <c r="G27" s="55"/>
      <c r="H27" s="70"/>
      <c r="I27" s="46"/>
    </row>
    <row r="28" spans="1:16">
      <c r="E28" s="99"/>
      <c r="F28" s="55"/>
      <c r="G28" s="55"/>
      <c r="H28" s="70"/>
      <c r="I28" s="46"/>
    </row>
    <row r="29" spans="1:16">
      <c r="E29" s="99"/>
      <c r="F29" s="55"/>
      <c r="G29" s="55"/>
      <c r="H29" s="70"/>
      <c r="I29" s="46"/>
    </row>
    <row r="30" spans="1:16">
      <c r="E30" s="99"/>
      <c r="F30" s="55"/>
      <c r="G30" s="55"/>
      <c r="H30" s="70"/>
      <c r="I30" s="46"/>
    </row>
    <row r="31" spans="1:16">
      <c r="E31" s="99"/>
      <c r="F31" s="55"/>
      <c r="G31" s="55"/>
      <c r="H31" s="70"/>
      <c r="I31" s="46"/>
    </row>
    <row r="32" spans="1:16">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9.425781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1742</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tbl-top-need-improve</v>
      </c>
    </row>
    <row r="4" spans="1:16">
      <c r="A4" s="58" t="s">
        <v>6</v>
      </c>
      <c r="B4" t="str">
        <f>IF($B$1="","",_xlfn.XLOOKUP($B$1,Master!$F$2:$F$308,Master!$H$2:$H$308,""))</f>
        <v>fig-top-need-improve</v>
      </c>
      <c r="E4" s="13"/>
      <c r="F4" s="16" t="s">
        <v>679</v>
      </c>
      <c r="G4" s="16" t="s">
        <v>679</v>
      </c>
      <c r="H4" s="16"/>
      <c r="I4" s="16"/>
      <c r="J4" s="16"/>
      <c r="K4" s="16"/>
      <c r="L4" s="16"/>
      <c r="M4" s="16"/>
      <c r="N4" s="16"/>
      <c r="O4" s="16"/>
      <c r="P4" s="16"/>
    </row>
    <row r="5" spans="1:16">
      <c r="A5" s="98" t="s">
        <v>885</v>
      </c>
      <c r="B5" s="99"/>
      <c r="E5" s="100" t="s">
        <v>886</v>
      </c>
      <c r="F5" s="59" t="s">
        <v>1660</v>
      </c>
      <c r="G5" s="59">
        <v>73.3</v>
      </c>
      <c r="H5" s="46"/>
      <c r="I5" s="46"/>
      <c r="J5" s="46"/>
      <c r="K5" s="46"/>
      <c r="L5" s="46"/>
      <c r="M5" s="46"/>
      <c r="N5" s="46"/>
      <c r="O5" s="46"/>
    </row>
    <row r="6" spans="1:16" ht="15" customHeight="1">
      <c r="A6" t="s">
        <v>891</v>
      </c>
      <c r="B6" t="b">
        <v>0</v>
      </c>
      <c r="E6" s="99"/>
      <c r="F6" t="s">
        <v>1744</v>
      </c>
      <c r="G6" s="55">
        <v>71.5</v>
      </c>
      <c r="J6" s="14"/>
      <c r="K6" s="14"/>
      <c r="L6" s="14"/>
      <c r="M6" s="14"/>
      <c r="N6" s="14"/>
    </row>
    <row r="7" spans="1:16" ht="15.75" customHeight="1">
      <c r="E7" s="99"/>
      <c r="F7" s="59" t="s">
        <v>1745</v>
      </c>
      <c r="G7" s="59">
        <v>49.8</v>
      </c>
      <c r="H7" s="59"/>
      <c r="J7" s="14"/>
      <c r="K7" s="14"/>
      <c r="L7" s="14"/>
      <c r="M7" s="14"/>
      <c r="N7" s="14"/>
    </row>
    <row r="8" spans="1:16">
      <c r="E8" s="99"/>
      <c r="F8" s="68" t="s">
        <v>1747</v>
      </c>
      <c r="G8" s="68">
        <v>45.2</v>
      </c>
      <c r="H8" s="59"/>
      <c r="J8" s="14"/>
      <c r="K8" s="14"/>
      <c r="L8" s="14"/>
      <c r="M8" s="14"/>
      <c r="N8" s="14"/>
    </row>
    <row r="9" spans="1:16">
      <c r="A9" s="98" t="s">
        <v>893</v>
      </c>
      <c r="B9" s="99"/>
      <c r="E9" s="99"/>
      <c r="F9" s="47" t="s">
        <v>1751</v>
      </c>
      <c r="G9" s="47">
        <v>40.5</v>
      </c>
      <c r="J9" s="46"/>
      <c r="K9" s="46"/>
      <c r="L9" s="46"/>
      <c r="M9" s="46"/>
      <c r="N9" s="46"/>
      <c r="O9" s="46"/>
    </row>
    <row r="10" spans="1:16">
      <c r="A10" t="s">
        <v>894</v>
      </c>
      <c r="B10" t="s">
        <v>1002</v>
      </c>
      <c r="E10" s="99"/>
      <c r="F10" s="47" t="s">
        <v>1025</v>
      </c>
      <c r="G10" s="47">
        <v>23.5</v>
      </c>
      <c r="H10" s="59"/>
      <c r="J10" s="47"/>
      <c r="K10" s="47"/>
      <c r="L10" s="47"/>
      <c r="M10" s="47"/>
      <c r="N10" s="47"/>
      <c r="O10" s="46"/>
    </row>
    <row r="11" spans="1:16">
      <c r="A11" t="s">
        <v>895</v>
      </c>
      <c r="E11" s="99"/>
      <c r="H11" s="68"/>
      <c r="J11" s="47"/>
      <c r="K11" s="47"/>
      <c r="L11" s="47"/>
      <c r="M11" s="47"/>
      <c r="N11" s="47"/>
      <c r="O11" s="46"/>
    </row>
    <row r="12" spans="1:16">
      <c r="A12" t="s">
        <v>896</v>
      </c>
      <c r="E12" s="99"/>
      <c r="H12" s="47"/>
      <c r="J12" s="46"/>
      <c r="K12" s="46"/>
      <c r="L12" s="46"/>
      <c r="M12" s="46"/>
      <c r="N12" s="46"/>
      <c r="O12" s="46"/>
    </row>
    <row r="13" spans="1:16">
      <c r="A13" t="s">
        <v>897</v>
      </c>
      <c r="E13" s="99"/>
      <c r="H13" s="47"/>
      <c r="I13" s="46"/>
      <c r="J13" s="46"/>
      <c r="K13" s="46"/>
      <c r="L13" s="46"/>
      <c r="M13" s="46"/>
      <c r="N13" s="46"/>
      <c r="O13" s="46"/>
    </row>
    <row r="14" spans="1:16">
      <c r="A14" t="s">
        <v>899</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0.285156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1762</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tbl-econ-need-improve</v>
      </c>
    </row>
    <row r="4" spans="1:16">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c r="A5" s="98" t="s">
        <v>885</v>
      </c>
      <c r="B5" s="99"/>
      <c r="E5" s="100" t="s">
        <v>886</v>
      </c>
      <c r="F5" s="46"/>
      <c r="G5" s="46" t="s">
        <v>1756</v>
      </c>
      <c r="H5" s="46">
        <v>2</v>
      </c>
      <c r="I5" s="46">
        <v>3</v>
      </c>
      <c r="J5" s="46">
        <v>4</v>
      </c>
      <c r="K5" s="46" t="s">
        <v>1757</v>
      </c>
      <c r="L5" s="46" t="s">
        <v>1758</v>
      </c>
      <c r="M5" s="46"/>
      <c r="N5" s="46"/>
      <c r="O5" s="46"/>
    </row>
    <row r="6" spans="1:16" ht="15" customHeight="1">
      <c r="A6" t="s">
        <v>891</v>
      </c>
      <c r="B6" t="b">
        <v>0</v>
      </c>
      <c r="E6" s="99"/>
      <c r="F6" s="72" t="s">
        <v>1753</v>
      </c>
      <c r="G6" s="73">
        <v>2.7</v>
      </c>
      <c r="H6" s="73">
        <v>5</v>
      </c>
      <c r="I6" s="73">
        <v>11.5</v>
      </c>
      <c r="J6" s="73">
        <v>16.3</v>
      </c>
      <c r="K6" s="73">
        <v>48</v>
      </c>
      <c r="L6" s="73">
        <v>16.5</v>
      </c>
      <c r="M6" s="71"/>
      <c r="N6" s="71"/>
    </row>
    <row r="7" spans="1:16" ht="15.75" customHeight="1">
      <c r="E7" s="99"/>
      <c r="F7" s="53" t="s">
        <v>1754</v>
      </c>
      <c r="G7" s="59">
        <v>1.6</v>
      </c>
      <c r="H7" s="59">
        <v>4.0999999999999996</v>
      </c>
      <c r="I7" s="55">
        <v>10.9</v>
      </c>
      <c r="J7" s="59">
        <v>20.100000000000001</v>
      </c>
      <c r="K7" s="59">
        <v>58.6</v>
      </c>
      <c r="L7" s="59">
        <v>4.8</v>
      </c>
      <c r="M7" s="14"/>
      <c r="N7" s="14"/>
    </row>
    <row r="8" spans="1:16">
      <c r="E8" s="99"/>
      <c r="F8" s="53" t="s">
        <v>1078</v>
      </c>
      <c r="G8" s="59">
        <v>2</v>
      </c>
      <c r="H8" s="59">
        <v>2.2999999999999998</v>
      </c>
      <c r="I8" s="55">
        <v>6.6</v>
      </c>
      <c r="J8" s="59">
        <v>12.4</v>
      </c>
      <c r="K8" s="59">
        <v>73.5</v>
      </c>
      <c r="L8" s="59">
        <v>3.2</v>
      </c>
      <c r="M8" s="14"/>
      <c r="N8" s="14"/>
    </row>
    <row r="9" spans="1:16">
      <c r="A9" s="98" t="s">
        <v>893</v>
      </c>
      <c r="B9" s="99"/>
      <c r="E9" s="99"/>
      <c r="F9" s="61" t="s">
        <v>1755</v>
      </c>
      <c r="G9" s="55">
        <v>11.3</v>
      </c>
      <c r="H9" s="55">
        <v>12.9</v>
      </c>
      <c r="I9" s="55">
        <v>24</v>
      </c>
      <c r="J9" s="68" t="s">
        <v>1759</v>
      </c>
      <c r="K9" s="68" t="s">
        <v>1760</v>
      </c>
      <c r="L9" s="68" t="s">
        <v>1761</v>
      </c>
      <c r="M9" s="46"/>
      <c r="N9" s="46"/>
      <c r="O9" s="46"/>
    </row>
    <row r="10" spans="1:16">
      <c r="A10" t="s">
        <v>894</v>
      </c>
      <c r="B10" t="s">
        <v>1020</v>
      </c>
      <c r="E10" s="99"/>
      <c r="F10" s="59"/>
      <c r="G10" s="59"/>
      <c r="H10" s="59"/>
      <c r="J10" s="47"/>
      <c r="K10" s="47"/>
      <c r="L10" s="47"/>
      <c r="M10" s="47"/>
      <c r="N10" s="47"/>
      <c r="O10" s="46"/>
    </row>
    <row r="11" spans="1:16">
      <c r="A11" t="s">
        <v>895</v>
      </c>
      <c r="E11" s="99"/>
      <c r="F11" s="68"/>
      <c r="G11" s="68"/>
      <c r="H11" s="68"/>
      <c r="J11" s="47"/>
      <c r="K11" s="47"/>
      <c r="L11" s="47"/>
      <c r="M11" s="47"/>
      <c r="N11" s="47"/>
      <c r="O11" s="46"/>
    </row>
    <row r="12" spans="1:16">
      <c r="A12" t="s">
        <v>896</v>
      </c>
      <c r="E12" s="99"/>
      <c r="F12" s="47"/>
      <c r="G12" s="47"/>
      <c r="H12" s="47"/>
      <c r="J12" s="46"/>
      <c r="K12" s="46"/>
      <c r="L12" s="46"/>
      <c r="M12" s="46"/>
      <c r="N12" s="46"/>
      <c r="O12" s="46"/>
    </row>
    <row r="13" spans="1:16">
      <c r="A13" t="s">
        <v>897</v>
      </c>
      <c r="E13" s="99"/>
      <c r="F13" s="47"/>
      <c r="G13" s="47"/>
      <c r="H13" s="47"/>
      <c r="I13" s="46"/>
      <c r="J13" s="46"/>
      <c r="K13" s="46"/>
      <c r="L13" s="46"/>
      <c r="M13" s="46"/>
      <c r="N13" s="46"/>
      <c r="O13" s="46"/>
    </row>
    <row r="14" spans="1:16">
      <c r="A14" t="s">
        <v>899</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40.8554687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1764</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tbl-safe-health-need-improve</v>
      </c>
    </row>
    <row r="4" spans="1:16">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c r="A5" s="98" t="s">
        <v>885</v>
      </c>
      <c r="B5" s="99"/>
      <c r="E5" s="100" t="s">
        <v>886</v>
      </c>
      <c r="F5" s="46"/>
      <c r="G5" s="68" t="s">
        <v>1756</v>
      </c>
      <c r="H5" s="68">
        <v>2</v>
      </c>
      <c r="I5" s="68">
        <v>3</v>
      </c>
      <c r="J5" s="68">
        <v>4</v>
      </c>
      <c r="K5" s="68" t="s">
        <v>1757</v>
      </c>
      <c r="L5" s="68" t="s">
        <v>1758</v>
      </c>
      <c r="M5" s="46"/>
      <c r="N5" s="46"/>
      <c r="O5" s="46"/>
    </row>
    <row r="6" spans="1:16" ht="15" customHeight="1">
      <c r="A6" t="s">
        <v>891</v>
      </c>
      <c r="B6" t="b">
        <v>0</v>
      </c>
      <c r="E6" s="99"/>
      <c r="F6" s="71" t="s">
        <v>1767</v>
      </c>
      <c r="G6" s="75">
        <v>6</v>
      </c>
      <c r="H6" s="75">
        <v>8.6</v>
      </c>
      <c r="I6" s="75">
        <v>17.899999999999999</v>
      </c>
      <c r="J6" s="75">
        <v>17.600000000000001</v>
      </c>
      <c r="K6" s="75">
        <v>40.4</v>
      </c>
      <c r="L6" s="75">
        <v>9.5</v>
      </c>
      <c r="M6" s="71"/>
      <c r="N6" s="71"/>
    </row>
    <row r="7" spans="1:16" ht="15.75" customHeight="1">
      <c r="E7" s="99"/>
      <c r="F7" s="14" t="s">
        <v>1768</v>
      </c>
      <c r="G7" s="59">
        <v>6</v>
      </c>
      <c r="H7" s="59">
        <v>9.5</v>
      </c>
      <c r="I7" s="59">
        <v>11.6</v>
      </c>
      <c r="J7" s="59">
        <v>20.399999999999999</v>
      </c>
      <c r="K7" s="59">
        <v>44.5</v>
      </c>
      <c r="L7" s="59">
        <v>7.9</v>
      </c>
      <c r="M7" s="14"/>
      <c r="N7" s="14"/>
    </row>
    <row r="8" spans="1:16">
      <c r="E8" s="99"/>
      <c r="F8" s="14" t="s">
        <v>1769</v>
      </c>
      <c r="G8" s="59">
        <v>3.2</v>
      </c>
      <c r="H8" s="59">
        <v>7.4</v>
      </c>
      <c r="I8" s="59">
        <v>15.1</v>
      </c>
      <c r="J8" s="59">
        <v>19.5</v>
      </c>
      <c r="K8" s="59">
        <v>47.3</v>
      </c>
      <c r="L8" s="59">
        <v>7.4</v>
      </c>
      <c r="M8" s="14"/>
      <c r="N8" s="14"/>
    </row>
    <row r="9" spans="1:16">
      <c r="A9" s="98" t="s">
        <v>893</v>
      </c>
      <c r="B9" s="99"/>
      <c r="E9" s="99"/>
      <c r="F9" t="s">
        <v>1770</v>
      </c>
      <c r="G9" s="59">
        <v>7</v>
      </c>
      <c r="H9" s="59">
        <v>10.7</v>
      </c>
      <c r="I9" s="59">
        <v>25.8</v>
      </c>
      <c r="J9" s="59" t="s">
        <v>1774</v>
      </c>
      <c r="K9" s="59" t="s">
        <v>1775</v>
      </c>
      <c r="L9" s="59" t="s">
        <v>1776</v>
      </c>
      <c r="M9" s="46"/>
      <c r="N9" s="46"/>
      <c r="O9" s="46"/>
    </row>
    <row r="10" spans="1:16">
      <c r="A10" t="s">
        <v>894</v>
      </c>
      <c r="B10" t="s">
        <v>1020</v>
      </c>
      <c r="E10" s="99"/>
      <c r="F10" s="14" t="s">
        <v>1771</v>
      </c>
      <c r="G10" s="59">
        <v>11.6</v>
      </c>
      <c r="H10" s="59">
        <v>12.5</v>
      </c>
      <c r="I10" s="59">
        <v>24.4</v>
      </c>
      <c r="J10" s="42" t="s">
        <v>1777</v>
      </c>
      <c r="K10" s="42" t="s">
        <v>1778</v>
      </c>
      <c r="L10" s="42" t="s">
        <v>1779</v>
      </c>
      <c r="M10" s="47"/>
      <c r="N10" s="47"/>
      <c r="O10" s="46"/>
    </row>
    <row r="11" spans="1:16">
      <c r="A11" t="s">
        <v>895</v>
      </c>
      <c r="E11" s="99"/>
      <c r="F11" s="46" t="s">
        <v>1772</v>
      </c>
      <c r="G11" s="59" t="s">
        <v>1479</v>
      </c>
      <c r="H11" s="59" t="s">
        <v>1780</v>
      </c>
      <c r="I11" s="59">
        <v>23.4</v>
      </c>
      <c r="J11" s="42" t="s">
        <v>1781</v>
      </c>
      <c r="K11" s="42" t="s">
        <v>1782</v>
      </c>
      <c r="L11" s="42" t="s">
        <v>1783</v>
      </c>
      <c r="M11" s="47"/>
      <c r="N11" s="47"/>
      <c r="O11" s="46"/>
    </row>
    <row r="12" spans="1:16">
      <c r="A12" t="s">
        <v>896</v>
      </c>
      <c r="E12" s="99"/>
      <c r="F12" s="74" t="s">
        <v>1773</v>
      </c>
      <c r="G12" s="42" t="s">
        <v>1784</v>
      </c>
      <c r="H12" s="42" t="s">
        <v>1785</v>
      </c>
      <c r="I12" s="59">
        <v>22.7</v>
      </c>
      <c r="J12" s="59" t="s">
        <v>1781</v>
      </c>
      <c r="K12" s="59" t="s">
        <v>1781</v>
      </c>
      <c r="L12" s="59" t="s">
        <v>1515</v>
      </c>
      <c r="M12" s="46"/>
      <c r="N12" s="46"/>
      <c r="O12" s="46"/>
    </row>
    <row r="13" spans="1:16">
      <c r="A13" t="s">
        <v>897</v>
      </c>
      <c r="E13" s="99"/>
      <c r="F13" s="47"/>
      <c r="G13" s="47"/>
      <c r="H13" s="47"/>
      <c r="I13" s="46"/>
      <c r="J13" s="46"/>
      <c r="K13" s="46"/>
      <c r="L13" s="46"/>
      <c r="M13" s="46"/>
      <c r="N13" s="46"/>
      <c r="O13" s="46"/>
    </row>
    <row r="14" spans="1:16">
      <c r="A14" t="s">
        <v>899</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3.425781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1786</v>
      </c>
      <c r="C1" s="97"/>
      <c r="D1" s="97"/>
      <c r="E1" s="97"/>
      <c r="F1" s="97"/>
      <c r="G1" s="97"/>
      <c r="H1" s="97"/>
      <c r="I1" s="97"/>
      <c r="J1" s="97"/>
      <c r="K1" s="97"/>
      <c r="L1" s="97"/>
      <c r="M1" s="97"/>
      <c r="N1" s="97"/>
      <c r="O1" s="97"/>
    </row>
    <row r="2" spans="1:16">
      <c r="A2" s="58" t="s">
        <v>883</v>
      </c>
      <c r="B2" t="s">
        <v>56</v>
      </c>
    </row>
    <row r="3" spans="1:16">
      <c r="A3" s="58" t="s">
        <v>884</v>
      </c>
      <c r="B3" t="str">
        <f>IF($B$1="","",_xlfn.XLOOKUP($B$1,Master!$F$2:$F$308,Master!$G$2:$G$308,""))</f>
        <v>tbl-educat-need-improv</v>
      </c>
    </row>
    <row r="4" spans="1:16">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c r="A5" s="98" t="s">
        <v>885</v>
      </c>
      <c r="B5" s="99"/>
      <c r="E5" s="100" t="s">
        <v>886</v>
      </c>
      <c r="F5" s="46"/>
      <c r="G5" s="68" t="s">
        <v>1756</v>
      </c>
      <c r="H5" s="68">
        <v>2</v>
      </c>
      <c r="I5" s="68">
        <v>3</v>
      </c>
      <c r="J5" s="68">
        <v>4</v>
      </c>
      <c r="K5" s="68" t="s">
        <v>1757</v>
      </c>
      <c r="L5" s="68" t="s">
        <v>1758</v>
      </c>
      <c r="M5" s="46"/>
      <c r="N5" s="46"/>
      <c r="O5" s="46"/>
    </row>
    <row r="6" spans="1:16" ht="15" customHeight="1">
      <c r="A6" t="s">
        <v>891</v>
      </c>
      <c r="B6" t="b">
        <v>0</v>
      </c>
      <c r="E6" s="99"/>
      <c r="F6" s="71" t="s">
        <v>1788</v>
      </c>
      <c r="G6" s="75">
        <v>2</v>
      </c>
      <c r="H6" s="75">
        <v>5.7</v>
      </c>
      <c r="I6" s="75">
        <v>16.3</v>
      </c>
      <c r="J6" s="75">
        <v>24.7</v>
      </c>
      <c r="K6" s="75">
        <v>40</v>
      </c>
      <c r="L6" s="75">
        <v>11.3</v>
      </c>
      <c r="M6" s="71"/>
      <c r="N6" s="71"/>
    </row>
    <row r="7" spans="1:16" ht="15.75" customHeight="1">
      <c r="E7" s="99"/>
      <c r="F7" s="14" t="s">
        <v>1789</v>
      </c>
      <c r="G7" s="59">
        <v>4.3</v>
      </c>
      <c r="H7" s="59">
        <v>5.7</v>
      </c>
      <c r="I7" s="59">
        <v>19.3</v>
      </c>
      <c r="J7" s="59">
        <v>23.7</v>
      </c>
      <c r="K7" s="59">
        <v>38.700000000000003</v>
      </c>
      <c r="L7" s="59">
        <v>8.3000000000000007</v>
      </c>
      <c r="M7" s="14"/>
      <c r="N7" s="14"/>
    </row>
    <row r="8" spans="1:16">
      <c r="E8" s="99"/>
      <c r="F8" s="14" t="s">
        <v>1790</v>
      </c>
      <c r="G8" s="59">
        <v>5</v>
      </c>
      <c r="H8" s="59">
        <v>6.3</v>
      </c>
      <c r="I8" s="59">
        <v>18.3</v>
      </c>
      <c r="J8" s="59">
        <v>22.3</v>
      </c>
      <c r="K8" s="59">
        <v>40.299999999999997</v>
      </c>
      <c r="L8" s="59">
        <v>7.7</v>
      </c>
      <c r="M8" s="14"/>
      <c r="N8" s="14"/>
    </row>
    <row r="9" spans="1:16">
      <c r="A9" s="98" t="s">
        <v>893</v>
      </c>
      <c r="B9" s="99"/>
      <c r="E9" s="99"/>
      <c r="G9" s="59"/>
      <c r="H9" s="59"/>
      <c r="I9" s="59"/>
      <c r="J9" s="59"/>
      <c r="K9" s="59"/>
      <c r="L9" s="59"/>
      <c r="M9" s="46"/>
      <c r="N9" s="46"/>
      <c r="O9" s="46"/>
    </row>
    <row r="10" spans="1:16">
      <c r="A10" t="s">
        <v>894</v>
      </c>
      <c r="B10" t="s">
        <v>1766</v>
      </c>
      <c r="E10" s="99"/>
      <c r="F10" s="14"/>
      <c r="G10" s="59"/>
      <c r="H10" s="59"/>
      <c r="I10" s="59"/>
      <c r="J10" s="42"/>
      <c r="K10" s="42"/>
      <c r="L10" s="42"/>
      <c r="M10" s="47"/>
      <c r="N10" s="47"/>
      <c r="O10" s="46"/>
    </row>
    <row r="11" spans="1:16">
      <c r="A11" t="s">
        <v>895</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3.425781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1842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tbl-congheartfail-mortal-rande</v>
      </c>
    </row>
    <row r="4" spans="1:16">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c r="A6" t="s">
        <v>891</v>
      </c>
      <c r="B6" t="b">
        <v>0</v>
      </c>
      <c r="E6" s="99"/>
      <c r="F6" s="71" t="s">
        <v>929</v>
      </c>
      <c r="G6" s="75">
        <v>15.2</v>
      </c>
      <c r="H6" s="75">
        <v>19.3</v>
      </c>
      <c r="I6" s="75">
        <v>13.7</v>
      </c>
      <c r="J6" s="75">
        <v>12.3</v>
      </c>
      <c r="K6" s="75">
        <v>24.8</v>
      </c>
      <c r="L6" s="75">
        <v>17.899999999999999</v>
      </c>
      <c r="M6" s="71">
        <v>11.4</v>
      </c>
      <c r="N6" s="71">
        <v>17.8</v>
      </c>
      <c r="O6">
        <v>16.8</v>
      </c>
    </row>
    <row r="7" spans="1:16" ht="15.75" customHeight="1">
      <c r="E7" s="99"/>
      <c r="F7" s="14" t="s">
        <v>1571</v>
      </c>
      <c r="G7" s="59">
        <v>5</v>
      </c>
      <c r="H7" s="59">
        <v>21.2</v>
      </c>
      <c r="I7" s="59">
        <v>13</v>
      </c>
      <c r="J7" s="59">
        <v>11.3</v>
      </c>
      <c r="K7" s="59">
        <v>30.4</v>
      </c>
      <c r="L7" s="59">
        <v>16.3</v>
      </c>
      <c r="M7" s="14">
        <v>14.7</v>
      </c>
      <c r="N7" s="14">
        <v>19.3</v>
      </c>
      <c r="O7">
        <v>17.100000000000001</v>
      </c>
    </row>
    <row r="8" spans="1:16">
      <c r="E8" s="99"/>
      <c r="F8" s="14" t="s">
        <v>1844</v>
      </c>
      <c r="G8" s="59">
        <v>7.2</v>
      </c>
      <c r="H8" s="59">
        <v>9.3000000000000007</v>
      </c>
      <c r="I8" s="59" t="s">
        <v>754</v>
      </c>
      <c r="J8" s="59">
        <v>14.7</v>
      </c>
      <c r="K8" s="59">
        <v>15.2</v>
      </c>
      <c r="L8" s="59" t="s">
        <v>1845</v>
      </c>
      <c r="M8" s="14">
        <v>8</v>
      </c>
      <c r="N8" s="14">
        <v>14.7</v>
      </c>
      <c r="O8">
        <v>13.5</v>
      </c>
    </row>
    <row r="9" spans="1:16">
      <c r="A9" s="98" t="s">
        <v>893</v>
      </c>
      <c r="B9" s="99"/>
      <c r="E9" s="99"/>
      <c r="F9" t="s">
        <v>927</v>
      </c>
      <c r="G9" s="59">
        <v>9.6</v>
      </c>
      <c r="H9" s="59">
        <v>17.600000000000001</v>
      </c>
      <c r="I9" s="59">
        <v>6.4</v>
      </c>
      <c r="J9" s="59">
        <v>14.2</v>
      </c>
      <c r="K9" s="59">
        <v>25.6</v>
      </c>
      <c r="L9" s="59">
        <v>13.6</v>
      </c>
      <c r="M9" s="46" t="s">
        <v>1477</v>
      </c>
      <c r="N9" s="46" t="s">
        <v>1846</v>
      </c>
      <c r="O9" s="46" t="s">
        <v>1847</v>
      </c>
    </row>
    <row r="10" spans="1:16">
      <c r="A10" t="s">
        <v>894</v>
      </c>
      <c r="B10" t="s">
        <v>983</v>
      </c>
      <c r="E10" s="99"/>
      <c r="F10" s="14"/>
      <c r="G10" s="59"/>
      <c r="H10" s="59"/>
      <c r="I10" s="59"/>
      <c r="J10" s="42"/>
      <c r="K10" s="42"/>
      <c r="L10" s="42"/>
      <c r="M10" s="47"/>
      <c r="N10" s="47"/>
      <c r="O10" s="46"/>
    </row>
    <row r="11" spans="1:16">
      <c r="A11" t="s">
        <v>895</v>
      </c>
      <c r="B11" t="s">
        <v>1245</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3.425781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1852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tbl-heartattack-mortal-aar</v>
      </c>
    </row>
    <row r="4" spans="1:16">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c r="E7" s="99"/>
      <c r="F7" s="71">
        <v>2018</v>
      </c>
      <c r="G7" s="75">
        <v>21.1</v>
      </c>
      <c r="H7" s="75">
        <v>22.3</v>
      </c>
      <c r="I7" s="75">
        <v>16.7</v>
      </c>
      <c r="J7" s="75">
        <v>35.9</v>
      </c>
      <c r="K7" s="75">
        <v>39.9</v>
      </c>
      <c r="L7" s="75">
        <v>20.9</v>
      </c>
      <c r="M7" s="71">
        <v>15.9</v>
      </c>
      <c r="N7" s="71">
        <v>25.9</v>
      </c>
      <c r="O7">
        <v>22.8</v>
      </c>
    </row>
    <row r="8" spans="1:16">
      <c r="E8" s="99"/>
      <c r="F8" s="14">
        <v>2019</v>
      </c>
      <c r="G8" s="59">
        <v>24.7</v>
      </c>
      <c r="H8" s="59">
        <v>23.3</v>
      </c>
      <c r="I8" s="59">
        <v>17.399999999999999</v>
      </c>
      <c r="J8" s="59">
        <v>37.6</v>
      </c>
      <c r="K8" s="59">
        <v>44.4</v>
      </c>
      <c r="L8" s="59">
        <v>19.7</v>
      </c>
      <c r="M8" s="14">
        <v>16.100000000000001</v>
      </c>
      <c r="N8" s="14">
        <v>23.7</v>
      </c>
      <c r="O8">
        <v>21.7</v>
      </c>
    </row>
    <row r="9" spans="1:16">
      <c r="A9" s="98" t="s">
        <v>893</v>
      </c>
      <c r="B9" s="99"/>
      <c r="E9" s="99"/>
      <c r="F9" s="14">
        <v>2020</v>
      </c>
      <c r="G9" s="59">
        <v>27.2</v>
      </c>
      <c r="H9" s="59">
        <v>21.8</v>
      </c>
      <c r="I9" s="59">
        <v>16.7</v>
      </c>
      <c r="J9" s="59">
        <v>36.1</v>
      </c>
      <c r="K9" s="59">
        <v>41.7</v>
      </c>
      <c r="L9" s="59">
        <v>20.3</v>
      </c>
      <c r="M9" s="14">
        <v>15.6</v>
      </c>
      <c r="N9" s="14">
        <v>25.7</v>
      </c>
      <c r="O9">
        <v>22.6</v>
      </c>
    </row>
    <row r="10" spans="1:16">
      <c r="A10" t="s">
        <v>894</v>
      </c>
      <c r="B10" t="s">
        <v>972</v>
      </c>
      <c r="E10" s="99"/>
      <c r="F10">
        <v>2021</v>
      </c>
      <c r="G10" s="59">
        <v>28.7</v>
      </c>
      <c r="H10" s="59">
        <v>20.7</v>
      </c>
      <c r="I10" s="59">
        <v>15.7</v>
      </c>
      <c r="J10" s="59">
        <v>33.200000000000003</v>
      </c>
      <c r="K10" s="59">
        <v>43.7</v>
      </c>
      <c r="L10" s="59">
        <v>19.2</v>
      </c>
      <c r="M10" s="46" t="s">
        <v>1848</v>
      </c>
      <c r="N10" s="46" t="s">
        <v>1849</v>
      </c>
      <c r="O10" s="46" t="s">
        <v>1850</v>
      </c>
    </row>
    <row r="11" spans="1:16">
      <c r="A11" t="s">
        <v>895</v>
      </c>
      <c r="B11" t="s">
        <v>1851</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0</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3.425781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468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tbl-congheartfail-mortal-aar</v>
      </c>
    </row>
    <row r="4" spans="1:16">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c r="E7" s="99"/>
      <c r="F7" s="14">
        <v>2019</v>
      </c>
      <c r="G7" s="59">
        <v>15.1</v>
      </c>
      <c r="H7" s="59">
        <v>16.3</v>
      </c>
      <c r="I7" s="59">
        <v>13.1</v>
      </c>
      <c r="J7" s="59">
        <v>13.6</v>
      </c>
      <c r="K7" s="59">
        <v>16.2</v>
      </c>
      <c r="L7" s="59">
        <v>14.3</v>
      </c>
      <c r="M7" s="14">
        <v>8.9</v>
      </c>
      <c r="N7" s="14" t="s">
        <v>900</v>
      </c>
      <c r="O7">
        <v>10.8</v>
      </c>
    </row>
    <row r="8" spans="1:16">
      <c r="E8" s="99"/>
      <c r="F8" s="14">
        <v>2020</v>
      </c>
      <c r="G8" s="59">
        <v>15.3</v>
      </c>
      <c r="H8" s="59">
        <v>17.600000000000001</v>
      </c>
      <c r="I8" s="59">
        <v>13</v>
      </c>
      <c r="J8" s="59">
        <v>13.4</v>
      </c>
      <c r="K8" s="59">
        <v>18.899999999999999</v>
      </c>
      <c r="L8" s="59">
        <v>12.3</v>
      </c>
      <c r="M8" s="14">
        <v>8.6999999999999993</v>
      </c>
      <c r="N8" s="14" t="s">
        <v>900</v>
      </c>
      <c r="O8">
        <v>10.1</v>
      </c>
    </row>
    <row r="9" spans="1:16">
      <c r="A9" s="98" t="s">
        <v>893</v>
      </c>
      <c r="B9" s="99"/>
      <c r="E9" s="99"/>
      <c r="F9">
        <v>2021</v>
      </c>
      <c r="G9" s="59">
        <v>15.9</v>
      </c>
      <c r="H9" s="59">
        <v>16.3</v>
      </c>
      <c r="I9" s="59">
        <v>9.5</v>
      </c>
      <c r="J9" s="59">
        <v>13.7</v>
      </c>
      <c r="K9" s="59">
        <v>22.3</v>
      </c>
      <c r="L9" s="59">
        <v>13.8</v>
      </c>
      <c r="M9" s="46" t="s">
        <v>1497</v>
      </c>
      <c r="N9" s="46" t="s">
        <v>1854</v>
      </c>
      <c r="O9" s="46" t="s">
        <v>1855</v>
      </c>
    </row>
    <row r="10" spans="1:16">
      <c r="A10" t="s">
        <v>894</v>
      </c>
      <c r="B10" t="s">
        <v>972</v>
      </c>
      <c r="E10" s="99"/>
      <c r="F10" s="14"/>
      <c r="G10" s="59"/>
      <c r="H10" s="59"/>
      <c r="I10" s="59"/>
      <c r="J10" s="42"/>
      <c r="K10" s="42"/>
      <c r="L10" s="42"/>
      <c r="M10" s="47"/>
      <c r="N10" s="47"/>
      <c r="O10" s="46"/>
    </row>
    <row r="11" spans="1:16">
      <c r="A11" t="s">
        <v>895</v>
      </c>
      <c r="B11" t="s">
        <v>1856</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0</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7.285156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1864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tbl-adult-poormh-14ormore-percent</v>
      </c>
    </row>
    <row r="4" spans="1:16">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2016</v>
      </c>
      <c r="G6" s="75">
        <v>13.7</v>
      </c>
      <c r="H6" s="75">
        <v>11.8</v>
      </c>
      <c r="I6" s="75">
        <v>8.5</v>
      </c>
      <c r="J6" s="75">
        <v>8</v>
      </c>
      <c r="K6" s="75">
        <v>14.9</v>
      </c>
      <c r="L6" s="75">
        <v>12.3</v>
      </c>
      <c r="M6" s="71">
        <v>9.1</v>
      </c>
      <c r="N6" s="71">
        <v>10.6</v>
      </c>
      <c r="O6">
        <v>11.2</v>
      </c>
      <c r="P6">
        <v>10.7</v>
      </c>
    </row>
    <row r="7" spans="1:16" ht="15.75" customHeight="1">
      <c r="E7" s="99"/>
      <c r="F7" s="63">
        <v>2018</v>
      </c>
      <c r="G7" s="59">
        <v>11.7</v>
      </c>
      <c r="H7" s="59">
        <v>8.6</v>
      </c>
      <c r="I7" s="59">
        <v>10</v>
      </c>
      <c r="J7" s="59">
        <v>9.1999999999999993</v>
      </c>
      <c r="K7" s="59">
        <v>11.2</v>
      </c>
      <c r="L7" s="59">
        <v>11.6</v>
      </c>
      <c r="M7" s="14">
        <v>8.9</v>
      </c>
      <c r="N7" s="14">
        <v>9.1</v>
      </c>
      <c r="O7">
        <v>11.8</v>
      </c>
      <c r="P7">
        <v>11.2</v>
      </c>
    </row>
    <row r="8" spans="1:16">
      <c r="E8" s="99"/>
      <c r="F8" s="63">
        <v>2021</v>
      </c>
      <c r="G8" s="59">
        <v>10.7</v>
      </c>
      <c r="H8" s="59">
        <v>10.4</v>
      </c>
      <c r="I8" s="59">
        <v>17.399999999999999</v>
      </c>
      <c r="J8" s="59">
        <v>9.4</v>
      </c>
      <c r="K8" s="59">
        <v>16.3</v>
      </c>
      <c r="L8" s="59">
        <v>15.7</v>
      </c>
      <c r="M8" s="14">
        <v>10.4</v>
      </c>
      <c r="N8" s="14">
        <v>10.4</v>
      </c>
      <c r="O8">
        <v>13.2</v>
      </c>
      <c r="P8">
        <v>13.4</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7.285156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613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tbl-adult-depressive-do-percent</v>
      </c>
    </row>
    <row r="4" spans="1:16">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c r="E7" s="99"/>
      <c r="F7" s="63">
        <v>2018</v>
      </c>
      <c r="G7" s="59">
        <v>16.8</v>
      </c>
      <c r="H7" s="59">
        <v>11.6</v>
      </c>
      <c r="I7" s="59">
        <v>10.4</v>
      </c>
      <c r="J7" s="59">
        <v>12.5</v>
      </c>
      <c r="K7" s="59">
        <v>23.5</v>
      </c>
      <c r="L7" s="59">
        <v>21.4</v>
      </c>
      <c r="M7" s="14">
        <v>13.2</v>
      </c>
      <c r="N7" s="14">
        <v>13.6</v>
      </c>
      <c r="O7">
        <v>16.600000000000001</v>
      </c>
      <c r="P7">
        <v>15.3</v>
      </c>
    </row>
    <row r="8" spans="1:16">
      <c r="E8" s="99"/>
      <c r="F8" s="63">
        <v>2021</v>
      </c>
      <c r="G8" s="59">
        <v>19.5</v>
      </c>
      <c r="H8" s="59">
        <v>16.3</v>
      </c>
      <c r="I8" s="59">
        <v>16.600000000000001</v>
      </c>
      <c r="J8" s="59">
        <v>13.7</v>
      </c>
      <c r="K8" s="59">
        <v>19.7</v>
      </c>
      <c r="L8" s="59">
        <v>24.1</v>
      </c>
      <c r="M8" s="14">
        <v>12.4</v>
      </c>
      <c r="N8" s="14">
        <v>14.2</v>
      </c>
      <c r="O8">
        <v>18.7</v>
      </c>
      <c r="P8">
        <v>17.399999999999999</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3.140625" bestFit="1" customWidth="1"/>
    <col min="7" max="7" width="28.7109375" bestFit="1" customWidth="1"/>
    <col min="8" max="8" width="13.42578125" customWidth="1"/>
    <col min="9" max="9" width="35" bestFit="1" customWidth="1"/>
    <col min="10" max="10" width="28.7109375" bestFit="1" customWidth="1"/>
    <col min="11" max="11" width="16" bestFit="1" customWidth="1"/>
    <col min="12" max="12" width="12.28515625" bestFit="1" customWidth="1"/>
    <col min="13" max="13" width="10.42578125" bestFit="1" customWidth="1"/>
    <col min="14" max="14" width="12.28515625" bestFit="1" customWidth="1"/>
    <col min="15" max="15" width="11" bestFit="1" customWidth="1"/>
  </cols>
  <sheetData>
    <row r="1" spans="1:16">
      <c r="A1" s="58" t="s">
        <v>882</v>
      </c>
      <c r="B1" s="114" t="s">
        <v>617</v>
      </c>
      <c r="C1" s="97"/>
      <c r="D1" s="97"/>
      <c r="E1" s="97"/>
      <c r="F1" s="97"/>
      <c r="G1" s="97"/>
      <c r="H1" s="97"/>
      <c r="I1" s="97"/>
      <c r="J1" s="97"/>
      <c r="K1" s="97"/>
      <c r="L1" s="97"/>
      <c r="M1" s="97"/>
      <c r="N1" s="97"/>
      <c r="O1" s="97"/>
    </row>
    <row r="2" spans="1:16">
      <c r="A2" s="58" t="s">
        <v>883</v>
      </c>
      <c r="B2" t="s">
        <v>12</v>
      </c>
    </row>
    <row r="3" spans="1:16">
      <c r="A3" s="58" t="s">
        <v>884</v>
      </c>
      <c r="B3" t="str">
        <f>IF($B$1="","",_xlfn.XLOOKUP($B$1,Master!$F$2:$F$308,Master!$G$2:$G$308,""))</f>
        <v>tbl-smoke-risk</v>
      </c>
    </row>
    <row r="4" spans="1:16">
      <c r="A4" s="58" t="s">
        <v>6</v>
      </c>
      <c r="B4" t="str">
        <f>IF($B$1="","",_xlfn.XLOOKUP($B$1,Master!$F$2:$F$308,Master!$H$2:$H$308,""))</f>
        <v>fig-smoke-risk</v>
      </c>
      <c r="E4" s="13"/>
      <c r="F4" s="16"/>
      <c r="G4" s="16"/>
      <c r="H4" s="16"/>
      <c r="I4" s="16"/>
      <c r="J4" s="16"/>
      <c r="K4" s="16"/>
      <c r="L4" s="16"/>
      <c r="M4" s="16"/>
      <c r="N4" s="16"/>
      <c r="O4" s="16"/>
      <c r="P4" s="16"/>
    </row>
    <row r="5" spans="1:16">
      <c r="A5" s="98" t="s">
        <v>885</v>
      </c>
      <c r="B5" s="99"/>
      <c r="E5" s="100" t="s">
        <v>886</v>
      </c>
      <c r="F5" s="46" t="s">
        <v>1865</v>
      </c>
      <c r="G5" s="68" t="s">
        <v>1866</v>
      </c>
      <c r="H5" s="68"/>
      <c r="I5" s="68"/>
      <c r="J5" s="68"/>
      <c r="K5" s="68"/>
      <c r="L5" s="68"/>
      <c r="M5" s="46"/>
      <c r="N5" s="46"/>
      <c r="O5" s="46"/>
    </row>
    <row r="6" spans="1:16" ht="15" customHeight="1">
      <c r="A6" t="s">
        <v>891</v>
      </c>
      <c r="B6" t="b">
        <v>0</v>
      </c>
      <c r="E6" s="99"/>
      <c r="F6" s="85" t="s">
        <v>1867</v>
      </c>
      <c r="G6" s="75" t="s">
        <v>1868</v>
      </c>
      <c r="H6" s="75"/>
      <c r="I6" s="75"/>
      <c r="J6" s="75"/>
      <c r="K6" s="75"/>
      <c r="L6" s="75"/>
      <c r="M6" s="71"/>
      <c r="N6" s="71"/>
    </row>
    <row r="7" spans="1:16" ht="15.75" customHeight="1">
      <c r="E7" s="99"/>
      <c r="F7" s="63" t="s">
        <v>1869</v>
      </c>
      <c r="G7" s="59" t="s">
        <v>1868</v>
      </c>
      <c r="H7" s="59"/>
      <c r="I7" s="59"/>
      <c r="J7" s="59"/>
      <c r="K7" s="59"/>
      <c r="L7" s="59"/>
      <c r="M7" s="14"/>
      <c r="N7" s="14"/>
    </row>
    <row r="8" spans="1:16">
      <c r="E8" s="99"/>
      <c r="F8" s="63" t="s">
        <v>1870</v>
      </c>
      <c r="G8" s="59" t="s">
        <v>1871</v>
      </c>
      <c r="H8" s="59"/>
      <c r="I8" s="59"/>
      <c r="J8" s="59"/>
      <c r="K8" s="59"/>
      <c r="L8" s="59"/>
      <c r="M8" s="14"/>
      <c r="N8" s="14"/>
    </row>
    <row r="9" spans="1:16">
      <c r="A9" s="98" t="s">
        <v>893</v>
      </c>
      <c r="B9" s="99"/>
      <c r="E9" s="99"/>
      <c r="G9" s="59"/>
      <c r="H9" s="59"/>
      <c r="I9" s="59"/>
      <c r="J9" s="59"/>
      <c r="K9" s="59"/>
      <c r="L9" s="59"/>
      <c r="M9" s="46"/>
      <c r="N9" s="46"/>
      <c r="O9" s="46"/>
    </row>
    <row r="10" spans="1:16">
      <c r="A10" t="s">
        <v>894</v>
      </c>
      <c r="E10" s="99"/>
      <c r="F10" s="14"/>
      <c r="G10" s="59"/>
      <c r="H10" s="59"/>
      <c r="I10" s="59"/>
      <c r="J10" s="42"/>
      <c r="K10" s="42"/>
      <c r="L10" s="42"/>
      <c r="M10" s="47"/>
      <c r="N10" s="47"/>
      <c r="O10" s="46"/>
    </row>
    <row r="11" spans="1:16">
      <c r="A11" t="s">
        <v>895</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E14" s="99"/>
      <c r="F14" s="68"/>
      <c r="G14" s="68"/>
      <c r="H14" s="68"/>
      <c r="I14" s="46"/>
      <c r="J14" s="47"/>
      <c r="K14" s="47"/>
      <c r="L14" s="47"/>
      <c r="M14" s="47"/>
      <c r="N14" s="47"/>
      <c r="O14" s="46"/>
    </row>
    <row r="15" spans="1:16">
      <c r="A15" t="s">
        <v>901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622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tbl-adult-currsmoke-percent</v>
      </c>
    </row>
    <row r="4" spans="1:16">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c r="E7" s="99"/>
      <c r="F7" s="63">
        <v>2018</v>
      </c>
      <c r="G7" s="59">
        <v>12.2</v>
      </c>
      <c r="H7" s="59">
        <v>11.7</v>
      </c>
      <c r="I7" s="59">
        <v>9</v>
      </c>
      <c r="J7" s="59">
        <v>7.6</v>
      </c>
      <c r="K7" s="59">
        <v>21.6</v>
      </c>
      <c r="L7" s="59">
        <v>14.7</v>
      </c>
      <c r="M7" s="14">
        <v>7.4</v>
      </c>
      <c r="N7" s="14">
        <v>10.199999999999999</v>
      </c>
      <c r="O7">
        <v>14.7</v>
      </c>
      <c r="P7">
        <v>13.2</v>
      </c>
    </row>
    <row r="8" spans="1:16">
      <c r="E8" s="99"/>
      <c r="F8" s="63">
        <v>2021</v>
      </c>
      <c r="G8" s="59">
        <v>17.399999999999999</v>
      </c>
      <c r="H8" s="59">
        <v>12</v>
      </c>
      <c r="I8" s="59">
        <v>16.7</v>
      </c>
      <c r="J8" s="59">
        <v>14</v>
      </c>
      <c r="K8" s="59">
        <v>13.3</v>
      </c>
      <c r="L8" s="59">
        <v>12.7</v>
      </c>
      <c r="M8" s="14">
        <v>6.3</v>
      </c>
      <c r="N8" s="14">
        <v>11.1</v>
      </c>
      <c r="O8">
        <v>14.1</v>
      </c>
      <c r="P8">
        <v>12.5</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624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tbl-adult-bingedrink-percent</v>
      </c>
    </row>
    <row r="4" spans="1:16">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c r="E7" s="99"/>
      <c r="F7" s="63">
        <v>2018</v>
      </c>
      <c r="G7" s="59">
        <v>20.7</v>
      </c>
      <c r="H7" s="59">
        <v>16.100000000000001</v>
      </c>
      <c r="I7" s="59">
        <v>14.1</v>
      </c>
      <c r="J7" s="59">
        <v>12.6</v>
      </c>
      <c r="K7" s="59">
        <v>22.1</v>
      </c>
      <c r="L7" s="59">
        <v>18.5</v>
      </c>
      <c r="M7" s="14">
        <v>16.7</v>
      </c>
      <c r="N7" s="14">
        <v>16.100000000000001</v>
      </c>
      <c r="O7">
        <v>18.399999999999999</v>
      </c>
      <c r="P7">
        <v>17.5</v>
      </c>
    </row>
    <row r="8" spans="1:16">
      <c r="E8" s="99"/>
      <c r="F8" s="63">
        <v>2021</v>
      </c>
      <c r="G8" s="59">
        <v>15.1</v>
      </c>
      <c r="H8" s="59">
        <v>13.8</v>
      </c>
      <c r="I8" s="59">
        <v>18.7</v>
      </c>
      <c r="J8" s="59">
        <v>12.2</v>
      </c>
      <c r="K8" s="59">
        <v>17.8</v>
      </c>
      <c r="L8" s="59">
        <v>13.9</v>
      </c>
      <c r="M8" s="14">
        <v>13</v>
      </c>
      <c r="N8" s="14">
        <v>13.1</v>
      </c>
      <c r="O8">
        <v>16.100000000000001</v>
      </c>
      <c r="P8" s="14">
        <v>16</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628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tbl-ed-visit-opioid-aar</v>
      </c>
    </row>
    <row r="4" spans="1:16">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c r="E7" s="99"/>
      <c r="F7" s="63">
        <v>2020</v>
      </c>
      <c r="G7" s="59">
        <v>88.9</v>
      </c>
      <c r="H7" s="59">
        <v>82.7</v>
      </c>
      <c r="I7" s="59">
        <v>55.7</v>
      </c>
      <c r="J7" s="59">
        <v>38.700000000000003</v>
      </c>
      <c r="K7" s="59">
        <v>154.30000000000001</v>
      </c>
      <c r="L7" s="59">
        <v>127.2</v>
      </c>
      <c r="M7" s="14">
        <v>34.1</v>
      </c>
      <c r="N7" s="14">
        <v>61.8</v>
      </c>
      <c r="O7">
        <v>74.3</v>
      </c>
      <c r="P7">
        <v>61</v>
      </c>
    </row>
    <row r="8" spans="1:16">
      <c r="E8" s="99"/>
      <c r="F8" s="63">
        <v>2021</v>
      </c>
      <c r="G8" s="59">
        <v>83.9</v>
      </c>
      <c r="H8" s="59">
        <v>64</v>
      </c>
      <c r="I8" s="59">
        <v>60.9</v>
      </c>
      <c r="J8" s="59">
        <v>36.1</v>
      </c>
      <c r="K8" s="59">
        <v>136.9</v>
      </c>
      <c r="L8" s="59">
        <v>113.9</v>
      </c>
      <c r="M8" s="14">
        <v>39.4</v>
      </c>
      <c r="N8" s="14">
        <v>58.8</v>
      </c>
      <c r="O8">
        <v>73.099999999999994</v>
      </c>
      <c r="P8" s="14">
        <v>67.2</v>
      </c>
    </row>
    <row r="9" spans="1:16">
      <c r="A9" s="98" t="s">
        <v>893</v>
      </c>
      <c r="B9" s="99"/>
      <c r="E9" s="99"/>
      <c r="F9">
        <v>2022</v>
      </c>
      <c r="G9" s="59">
        <v>77.900000000000006</v>
      </c>
      <c r="H9" s="59">
        <v>64.5</v>
      </c>
      <c r="I9" s="59">
        <v>40.1</v>
      </c>
      <c r="J9" s="59">
        <v>28.4</v>
      </c>
      <c r="K9" s="59">
        <v>123.9</v>
      </c>
      <c r="L9" s="59">
        <v>80.400000000000006</v>
      </c>
      <c r="M9" s="46" t="s">
        <v>1872</v>
      </c>
      <c r="N9" s="46" t="s">
        <v>1873</v>
      </c>
      <c r="O9" s="46" t="s">
        <v>1874</v>
      </c>
      <c r="P9">
        <v>67.099999999999994</v>
      </c>
    </row>
    <row r="10" spans="1:16">
      <c r="A10" t="s">
        <v>894</v>
      </c>
      <c r="B10" t="s">
        <v>972</v>
      </c>
      <c r="E10" s="99"/>
      <c r="F10" s="14"/>
      <c r="G10" s="59"/>
      <c r="H10" s="59"/>
      <c r="I10" s="59"/>
      <c r="J10" s="42"/>
      <c r="K10" s="42"/>
      <c r="L10" s="42"/>
      <c r="M10" s="47"/>
      <c r="N10" s="47"/>
      <c r="O10" s="46"/>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629</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tbl-hospital-dc-opioid-aar</v>
      </c>
    </row>
    <row r="4" spans="1:16">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c r="E7" s="99"/>
      <c r="F7" s="91">
        <v>2020</v>
      </c>
      <c r="G7" s="42">
        <v>17.3</v>
      </c>
      <c r="H7" s="42">
        <v>15</v>
      </c>
      <c r="I7" s="42">
        <v>13.7</v>
      </c>
      <c r="J7" s="42">
        <v>10</v>
      </c>
      <c r="K7" s="42">
        <v>28.1</v>
      </c>
      <c r="L7" s="42">
        <v>16</v>
      </c>
      <c r="M7" s="42">
        <v>10.1</v>
      </c>
      <c r="N7" s="42">
        <v>13</v>
      </c>
      <c r="O7" s="60">
        <v>14.3</v>
      </c>
      <c r="P7" s="60">
        <v>14.9</v>
      </c>
    </row>
    <row r="8" spans="1:16">
      <c r="E8" s="99"/>
      <c r="F8" s="91">
        <v>2021</v>
      </c>
      <c r="G8" s="42">
        <v>17</v>
      </c>
      <c r="H8" s="42">
        <v>11.5</v>
      </c>
      <c r="I8" s="42" t="s">
        <v>1875</v>
      </c>
      <c r="J8" s="42">
        <v>8.5</v>
      </c>
      <c r="K8" s="42">
        <v>22</v>
      </c>
      <c r="L8" s="42">
        <v>19.2</v>
      </c>
      <c r="M8" s="42">
        <v>11.9</v>
      </c>
      <c r="N8" s="42">
        <v>12.9</v>
      </c>
      <c r="O8" s="60">
        <v>13.7</v>
      </c>
      <c r="P8" s="42">
        <v>15.2</v>
      </c>
    </row>
    <row r="9" spans="1:16">
      <c r="A9" s="98" t="s">
        <v>893</v>
      </c>
      <c r="B9" s="99"/>
      <c r="E9" s="99"/>
      <c r="F9" s="60">
        <v>2022</v>
      </c>
      <c r="G9" s="42">
        <v>13.9</v>
      </c>
      <c r="H9" s="42">
        <v>13</v>
      </c>
      <c r="I9" s="42">
        <v>9.9</v>
      </c>
      <c r="J9" s="42">
        <v>9.6</v>
      </c>
      <c r="K9" s="42">
        <v>16.600000000000001</v>
      </c>
      <c r="L9" s="42">
        <v>14.7</v>
      </c>
      <c r="M9" s="47" t="s">
        <v>1481</v>
      </c>
      <c r="N9" s="47" t="s">
        <v>1876</v>
      </c>
      <c r="O9" s="47" t="s">
        <v>1877</v>
      </c>
      <c r="P9" s="60">
        <v>15.8</v>
      </c>
    </row>
    <row r="10" spans="1:16">
      <c r="A10" t="s">
        <v>894</v>
      </c>
      <c r="B10" t="s">
        <v>972</v>
      </c>
      <c r="E10" s="99"/>
      <c r="F10" s="14"/>
      <c r="G10" s="59"/>
      <c r="H10" s="59"/>
      <c r="I10" s="59"/>
      <c r="J10" s="42"/>
      <c r="K10" s="42"/>
      <c r="L10" s="42"/>
      <c r="M10" s="47"/>
      <c r="N10" s="47"/>
      <c r="O10" s="46"/>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630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tbl-treat-prog-opioid-crude</v>
      </c>
    </row>
    <row r="4" spans="1:16">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c r="A6" t="s">
        <v>891</v>
      </c>
      <c r="B6" t="b">
        <v>0</v>
      </c>
      <c r="E6" s="99"/>
      <c r="F6" s="85">
        <v>2020</v>
      </c>
      <c r="G6" s="75">
        <v>459.9</v>
      </c>
      <c r="H6" s="75">
        <v>405.4</v>
      </c>
      <c r="I6" s="75">
        <v>248.8</v>
      </c>
      <c r="J6" s="75">
        <v>188.9</v>
      </c>
      <c r="K6" s="75">
        <v>693.2</v>
      </c>
      <c r="L6" s="75">
        <v>487.8</v>
      </c>
      <c r="M6" s="71">
        <v>255.1</v>
      </c>
      <c r="N6" s="71"/>
    </row>
    <row r="7" spans="1:16" ht="15.75" customHeight="1">
      <c r="E7" s="99"/>
      <c r="F7" s="63">
        <v>2021</v>
      </c>
      <c r="G7" s="59">
        <v>475</v>
      </c>
      <c r="H7" s="59">
        <v>393.7</v>
      </c>
      <c r="I7" s="59">
        <v>252.1</v>
      </c>
      <c r="J7" s="59">
        <v>197.9</v>
      </c>
      <c r="K7" s="59">
        <v>710.7</v>
      </c>
      <c r="L7" s="59">
        <v>531.20000000000005</v>
      </c>
      <c r="M7" s="14">
        <v>251.9</v>
      </c>
      <c r="N7" s="14"/>
    </row>
    <row r="8" spans="1:16">
      <c r="E8" s="99"/>
      <c r="F8" s="63">
        <v>2022</v>
      </c>
      <c r="G8" s="59">
        <v>460.8</v>
      </c>
      <c r="H8" s="59">
        <v>366.9</v>
      </c>
      <c r="I8" s="59">
        <v>250.1</v>
      </c>
      <c r="J8" s="59">
        <v>188.2</v>
      </c>
      <c r="K8" s="59">
        <v>777.4</v>
      </c>
      <c r="L8" s="59">
        <v>516</v>
      </c>
      <c r="M8" s="14">
        <v>244.4</v>
      </c>
      <c r="N8" s="14"/>
      <c r="P8" s="14"/>
    </row>
    <row r="9" spans="1:16">
      <c r="A9" s="98" t="s">
        <v>893</v>
      </c>
      <c r="B9" s="99"/>
      <c r="E9" s="99"/>
      <c r="F9">
        <v>2023</v>
      </c>
      <c r="G9" s="59">
        <v>447.6</v>
      </c>
      <c r="H9" s="59">
        <v>333.5</v>
      </c>
      <c r="I9" s="59">
        <v>224.5</v>
      </c>
      <c r="J9" s="59">
        <v>190.9</v>
      </c>
      <c r="K9" s="59">
        <v>778.3</v>
      </c>
      <c r="L9" s="59">
        <v>496.4</v>
      </c>
      <c r="M9" s="46" t="s">
        <v>1878</v>
      </c>
      <c r="N9" s="46"/>
      <c r="O9" s="46"/>
    </row>
    <row r="10" spans="1:16">
      <c r="A10" t="s">
        <v>894</v>
      </c>
      <c r="B10" t="s">
        <v>972</v>
      </c>
      <c r="E10" s="99"/>
      <c r="F10" s="14"/>
      <c r="G10" s="59"/>
      <c r="H10" s="59"/>
      <c r="I10" s="59"/>
      <c r="J10" s="42"/>
      <c r="K10" s="42"/>
      <c r="L10" s="42"/>
      <c r="M10" s="47"/>
      <c r="N10" s="47"/>
      <c r="O10" s="46"/>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625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tbl-oddeath-anydrug-crude-rate</v>
      </c>
    </row>
    <row r="4" spans="1:16">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c r="E7" s="99"/>
      <c r="F7" s="63">
        <v>2020</v>
      </c>
      <c r="G7" s="59">
        <v>35.700000000000003</v>
      </c>
      <c r="H7" s="59">
        <v>26.9</v>
      </c>
      <c r="I7" s="59">
        <v>18.2</v>
      </c>
      <c r="J7" s="59">
        <v>12.9</v>
      </c>
      <c r="K7" s="59">
        <v>63.7</v>
      </c>
      <c r="L7" s="59">
        <v>31.4</v>
      </c>
      <c r="M7" s="14">
        <v>13.8</v>
      </c>
      <c r="N7" s="14">
        <v>21.8</v>
      </c>
      <c r="O7">
        <v>22.7</v>
      </c>
      <c r="P7">
        <v>21.5</v>
      </c>
    </row>
    <row r="8" spans="1:16">
      <c r="E8" s="99"/>
      <c r="F8" s="63">
        <v>2021</v>
      </c>
      <c r="G8" s="59">
        <v>29.1</v>
      </c>
      <c r="H8" s="59">
        <v>33.799999999999997</v>
      </c>
      <c r="I8" s="59">
        <v>20.399999999999999</v>
      </c>
      <c r="J8" s="59">
        <v>19.100000000000001</v>
      </c>
      <c r="K8" s="59">
        <v>46.4</v>
      </c>
      <c r="L8" s="59">
        <v>25.6</v>
      </c>
      <c r="M8" s="14">
        <v>15</v>
      </c>
      <c r="N8" s="14">
        <v>22.6</v>
      </c>
      <c r="O8">
        <v>25.2</v>
      </c>
      <c r="P8" s="14">
        <v>25.1</v>
      </c>
    </row>
    <row r="9" spans="1:16">
      <c r="A9" s="98" t="s">
        <v>893</v>
      </c>
      <c r="B9" s="99"/>
      <c r="E9" s="99"/>
      <c r="F9">
        <v>2022</v>
      </c>
      <c r="G9" s="59">
        <v>39.299999999999997</v>
      </c>
      <c r="H9" s="59">
        <v>30.5</v>
      </c>
      <c r="I9" s="59">
        <v>22.4</v>
      </c>
      <c r="J9" s="59">
        <v>12.9</v>
      </c>
      <c r="K9" s="59">
        <v>61.5</v>
      </c>
      <c r="L9" s="59">
        <v>35.700000000000003</v>
      </c>
      <c r="M9" s="46" t="s">
        <v>1879</v>
      </c>
      <c r="N9" s="46" t="s">
        <v>1880</v>
      </c>
      <c r="O9" s="46" t="s">
        <v>1881</v>
      </c>
      <c r="P9">
        <v>27.4</v>
      </c>
    </row>
    <row r="10" spans="1:16">
      <c r="A10" t="s">
        <v>894</v>
      </c>
      <c r="B10" t="s">
        <v>972</v>
      </c>
      <c r="E10" s="99"/>
      <c r="F10" s="14"/>
      <c r="G10" s="59"/>
      <c r="H10" s="59"/>
      <c r="I10" s="59"/>
      <c r="J10" s="42"/>
      <c r="K10" s="42"/>
      <c r="L10" s="42"/>
      <c r="M10" s="47"/>
      <c r="N10" s="47"/>
      <c r="O10" s="46"/>
    </row>
    <row r="11" spans="1:16">
      <c r="A11" t="s">
        <v>895</v>
      </c>
      <c r="B11" t="s">
        <v>1882</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8.4257812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636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tbl-OD-multiple-opioid-aar</v>
      </c>
    </row>
    <row r="4" spans="1:16">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t="s">
        <v>1884</v>
      </c>
      <c r="G6" s="75">
        <v>39.6</v>
      </c>
      <c r="H6" s="75">
        <v>31.1</v>
      </c>
      <c r="I6" s="75">
        <v>19.8</v>
      </c>
      <c r="J6" s="75">
        <v>14.2</v>
      </c>
      <c r="K6" s="75">
        <v>62.5</v>
      </c>
      <c r="L6" s="75">
        <v>34.700000000000003</v>
      </c>
      <c r="M6" s="71">
        <v>15.5</v>
      </c>
      <c r="N6" s="71">
        <v>24.1</v>
      </c>
      <c r="O6">
        <v>27.3</v>
      </c>
      <c r="P6">
        <v>26.3</v>
      </c>
    </row>
    <row r="7" spans="1:16" ht="15.75" customHeight="1">
      <c r="E7" s="99"/>
      <c r="F7" s="63" t="s">
        <v>1885</v>
      </c>
      <c r="G7" s="59">
        <v>3.5</v>
      </c>
      <c r="H7" s="59">
        <v>5.9</v>
      </c>
      <c r="I7" s="59">
        <v>2.2000000000000002</v>
      </c>
      <c r="J7" s="59">
        <v>2.2000000000000002</v>
      </c>
      <c r="K7" s="59">
        <v>10.1</v>
      </c>
      <c r="L7" s="59">
        <v>2.8</v>
      </c>
      <c r="M7" s="14">
        <v>2</v>
      </c>
      <c r="N7" s="14">
        <v>3.1</v>
      </c>
      <c r="O7">
        <v>2</v>
      </c>
      <c r="P7">
        <v>4.2</v>
      </c>
    </row>
    <row r="8" spans="1:16">
      <c r="E8" s="99"/>
      <c r="F8" s="63" t="s">
        <v>1886</v>
      </c>
      <c r="G8" s="59">
        <v>37.200000000000003</v>
      </c>
      <c r="H8" s="59">
        <v>28</v>
      </c>
      <c r="I8" s="59">
        <v>18</v>
      </c>
      <c r="J8" s="59">
        <v>12.6</v>
      </c>
      <c r="K8" s="59">
        <v>58.1</v>
      </c>
      <c r="L8" s="59">
        <v>32.6</v>
      </c>
      <c r="M8" s="14">
        <v>13.8</v>
      </c>
      <c r="N8" s="14">
        <v>22</v>
      </c>
      <c r="O8">
        <v>25.4</v>
      </c>
      <c r="P8" s="14">
        <v>24.8</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1883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8.4257812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1862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tbl-18to64-anyop-od-crude</v>
      </c>
    </row>
    <row r="4" spans="1:16">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1888</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t="s">
        <v>1889</v>
      </c>
      <c r="G6" s="75">
        <v>63.1</v>
      </c>
      <c r="H6" s="75">
        <v>42</v>
      </c>
      <c r="I6" s="75">
        <v>31.9</v>
      </c>
      <c r="J6" s="75">
        <v>21.2</v>
      </c>
      <c r="K6" s="75">
        <v>99.9</v>
      </c>
      <c r="L6" s="75">
        <v>51.6</v>
      </c>
      <c r="M6" s="71">
        <v>24.4</v>
      </c>
      <c r="N6" s="71">
        <v>36.9</v>
      </c>
      <c r="O6">
        <v>42.4</v>
      </c>
      <c r="P6">
        <v>36.700000000000003</v>
      </c>
    </row>
    <row r="7" spans="1:16" ht="15.75" customHeight="1">
      <c r="E7" s="99"/>
      <c r="F7" s="63" t="s">
        <v>1890</v>
      </c>
      <c r="G7" s="59">
        <v>55.4</v>
      </c>
      <c r="H7" s="59">
        <v>51</v>
      </c>
      <c r="I7" s="59">
        <v>34.4</v>
      </c>
      <c r="J7" s="59">
        <v>24.6</v>
      </c>
      <c r="K7" s="59">
        <v>89.3</v>
      </c>
      <c r="L7" s="59">
        <v>53.6</v>
      </c>
      <c r="M7" s="14">
        <v>22.7</v>
      </c>
      <c r="N7" s="14">
        <v>37</v>
      </c>
      <c r="O7">
        <v>39.200000000000003</v>
      </c>
      <c r="P7">
        <v>46.9</v>
      </c>
    </row>
    <row r="8" spans="1:16">
      <c r="E8" s="99"/>
      <c r="F8" s="63"/>
      <c r="G8" s="59"/>
      <c r="H8" s="59"/>
      <c r="I8" s="59"/>
      <c r="J8" s="59"/>
      <c r="K8" s="59"/>
      <c r="L8" s="59"/>
      <c r="M8" s="14"/>
      <c r="N8" s="14"/>
      <c r="P8" s="14"/>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1887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8.4257812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114" t="s">
        <v>1863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tbl-18to64-heroin-od-crude</v>
      </c>
    </row>
    <row r="4" spans="1:16">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1888</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t="s">
        <v>1889</v>
      </c>
      <c r="G6" s="75" t="s">
        <v>1791</v>
      </c>
      <c r="H6" s="75" t="s">
        <v>1891</v>
      </c>
      <c r="I6" s="75" t="s">
        <v>1892</v>
      </c>
      <c r="J6" s="75" t="s">
        <v>1893</v>
      </c>
      <c r="K6" s="75" t="s">
        <v>1894</v>
      </c>
      <c r="L6" s="75" t="s">
        <v>1254</v>
      </c>
      <c r="M6" s="71">
        <v>3.7</v>
      </c>
      <c r="N6" s="71">
        <v>4.4000000000000004</v>
      </c>
      <c r="O6">
        <v>3.1</v>
      </c>
      <c r="P6">
        <v>4.5</v>
      </c>
    </row>
    <row r="7" spans="1:16" ht="15.75" customHeight="1">
      <c r="E7" s="99"/>
      <c r="F7" s="63" t="s">
        <v>1890</v>
      </c>
      <c r="G7" s="59" t="s">
        <v>1895</v>
      </c>
      <c r="H7" s="59">
        <v>10.8</v>
      </c>
      <c r="I7" s="59" t="s">
        <v>1896</v>
      </c>
      <c r="J7" s="59" t="s">
        <v>1897</v>
      </c>
      <c r="K7" s="59" t="s">
        <v>1898</v>
      </c>
      <c r="L7" s="59" t="s">
        <v>1899</v>
      </c>
      <c r="M7" s="14" t="s">
        <v>1808</v>
      </c>
      <c r="N7" s="14">
        <v>5.8</v>
      </c>
      <c r="O7">
        <v>2.9</v>
      </c>
      <c r="P7">
        <v>9.1</v>
      </c>
    </row>
    <row r="8" spans="1:16">
      <c r="E8" s="99"/>
      <c r="F8" s="63"/>
      <c r="G8" s="59"/>
      <c r="H8" s="59"/>
      <c r="I8" s="59"/>
      <c r="J8" s="59"/>
      <c r="K8" s="59"/>
      <c r="L8" s="59"/>
      <c r="M8" s="14"/>
      <c r="N8" s="14"/>
      <c r="P8" s="14"/>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1888</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38.4257812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96" t="s">
        <v>1900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tbl-18to64-opioid-pain-crude</v>
      </c>
    </row>
    <row r="4" spans="1:16">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1888</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t="s">
        <v>1889</v>
      </c>
      <c r="G6" s="75">
        <v>63.1</v>
      </c>
      <c r="H6" s="75">
        <v>42</v>
      </c>
      <c r="I6" s="75" t="s">
        <v>1901</v>
      </c>
      <c r="J6" s="75">
        <v>21.2</v>
      </c>
      <c r="K6" s="75">
        <v>99.9</v>
      </c>
      <c r="L6" s="75">
        <v>51.6</v>
      </c>
      <c r="M6" s="71">
        <v>24.4</v>
      </c>
      <c r="N6" s="71">
        <v>36.799999999999997</v>
      </c>
      <c r="O6">
        <v>41.9</v>
      </c>
      <c r="P6">
        <v>36.1</v>
      </c>
    </row>
    <row r="7" spans="1:16" ht="15.75" customHeight="1">
      <c r="E7" s="99"/>
      <c r="F7" s="63" t="s">
        <v>1890</v>
      </c>
      <c r="G7" s="59">
        <v>55.4</v>
      </c>
      <c r="H7" s="59">
        <v>50</v>
      </c>
      <c r="I7" s="59">
        <v>34.4</v>
      </c>
      <c r="J7" s="59">
        <v>24.6</v>
      </c>
      <c r="K7" s="59">
        <v>89.3</v>
      </c>
      <c r="L7" s="59">
        <v>51.6</v>
      </c>
      <c r="M7" s="14">
        <v>22.4</v>
      </c>
      <c r="N7" s="14">
        <v>36.5</v>
      </c>
      <c r="O7">
        <v>38.799999999999997</v>
      </c>
      <c r="P7">
        <v>46.3</v>
      </c>
    </row>
    <row r="8" spans="1:16">
      <c r="E8" s="99"/>
      <c r="F8" s="63"/>
      <c r="G8" s="59"/>
      <c r="H8" s="59"/>
      <c r="I8" s="59"/>
      <c r="J8" s="59"/>
      <c r="K8" s="59"/>
      <c r="L8" s="59"/>
      <c r="M8" s="14"/>
      <c r="N8" s="14"/>
      <c r="P8" s="14"/>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1888</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96" t="s">
        <v>637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tbl-opioid-analgesic-rx-aar</v>
      </c>
    </row>
    <row r="4" spans="1:16">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c r="E7" s="99"/>
      <c r="F7" s="63">
        <v>2021</v>
      </c>
      <c r="G7" s="59">
        <v>319</v>
      </c>
      <c r="H7" s="59">
        <v>292.5</v>
      </c>
      <c r="I7" s="59">
        <v>288.3</v>
      </c>
      <c r="J7" s="59">
        <v>211.3</v>
      </c>
      <c r="K7" s="59">
        <v>432.6</v>
      </c>
      <c r="L7" s="59">
        <v>398.9</v>
      </c>
      <c r="M7" s="14">
        <v>187.9</v>
      </c>
      <c r="N7" s="14">
        <v>253.7</v>
      </c>
      <c r="O7">
        <v>321.2</v>
      </c>
      <c r="P7">
        <v>254.1</v>
      </c>
    </row>
    <row r="8" spans="1:16">
      <c r="E8" s="99"/>
      <c r="F8" s="63">
        <v>2022</v>
      </c>
      <c r="G8" s="59">
        <v>296.2</v>
      </c>
      <c r="H8" s="59">
        <v>269.60000000000002</v>
      </c>
      <c r="I8" s="59">
        <v>261.7</v>
      </c>
      <c r="J8" s="59">
        <v>193.7</v>
      </c>
      <c r="K8" s="59">
        <v>398.5</v>
      </c>
      <c r="L8" s="59">
        <v>364.7</v>
      </c>
      <c r="M8" s="14">
        <v>173.3</v>
      </c>
      <c r="N8" s="14">
        <v>233.8</v>
      </c>
      <c r="O8">
        <v>300.2</v>
      </c>
      <c r="P8" s="14">
        <v>238.1</v>
      </c>
    </row>
    <row r="9" spans="1:16">
      <c r="A9" s="98" t="s">
        <v>893</v>
      </c>
      <c r="B9" s="99"/>
      <c r="E9" s="99"/>
      <c r="F9">
        <v>2023</v>
      </c>
      <c r="G9" s="59">
        <v>270.7</v>
      </c>
      <c r="H9" s="59">
        <v>250.5</v>
      </c>
      <c r="I9" s="59">
        <v>239.3</v>
      </c>
      <c r="J9" s="59">
        <v>179.4</v>
      </c>
      <c r="K9" s="59">
        <v>352.7</v>
      </c>
      <c r="L9" s="59">
        <v>333.4</v>
      </c>
      <c r="M9" s="46" t="s">
        <v>1903</v>
      </c>
      <c r="N9" s="46" t="s">
        <v>1904</v>
      </c>
      <c r="O9" s="46" t="s">
        <v>1905</v>
      </c>
      <c r="P9">
        <v>225.6</v>
      </c>
    </row>
    <row r="10" spans="1:16">
      <c r="A10" t="s">
        <v>894</v>
      </c>
      <c r="B10" t="s">
        <v>972</v>
      </c>
      <c r="E10" s="99"/>
      <c r="F10" s="14"/>
      <c r="G10" s="59"/>
      <c r="H10" s="59"/>
      <c r="I10" s="59"/>
      <c r="J10" s="42"/>
      <c r="K10" s="42"/>
      <c r="L10" s="42"/>
      <c r="M10" s="47"/>
      <c r="N10" s="47"/>
      <c r="O10" s="46"/>
    </row>
    <row r="11" spans="1:16">
      <c r="A11" t="s">
        <v>895</v>
      </c>
      <c r="B11" t="s">
        <v>1902</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701</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8"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5" width="12.42578125" bestFit="1" customWidth="1"/>
  </cols>
  <sheetData>
    <row r="1" spans="1:16">
      <c r="A1" s="58" t="s">
        <v>882</v>
      </c>
      <c r="B1" s="96" t="s">
        <v>639</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tbl-at-least-1-bup-aar</v>
      </c>
    </row>
    <row r="4" spans="1:16">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c r="E7" s="99"/>
      <c r="F7" s="63">
        <v>2021</v>
      </c>
      <c r="G7" s="59">
        <v>544.4</v>
      </c>
      <c r="H7" s="59">
        <v>527.6</v>
      </c>
      <c r="I7" s="59">
        <v>501.8</v>
      </c>
      <c r="J7" s="59">
        <v>237.5</v>
      </c>
      <c r="K7" s="59">
        <v>1261.5</v>
      </c>
      <c r="L7" s="59">
        <v>913.7</v>
      </c>
      <c r="M7" s="14">
        <v>183.3</v>
      </c>
      <c r="N7" s="14">
        <v>398.5</v>
      </c>
      <c r="O7">
        <v>637.70000000000005</v>
      </c>
      <c r="P7">
        <v>419.8</v>
      </c>
    </row>
    <row r="8" spans="1:16">
      <c r="E8" s="99"/>
      <c r="F8" s="63">
        <v>2022</v>
      </c>
      <c r="G8" s="59">
        <v>551.20000000000005</v>
      </c>
      <c r="H8" s="59">
        <v>514.20000000000005</v>
      </c>
      <c r="I8" s="59">
        <v>453.4</v>
      </c>
      <c r="J8" s="59">
        <v>234.2</v>
      </c>
      <c r="K8" s="59">
        <v>1303.8</v>
      </c>
      <c r="L8" s="59">
        <v>976.4</v>
      </c>
      <c r="M8" s="14">
        <v>187.8</v>
      </c>
      <c r="N8" s="14">
        <v>403.9</v>
      </c>
      <c r="O8">
        <v>657.2</v>
      </c>
      <c r="P8" s="14">
        <v>433.9</v>
      </c>
    </row>
    <row r="9" spans="1:16">
      <c r="A9" s="98" t="s">
        <v>893</v>
      </c>
      <c r="B9" s="99"/>
      <c r="E9" s="99"/>
      <c r="F9">
        <v>2023</v>
      </c>
      <c r="G9" s="59">
        <v>609.70000000000005</v>
      </c>
      <c r="H9" s="59">
        <v>520.4</v>
      </c>
      <c r="I9" s="59">
        <v>482.1</v>
      </c>
      <c r="J9" s="59">
        <v>217.9</v>
      </c>
      <c r="K9" s="59">
        <v>1529.8</v>
      </c>
      <c r="L9" s="59">
        <v>1048.4000000000001</v>
      </c>
      <c r="M9" s="46" t="s">
        <v>1906</v>
      </c>
      <c r="N9" s="46" t="s">
        <v>1907</v>
      </c>
      <c r="O9" s="46" t="s">
        <v>1908</v>
      </c>
      <c r="P9">
        <v>464</v>
      </c>
    </row>
    <row r="10" spans="1:16">
      <c r="A10" t="s">
        <v>894</v>
      </c>
      <c r="B10" t="s">
        <v>972</v>
      </c>
      <c r="E10" s="99"/>
      <c r="F10" s="14"/>
      <c r="G10" s="59"/>
      <c r="H10" s="59"/>
      <c r="I10" s="59"/>
      <c r="J10" s="42"/>
      <c r="K10" s="42"/>
      <c r="L10" s="42"/>
      <c r="M10" s="47"/>
      <c r="N10" s="47"/>
      <c r="O10" s="46"/>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18.710937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6" width="12.42578125" bestFit="1" customWidth="1"/>
  </cols>
  <sheetData>
    <row r="1" spans="1:16">
      <c r="A1" s="58" t="s">
        <v>882</v>
      </c>
      <c r="B1" s="96" t="s">
        <v>1909</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tbl-15to19-suicide-mortal-crude</v>
      </c>
    </row>
    <row r="4" spans="1:16">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s="120" t="s">
        <v>1798</v>
      </c>
      <c r="H5" s="120"/>
      <c r="I5" s="120"/>
      <c r="J5" s="120"/>
      <c r="K5" s="120"/>
      <c r="L5" s="120"/>
      <c r="M5" s="120"/>
      <c r="N5" s="120" t="s">
        <v>1799</v>
      </c>
      <c r="O5" s="120"/>
      <c r="P5" s="120"/>
    </row>
    <row r="6" spans="1:16" ht="15" customHeight="1">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c r="E7" s="99"/>
      <c r="F7" s="63" t="s">
        <v>888</v>
      </c>
      <c r="G7" s="42">
        <v>13.8</v>
      </c>
      <c r="H7" s="42">
        <v>9</v>
      </c>
      <c r="I7" s="42">
        <v>9.1</v>
      </c>
      <c r="J7" s="42">
        <v>4.5</v>
      </c>
      <c r="K7" s="42">
        <v>14.9</v>
      </c>
      <c r="L7" s="42">
        <v>14.5</v>
      </c>
      <c r="M7" s="42">
        <v>7.6</v>
      </c>
      <c r="N7" s="42">
        <v>8.6</v>
      </c>
      <c r="O7" s="60">
        <v>9.9</v>
      </c>
      <c r="P7" s="60">
        <v>8.3000000000000007</v>
      </c>
    </row>
    <row r="8" spans="1:16">
      <c r="E8" s="99"/>
      <c r="F8" s="63" t="s">
        <v>1910</v>
      </c>
      <c r="G8" s="42" t="s">
        <v>1891</v>
      </c>
      <c r="H8" s="42" t="s">
        <v>1911</v>
      </c>
      <c r="I8" s="42" t="s">
        <v>1912</v>
      </c>
      <c r="J8" s="42" t="s">
        <v>1899</v>
      </c>
      <c r="K8" s="42" t="s">
        <v>1913</v>
      </c>
      <c r="L8" s="42" t="s">
        <v>1914</v>
      </c>
      <c r="M8" s="42" t="s">
        <v>1808</v>
      </c>
      <c r="N8" s="42" t="s">
        <v>1915</v>
      </c>
      <c r="O8" s="60">
        <v>6.7</v>
      </c>
      <c r="P8" s="42">
        <v>5.2</v>
      </c>
    </row>
    <row r="9" spans="1:16">
      <c r="A9" s="98" t="s">
        <v>893</v>
      </c>
      <c r="B9" s="99"/>
      <c r="E9" s="99"/>
      <c r="G9" s="59"/>
      <c r="H9" s="59"/>
      <c r="I9" s="59"/>
      <c r="J9" s="59"/>
      <c r="K9" s="59"/>
      <c r="L9" s="59"/>
      <c r="M9" s="46"/>
      <c r="N9" s="46"/>
      <c r="O9" s="46"/>
    </row>
    <row r="10" spans="1:16">
      <c r="A10" t="s">
        <v>894</v>
      </c>
      <c r="B10" t="s">
        <v>983</v>
      </c>
      <c r="E10" s="99"/>
      <c r="F10" s="14"/>
      <c r="G10" s="59"/>
      <c r="H10" s="59"/>
      <c r="I10" s="59"/>
      <c r="J10" s="42"/>
      <c r="K10" s="42"/>
      <c r="L10" s="42"/>
      <c r="M10" s="47"/>
      <c r="N10" s="47"/>
      <c r="O10" s="46"/>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18.710937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6" width="12.42578125" bestFit="1" customWidth="1"/>
  </cols>
  <sheetData>
    <row r="1" spans="1:16">
      <c r="A1" s="58" t="s">
        <v>882</v>
      </c>
      <c r="B1" s="96" t="s">
        <v>640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tbl-suicide-mortal-aar</v>
      </c>
    </row>
    <row r="4" spans="1:16">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s="120" t="s">
        <v>1798</v>
      </c>
      <c r="H5" s="120"/>
      <c r="I5" s="120"/>
      <c r="J5" s="120"/>
      <c r="K5" s="120"/>
      <c r="L5" s="120"/>
      <c r="M5" s="120"/>
      <c r="N5" s="120" t="s">
        <v>1799</v>
      </c>
      <c r="O5" s="120"/>
    </row>
    <row r="6" spans="1:16" ht="15" customHeight="1">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c r="E7" s="99"/>
      <c r="F7" s="63">
        <v>2018</v>
      </c>
      <c r="G7" s="59">
        <v>12.8</v>
      </c>
      <c r="H7" s="59">
        <v>10.1</v>
      </c>
      <c r="I7" s="59">
        <v>6.2</v>
      </c>
      <c r="J7" s="59">
        <v>7.4</v>
      </c>
      <c r="K7" s="59">
        <v>12.2</v>
      </c>
      <c r="L7" s="59">
        <v>13.2</v>
      </c>
      <c r="M7" s="14">
        <v>6.4</v>
      </c>
      <c r="N7" s="14">
        <v>10</v>
      </c>
      <c r="O7">
        <v>8.1999999999999993</v>
      </c>
    </row>
    <row r="8" spans="1:16">
      <c r="E8" s="99"/>
      <c r="F8" s="63">
        <v>2019</v>
      </c>
      <c r="G8" s="59">
        <v>11.9</v>
      </c>
      <c r="H8" s="59">
        <v>10.1</v>
      </c>
      <c r="I8" s="59">
        <v>5.3</v>
      </c>
      <c r="J8" s="59">
        <v>6.4</v>
      </c>
      <c r="K8" s="59">
        <v>12.6</v>
      </c>
      <c r="L8" s="59">
        <v>13.8</v>
      </c>
      <c r="M8" s="14">
        <v>6.7</v>
      </c>
      <c r="N8" s="14">
        <v>10</v>
      </c>
      <c r="O8">
        <v>8.1999999999999993</v>
      </c>
      <c r="P8" s="14"/>
    </row>
    <row r="9" spans="1:16">
      <c r="A9" s="98" t="s">
        <v>893</v>
      </c>
      <c r="B9" s="99"/>
      <c r="E9" s="99"/>
      <c r="F9">
        <v>2020</v>
      </c>
      <c r="G9" s="59">
        <v>12.6</v>
      </c>
      <c r="H9" s="59">
        <v>9.3000000000000007</v>
      </c>
      <c r="I9" s="59">
        <v>4.5999999999999996</v>
      </c>
      <c r="J9" s="59">
        <v>5.6</v>
      </c>
      <c r="K9" s="59">
        <v>14.3</v>
      </c>
      <c r="L9" s="59">
        <v>13</v>
      </c>
      <c r="M9" s="46" t="s">
        <v>1916</v>
      </c>
      <c r="N9" s="46" t="s">
        <v>1917</v>
      </c>
      <c r="O9" s="46" t="s">
        <v>1918</v>
      </c>
    </row>
    <row r="10" spans="1:16">
      <c r="A10" t="s">
        <v>894</v>
      </c>
      <c r="B10" t="s">
        <v>972</v>
      </c>
      <c r="E10" s="99"/>
      <c r="F10" s="14">
        <v>2021</v>
      </c>
      <c r="G10" s="59">
        <v>12.7</v>
      </c>
      <c r="H10" s="59">
        <v>9</v>
      </c>
      <c r="I10" s="59">
        <v>7.3</v>
      </c>
      <c r="J10" s="42">
        <v>4.7</v>
      </c>
      <c r="K10" s="42">
        <v>12.9</v>
      </c>
      <c r="L10" s="42">
        <v>12.5</v>
      </c>
      <c r="M10" s="47" t="s">
        <v>1919</v>
      </c>
      <c r="N10" s="47" t="s">
        <v>1779</v>
      </c>
      <c r="O10" s="46" t="s">
        <v>1918</v>
      </c>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18.7109375" bestFit="1" customWidth="1"/>
    <col min="7" max="7" width="9" bestFit="1" customWidth="1"/>
    <col min="8" max="8" width="13.42578125" customWidth="1"/>
    <col min="9" max="9" width="8.85546875" bestFit="1" customWidth="1"/>
    <col min="10" max="10" width="9" bestFit="1" customWidth="1"/>
    <col min="11" max="11" width="8.85546875" bestFit="1" customWidth="1"/>
    <col min="12" max="12" width="12.28515625" bestFit="1" customWidth="1"/>
    <col min="13" max="13" width="12.140625" bestFit="1" customWidth="1"/>
    <col min="14" max="14" width="12.28515625" bestFit="1" customWidth="1"/>
    <col min="15" max="16" width="12.42578125" bestFit="1" customWidth="1"/>
  </cols>
  <sheetData>
    <row r="1" spans="1:16">
      <c r="A1" s="58" t="s">
        <v>882</v>
      </c>
      <c r="B1" s="96" t="s">
        <v>1920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tbl-agop-hosp-0-4</v>
      </c>
    </row>
    <row r="4" spans="1:16">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c r="A5" s="98" t="s">
        <v>885</v>
      </c>
      <c r="B5" s="99"/>
      <c r="E5" s="100" t="s">
        <v>886</v>
      </c>
      <c r="F5" t="s">
        <v>1923</v>
      </c>
      <c r="G5" t="s">
        <v>1651</v>
      </c>
      <c r="H5" t="s">
        <v>1652</v>
      </c>
      <c r="I5" t="s">
        <v>1653</v>
      </c>
      <c r="J5" t="s">
        <v>1654</v>
      </c>
    </row>
    <row r="6" spans="1:16" ht="15" customHeight="1">
      <c r="A6" t="s">
        <v>891</v>
      </c>
      <c r="B6" t="b">
        <v>0</v>
      </c>
      <c r="E6" s="99"/>
      <c r="F6" t="s">
        <v>915</v>
      </c>
      <c r="G6">
        <v>24.9</v>
      </c>
      <c r="H6">
        <v>7.7</v>
      </c>
      <c r="I6">
        <v>1</v>
      </c>
      <c r="J6">
        <v>13.4</v>
      </c>
    </row>
    <row r="7" spans="1:16" ht="15.75" customHeight="1">
      <c r="E7" s="99"/>
      <c r="F7" t="s">
        <v>914</v>
      </c>
      <c r="G7">
        <v>17.2</v>
      </c>
      <c r="H7">
        <v>5.3</v>
      </c>
      <c r="I7">
        <v>0.8</v>
      </c>
      <c r="J7">
        <v>11.5</v>
      </c>
    </row>
    <row r="8" spans="1:16">
      <c r="E8" s="99"/>
      <c r="F8" t="s">
        <v>898</v>
      </c>
      <c r="G8">
        <v>18.8</v>
      </c>
      <c r="H8">
        <v>6.8</v>
      </c>
      <c r="I8">
        <v>1</v>
      </c>
      <c r="J8">
        <v>15.2</v>
      </c>
      <c r="P8" s="14"/>
    </row>
    <row r="9" spans="1:16">
      <c r="A9" s="98" t="s">
        <v>893</v>
      </c>
      <c r="B9" s="99"/>
      <c r="E9" s="99"/>
    </row>
    <row r="10" spans="1:16">
      <c r="A10" t="s">
        <v>894</v>
      </c>
      <c r="B10" t="s">
        <v>983</v>
      </c>
      <c r="E10" s="99"/>
    </row>
    <row r="11" spans="1:16">
      <c r="A11" t="s">
        <v>895</v>
      </c>
      <c r="B11" t="s">
        <v>1922</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7.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635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tbl-OD-anyopioid-crude</v>
      </c>
    </row>
    <row r="4" spans="1:16">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887</v>
      </c>
      <c r="G5" t="s">
        <v>220</v>
      </c>
      <c r="H5" t="s">
        <v>18</v>
      </c>
      <c r="I5" t="s">
        <v>537</v>
      </c>
      <c r="J5" t="s">
        <v>449</v>
      </c>
      <c r="K5" t="s">
        <v>409</v>
      </c>
      <c r="L5" t="s">
        <v>421</v>
      </c>
      <c r="M5" t="s">
        <v>470</v>
      </c>
      <c r="N5" t="s">
        <v>898</v>
      </c>
      <c r="O5" t="s">
        <v>914</v>
      </c>
      <c r="P5" t="s">
        <v>915</v>
      </c>
    </row>
    <row r="6" spans="1:16" ht="15" customHeight="1">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c r="E7" s="99"/>
      <c r="F7">
        <v>2020</v>
      </c>
      <c r="G7">
        <v>35.700000000000003</v>
      </c>
      <c r="H7">
        <v>26.9</v>
      </c>
      <c r="I7">
        <v>18.2</v>
      </c>
      <c r="J7">
        <v>12.9</v>
      </c>
      <c r="K7">
        <v>63.7</v>
      </c>
      <c r="L7">
        <v>31.4</v>
      </c>
      <c r="M7">
        <v>13.8</v>
      </c>
      <c r="N7">
        <v>21.8</v>
      </c>
      <c r="O7">
        <v>22.7</v>
      </c>
      <c r="P7">
        <v>21.5</v>
      </c>
    </row>
    <row r="8" spans="1:16">
      <c r="E8" s="99"/>
      <c r="F8">
        <v>2021</v>
      </c>
      <c r="G8">
        <v>29.1</v>
      </c>
      <c r="H8">
        <v>33.799999999999997</v>
      </c>
      <c r="I8">
        <v>20.399999999999999</v>
      </c>
      <c r="J8">
        <v>19.100000000000001</v>
      </c>
      <c r="K8">
        <v>46.4</v>
      </c>
      <c r="L8">
        <v>25.6</v>
      </c>
      <c r="M8">
        <v>15</v>
      </c>
      <c r="N8">
        <v>22.6</v>
      </c>
      <c r="O8">
        <v>25.2</v>
      </c>
      <c r="P8" s="14">
        <v>25.1</v>
      </c>
    </row>
    <row r="9" spans="1:16">
      <c r="A9" s="98" t="s">
        <v>893</v>
      </c>
      <c r="B9" s="99"/>
      <c r="E9" s="99"/>
      <c r="F9">
        <v>2022</v>
      </c>
      <c r="G9">
        <v>39.299999999999997</v>
      </c>
      <c r="H9">
        <v>30.5</v>
      </c>
      <c r="I9">
        <v>22.4</v>
      </c>
      <c r="J9">
        <v>12.9</v>
      </c>
      <c r="K9">
        <v>61.5</v>
      </c>
      <c r="L9">
        <v>35.700000000000003</v>
      </c>
      <c r="M9">
        <v>15.4</v>
      </c>
      <c r="N9">
        <v>24</v>
      </c>
      <c r="O9">
        <v>26.3</v>
      </c>
      <c r="P9">
        <v>27.4</v>
      </c>
    </row>
    <row r="10" spans="1:16">
      <c r="A10" t="s">
        <v>894</v>
      </c>
      <c r="B10" t="s">
        <v>972</v>
      </c>
      <c r="E10" s="99"/>
    </row>
    <row r="11" spans="1:16">
      <c r="A11" t="s">
        <v>895</v>
      </c>
      <c r="B11" t="s">
        <v>973</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7.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1924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tbl-poison-control-calls</v>
      </c>
    </row>
    <row r="4" spans="1:16">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c r="A5" s="98" t="s">
        <v>885</v>
      </c>
      <c r="B5" s="99"/>
      <c r="E5" s="100" t="s">
        <v>886</v>
      </c>
      <c r="F5" t="s">
        <v>887</v>
      </c>
      <c r="G5" t="s">
        <v>220</v>
      </c>
      <c r="H5" t="s">
        <v>18</v>
      </c>
      <c r="I5" t="s">
        <v>537</v>
      </c>
      <c r="J5" t="s">
        <v>449</v>
      </c>
      <c r="K5" t="s">
        <v>409</v>
      </c>
      <c r="L5" t="s">
        <v>421</v>
      </c>
      <c r="M5" t="s">
        <v>470</v>
      </c>
    </row>
    <row r="6" spans="1:16" ht="15" customHeight="1">
      <c r="A6" t="s">
        <v>891</v>
      </c>
      <c r="B6" t="b">
        <v>0</v>
      </c>
      <c r="E6" s="99"/>
      <c r="F6">
        <v>2020</v>
      </c>
      <c r="G6">
        <v>541</v>
      </c>
      <c r="H6">
        <v>604</v>
      </c>
      <c r="I6">
        <v>237</v>
      </c>
      <c r="J6">
        <v>431</v>
      </c>
      <c r="K6">
        <v>583</v>
      </c>
      <c r="L6">
        <v>609</v>
      </c>
      <c r="M6">
        <v>497</v>
      </c>
    </row>
    <row r="7" spans="1:16" ht="15.75" customHeight="1">
      <c r="E7" s="99"/>
      <c r="F7">
        <v>2021</v>
      </c>
      <c r="G7">
        <v>421</v>
      </c>
      <c r="H7">
        <v>593</v>
      </c>
      <c r="I7">
        <v>220</v>
      </c>
      <c r="J7">
        <v>456</v>
      </c>
      <c r="K7">
        <v>589</v>
      </c>
      <c r="L7">
        <v>494</v>
      </c>
      <c r="M7">
        <v>441</v>
      </c>
    </row>
    <row r="8" spans="1:16">
      <c r="E8" s="99"/>
      <c r="F8">
        <v>2022</v>
      </c>
      <c r="G8">
        <v>436</v>
      </c>
      <c r="H8">
        <v>613</v>
      </c>
      <c r="I8">
        <v>222</v>
      </c>
      <c r="J8">
        <v>470</v>
      </c>
      <c r="K8">
        <v>542</v>
      </c>
      <c r="L8">
        <v>446</v>
      </c>
      <c r="M8">
        <v>408</v>
      </c>
      <c r="P8" s="14"/>
    </row>
    <row r="9" spans="1:16">
      <c r="A9" s="98" t="s">
        <v>893</v>
      </c>
      <c r="B9" s="99"/>
      <c r="E9" s="99"/>
      <c r="F9">
        <v>2023</v>
      </c>
      <c r="G9">
        <v>443</v>
      </c>
      <c r="H9">
        <v>573</v>
      </c>
      <c r="I9">
        <v>230</v>
      </c>
      <c r="J9">
        <v>399</v>
      </c>
      <c r="K9">
        <v>642</v>
      </c>
      <c r="L9">
        <v>444</v>
      </c>
      <c r="M9">
        <v>404</v>
      </c>
    </row>
    <row r="10" spans="1:16">
      <c r="A10" t="s">
        <v>894</v>
      </c>
      <c r="B10" t="s">
        <v>983</v>
      </c>
      <c r="E10" s="99"/>
      <c r="F10">
        <v>2024</v>
      </c>
      <c r="G10">
        <v>464</v>
      </c>
      <c r="H10">
        <v>570</v>
      </c>
      <c r="I10">
        <v>226</v>
      </c>
      <c r="J10">
        <v>366</v>
      </c>
      <c r="K10">
        <v>636</v>
      </c>
      <c r="L10">
        <v>530</v>
      </c>
      <c r="M10">
        <v>388</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defaultColWidth="8.7109375" defaultRowHeight="15"/>
  <cols>
    <col min="1" max="1" width="20" bestFit="1" customWidth="1"/>
    <col min="2" max="2" width="22.140625" bestFit="1" customWidth="1"/>
    <col min="5" max="5" width="6.7109375" customWidth="1"/>
    <col min="6" max="6" width="7.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644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tbl-unint-injury-mortal-aar</v>
      </c>
    </row>
    <row r="4" spans="1:16">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1798</v>
      </c>
      <c r="H5" s="101"/>
      <c r="I5" s="101"/>
      <c r="J5" s="101"/>
      <c r="K5" s="101"/>
      <c r="L5" s="101"/>
      <c r="M5" s="101"/>
      <c r="N5" s="101" t="s">
        <v>1799</v>
      </c>
      <c r="O5" s="101"/>
    </row>
    <row r="6" spans="1:16" ht="15" customHeight="1">
      <c r="A6" t="s">
        <v>891</v>
      </c>
      <c r="B6" t="b">
        <v>1</v>
      </c>
      <c r="E6" s="99"/>
      <c r="F6" t="s">
        <v>887</v>
      </c>
      <c r="G6" t="s">
        <v>220</v>
      </c>
      <c r="H6" t="s">
        <v>18</v>
      </c>
      <c r="I6" t="s">
        <v>537</v>
      </c>
      <c r="J6" t="s">
        <v>449</v>
      </c>
      <c r="K6" t="s">
        <v>409</v>
      </c>
      <c r="L6" t="s">
        <v>421</v>
      </c>
      <c r="M6" t="s">
        <v>470</v>
      </c>
      <c r="N6" t="s">
        <v>914</v>
      </c>
      <c r="O6" t="s">
        <v>915</v>
      </c>
    </row>
    <row r="7" spans="1:16" ht="15.75" customHeight="1">
      <c r="E7" s="99"/>
      <c r="F7">
        <v>2018</v>
      </c>
      <c r="G7">
        <v>49</v>
      </c>
      <c r="H7">
        <v>49</v>
      </c>
      <c r="I7">
        <v>38</v>
      </c>
      <c r="J7">
        <v>32</v>
      </c>
      <c r="K7">
        <v>75</v>
      </c>
      <c r="L7">
        <v>50</v>
      </c>
      <c r="M7">
        <v>27</v>
      </c>
      <c r="N7">
        <v>41</v>
      </c>
      <c r="O7">
        <v>34</v>
      </c>
    </row>
    <row r="8" spans="1:16">
      <c r="E8" s="99"/>
      <c r="F8">
        <v>2019</v>
      </c>
      <c r="G8">
        <v>52</v>
      </c>
      <c r="H8">
        <v>49</v>
      </c>
      <c r="I8">
        <v>34</v>
      </c>
      <c r="J8">
        <v>36</v>
      </c>
      <c r="K8">
        <v>82</v>
      </c>
      <c r="L8">
        <v>57</v>
      </c>
      <c r="M8">
        <v>28</v>
      </c>
      <c r="N8">
        <v>40</v>
      </c>
      <c r="O8">
        <v>34</v>
      </c>
      <c r="P8" s="14"/>
    </row>
    <row r="9" spans="1:16">
      <c r="A9" s="98" t="s">
        <v>893</v>
      </c>
      <c r="B9" s="99"/>
      <c r="E9" s="99"/>
      <c r="F9">
        <v>2020</v>
      </c>
      <c r="G9">
        <v>52</v>
      </c>
      <c r="H9">
        <v>50</v>
      </c>
      <c r="I9">
        <v>36</v>
      </c>
      <c r="J9">
        <v>39</v>
      </c>
      <c r="K9">
        <v>85</v>
      </c>
      <c r="L9">
        <v>59</v>
      </c>
      <c r="M9">
        <v>30</v>
      </c>
      <c r="N9">
        <v>47</v>
      </c>
      <c r="O9">
        <v>41</v>
      </c>
    </row>
    <row r="10" spans="1:16">
      <c r="A10" t="s">
        <v>894</v>
      </c>
      <c r="B10" t="s">
        <v>972</v>
      </c>
      <c r="E10" s="99"/>
      <c r="F10">
        <v>2021</v>
      </c>
      <c r="G10">
        <v>59</v>
      </c>
      <c r="H10">
        <v>56</v>
      </c>
      <c r="I10">
        <v>41</v>
      </c>
      <c r="J10">
        <v>38</v>
      </c>
      <c r="K10">
        <v>92</v>
      </c>
      <c r="L10">
        <v>64</v>
      </c>
      <c r="M10">
        <v>32</v>
      </c>
      <c r="N10">
        <v>52</v>
      </c>
      <c r="O10">
        <v>47</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0</v>
      </c>
      <c r="E15" s="99"/>
      <c r="G15" s="68"/>
      <c r="H15" s="68"/>
      <c r="I15" s="46"/>
      <c r="J15" s="47"/>
      <c r="K15" s="47"/>
      <c r="L15" s="47"/>
      <c r="M15" s="47"/>
      <c r="N15" s="47"/>
      <c r="O15" s="46"/>
    </row>
    <row r="16" spans="1:16">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7.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1925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tbl-child-under5-poison-control</v>
      </c>
    </row>
    <row r="4" spans="1:16">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c r="A5" s="98" t="s">
        <v>885</v>
      </c>
      <c r="B5" s="99"/>
      <c r="E5" s="100" t="s">
        <v>886</v>
      </c>
      <c r="F5" t="s">
        <v>887</v>
      </c>
      <c r="G5" t="s">
        <v>220</v>
      </c>
      <c r="H5" t="s">
        <v>18</v>
      </c>
      <c r="I5" t="s">
        <v>537</v>
      </c>
      <c r="J5" t="s">
        <v>449</v>
      </c>
      <c r="K5" t="s">
        <v>409</v>
      </c>
      <c r="L5" t="s">
        <v>421</v>
      </c>
      <c r="M5" t="s">
        <v>470</v>
      </c>
    </row>
    <row r="6" spans="1:16" ht="15" customHeight="1">
      <c r="A6" t="s">
        <v>891</v>
      </c>
      <c r="B6" t="b">
        <v>1</v>
      </c>
      <c r="E6" s="99"/>
      <c r="F6">
        <v>2020</v>
      </c>
      <c r="G6">
        <v>29.7</v>
      </c>
      <c r="H6">
        <v>30.9</v>
      </c>
      <c r="I6">
        <v>20.100000000000001</v>
      </c>
      <c r="J6">
        <v>32.700000000000003</v>
      </c>
      <c r="K6">
        <v>34.6</v>
      </c>
      <c r="L6">
        <v>31.1</v>
      </c>
      <c r="M6">
        <v>34.6</v>
      </c>
    </row>
    <row r="7" spans="1:16" ht="15.75" customHeight="1">
      <c r="E7" s="99"/>
      <c r="F7">
        <v>2021</v>
      </c>
      <c r="G7">
        <v>30.9</v>
      </c>
      <c r="H7">
        <v>33.4</v>
      </c>
      <c r="I7">
        <v>26.4</v>
      </c>
      <c r="J7">
        <v>36.1</v>
      </c>
      <c r="K7">
        <v>30.4</v>
      </c>
      <c r="L7">
        <v>30.2</v>
      </c>
      <c r="M7">
        <v>34.200000000000003</v>
      </c>
    </row>
    <row r="8" spans="1:16">
      <c r="E8" s="99"/>
      <c r="F8">
        <v>2022</v>
      </c>
      <c r="G8">
        <v>31.9</v>
      </c>
      <c r="H8">
        <v>35.799999999999997</v>
      </c>
      <c r="I8">
        <v>26.7</v>
      </c>
      <c r="J8">
        <v>36.799999999999997</v>
      </c>
      <c r="K8">
        <v>34</v>
      </c>
      <c r="L8">
        <v>30.3</v>
      </c>
      <c r="M8">
        <v>33.799999999999997</v>
      </c>
      <c r="P8" s="14"/>
    </row>
    <row r="9" spans="1:16">
      <c r="A9" s="98" t="s">
        <v>893</v>
      </c>
      <c r="B9" s="99"/>
      <c r="E9" s="99"/>
      <c r="F9">
        <v>2023</v>
      </c>
      <c r="G9">
        <v>32.6</v>
      </c>
      <c r="H9">
        <v>40.5</v>
      </c>
      <c r="I9">
        <v>26.7</v>
      </c>
      <c r="J9">
        <v>41.3</v>
      </c>
      <c r="K9">
        <v>32.700000000000003</v>
      </c>
      <c r="L9">
        <v>28.8</v>
      </c>
      <c r="M9">
        <v>33.799999999999997</v>
      </c>
    </row>
    <row r="10" spans="1:16">
      <c r="A10" t="s">
        <v>894</v>
      </c>
      <c r="B10" t="s">
        <v>983</v>
      </c>
      <c r="E10" s="99"/>
      <c r="F10">
        <v>2024</v>
      </c>
      <c r="G10">
        <v>30.6</v>
      </c>
      <c r="H10">
        <v>38.5</v>
      </c>
      <c r="I10">
        <v>28.5</v>
      </c>
      <c r="J10">
        <v>38.4</v>
      </c>
      <c r="K10">
        <v>30.8</v>
      </c>
      <c r="L10">
        <v>29</v>
      </c>
      <c r="M10">
        <v>31.6</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defaultColWidth="8.7109375" defaultRowHeight="15"/>
  <cols>
    <col min="1" max="1" width="20" bestFit="1" customWidth="1"/>
    <col min="2" max="2" width="22.140625" bestFit="1" customWidth="1"/>
    <col min="5" max="5" width="6.7109375" customWidth="1"/>
    <col min="6" max="6" width="7.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647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tbl-poison-control-cannabis</v>
      </c>
    </row>
    <row r="4" spans="1:16">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c r="A5" s="98" t="s">
        <v>885</v>
      </c>
      <c r="B5" s="99"/>
      <c r="E5" s="100" t="s">
        <v>886</v>
      </c>
      <c r="F5" t="s">
        <v>887</v>
      </c>
      <c r="G5" t="s">
        <v>220</v>
      </c>
      <c r="H5" t="s">
        <v>18</v>
      </c>
      <c r="I5" t="s">
        <v>537</v>
      </c>
      <c r="J5" t="s">
        <v>449</v>
      </c>
      <c r="K5" t="s">
        <v>409</v>
      </c>
      <c r="L5" t="s">
        <v>421</v>
      </c>
      <c r="M5" t="s">
        <v>470</v>
      </c>
    </row>
    <row r="6" spans="1:16" ht="15" customHeight="1">
      <c r="A6" t="s">
        <v>891</v>
      </c>
      <c r="B6" t="b">
        <v>1</v>
      </c>
      <c r="E6" s="99"/>
      <c r="F6">
        <v>2020</v>
      </c>
      <c r="G6">
        <v>1.4</v>
      </c>
      <c r="H6">
        <v>5.8</v>
      </c>
      <c r="I6">
        <v>2</v>
      </c>
      <c r="J6">
        <v>2.2000000000000002</v>
      </c>
      <c r="K6">
        <v>0</v>
      </c>
      <c r="L6">
        <v>1.7</v>
      </c>
      <c r="M6">
        <v>5.5</v>
      </c>
    </row>
    <row r="7" spans="1:16" ht="15.75" customHeight="1">
      <c r="E7" s="99"/>
      <c r="F7">
        <v>2021</v>
      </c>
      <c r="G7">
        <v>3</v>
      </c>
      <c r="H7">
        <v>5.3</v>
      </c>
      <c r="I7">
        <v>2</v>
      </c>
      <c r="J7">
        <v>1.8</v>
      </c>
      <c r="K7">
        <v>10.199999999999999</v>
      </c>
      <c r="L7">
        <v>3.3</v>
      </c>
      <c r="M7">
        <v>7.1</v>
      </c>
    </row>
    <row r="8" spans="1:16">
      <c r="E8" s="99"/>
      <c r="F8">
        <v>2022</v>
      </c>
      <c r="G8">
        <v>5.0999999999999996</v>
      </c>
      <c r="H8">
        <v>7.7</v>
      </c>
      <c r="I8">
        <v>3.1</v>
      </c>
      <c r="J8">
        <v>3.6</v>
      </c>
      <c r="K8">
        <v>7.6</v>
      </c>
      <c r="L8">
        <v>2.7</v>
      </c>
      <c r="M8">
        <v>6.4</v>
      </c>
      <c r="P8" s="14"/>
    </row>
    <row r="9" spans="1:16">
      <c r="A9" s="98" t="s">
        <v>893</v>
      </c>
      <c r="B9" s="99"/>
      <c r="E9" s="99"/>
      <c r="F9">
        <v>2023</v>
      </c>
      <c r="G9">
        <v>5</v>
      </c>
      <c r="H9">
        <v>5.7</v>
      </c>
      <c r="I9">
        <v>3.1</v>
      </c>
      <c r="J9">
        <v>2.4</v>
      </c>
      <c r="K9">
        <v>8.8000000000000007</v>
      </c>
      <c r="L9">
        <v>1.1000000000000001</v>
      </c>
      <c r="M9">
        <v>6.7</v>
      </c>
    </row>
    <row r="10" spans="1:16">
      <c r="A10" t="s">
        <v>894</v>
      </c>
      <c r="B10" t="s">
        <v>983</v>
      </c>
      <c r="E10" s="99"/>
      <c r="F10">
        <v>2024</v>
      </c>
      <c r="G10">
        <v>5.7</v>
      </c>
      <c r="H10">
        <v>6.7</v>
      </c>
      <c r="I10">
        <v>2</v>
      </c>
      <c r="J10">
        <v>1.8</v>
      </c>
      <c r="K10">
        <v>8.8000000000000007</v>
      </c>
      <c r="L10">
        <v>3.3</v>
      </c>
      <c r="M10">
        <v>5.9</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9.71093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432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tbl-clrd-mortal-aar</v>
      </c>
    </row>
    <row r="4" spans="1:16">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887</v>
      </c>
      <c r="G5" t="s">
        <v>220</v>
      </c>
      <c r="H5" t="s">
        <v>18</v>
      </c>
      <c r="I5" t="s">
        <v>537</v>
      </c>
      <c r="J5" t="s">
        <v>449</v>
      </c>
      <c r="K5" t="s">
        <v>409</v>
      </c>
      <c r="L5" t="s">
        <v>421</v>
      </c>
      <c r="M5" t="s">
        <v>470</v>
      </c>
      <c r="N5" t="s">
        <v>898</v>
      </c>
      <c r="O5" t="s">
        <v>914</v>
      </c>
      <c r="P5" t="s">
        <v>915</v>
      </c>
    </row>
    <row r="6" spans="1:16" ht="15" customHeight="1">
      <c r="A6" t="s">
        <v>891</v>
      </c>
      <c r="B6" t="b">
        <v>1</v>
      </c>
      <c r="E6" s="99"/>
      <c r="F6" t="s">
        <v>1648</v>
      </c>
      <c r="G6">
        <v>23.7</v>
      </c>
      <c r="H6">
        <v>32.1</v>
      </c>
      <c r="I6">
        <v>20.7</v>
      </c>
      <c r="J6">
        <v>20.100000000000001</v>
      </c>
      <c r="K6">
        <v>43.5</v>
      </c>
      <c r="L6">
        <v>32.1</v>
      </c>
      <c r="M6">
        <v>17.3</v>
      </c>
      <c r="N6">
        <v>22.8</v>
      </c>
      <c r="O6">
        <v>29.3</v>
      </c>
      <c r="P6">
        <v>23.7</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436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tbl-clrd-mortal-rande-aar</v>
      </c>
    </row>
    <row r="4" spans="1:16">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1245</v>
      </c>
      <c r="G5" t="s">
        <v>220</v>
      </c>
      <c r="H5" t="s">
        <v>18</v>
      </c>
      <c r="I5" t="s">
        <v>537</v>
      </c>
      <c r="J5" t="s">
        <v>449</v>
      </c>
      <c r="K5" t="s">
        <v>409</v>
      </c>
      <c r="L5" t="s">
        <v>421</v>
      </c>
      <c r="M5" t="s">
        <v>470</v>
      </c>
      <c r="N5" t="s">
        <v>914</v>
      </c>
      <c r="O5" t="s">
        <v>915</v>
      </c>
    </row>
    <row r="6" spans="1:16" ht="15" customHeight="1">
      <c r="A6" t="s">
        <v>891</v>
      </c>
      <c r="B6" t="b">
        <v>1</v>
      </c>
      <c r="E6" s="99"/>
      <c r="F6" t="s">
        <v>929</v>
      </c>
      <c r="G6">
        <v>25.3</v>
      </c>
      <c r="H6">
        <v>36.299999999999997</v>
      </c>
      <c r="I6">
        <v>22.2</v>
      </c>
      <c r="J6">
        <v>23.3</v>
      </c>
      <c r="K6">
        <v>45.3</v>
      </c>
      <c r="L6">
        <v>32.9</v>
      </c>
      <c r="M6">
        <v>18.3</v>
      </c>
      <c r="N6">
        <v>31.5</v>
      </c>
      <c r="O6">
        <v>27.8</v>
      </c>
    </row>
    <row r="7" spans="1:16" ht="15.75" customHeight="1">
      <c r="E7" s="99"/>
      <c r="F7" t="s">
        <v>1571</v>
      </c>
      <c r="G7">
        <v>17.8</v>
      </c>
      <c r="H7">
        <v>21.4</v>
      </c>
      <c r="I7" t="s">
        <v>1936</v>
      </c>
      <c r="J7">
        <v>12.4</v>
      </c>
      <c r="K7" t="s">
        <v>1937</v>
      </c>
      <c r="L7">
        <v>40.700000000000003</v>
      </c>
      <c r="M7">
        <v>18.899999999999999</v>
      </c>
      <c r="N7">
        <v>22.8</v>
      </c>
      <c r="O7">
        <v>18.2</v>
      </c>
    </row>
    <row r="8" spans="1:16">
      <c r="E8" s="99"/>
      <c r="F8" t="s">
        <v>1572</v>
      </c>
      <c r="G8" t="s">
        <v>1892</v>
      </c>
      <c r="H8" t="s">
        <v>1938</v>
      </c>
      <c r="I8" t="s">
        <v>1936</v>
      </c>
      <c r="J8" t="s">
        <v>1939</v>
      </c>
      <c r="K8" t="s">
        <v>1936</v>
      </c>
      <c r="L8" t="s">
        <v>1936</v>
      </c>
      <c r="M8">
        <v>5.3</v>
      </c>
      <c r="N8">
        <v>6</v>
      </c>
      <c r="O8">
        <v>7.5</v>
      </c>
      <c r="P8" s="14"/>
    </row>
    <row r="9" spans="1:16">
      <c r="A9" s="98" t="s">
        <v>893</v>
      </c>
      <c r="B9" s="99"/>
      <c r="E9" s="99"/>
      <c r="F9" t="s">
        <v>927</v>
      </c>
      <c r="G9">
        <v>14.8</v>
      </c>
      <c r="H9">
        <v>12.5</v>
      </c>
      <c r="I9" t="s">
        <v>1940</v>
      </c>
      <c r="J9" t="s">
        <v>1941</v>
      </c>
      <c r="K9" t="s">
        <v>1942</v>
      </c>
      <c r="L9" t="s">
        <v>1943</v>
      </c>
      <c r="M9">
        <v>10.199999999999999</v>
      </c>
      <c r="N9">
        <v>11.4</v>
      </c>
      <c r="O9">
        <v>13</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1944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tbl-cardiovasdz-hospi-aar</v>
      </c>
    </row>
    <row r="4" spans="1:16">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898</v>
      </c>
      <c r="O5" t="s">
        <v>915</v>
      </c>
    </row>
    <row r="6" spans="1:16" ht="15" customHeight="1">
      <c r="A6" t="s">
        <v>891</v>
      </c>
      <c r="B6" t="b">
        <v>0</v>
      </c>
      <c r="E6" s="99"/>
      <c r="F6" t="s">
        <v>1945</v>
      </c>
      <c r="G6">
        <v>102.3</v>
      </c>
      <c r="H6">
        <v>116.1</v>
      </c>
      <c r="I6">
        <v>76.900000000000006</v>
      </c>
      <c r="J6">
        <v>81.099999999999994</v>
      </c>
      <c r="K6">
        <v>129.9</v>
      </c>
      <c r="L6">
        <v>109.6</v>
      </c>
      <c r="M6">
        <v>90.9</v>
      </c>
      <c r="N6">
        <v>99.3</v>
      </c>
      <c r="O6">
        <v>111.2</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708</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1946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tbl-adult-highbp-mddx-percent</v>
      </c>
    </row>
    <row r="4" spans="1:16">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G5" t="s">
        <v>220</v>
      </c>
      <c r="H5" t="s">
        <v>18</v>
      </c>
      <c r="I5" t="s">
        <v>537</v>
      </c>
      <c r="J5" t="s">
        <v>449</v>
      </c>
      <c r="K5" t="s">
        <v>409</v>
      </c>
      <c r="L5" t="s">
        <v>421</v>
      </c>
      <c r="M5" t="s">
        <v>470</v>
      </c>
      <c r="N5" t="s">
        <v>898</v>
      </c>
      <c r="O5" t="s">
        <v>914</v>
      </c>
      <c r="P5" t="s">
        <v>915</v>
      </c>
    </row>
    <row r="6" spans="1:16" ht="15" customHeight="1">
      <c r="A6" t="s">
        <v>891</v>
      </c>
      <c r="B6" t="b">
        <v>0</v>
      </c>
      <c r="E6" s="99"/>
      <c r="F6">
        <v>2016</v>
      </c>
      <c r="G6">
        <v>27.5</v>
      </c>
      <c r="H6">
        <v>30.4</v>
      </c>
      <c r="I6">
        <v>21.1</v>
      </c>
      <c r="J6">
        <v>28.1</v>
      </c>
      <c r="K6">
        <v>31.7</v>
      </c>
      <c r="L6">
        <v>29.4</v>
      </c>
      <c r="M6">
        <v>24.2</v>
      </c>
      <c r="N6">
        <v>26.7</v>
      </c>
      <c r="O6">
        <v>29.4</v>
      </c>
      <c r="P6">
        <v>28.9</v>
      </c>
    </row>
    <row r="7" spans="1:16" ht="15.75" customHeight="1">
      <c r="E7" s="99"/>
      <c r="F7">
        <v>2021</v>
      </c>
      <c r="G7">
        <v>28.2</v>
      </c>
      <c r="H7">
        <v>29.1</v>
      </c>
      <c r="I7">
        <v>27.9</v>
      </c>
      <c r="J7">
        <v>26</v>
      </c>
      <c r="K7">
        <v>22.3</v>
      </c>
      <c r="L7">
        <v>27.8</v>
      </c>
      <c r="M7">
        <v>22.9</v>
      </c>
      <c r="N7">
        <v>25.9</v>
      </c>
      <c r="O7">
        <v>27.6</v>
      </c>
      <c r="P7">
        <v>27.6</v>
      </c>
    </row>
    <row r="8" spans="1:16">
      <c r="E8" s="99"/>
      <c r="P8" s="14"/>
    </row>
    <row r="9" spans="1:16">
      <c r="A9" s="98" t="s">
        <v>893</v>
      </c>
      <c r="B9" s="99"/>
      <c r="E9" s="99"/>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455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tbl-cerbrovasdz-hospital-aar</v>
      </c>
    </row>
    <row r="4" spans="1:16">
      <c r="A4" s="58" t="s">
        <v>6</v>
      </c>
      <c r="B4" t="str">
        <f>IF($B$1="","",_xlfn.XLOOKUP($B$1,Master!$F$2:$F$308,Master!$H$2:$H$308,""))</f>
        <v>fig-cerbrovasdz-hospital-aar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898</v>
      </c>
      <c r="O5" t="s">
        <v>914</v>
      </c>
    </row>
    <row r="6" spans="1:16" ht="15" customHeight="1">
      <c r="A6" t="s">
        <v>891</v>
      </c>
      <c r="B6" t="b">
        <v>0</v>
      </c>
      <c r="E6" s="99"/>
      <c r="F6" t="s">
        <v>1945</v>
      </c>
      <c r="G6">
        <v>18.7</v>
      </c>
      <c r="H6">
        <v>21.9</v>
      </c>
      <c r="I6">
        <v>14.7</v>
      </c>
      <c r="J6">
        <v>17.7</v>
      </c>
      <c r="K6">
        <v>23.6</v>
      </c>
      <c r="L6">
        <v>19.399999999999999</v>
      </c>
      <c r="M6">
        <v>17.8</v>
      </c>
      <c r="N6">
        <v>18.7</v>
      </c>
      <c r="O6">
        <v>19.899999999999999</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708</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458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tbl-cerbrovasdz-hospital-rande-aar</v>
      </c>
    </row>
    <row r="4" spans="1:16">
      <c r="A4" s="58" t="s">
        <v>6</v>
      </c>
      <c r="B4" t="str">
        <f>IF($B$1="","",_xlfn.XLOOKUP($B$1,Master!$F$2:$F$308,Master!$H$2:$H$308,""))</f>
        <v>fig-cerbrovasdz-hospital-rande-aar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1245</v>
      </c>
      <c r="G5" t="s">
        <v>220</v>
      </c>
      <c r="H5" t="s">
        <v>18</v>
      </c>
      <c r="I5" t="s">
        <v>537</v>
      </c>
      <c r="J5" t="s">
        <v>449</v>
      </c>
      <c r="K5" t="s">
        <v>409</v>
      </c>
      <c r="L5" t="s">
        <v>421</v>
      </c>
      <c r="M5" t="s">
        <v>470</v>
      </c>
      <c r="N5" t="s">
        <v>914</v>
      </c>
      <c r="O5" t="s">
        <v>915</v>
      </c>
    </row>
    <row r="6" spans="1:16" ht="15" customHeight="1">
      <c r="A6" t="s">
        <v>891</v>
      </c>
      <c r="B6" t="b">
        <v>0</v>
      </c>
      <c r="E6" s="99"/>
      <c r="F6" t="s">
        <v>929</v>
      </c>
      <c r="G6">
        <v>15.7</v>
      </c>
      <c r="H6">
        <v>17.600000000000001</v>
      </c>
      <c r="I6">
        <v>12.8</v>
      </c>
      <c r="J6">
        <v>12.6</v>
      </c>
      <c r="K6">
        <v>20.8</v>
      </c>
      <c r="L6">
        <v>17.3</v>
      </c>
      <c r="M6">
        <v>11.8</v>
      </c>
      <c r="N6">
        <v>16.7</v>
      </c>
      <c r="O6">
        <v>15.4</v>
      </c>
    </row>
    <row r="7" spans="1:16" ht="15.75" customHeight="1">
      <c r="E7" s="99"/>
      <c r="F7" t="s">
        <v>1571</v>
      </c>
      <c r="G7">
        <v>12.8</v>
      </c>
      <c r="H7">
        <v>29.4</v>
      </c>
      <c r="I7" t="s">
        <v>1948</v>
      </c>
      <c r="J7">
        <v>21.1</v>
      </c>
      <c r="K7">
        <v>36.5</v>
      </c>
      <c r="L7">
        <v>20.399999999999999</v>
      </c>
      <c r="M7">
        <v>27.8</v>
      </c>
      <c r="N7">
        <v>33.1</v>
      </c>
      <c r="O7">
        <v>27</v>
      </c>
    </row>
    <row r="8" spans="1:16">
      <c r="E8" s="99"/>
      <c r="F8" t="s">
        <v>1844</v>
      </c>
      <c r="G8">
        <v>5</v>
      </c>
      <c r="H8">
        <v>16</v>
      </c>
      <c r="I8">
        <v>13.6</v>
      </c>
      <c r="J8">
        <v>6.9</v>
      </c>
      <c r="K8" t="s">
        <v>1949</v>
      </c>
      <c r="L8" t="s">
        <v>1950</v>
      </c>
      <c r="M8">
        <v>7.7</v>
      </c>
      <c r="N8">
        <v>11.2</v>
      </c>
      <c r="O8">
        <v>11.2</v>
      </c>
      <c r="P8" s="14"/>
    </row>
    <row r="9" spans="1:16">
      <c r="A9" s="98" t="s">
        <v>893</v>
      </c>
      <c r="B9" s="99"/>
      <c r="E9" s="99"/>
      <c r="F9" t="s">
        <v>927</v>
      </c>
      <c r="G9">
        <v>9.1</v>
      </c>
      <c r="H9">
        <v>15.4</v>
      </c>
      <c r="I9">
        <v>11</v>
      </c>
      <c r="J9">
        <v>15.1</v>
      </c>
      <c r="K9">
        <v>12.8</v>
      </c>
      <c r="L9">
        <v>11.2</v>
      </c>
      <c r="M9">
        <v>10.5</v>
      </c>
      <c r="N9">
        <v>15.4</v>
      </c>
      <c r="O9">
        <v>16.399999999999999</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708</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460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tbl-cerbrovasdz-mortal-aar</v>
      </c>
    </row>
    <row r="4" spans="1:16">
      <c r="A4" s="58" t="s">
        <v>6</v>
      </c>
      <c r="B4" t="str">
        <f>IF($B$1="","",_xlfn.XLOOKUP($B$1,Master!$F$2:$F$308,Master!$H$2:$H$308,""))</f>
        <v>fig-cerbrovasdz-mortal-aar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1951</v>
      </c>
      <c r="O5" s="101"/>
    </row>
    <row r="6" spans="1:16" ht="15" customHeight="1">
      <c r="A6" t="s">
        <v>891</v>
      </c>
      <c r="B6" t="b">
        <v>1</v>
      </c>
      <c r="E6" s="99"/>
      <c r="F6" t="s">
        <v>887</v>
      </c>
      <c r="G6" t="s">
        <v>220</v>
      </c>
      <c r="H6" t="s">
        <v>18</v>
      </c>
      <c r="I6" t="s">
        <v>537</v>
      </c>
      <c r="J6" t="s">
        <v>449</v>
      </c>
      <c r="K6" t="s">
        <v>409</v>
      </c>
      <c r="L6" t="s">
        <v>421</v>
      </c>
      <c r="M6" t="s">
        <v>470</v>
      </c>
      <c r="N6" t="s">
        <v>914</v>
      </c>
      <c r="O6" t="s">
        <v>915</v>
      </c>
    </row>
    <row r="7" spans="1:16" ht="15.75" customHeight="1">
      <c r="E7" s="99"/>
      <c r="F7">
        <v>2018</v>
      </c>
      <c r="G7">
        <v>22.8</v>
      </c>
      <c r="H7">
        <v>25</v>
      </c>
      <c r="I7">
        <v>20.100000000000001</v>
      </c>
      <c r="J7">
        <v>24.3</v>
      </c>
      <c r="K7">
        <v>26.2</v>
      </c>
      <c r="L7">
        <v>26.1</v>
      </c>
      <c r="M7">
        <v>21.6</v>
      </c>
      <c r="N7">
        <v>27.3</v>
      </c>
      <c r="O7">
        <v>24.1</v>
      </c>
    </row>
    <row r="8" spans="1:16">
      <c r="E8" s="99"/>
      <c r="F8">
        <v>2019</v>
      </c>
      <c r="G8">
        <v>22.1</v>
      </c>
      <c r="H8">
        <v>25.7</v>
      </c>
      <c r="I8">
        <v>19.399999999999999</v>
      </c>
      <c r="J8">
        <v>22.1</v>
      </c>
      <c r="K8">
        <v>24.9</v>
      </c>
      <c r="L8">
        <v>24.2</v>
      </c>
      <c r="M8">
        <v>21.6</v>
      </c>
      <c r="N8">
        <v>27</v>
      </c>
      <c r="O8">
        <v>23.9</v>
      </c>
      <c r="P8" s="14"/>
    </row>
    <row r="9" spans="1:16">
      <c r="A9" s="98" t="s">
        <v>893</v>
      </c>
      <c r="B9" s="99"/>
      <c r="E9" s="99"/>
      <c r="F9">
        <v>2020</v>
      </c>
      <c r="G9">
        <v>22.7</v>
      </c>
      <c r="H9">
        <v>25.1</v>
      </c>
      <c r="I9">
        <v>21.3</v>
      </c>
      <c r="J9">
        <v>24.3</v>
      </c>
      <c r="K9">
        <v>23.6</v>
      </c>
      <c r="L9">
        <v>25.1</v>
      </c>
      <c r="M9">
        <v>20.8</v>
      </c>
      <c r="N9">
        <v>26.7</v>
      </c>
      <c r="O9">
        <v>25.1</v>
      </c>
    </row>
    <row r="10" spans="1:16">
      <c r="A10" t="s">
        <v>894</v>
      </c>
      <c r="B10" t="s">
        <v>972</v>
      </c>
      <c r="E10" s="99"/>
      <c r="F10">
        <v>2021</v>
      </c>
      <c r="G10">
        <v>21.8</v>
      </c>
      <c r="H10">
        <v>26</v>
      </c>
      <c r="I10">
        <v>21.4</v>
      </c>
      <c r="J10">
        <v>23.1</v>
      </c>
      <c r="K10">
        <v>23.5</v>
      </c>
      <c r="L10">
        <v>25.3</v>
      </c>
      <c r="M10">
        <v>22.2</v>
      </c>
      <c r="N10">
        <v>28.7</v>
      </c>
      <c r="O10">
        <v>25.7</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462</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tbl-cerbrovasdz-mortal-rande-aar</v>
      </c>
    </row>
    <row r="4" spans="1:16">
      <c r="A4" s="58" t="s">
        <v>6</v>
      </c>
      <c r="B4" t="str">
        <f>IF($B$1="","",_xlfn.XLOOKUP($B$1,Master!$F$2:$F$308,Master!$H$2:$H$308,""))</f>
        <v>fig-cerbrovasdz-mortal-rande-aar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s="101" t="s">
        <v>1642</v>
      </c>
      <c r="H5" s="101"/>
      <c r="I5" s="101"/>
      <c r="J5" s="101"/>
      <c r="K5" s="101"/>
      <c r="L5" s="101"/>
      <c r="M5" s="101"/>
      <c r="N5" s="101" t="s">
        <v>1951</v>
      </c>
      <c r="O5" s="101"/>
    </row>
    <row r="6" spans="1:16" ht="15" customHeight="1">
      <c r="A6" t="s">
        <v>891</v>
      </c>
      <c r="B6" t="b">
        <v>1</v>
      </c>
      <c r="E6" s="99"/>
      <c r="F6" t="s">
        <v>887</v>
      </c>
      <c r="G6" t="s">
        <v>220</v>
      </c>
      <c r="H6" t="s">
        <v>18</v>
      </c>
      <c r="I6" t="s">
        <v>537</v>
      </c>
      <c r="J6" t="s">
        <v>449</v>
      </c>
      <c r="K6" t="s">
        <v>409</v>
      </c>
      <c r="L6" t="s">
        <v>421</v>
      </c>
      <c r="M6" t="s">
        <v>470</v>
      </c>
      <c r="N6" t="s">
        <v>914</v>
      </c>
      <c r="O6" t="s">
        <v>915</v>
      </c>
    </row>
    <row r="7" spans="1:16" ht="15.75" customHeight="1">
      <c r="E7" s="99"/>
      <c r="F7">
        <v>2018</v>
      </c>
      <c r="G7">
        <v>22.8</v>
      </c>
      <c r="H7">
        <v>25</v>
      </c>
      <c r="I7">
        <v>20.100000000000001</v>
      </c>
      <c r="J7">
        <v>24.3</v>
      </c>
      <c r="K7">
        <v>26.2</v>
      </c>
      <c r="L7">
        <v>26.1</v>
      </c>
      <c r="M7">
        <v>21.6</v>
      </c>
      <c r="N7">
        <v>27.3</v>
      </c>
      <c r="O7">
        <v>24.1</v>
      </c>
    </row>
    <row r="8" spans="1:16">
      <c r="E8" s="99"/>
      <c r="F8">
        <v>2019</v>
      </c>
      <c r="G8">
        <v>22.1</v>
      </c>
      <c r="H8">
        <v>25.7</v>
      </c>
      <c r="I8">
        <v>19.399999999999999</v>
      </c>
      <c r="J8">
        <v>22.1</v>
      </c>
      <c r="K8">
        <v>24.9</v>
      </c>
      <c r="L8">
        <v>24.2</v>
      </c>
      <c r="M8">
        <v>21.6</v>
      </c>
      <c r="N8">
        <v>27</v>
      </c>
      <c r="O8">
        <v>23.9</v>
      </c>
      <c r="P8" s="14"/>
    </row>
    <row r="9" spans="1:16">
      <c r="A9" s="98" t="s">
        <v>893</v>
      </c>
      <c r="B9" s="99"/>
      <c r="E9" s="99"/>
      <c r="F9">
        <v>2020</v>
      </c>
      <c r="G9">
        <v>22.7</v>
      </c>
      <c r="H9">
        <v>25.1</v>
      </c>
      <c r="I9">
        <v>21.3</v>
      </c>
      <c r="J9">
        <v>24.3</v>
      </c>
      <c r="K9">
        <v>23.6</v>
      </c>
      <c r="L9">
        <v>25.1</v>
      </c>
      <c r="M9">
        <v>20.8</v>
      </c>
      <c r="N9">
        <v>26.7</v>
      </c>
      <c r="O9">
        <v>25.1</v>
      </c>
    </row>
    <row r="10" spans="1:16">
      <c r="A10" t="s">
        <v>894</v>
      </c>
      <c r="B10" t="s">
        <v>972</v>
      </c>
      <c r="E10" s="99"/>
      <c r="F10">
        <v>2021</v>
      </c>
      <c r="G10">
        <v>21.8</v>
      </c>
      <c r="H10">
        <v>26</v>
      </c>
      <c r="I10">
        <v>21.4</v>
      </c>
      <c r="J10">
        <v>23.1</v>
      </c>
      <c r="K10">
        <v>23.5</v>
      </c>
      <c r="L10">
        <v>25.3</v>
      </c>
      <c r="M10">
        <v>22.2</v>
      </c>
      <c r="N10">
        <v>28.7</v>
      </c>
      <c r="O10">
        <v>25.7</v>
      </c>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130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tbl-language-proficiency</v>
      </c>
    </row>
    <row r="4" spans="1:16">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t="s">
        <v>887</v>
      </c>
      <c r="G5" t="s">
        <v>220</v>
      </c>
      <c r="H5" t="s">
        <v>18</v>
      </c>
      <c r="I5" t="s">
        <v>537</v>
      </c>
      <c r="J5" t="s">
        <v>449</v>
      </c>
      <c r="K5" t="s">
        <v>409</v>
      </c>
      <c r="L5" t="s">
        <v>421</v>
      </c>
      <c r="M5" t="s">
        <v>470</v>
      </c>
      <c r="N5" t="s">
        <v>915</v>
      </c>
    </row>
    <row r="6" spans="1:16" ht="15" customHeight="1">
      <c r="A6" t="s">
        <v>891</v>
      </c>
      <c r="B6" t="b">
        <v>0</v>
      </c>
      <c r="E6" s="99"/>
      <c r="F6">
        <v>2021</v>
      </c>
      <c r="G6">
        <v>4.7</v>
      </c>
      <c r="H6">
        <v>10.6</v>
      </c>
      <c r="I6">
        <v>5.3</v>
      </c>
      <c r="J6">
        <v>18.600000000000001</v>
      </c>
      <c r="K6">
        <v>5.9</v>
      </c>
      <c r="L6">
        <v>2.9</v>
      </c>
      <c r="M6">
        <v>12.7</v>
      </c>
      <c r="N6">
        <v>13.1</v>
      </c>
    </row>
    <row r="7" spans="1:16" ht="15.75" customHeight="1">
      <c r="E7" s="99"/>
      <c r="F7">
        <v>2022</v>
      </c>
      <c r="G7">
        <v>4.8</v>
      </c>
      <c r="H7">
        <v>11.3</v>
      </c>
      <c r="I7">
        <v>5.6</v>
      </c>
      <c r="J7">
        <v>18.8</v>
      </c>
      <c r="K7">
        <v>7.3</v>
      </c>
      <c r="L7">
        <v>3</v>
      </c>
      <c r="M7">
        <v>12.2</v>
      </c>
      <c r="N7">
        <v>13.1</v>
      </c>
    </row>
    <row r="8" spans="1:16">
      <c r="E8" s="99"/>
      <c r="F8">
        <v>2023</v>
      </c>
      <c r="G8">
        <v>5.4</v>
      </c>
      <c r="H8">
        <v>12.2</v>
      </c>
      <c r="I8">
        <v>6</v>
      </c>
      <c r="J8">
        <v>20</v>
      </c>
      <c r="K8">
        <v>8</v>
      </c>
      <c r="L8">
        <v>3.4</v>
      </c>
      <c r="M8">
        <v>12.4</v>
      </c>
      <c r="N8">
        <v>13.3</v>
      </c>
      <c r="P8" s="14"/>
    </row>
    <row r="9" spans="1:16">
      <c r="A9" s="98" t="s">
        <v>893</v>
      </c>
      <c r="B9" s="99"/>
      <c r="E9" s="99"/>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1565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tbl-heartattack-hospital-aar</v>
      </c>
    </row>
    <row r="4" spans="1:16">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887</v>
      </c>
      <c r="G5" t="s">
        <v>220</v>
      </c>
      <c r="H5" t="s">
        <v>18</v>
      </c>
      <c r="I5" t="s">
        <v>537</v>
      </c>
      <c r="J5" t="s">
        <v>449</v>
      </c>
      <c r="K5" t="s">
        <v>409</v>
      </c>
      <c r="L5" t="s">
        <v>421</v>
      </c>
      <c r="M5" t="s">
        <v>470</v>
      </c>
      <c r="N5" t="s">
        <v>898</v>
      </c>
      <c r="O5" t="s">
        <v>914</v>
      </c>
      <c r="P5" t="s">
        <v>915</v>
      </c>
    </row>
    <row r="6" spans="1:16" ht="15" customHeight="1">
      <c r="A6" t="s">
        <v>891</v>
      </c>
      <c r="B6" t="b">
        <v>0</v>
      </c>
      <c r="E6" s="99"/>
      <c r="F6">
        <v>2021</v>
      </c>
      <c r="G6">
        <v>10.9</v>
      </c>
      <c r="H6">
        <v>14.4</v>
      </c>
      <c r="I6">
        <v>7.9</v>
      </c>
      <c r="J6">
        <v>8.6</v>
      </c>
      <c r="K6">
        <v>20</v>
      </c>
      <c r="L6">
        <v>12</v>
      </c>
      <c r="M6">
        <v>8.6999999999999993</v>
      </c>
      <c r="N6">
        <v>10.4</v>
      </c>
      <c r="O6">
        <v>12</v>
      </c>
      <c r="P6">
        <v>10.9</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476</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tbl-dm-hospital-rande-aar</v>
      </c>
    </row>
    <row r="4" spans="1:16">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1245</v>
      </c>
      <c r="G5" t="s">
        <v>220</v>
      </c>
      <c r="H5" t="s">
        <v>18</v>
      </c>
      <c r="I5" t="s">
        <v>537</v>
      </c>
      <c r="J5" t="s">
        <v>449</v>
      </c>
      <c r="K5" t="s">
        <v>409</v>
      </c>
      <c r="L5" t="s">
        <v>421</v>
      </c>
      <c r="M5" t="s">
        <v>470</v>
      </c>
      <c r="N5" t="s">
        <v>914</v>
      </c>
      <c r="O5" t="s">
        <v>915</v>
      </c>
    </row>
    <row r="6" spans="1:16" ht="15" customHeight="1">
      <c r="A6" t="s">
        <v>891</v>
      </c>
      <c r="B6" t="b">
        <v>0</v>
      </c>
      <c r="E6" s="99"/>
      <c r="F6" t="s">
        <v>929</v>
      </c>
      <c r="G6">
        <v>140.6</v>
      </c>
      <c r="H6">
        <v>157.19999999999999</v>
      </c>
      <c r="I6">
        <v>105.3</v>
      </c>
      <c r="J6">
        <v>113.7</v>
      </c>
      <c r="K6">
        <v>188.1</v>
      </c>
      <c r="L6">
        <v>149.69999999999999</v>
      </c>
      <c r="M6">
        <v>87.6</v>
      </c>
      <c r="N6">
        <v>145.5</v>
      </c>
      <c r="O6">
        <v>136.30000000000001</v>
      </c>
    </row>
    <row r="7" spans="1:16" ht="15.75" customHeight="1">
      <c r="E7" s="99"/>
      <c r="F7" t="s">
        <v>1571</v>
      </c>
      <c r="G7">
        <v>122.9</v>
      </c>
      <c r="H7">
        <v>298.3</v>
      </c>
      <c r="I7">
        <v>67.8</v>
      </c>
      <c r="J7">
        <v>251.3</v>
      </c>
      <c r="K7">
        <v>372.4</v>
      </c>
      <c r="L7">
        <v>251.8</v>
      </c>
      <c r="M7">
        <v>272.2</v>
      </c>
      <c r="N7">
        <v>334.5</v>
      </c>
      <c r="O7">
        <v>295.3</v>
      </c>
    </row>
    <row r="8" spans="1:16">
      <c r="E8" s="99"/>
      <c r="F8" t="s">
        <v>1844</v>
      </c>
      <c r="G8">
        <v>59.5</v>
      </c>
      <c r="H8">
        <v>91.1</v>
      </c>
      <c r="I8">
        <v>49.4</v>
      </c>
      <c r="J8">
        <v>87.3</v>
      </c>
      <c r="K8">
        <v>93.6</v>
      </c>
      <c r="L8">
        <v>79.7</v>
      </c>
      <c r="M8">
        <v>66.5</v>
      </c>
      <c r="N8">
        <v>112</v>
      </c>
      <c r="O8">
        <v>110.2</v>
      </c>
      <c r="P8" s="14"/>
    </row>
    <row r="9" spans="1:16">
      <c r="A9" s="98" t="s">
        <v>893</v>
      </c>
      <c r="B9" s="99"/>
      <c r="E9" s="99"/>
      <c r="F9" t="s">
        <v>927</v>
      </c>
      <c r="G9">
        <v>127.6</v>
      </c>
      <c r="H9">
        <v>185.6</v>
      </c>
      <c r="I9">
        <v>87.2</v>
      </c>
      <c r="J9">
        <v>176.8</v>
      </c>
      <c r="K9">
        <v>207.2</v>
      </c>
      <c r="L9">
        <v>172.9</v>
      </c>
      <c r="M9">
        <v>118.6</v>
      </c>
      <c r="N9">
        <v>183.9</v>
      </c>
      <c r="O9">
        <v>233.8</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473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tbl-mddx-predm-dm-percent</v>
      </c>
    </row>
    <row r="4" spans="1:16">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1963</v>
      </c>
      <c r="G5" t="s">
        <v>220</v>
      </c>
      <c r="H5" t="s">
        <v>18</v>
      </c>
      <c r="I5" t="s">
        <v>537</v>
      </c>
      <c r="J5" t="s">
        <v>449</v>
      </c>
      <c r="K5" t="s">
        <v>409</v>
      </c>
      <c r="L5" t="s">
        <v>421</v>
      </c>
      <c r="M5" t="s">
        <v>470</v>
      </c>
      <c r="N5" t="s">
        <v>898</v>
      </c>
      <c r="O5" t="s">
        <v>914</v>
      </c>
      <c r="P5" t="s">
        <v>915</v>
      </c>
    </row>
    <row r="6" spans="1:16" ht="15" customHeight="1">
      <c r="A6" t="s">
        <v>891</v>
      </c>
      <c r="B6" t="b">
        <v>0</v>
      </c>
      <c r="E6" s="99"/>
      <c r="F6" t="s">
        <v>1964</v>
      </c>
      <c r="G6">
        <v>12.7</v>
      </c>
      <c r="H6">
        <v>12.4</v>
      </c>
      <c r="I6">
        <v>6.7</v>
      </c>
      <c r="J6">
        <v>12.6</v>
      </c>
      <c r="K6">
        <v>13.3</v>
      </c>
      <c r="L6">
        <v>6</v>
      </c>
      <c r="M6">
        <v>10.7</v>
      </c>
      <c r="N6">
        <v>10.6</v>
      </c>
      <c r="O6">
        <v>10.1</v>
      </c>
      <c r="P6">
        <v>11.4</v>
      </c>
    </row>
    <row r="7" spans="1:16" ht="15.75" customHeight="1">
      <c r="E7" s="99"/>
      <c r="F7" t="s">
        <v>1052</v>
      </c>
      <c r="G7">
        <v>9.1</v>
      </c>
      <c r="H7">
        <v>7.3</v>
      </c>
      <c r="I7">
        <v>4.7</v>
      </c>
      <c r="J7">
        <v>9.4</v>
      </c>
      <c r="K7">
        <v>7.9</v>
      </c>
      <c r="L7">
        <v>11.4</v>
      </c>
      <c r="M7">
        <v>8.6</v>
      </c>
      <c r="N7">
        <v>9</v>
      </c>
      <c r="O7">
        <v>9.4</v>
      </c>
      <c r="P7">
        <v>10.199999999999999</v>
      </c>
    </row>
    <row r="8" spans="1:16">
      <c r="E8" s="99"/>
      <c r="P8" s="14"/>
    </row>
    <row r="9" spans="1:16">
      <c r="A9" s="98" t="s">
        <v>893</v>
      </c>
      <c r="B9" s="99"/>
      <c r="E9" s="99"/>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473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tbl-mddx-predm-dm-percent</v>
      </c>
    </row>
    <row r="4" spans="1:16">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887</v>
      </c>
      <c r="G5" t="s">
        <v>220</v>
      </c>
      <c r="H5" t="s">
        <v>18</v>
      </c>
      <c r="I5" t="s">
        <v>537</v>
      </c>
      <c r="J5" t="s">
        <v>449</v>
      </c>
      <c r="K5" t="s">
        <v>409</v>
      </c>
      <c r="L5" t="s">
        <v>421</v>
      </c>
      <c r="M5" t="s">
        <v>470</v>
      </c>
      <c r="N5" t="s">
        <v>914</v>
      </c>
      <c r="O5" t="s">
        <v>915</v>
      </c>
    </row>
    <row r="6" spans="1:16" ht="15" customHeight="1">
      <c r="A6" t="s">
        <v>891</v>
      </c>
      <c r="B6" t="b">
        <v>0</v>
      </c>
      <c r="E6" s="99"/>
      <c r="F6">
        <v>2021</v>
      </c>
      <c r="G6">
        <v>168.5</v>
      </c>
      <c r="H6">
        <v>195.4</v>
      </c>
      <c r="I6">
        <v>115.1</v>
      </c>
      <c r="J6">
        <v>158.1</v>
      </c>
      <c r="K6">
        <v>213.3</v>
      </c>
      <c r="L6">
        <v>170.5</v>
      </c>
      <c r="M6">
        <v>157.30000000000001</v>
      </c>
      <c r="N6">
        <v>165.5</v>
      </c>
      <c r="O6">
        <v>176.6</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477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tbl-highbs-dm-percent</v>
      </c>
    </row>
    <row r="4" spans="1:16">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887</v>
      </c>
      <c r="G5" t="s">
        <v>220</v>
      </c>
      <c r="H5" t="s">
        <v>18</v>
      </c>
      <c r="I5" t="s">
        <v>537</v>
      </c>
      <c r="J5" t="s">
        <v>449</v>
      </c>
      <c r="K5" t="s">
        <v>409</v>
      </c>
      <c r="L5" t="s">
        <v>421</v>
      </c>
      <c r="M5" t="s">
        <v>470</v>
      </c>
      <c r="N5" t="s">
        <v>898</v>
      </c>
      <c r="O5" t="s">
        <v>914</v>
      </c>
      <c r="P5" t="s">
        <v>915</v>
      </c>
    </row>
    <row r="6" spans="1:16" ht="15" customHeight="1">
      <c r="A6" t="s">
        <v>891</v>
      </c>
      <c r="B6" t="b">
        <v>0</v>
      </c>
      <c r="E6" s="99"/>
      <c r="F6" t="s">
        <v>1965</v>
      </c>
      <c r="G6">
        <v>56.4</v>
      </c>
      <c r="H6">
        <v>57.7</v>
      </c>
      <c r="I6">
        <v>59.3</v>
      </c>
      <c r="J6">
        <v>59.5</v>
      </c>
      <c r="K6">
        <v>55.5</v>
      </c>
      <c r="L6">
        <v>51.8</v>
      </c>
      <c r="M6">
        <v>57.8</v>
      </c>
      <c r="N6">
        <v>57.4</v>
      </c>
      <c r="O6">
        <v>57.2</v>
      </c>
      <c r="P6">
        <v>59.1</v>
      </c>
    </row>
    <row r="7" spans="1:16" ht="15.75" customHeight="1">
      <c r="E7" s="99"/>
      <c r="F7">
        <v>2016</v>
      </c>
      <c r="G7">
        <v>60.8</v>
      </c>
      <c r="H7">
        <v>59.5</v>
      </c>
      <c r="I7">
        <v>55.9</v>
      </c>
      <c r="J7">
        <v>57.9</v>
      </c>
      <c r="K7">
        <v>61.8</v>
      </c>
      <c r="L7">
        <v>55.3</v>
      </c>
      <c r="M7">
        <v>55.2</v>
      </c>
      <c r="N7">
        <v>57.4</v>
      </c>
      <c r="O7">
        <v>56.8</v>
      </c>
      <c r="P7">
        <v>57.9</v>
      </c>
    </row>
    <row r="8" spans="1:16">
      <c r="E8" s="99"/>
      <c r="F8">
        <v>2018</v>
      </c>
      <c r="G8">
        <v>48.1</v>
      </c>
      <c r="H8">
        <v>50.7</v>
      </c>
      <c r="I8">
        <v>50</v>
      </c>
      <c r="J8">
        <v>53.2</v>
      </c>
      <c r="K8">
        <v>55.6</v>
      </c>
      <c r="L8">
        <v>45.4</v>
      </c>
      <c r="M8">
        <v>51.1</v>
      </c>
      <c r="N8">
        <v>50.2</v>
      </c>
      <c r="O8">
        <v>48</v>
      </c>
      <c r="P8" s="14">
        <v>51</v>
      </c>
    </row>
    <row r="9" spans="1:16">
      <c r="A9" s="98" t="s">
        <v>893</v>
      </c>
      <c r="B9" s="99"/>
      <c r="E9" s="99"/>
      <c r="F9">
        <v>2021</v>
      </c>
      <c r="G9">
        <v>47.7</v>
      </c>
      <c r="H9">
        <v>55.3</v>
      </c>
      <c r="I9">
        <v>57.7</v>
      </c>
      <c r="J9">
        <v>45.4</v>
      </c>
      <c r="K9">
        <v>53.9</v>
      </c>
      <c r="L9">
        <v>47</v>
      </c>
      <c r="M9">
        <v>51.3</v>
      </c>
      <c r="N9">
        <v>49.7</v>
      </c>
      <c r="O9">
        <v>49.2</v>
      </c>
      <c r="P9">
        <v>50.2</v>
      </c>
    </row>
    <row r="10" spans="1:16">
      <c r="A10" t="s">
        <v>894</v>
      </c>
      <c r="B10" t="s">
        <v>972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478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tbl-dm-mortal-aar</v>
      </c>
    </row>
    <row r="4" spans="1:16">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887</v>
      </c>
      <c r="G5" t="s">
        <v>220</v>
      </c>
      <c r="H5" t="s">
        <v>18</v>
      </c>
      <c r="I5" t="s">
        <v>537</v>
      </c>
      <c r="J5" t="s">
        <v>449</v>
      </c>
      <c r="K5" t="s">
        <v>409</v>
      </c>
      <c r="L5" t="s">
        <v>421</v>
      </c>
      <c r="M5" t="s">
        <v>470</v>
      </c>
      <c r="N5" t="s">
        <v>914</v>
      </c>
      <c r="O5" t="s">
        <v>915</v>
      </c>
    </row>
    <row r="6" spans="1:16" ht="15" customHeight="1">
      <c r="A6" t="s">
        <v>891</v>
      </c>
      <c r="B6" t="b">
        <v>0</v>
      </c>
      <c r="E6" s="99"/>
      <c r="F6">
        <v>2018</v>
      </c>
      <c r="G6">
        <v>13.4</v>
      </c>
      <c r="H6">
        <v>16.2</v>
      </c>
      <c r="I6">
        <v>9.1999999999999993</v>
      </c>
      <c r="J6">
        <v>12.4</v>
      </c>
      <c r="K6">
        <v>21.6</v>
      </c>
      <c r="L6">
        <v>15</v>
      </c>
      <c r="M6">
        <v>11.2</v>
      </c>
      <c r="N6">
        <v>16.600000000000001</v>
      </c>
      <c r="O6">
        <v>18</v>
      </c>
    </row>
    <row r="7" spans="1:16" ht="15.75" customHeight="1">
      <c r="E7" s="99"/>
      <c r="F7">
        <v>2019</v>
      </c>
      <c r="G7">
        <v>13.9</v>
      </c>
      <c r="H7">
        <v>17.399999999999999</v>
      </c>
      <c r="I7">
        <v>13.9</v>
      </c>
      <c r="J7">
        <v>13.1</v>
      </c>
      <c r="K7">
        <v>20.9</v>
      </c>
      <c r="L7">
        <v>15.7</v>
      </c>
      <c r="M7">
        <v>13.2</v>
      </c>
      <c r="N7" t="s">
        <v>900</v>
      </c>
      <c r="O7">
        <v>18.100000000000001</v>
      </c>
    </row>
    <row r="8" spans="1:16">
      <c r="E8" s="99"/>
      <c r="F8">
        <v>2020</v>
      </c>
      <c r="G8">
        <v>13.9</v>
      </c>
      <c r="H8">
        <v>17.899999999999999</v>
      </c>
      <c r="I8">
        <v>17.2</v>
      </c>
      <c r="J8">
        <v>13</v>
      </c>
      <c r="K8">
        <v>23.3</v>
      </c>
      <c r="L8">
        <v>16</v>
      </c>
      <c r="M8">
        <v>13.6</v>
      </c>
      <c r="N8" t="s">
        <v>900</v>
      </c>
      <c r="O8">
        <v>21.6</v>
      </c>
      <c r="P8" s="14"/>
    </row>
    <row r="9" spans="1:16">
      <c r="A9" s="98" t="s">
        <v>893</v>
      </c>
      <c r="B9" s="99"/>
      <c r="E9" s="99"/>
      <c r="F9">
        <v>2021</v>
      </c>
      <c r="G9">
        <v>14</v>
      </c>
      <c r="H9">
        <v>18.399999999999999</v>
      </c>
      <c r="I9">
        <v>18.600000000000001</v>
      </c>
      <c r="J9">
        <v>15.2</v>
      </c>
      <c r="K9">
        <v>25.5</v>
      </c>
      <c r="L9">
        <v>15.9</v>
      </c>
      <c r="M9">
        <v>13.5</v>
      </c>
      <c r="N9">
        <v>19.899999999999999</v>
      </c>
      <c r="O9">
        <v>18.7</v>
      </c>
    </row>
    <row r="10" spans="1:16">
      <c r="A10" t="s">
        <v>894</v>
      </c>
      <c r="B10" t="s">
        <v>972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480</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tbl-dm-mortal-rande-aar</v>
      </c>
    </row>
    <row r="4" spans="1:16">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1245</v>
      </c>
      <c r="G5" t="s">
        <v>220</v>
      </c>
      <c r="H5" t="s">
        <v>18</v>
      </c>
      <c r="I5" t="s">
        <v>537</v>
      </c>
      <c r="J5" t="s">
        <v>449</v>
      </c>
      <c r="K5" t="s">
        <v>409</v>
      </c>
      <c r="L5" t="s">
        <v>421</v>
      </c>
      <c r="M5" t="s">
        <v>470</v>
      </c>
      <c r="N5" t="s">
        <v>914</v>
      </c>
      <c r="O5" t="s">
        <v>915</v>
      </c>
    </row>
    <row r="6" spans="1:16" ht="15" customHeight="1">
      <c r="A6" t="s">
        <v>891</v>
      </c>
      <c r="B6" t="b">
        <v>0</v>
      </c>
      <c r="E6" s="99"/>
      <c r="F6" t="s">
        <v>929</v>
      </c>
      <c r="G6">
        <v>12</v>
      </c>
      <c r="H6">
        <v>16.600000000000001</v>
      </c>
      <c r="I6">
        <v>18.600000000000001</v>
      </c>
      <c r="J6">
        <v>11.6</v>
      </c>
      <c r="K6">
        <v>23.7</v>
      </c>
      <c r="L6">
        <v>14.9</v>
      </c>
      <c r="M6">
        <v>9.8000000000000007</v>
      </c>
      <c r="N6">
        <v>18.5</v>
      </c>
      <c r="O6">
        <v>16.7</v>
      </c>
    </row>
    <row r="7" spans="1:16" ht="15.75" customHeight="1">
      <c r="E7" s="99"/>
      <c r="F7" t="s">
        <v>1571</v>
      </c>
      <c r="G7">
        <v>40.799999999999997</v>
      </c>
      <c r="H7">
        <v>33.299999999999997</v>
      </c>
      <c r="I7" t="s">
        <v>1966</v>
      </c>
      <c r="J7">
        <v>29.4</v>
      </c>
      <c r="K7">
        <v>74.8</v>
      </c>
      <c r="L7" t="s">
        <v>1967</v>
      </c>
      <c r="M7">
        <v>30.7</v>
      </c>
      <c r="N7">
        <v>38.700000000000003</v>
      </c>
      <c r="O7">
        <v>33.6</v>
      </c>
    </row>
    <row r="8" spans="1:16">
      <c r="E8" s="99"/>
      <c r="F8" t="s">
        <v>1844</v>
      </c>
      <c r="G8" t="s">
        <v>1968</v>
      </c>
      <c r="H8" t="s">
        <v>1938</v>
      </c>
      <c r="I8" t="s">
        <v>1969</v>
      </c>
      <c r="J8">
        <v>17.8</v>
      </c>
      <c r="K8" t="s">
        <v>1970</v>
      </c>
      <c r="L8" t="s">
        <v>1971</v>
      </c>
      <c r="M8">
        <v>8.1999999999999993</v>
      </c>
      <c r="N8">
        <v>16.5</v>
      </c>
      <c r="O8">
        <v>13.7</v>
      </c>
      <c r="P8" s="14"/>
    </row>
    <row r="9" spans="1:16">
      <c r="A9" s="98" t="s">
        <v>893</v>
      </c>
      <c r="B9" s="99"/>
      <c r="E9" s="99"/>
      <c r="F9" t="s">
        <v>927</v>
      </c>
      <c r="G9">
        <v>4</v>
      </c>
      <c r="H9">
        <v>25.6</v>
      </c>
      <c r="I9" t="s">
        <v>1972</v>
      </c>
      <c r="J9">
        <v>11.8</v>
      </c>
      <c r="K9" t="s">
        <v>1973</v>
      </c>
      <c r="L9" t="s">
        <v>1973</v>
      </c>
      <c r="M9">
        <v>16.5</v>
      </c>
      <c r="N9">
        <v>17.600000000000001</v>
      </c>
      <c r="O9">
        <v>19.399999999999999</v>
      </c>
    </row>
    <row r="10" spans="1:16">
      <c r="A10" t="s">
        <v>894</v>
      </c>
      <c r="B10" t="s">
        <v>972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tbl-adult-oando-percent</v>
      </c>
    </row>
    <row r="4" spans="1:16">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887</v>
      </c>
      <c r="G5" t="s">
        <v>220</v>
      </c>
      <c r="H5" t="s">
        <v>18</v>
      </c>
      <c r="I5" t="s">
        <v>537</v>
      </c>
      <c r="J5" t="s">
        <v>449</v>
      </c>
      <c r="K5" t="s">
        <v>409</v>
      </c>
      <c r="L5" t="s">
        <v>421</v>
      </c>
      <c r="M5" t="s">
        <v>470</v>
      </c>
      <c r="N5" t="s">
        <v>914</v>
      </c>
      <c r="O5" t="s">
        <v>915</v>
      </c>
    </row>
    <row r="6" spans="1:16" ht="15" customHeight="1">
      <c r="A6" t="s">
        <v>891</v>
      </c>
      <c r="B6" t="b">
        <v>0</v>
      </c>
      <c r="E6" s="99"/>
      <c r="F6" t="s">
        <v>1974</v>
      </c>
      <c r="G6">
        <v>63.7</v>
      </c>
      <c r="H6">
        <v>67.599999999999994</v>
      </c>
      <c r="I6">
        <v>59</v>
      </c>
      <c r="J6">
        <v>64.2</v>
      </c>
      <c r="K6">
        <v>63</v>
      </c>
      <c r="L6">
        <v>59.9</v>
      </c>
      <c r="M6">
        <v>58.2</v>
      </c>
      <c r="N6">
        <v>62.3</v>
      </c>
      <c r="O6">
        <v>62.3</v>
      </c>
    </row>
    <row r="7" spans="1:16" ht="15.75" customHeight="1">
      <c r="E7" s="99"/>
      <c r="F7">
        <v>2016</v>
      </c>
      <c r="G7">
        <v>61.2</v>
      </c>
      <c r="H7">
        <v>69.599999999999994</v>
      </c>
      <c r="I7">
        <v>52.5</v>
      </c>
      <c r="J7">
        <v>55.6</v>
      </c>
      <c r="K7">
        <v>64.599999999999994</v>
      </c>
      <c r="L7">
        <v>64.400000000000006</v>
      </c>
      <c r="M7">
        <v>56.2</v>
      </c>
      <c r="N7">
        <v>63.6</v>
      </c>
      <c r="O7">
        <v>63.6</v>
      </c>
    </row>
    <row r="8" spans="1:16">
      <c r="E8" s="99"/>
      <c r="F8">
        <v>2018</v>
      </c>
      <c r="G8">
        <v>61.6</v>
      </c>
      <c r="H8">
        <v>64.7</v>
      </c>
      <c r="I8">
        <v>63.7</v>
      </c>
      <c r="J8">
        <v>59.4</v>
      </c>
      <c r="K8">
        <v>69.900000000000006</v>
      </c>
      <c r="L8">
        <v>63.2</v>
      </c>
      <c r="M8">
        <v>59.7</v>
      </c>
      <c r="N8">
        <v>64.400000000000006</v>
      </c>
      <c r="O8">
        <v>64.400000000000006</v>
      </c>
      <c r="P8" s="14"/>
    </row>
    <row r="9" spans="1:16">
      <c r="A9" s="98" t="s">
        <v>893</v>
      </c>
      <c r="B9" s="99"/>
      <c r="E9" s="99"/>
      <c r="F9">
        <v>2021</v>
      </c>
      <c r="G9">
        <v>67.099999999999994</v>
      </c>
      <c r="H9">
        <v>75.099999999999994</v>
      </c>
      <c r="I9">
        <v>65.099999999999994</v>
      </c>
      <c r="J9">
        <v>62.5</v>
      </c>
      <c r="K9">
        <v>64.900000000000006</v>
      </c>
      <c r="L9">
        <v>62.5</v>
      </c>
      <c r="M9">
        <v>59.4</v>
      </c>
      <c r="N9">
        <v>66.7</v>
      </c>
      <c r="O9">
        <v>66.7</v>
      </c>
    </row>
    <row r="10" spans="1:16">
      <c r="A10" t="s">
        <v>894</v>
      </c>
      <c r="B10" t="s">
        <v>972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483</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tbl-adult-obese-percent</v>
      </c>
    </row>
    <row r="4" spans="1:16">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F5" t="s">
        <v>887</v>
      </c>
      <c r="G5" t="s">
        <v>220</v>
      </c>
      <c r="H5" t="s">
        <v>18</v>
      </c>
      <c r="I5" t="s">
        <v>537</v>
      </c>
      <c r="J5" t="s">
        <v>449</v>
      </c>
      <c r="K5" t="s">
        <v>409</v>
      </c>
      <c r="L5" t="s">
        <v>421</v>
      </c>
      <c r="M5" t="s">
        <v>470</v>
      </c>
      <c r="N5" t="s">
        <v>914</v>
      </c>
      <c r="O5" t="s">
        <v>915</v>
      </c>
    </row>
    <row r="6" spans="1:16" ht="15" customHeight="1">
      <c r="A6" t="s">
        <v>891</v>
      </c>
      <c r="B6" t="b">
        <v>0</v>
      </c>
      <c r="E6" s="99"/>
      <c r="F6" t="s">
        <v>1974</v>
      </c>
      <c r="G6">
        <v>25.5</v>
      </c>
      <c r="H6">
        <v>32.5</v>
      </c>
      <c r="I6">
        <v>20.5</v>
      </c>
      <c r="J6">
        <v>23.1</v>
      </c>
      <c r="K6">
        <v>27.7</v>
      </c>
      <c r="L6">
        <v>26.4</v>
      </c>
      <c r="M6">
        <v>21</v>
      </c>
      <c r="N6" t="s">
        <v>900</v>
      </c>
      <c r="O6">
        <v>27.4</v>
      </c>
    </row>
    <row r="7" spans="1:16" ht="15.75" customHeight="1">
      <c r="E7" s="99"/>
      <c r="F7">
        <v>2016</v>
      </c>
      <c r="G7">
        <v>27</v>
      </c>
      <c r="H7">
        <v>29.7</v>
      </c>
      <c r="I7">
        <v>19.2</v>
      </c>
      <c r="J7">
        <v>20.7</v>
      </c>
      <c r="K7">
        <v>32.9</v>
      </c>
      <c r="L7">
        <v>31.8</v>
      </c>
      <c r="M7">
        <v>17.7</v>
      </c>
      <c r="N7">
        <v>23.1</v>
      </c>
      <c r="O7">
        <v>27.5</v>
      </c>
    </row>
    <row r="8" spans="1:16">
      <c r="E8" s="99"/>
      <c r="F8">
        <v>2018</v>
      </c>
      <c r="G8">
        <v>27.4</v>
      </c>
      <c r="H8">
        <v>24.3</v>
      </c>
      <c r="I8">
        <v>27.8</v>
      </c>
      <c r="J8">
        <v>27</v>
      </c>
      <c r="K8">
        <v>38.9</v>
      </c>
      <c r="L8">
        <v>28</v>
      </c>
      <c r="M8">
        <v>24.1</v>
      </c>
      <c r="N8">
        <v>25.3</v>
      </c>
      <c r="O8">
        <v>29.7</v>
      </c>
      <c r="P8" s="14"/>
    </row>
    <row r="9" spans="1:16">
      <c r="A9" s="98" t="s">
        <v>893</v>
      </c>
      <c r="B9" s="99"/>
      <c r="E9" s="99"/>
      <c r="F9">
        <v>2021</v>
      </c>
      <c r="G9">
        <v>31.4</v>
      </c>
      <c r="H9">
        <v>38.5</v>
      </c>
      <c r="I9">
        <v>31.6</v>
      </c>
      <c r="J9">
        <v>23.1</v>
      </c>
      <c r="K9">
        <v>33.299999999999997</v>
      </c>
      <c r="L9">
        <v>32.299999999999997</v>
      </c>
      <c r="M9">
        <v>26.5</v>
      </c>
      <c r="N9">
        <v>29.8</v>
      </c>
      <c r="O9">
        <v>32.1</v>
      </c>
    </row>
    <row r="10" spans="1:16">
      <c r="A10" t="s">
        <v>894</v>
      </c>
      <c r="B10" t="s">
        <v>972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484</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tbl-child-oando-percent</v>
      </c>
    </row>
    <row r="4" spans="1:16">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t="s">
        <v>887</v>
      </c>
      <c r="G5" t="s">
        <v>220</v>
      </c>
      <c r="H5" t="s">
        <v>18</v>
      </c>
      <c r="I5" t="s">
        <v>537</v>
      </c>
      <c r="J5" t="s">
        <v>449</v>
      </c>
      <c r="K5" t="s">
        <v>409</v>
      </c>
      <c r="L5" t="s">
        <v>421</v>
      </c>
      <c r="M5" t="s">
        <v>470</v>
      </c>
      <c r="N5" t="s">
        <v>914</v>
      </c>
    </row>
    <row r="6" spans="1:16" ht="15" customHeight="1">
      <c r="A6" t="s">
        <v>891</v>
      </c>
      <c r="B6" t="b">
        <v>0</v>
      </c>
      <c r="E6" s="99"/>
      <c r="F6" t="s">
        <v>1975</v>
      </c>
      <c r="G6">
        <v>33.799999999999997</v>
      </c>
      <c r="H6">
        <v>33</v>
      </c>
      <c r="I6">
        <v>31.4</v>
      </c>
      <c r="J6">
        <v>34.200000000000003</v>
      </c>
      <c r="K6">
        <v>39</v>
      </c>
      <c r="L6">
        <v>37</v>
      </c>
      <c r="M6">
        <v>27.8</v>
      </c>
      <c r="N6">
        <v>33.9</v>
      </c>
    </row>
    <row r="7" spans="1:16" ht="15.75" customHeight="1">
      <c r="E7" s="99"/>
      <c r="F7" t="s">
        <v>1976</v>
      </c>
      <c r="G7">
        <v>33.5</v>
      </c>
      <c r="H7">
        <v>36.200000000000003</v>
      </c>
      <c r="I7">
        <v>32.1</v>
      </c>
      <c r="J7">
        <v>33.9</v>
      </c>
      <c r="K7">
        <v>37.700000000000003</v>
      </c>
      <c r="L7">
        <v>37</v>
      </c>
      <c r="M7">
        <v>28.6</v>
      </c>
      <c r="N7">
        <v>33.700000000000003</v>
      </c>
    </row>
    <row r="8" spans="1:16">
      <c r="E8" s="99"/>
      <c r="F8" t="s">
        <v>1638</v>
      </c>
      <c r="G8">
        <v>35.5</v>
      </c>
      <c r="H8">
        <v>35.200000000000003</v>
      </c>
      <c r="I8">
        <v>32.9</v>
      </c>
      <c r="J8">
        <v>34</v>
      </c>
      <c r="K8">
        <v>41.2</v>
      </c>
      <c r="L8">
        <v>38.200000000000003</v>
      </c>
      <c r="M8">
        <v>31</v>
      </c>
      <c r="N8">
        <v>34.799999999999997</v>
      </c>
      <c r="P8" s="14"/>
    </row>
    <row r="9" spans="1:16">
      <c r="A9" s="98" t="s">
        <v>893</v>
      </c>
      <c r="B9" s="99"/>
      <c r="E9" s="99"/>
      <c r="F9" t="s">
        <v>1977</v>
      </c>
      <c r="G9">
        <v>35.700000000000003</v>
      </c>
      <c r="H9">
        <v>38.700000000000003</v>
      </c>
      <c r="I9">
        <v>34.700000000000003</v>
      </c>
      <c r="J9">
        <v>36.1</v>
      </c>
      <c r="K9">
        <v>41.6</v>
      </c>
      <c r="L9">
        <v>40.4</v>
      </c>
      <c r="M9">
        <v>29.6</v>
      </c>
      <c r="N9" t="s">
        <v>900</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694</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tbl-cirrhosis-hospital-aar</v>
      </c>
    </row>
    <row r="4" spans="1:16">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c r="A5" s="98" t="s">
        <v>885</v>
      </c>
      <c r="B5" s="99"/>
      <c r="E5" s="100" t="s">
        <v>886</v>
      </c>
      <c r="F5" t="s">
        <v>887</v>
      </c>
      <c r="G5" t="s">
        <v>220</v>
      </c>
      <c r="H5" t="s">
        <v>18</v>
      </c>
      <c r="I5" t="s">
        <v>537</v>
      </c>
      <c r="J5" t="s">
        <v>449</v>
      </c>
      <c r="K5" t="s">
        <v>409</v>
      </c>
      <c r="L5" t="s">
        <v>421</v>
      </c>
      <c r="M5" t="s">
        <v>470</v>
      </c>
      <c r="N5" t="s">
        <v>898</v>
      </c>
      <c r="O5" t="s">
        <v>914</v>
      </c>
      <c r="P5" t="s">
        <v>915</v>
      </c>
    </row>
    <row r="6" spans="1:16" ht="15" customHeight="1">
      <c r="A6" t="s">
        <v>891</v>
      </c>
      <c r="B6" t="b">
        <v>0</v>
      </c>
      <c r="E6" s="99"/>
      <c r="F6" t="s">
        <v>1405</v>
      </c>
      <c r="G6">
        <v>4.5999999999999996</v>
      </c>
      <c r="H6">
        <v>4</v>
      </c>
      <c r="I6">
        <v>3</v>
      </c>
      <c r="J6">
        <v>3</v>
      </c>
      <c r="K6">
        <v>2.9</v>
      </c>
      <c r="L6">
        <v>5.0999999999999996</v>
      </c>
      <c r="M6">
        <v>3.4</v>
      </c>
      <c r="N6">
        <v>3.7</v>
      </c>
      <c r="O6">
        <v>3.8</v>
      </c>
      <c r="P6">
        <v>3.9</v>
      </c>
    </row>
    <row r="7" spans="1:16" ht="15.75" customHeight="1">
      <c r="E7" s="99"/>
    </row>
    <row r="8" spans="1:16">
      <c r="E8" s="99"/>
      <c r="P8" s="14"/>
    </row>
    <row r="9" spans="1:16">
      <c r="A9" s="98" t="s">
        <v>893</v>
      </c>
      <c r="B9" s="99"/>
      <c r="E9" s="99"/>
    </row>
    <row r="10" spans="1:16">
      <c r="A10" t="s">
        <v>894</v>
      </c>
      <c r="B10" t="s">
        <v>1002</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708</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488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tbl-cirrhosis-hospital-aar</v>
      </c>
    </row>
    <row r="4" spans="1:16">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G5" s="101" t="s">
        <v>1798</v>
      </c>
      <c r="H5" s="101"/>
      <c r="I5" s="101"/>
      <c r="J5" s="101"/>
      <c r="K5" s="101"/>
      <c r="L5" s="101"/>
      <c r="M5" s="101"/>
      <c r="N5" t="s">
        <v>1799</v>
      </c>
    </row>
    <row r="6" spans="1:16" ht="15" customHeight="1">
      <c r="A6" t="s">
        <v>891</v>
      </c>
      <c r="B6" t="b">
        <v>1</v>
      </c>
      <c r="E6" s="99"/>
      <c r="F6" t="s">
        <v>887</v>
      </c>
      <c r="G6" t="s">
        <v>220</v>
      </c>
      <c r="H6" t="s">
        <v>18</v>
      </c>
      <c r="I6" t="s">
        <v>537</v>
      </c>
      <c r="J6" t="s">
        <v>449</v>
      </c>
      <c r="K6" t="s">
        <v>409</v>
      </c>
      <c r="L6" t="s">
        <v>421</v>
      </c>
      <c r="M6" t="s">
        <v>470</v>
      </c>
      <c r="N6" t="s">
        <v>915</v>
      </c>
    </row>
    <row r="7" spans="1:16" ht="15.75" customHeight="1">
      <c r="E7" s="99"/>
      <c r="F7">
        <v>2014</v>
      </c>
      <c r="G7">
        <v>6.9</v>
      </c>
      <c r="H7">
        <v>6.6</v>
      </c>
      <c r="I7">
        <v>7</v>
      </c>
      <c r="J7">
        <v>5.5</v>
      </c>
      <c r="K7">
        <v>8.4</v>
      </c>
      <c r="L7">
        <v>6</v>
      </c>
      <c r="M7">
        <v>4.5999999999999996</v>
      </c>
      <c r="N7">
        <v>6.7</v>
      </c>
    </row>
    <row r="8" spans="1:16">
      <c r="E8" s="99"/>
      <c r="F8">
        <v>2015</v>
      </c>
      <c r="G8">
        <v>6.1</v>
      </c>
      <c r="H8">
        <v>6</v>
      </c>
      <c r="I8">
        <v>8.3000000000000007</v>
      </c>
      <c r="J8">
        <v>5.8</v>
      </c>
      <c r="K8">
        <v>9.1999999999999993</v>
      </c>
      <c r="L8">
        <v>8.1999999999999993</v>
      </c>
      <c r="M8">
        <v>4.5999999999999996</v>
      </c>
      <c r="N8">
        <v>6.7</v>
      </c>
      <c r="P8" s="14"/>
    </row>
    <row r="9" spans="1:16">
      <c r="A9" s="98" t="s">
        <v>893</v>
      </c>
      <c r="B9" s="99"/>
      <c r="E9" s="99"/>
      <c r="F9">
        <v>2016</v>
      </c>
      <c r="G9">
        <v>5.8</v>
      </c>
      <c r="H9">
        <v>6.4</v>
      </c>
      <c r="I9">
        <v>8.3000000000000007</v>
      </c>
      <c r="J9">
        <v>6.4</v>
      </c>
      <c r="K9">
        <v>7.2</v>
      </c>
      <c r="L9">
        <v>8.1999999999999993</v>
      </c>
      <c r="M9">
        <v>5.4</v>
      </c>
      <c r="N9">
        <v>6.9</v>
      </c>
    </row>
    <row r="10" spans="1:16">
      <c r="A10" t="s">
        <v>894</v>
      </c>
      <c r="B10" t="s">
        <v>972</v>
      </c>
      <c r="E10" s="99"/>
      <c r="F10">
        <v>2017</v>
      </c>
      <c r="G10">
        <v>5.4</v>
      </c>
      <c r="H10">
        <v>7.1</v>
      </c>
      <c r="I10">
        <v>5.8</v>
      </c>
      <c r="J10">
        <v>5.2</v>
      </c>
      <c r="K10">
        <v>7.1</v>
      </c>
      <c r="L10">
        <v>8.5</v>
      </c>
      <c r="M10">
        <v>5.7</v>
      </c>
      <c r="N10">
        <v>7</v>
      </c>
    </row>
    <row r="11" spans="1:16">
      <c r="A11" t="s">
        <v>895</v>
      </c>
      <c r="B11" t="s">
        <v>887</v>
      </c>
      <c r="E11" s="99"/>
      <c r="F11" s="46" t="s">
        <v>1978</v>
      </c>
      <c r="G11" s="59">
        <v>4.9000000000000004</v>
      </c>
      <c r="H11" s="59">
        <v>7.5</v>
      </c>
      <c r="I11" s="59">
        <v>4.8</v>
      </c>
      <c r="J11" s="42">
        <v>4.7</v>
      </c>
      <c r="K11" s="42">
        <v>6.9</v>
      </c>
      <c r="L11" s="42">
        <v>7.3</v>
      </c>
      <c r="M11" s="47" t="s">
        <v>1979</v>
      </c>
      <c r="N11" s="47" t="s">
        <v>1480</v>
      </c>
      <c r="O11" s="46"/>
    </row>
    <row r="12" spans="1:16">
      <c r="A12" t="s">
        <v>896</v>
      </c>
      <c r="E12" s="99"/>
      <c r="F12" s="74" t="s">
        <v>1980</v>
      </c>
      <c r="G12" s="42">
        <v>6.3</v>
      </c>
      <c r="H12" s="42">
        <v>7.3</v>
      </c>
      <c r="I12" s="59">
        <v>5.3</v>
      </c>
      <c r="J12" s="59">
        <v>4.3</v>
      </c>
      <c r="K12" s="59">
        <v>6.7</v>
      </c>
      <c r="L12" s="59">
        <v>7.5</v>
      </c>
      <c r="M12" s="46" t="s">
        <v>1981</v>
      </c>
      <c r="N12" s="46" t="s">
        <v>1480</v>
      </c>
      <c r="O12" s="46"/>
    </row>
    <row r="13" spans="1:16">
      <c r="A13" t="s">
        <v>897</v>
      </c>
      <c r="E13" s="99"/>
      <c r="F13" s="47" t="s">
        <v>1982</v>
      </c>
      <c r="G13" s="47" t="s">
        <v>1478</v>
      </c>
      <c r="H13" s="47" t="s">
        <v>1983</v>
      </c>
      <c r="I13" s="46" t="s">
        <v>1477</v>
      </c>
      <c r="J13" s="46" t="s">
        <v>1984</v>
      </c>
      <c r="K13" s="46" t="s">
        <v>1985</v>
      </c>
      <c r="L13" s="46" t="s">
        <v>1480</v>
      </c>
      <c r="M13" s="46" t="s">
        <v>1783</v>
      </c>
      <c r="N13" s="46" t="s">
        <v>1481</v>
      </c>
      <c r="O13" s="46"/>
    </row>
    <row r="14" spans="1:16">
      <c r="A14" t="s">
        <v>899</v>
      </c>
      <c r="B14" t="s">
        <v>715</v>
      </c>
      <c r="E14" s="99"/>
      <c r="F14" s="68" t="s">
        <v>1142</v>
      </c>
      <c r="G14" s="68" t="s">
        <v>1482</v>
      </c>
      <c r="H14" s="68" t="s">
        <v>1477</v>
      </c>
      <c r="I14" s="46" t="s">
        <v>1477</v>
      </c>
      <c r="J14" s="47" t="s">
        <v>1986</v>
      </c>
      <c r="K14" s="47" t="s">
        <v>1987</v>
      </c>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491</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tbl-allca-incident-mortal-aar</v>
      </c>
    </row>
    <row r="4" spans="1:16">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898</v>
      </c>
      <c r="O5" t="s">
        <v>915</v>
      </c>
    </row>
    <row r="6" spans="1:16" ht="15" customHeight="1">
      <c r="A6" t="s">
        <v>891</v>
      </c>
      <c r="B6" t="b">
        <v>0</v>
      </c>
      <c r="E6" s="99"/>
      <c r="F6" t="s">
        <v>1992</v>
      </c>
      <c r="G6">
        <v>458.2</v>
      </c>
      <c r="H6">
        <v>462.4</v>
      </c>
      <c r="I6">
        <v>483.6</v>
      </c>
      <c r="J6">
        <v>453.2</v>
      </c>
      <c r="K6">
        <v>438.4</v>
      </c>
      <c r="L6">
        <v>454.1</v>
      </c>
      <c r="M6">
        <v>444.7</v>
      </c>
      <c r="N6">
        <v>452.4</v>
      </c>
      <c r="O6">
        <v>458.2</v>
      </c>
    </row>
    <row r="7" spans="1:16" ht="15.75" customHeight="1">
      <c r="E7" s="99"/>
      <c r="F7" t="s">
        <v>1851</v>
      </c>
      <c r="G7">
        <v>132.19999999999999</v>
      </c>
      <c r="H7">
        <v>156.4</v>
      </c>
      <c r="I7">
        <v>117.4</v>
      </c>
      <c r="J7">
        <v>101.6</v>
      </c>
      <c r="K7">
        <v>142.30000000000001</v>
      </c>
      <c r="L7">
        <v>138.30000000000001</v>
      </c>
      <c r="M7">
        <v>104.5</v>
      </c>
      <c r="N7">
        <v>119.9</v>
      </c>
      <c r="O7">
        <v>124.8</v>
      </c>
    </row>
    <row r="8" spans="1:16">
      <c r="E8" s="99"/>
      <c r="P8" s="14"/>
    </row>
    <row r="9" spans="1:16">
      <c r="A9" s="98" t="s">
        <v>893</v>
      </c>
      <c r="B9" s="99"/>
      <c r="E9" s="99"/>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495</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tbl-allca-incident-mortal-sex-aar</v>
      </c>
    </row>
    <row r="4" spans="1:16">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915</v>
      </c>
      <c r="O5" t="s">
        <v>914</v>
      </c>
    </row>
    <row r="6" spans="1:16" ht="15" customHeight="1">
      <c r="A6" t="s">
        <v>891</v>
      </c>
      <c r="B6" t="b">
        <v>0</v>
      </c>
      <c r="E6" s="99"/>
      <c r="F6" t="s">
        <v>1988</v>
      </c>
      <c r="G6">
        <v>505</v>
      </c>
      <c r="H6">
        <v>505.8</v>
      </c>
      <c r="I6">
        <v>507.1</v>
      </c>
      <c r="J6">
        <v>502.8</v>
      </c>
      <c r="K6">
        <v>470.6</v>
      </c>
      <c r="L6">
        <v>481.5</v>
      </c>
      <c r="M6">
        <v>490.4</v>
      </c>
      <c r="N6">
        <v>506.1</v>
      </c>
      <c r="O6">
        <v>541.29999999999995</v>
      </c>
    </row>
    <row r="7" spans="1:16" ht="15.75" customHeight="1">
      <c r="E7" s="99"/>
      <c r="F7" t="s">
        <v>1989</v>
      </c>
      <c r="G7">
        <v>445.6</v>
      </c>
      <c r="H7">
        <v>447.5</v>
      </c>
      <c r="I7">
        <v>493.6</v>
      </c>
      <c r="J7">
        <v>442.2</v>
      </c>
      <c r="K7">
        <v>433.4</v>
      </c>
      <c r="L7">
        <v>442.6</v>
      </c>
      <c r="M7">
        <v>440.2</v>
      </c>
      <c r="N7">
        <v>442</v>
      </c>
      <c r="O7">
        <v>471.2</v>
      </c>
    </row>
    <row r="8" spans="1:16">
      <c r="E8" s="99"/>
      <c r="F8" t="s">
        <v>1990</v>
      </c>
      <c r="G8">
        <v>154.9</v>
      </c>
      <c r="H8">
        <v>186.5</v>
      </c>
      <c r="I8">
        <v>135.19999999999999</v>
      </c>
      <c r="J8">
        <v>116.1</v>
      </c>
      <c r="K8">
        <v>152.4</v>
      </c>
      <c r="L8">
        <v>163.30000000000001</v>
      </c>
      <c r="M8">
        <v>120.7</v>
      </c>
      <c r="N8">
        <v>146.69999999999999</v>
      </c>
      <c r="O8">
        <v>160.1</v>
      </c>
      <c r="P8" s="14"/>
    </row>
    <row r="9" spans="1:16">
      <c r="A9" s="98" t="s">
        <v>893</v>
      </c>
      <c r="B9" s="99"/>
      <c r="E9" s="99"/>
      <c r="F9" t="s">
        <v>1991</v>
      </c>
      <c r="G9">
        <v>119.1</v>
      </c>
      <c r="H9">
        <v>155.5</v>
      </c>
      <c r="I9">
        <v>103.3</v>
      </c>
      <c r="J9">
        <v>96.2</v>
      </c>
      <c r="K9">
        <v>135</v>
      </c>
      <c r="L9">
        <v>123.7</v>
      </c>
      <c r="M9">
        <v>94.8</v>
      </c>
      <c r="N9">
        <v>112.8</v>
      </c>
      <c r="O9">
        <v>123.7</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497</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tbl-colonrectca-incident-mortal-aar</v>
      </c>
    </row>
    <row r="4" spans="1:16">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898</v>
      </c>
      <c r="O5" t="s">
        <v>915</v>
      </c>
    </row>
    <row r="6" spans="1:16" ht="15" customHeight="1">
      <c r="A6" t="s">
        <v>891</v>
      </c>
      <c r="B6" t="b">
        <v>0</v>
      </c>
      <c r="E6" s="99"/>
      <c r="F6" t="s">
        <v>1992</v>
      </c>
      <c r="G6">
        <v>33.5</v>
      </c>
      <c r="H6">
        <v>35</v>
      </c>
      <c r="I6">
        <v>28.7</v>
      </c>
      <c r="J6">
        <v>36</v>
      </c>
      <c r="K6">
        <v>37.299999999999997</v>
      </c>
      <c r="L6">
        <v>37.200000000000003</v>
      </c>
      <c r="M6">
        <v>30.6</v>
      </c>
      <c r="N6">
        <v>33.1</v>
      </c>
      <c r="O6">
        <v>35</v>
      </c>
    </row>
    <row r="7" spans="1:16" ht="15.75" customHeight="1">
      <c r="E7" s="99"/>
      <c r="F7" t="s">
        <v>1851</v>
      </c>
      <c r="G7">
        <v>9.3000000000000007</v>
      </c>
      <c r="H7">
        <v>13.6</v>
      </c>
      <c r="I7">
        <v>9.6999999999999993</v>
      </c>
      <c r="J7">
        <v>9.3000000000000007</v>
      </c>
      <c r="K7">
        <v>13.4</v>
      </c>
      <c r="L7">
        <v>12.7</v>
      </c>
      <c r="M7">
        <v>8.8000000000000007</v>
      </c>
      <c r="N7">
        <v>10.1</v>
      </c>
      <c r="O7">
        <v>10.8</v>
      </c>
    </row>
    <row r="8" spans="1:16">
      <c r="E8" s="99"/>
      <c r="P8" s="14"/>
    </row>
    <row r="9" spans="1:16">
      <c r="A9" s="98" t="s">
        <v>893</v>
      </c>
      <c r="B9" s="99"/>
      <c r="E9" s="99"/>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6.140625"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498</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tbl-colonrectca-incident-mortal-sex-aar</v>
      </c>
    </row>
    <row r="4" spans="1:16">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c r="A5" s="98" t="s">
        <v>885</v>
      </c>
      <c r="B5" s="99"/>
      <c r="E5" s="100" t="s">
        <v>886</v>
      </c>
      <c r="G5" t="s">
        <v>220</v>
      </c>
      <c r="H5" t="s">
        <v>18</v>
      </c>
      <c r="I5" t="s">
        <v>537</v>
      </c>
      <c r="J5" t="s">
        <v>449</v>
      </c>
      <c r="K5" t="s">
        <v>409</v>
      </c>
      <c r="L5" t="s">
        <v>421</v>
      </c>
      <c r="M5" t="s">
        <v>470</v>
      </c>
      <c r="N5" t="s">
        <v>914</v>
      </c>
      <c r="O5" t="s">
        <v>915</v>
      </c>
    </row>
    <row r="6" spans="1:16" ht="15" customHeight="1">
      <c r="A6" t="s">
        <v>891</v>
      </c>
      <c r="B6" t="b">
        <v>0</v>
      </c>
      <c r="E6" s="99"/>
      <c r="F6" t="s">
        <v>1988</v>
      </c>
      <c r="G6">
        <v>39.6</v>
      </c>
      <c r="H6">
        <v>40.700000000000003</v>
      </c>
      <c r="I6">
        <v>27.3</v>
      </c>
      <c r="J6">
        <v>41</v>
      </c>
      <c r="K6">
        <v>47.3</v>
      </c>
      <c r="L6">
        <v>41.3</v>
      </c>
      <c r="M6">
        <v>35.799999999999997</v>
      </c>
      <c r="N6">
        <v>41.4</v>
      </c>
      <c r="O6">
        <v>40.700000000000003</v>
      </c>
    </row>
    <row r="7" spans="1:16" ht="15.75" customHeight="1">
      <c r="E7" s="99"/>
      <c r="F7" t="s">
        <v>1989</v>
      </c>
      <c r="G7">
        <v>30.3</v>
      </c>
      <c r="H7">
        <v>31.8</v>
      </c>
      <c r="I7">
        <v>29.9</v>
      </c>
      <c r="J7">
        <v>33.299999999999997</v>
      </c>
      <c r="K7">
        <v>28.7</v>
      </c>
      <c r="L7">
        <v>31.7</v>
      </c>
      <c r="M7">
        <v>30.1</v>
      </c>
      <c r="N7">
        <v>32.799999999999997</v>
      </c>
      <c r="O7">
        <v>31.6</v>
      </c>
    </row>
    <row r="8" spans="1:16">
      <c r="E8" s="99"/>
      <c r="F8" t="s">
        <v>1990</v>
      </c>
      <c r="G8">
        <v>10.3</v>
      </c>
      <c r="H8">
        <v>17.399999999999999</v>
      </c>
      <c r="I8">
        <v>10.3</v>
      </c>
      <c r="J8">
        <v>10.199999999999999</v>
      </c>
      <c r="K8">
        <v>12.3</v>
      </c>
      <c r="L8">
        <v>14.9</v>
      </c>
      <c r="M8">
        <v>10.3</v>
      </c>
      <c r="N8">
        <v>13.4</v>
      </c>
      <c r="O8">
        <v>12.9</v>
      </c>
      <c r="P8" s="14"/>
    </row>
    <row r="9" spans="1:16">
      <c r="A9" s="98" t="s">
        <v>893</v>
      </c>
      <c r="B9" s="99"/>
      <c r="E9" s="99"/>
      <c r="F9" t="s">
        <v>1991</v>
      </c>
      <c r="G9">
        <v>7.5</v>
      </c>
      <c r="H9">
        <v>12.7</v>
      </c>
      <c r="I9">
        <v>7.6</v>
      </c>
      <c r="J9">
        <v>8.8000000000000007</v>
      </c>
      <c r="K9">
        <v>9.8000000000000007</v>
      </c>
      <c r="L9">
        <v>11</v>
      </c>
      <c r="M9">
        <v>7.5</v>
      </c>
      <c r="N9">
        <v>9.8000000000000007</v>
      </c>
      <c r="O9">
        <v>9.3000000000000007</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58" t="s">
        <v>882</v>
      </c>
      <c r="B1" s="96" t="s">
        <v>499</v>
      </c>
      <c r="C1" s="97"/>
      <c r="D1" s="97"/>
      <c r="E1" s="97"/>
      <c r="F1" s="97"/>
      <c r="G1" s="97"/>
      <c r="H1" s="97"/>
      <c r="I1" s="97"/>
      <c r="J1" s="97"/>
      <c r="K1" s="97"/>
      <c r="L1" s="97"/>
      <c r="M1" s="97"/>
      <c r="N1" s="97"/>
      <c r="O1" s="97"/>
    </row>
    <row r="2" spans="1:16">
      <c r="A2" s="58" t="s">
        <v>883</v>
      </c>
      <c r="B2" t="s">
        <v>1120</v>
      </c>
    </row>
    <row r="3" spans="1:16">
      <c r="A3" s="58" t="s">
        <v>884</v>
      </c>
      <c r="B3" t="str">
        <f>IF($B$1="","",_xlfn.XLOOKUP($B$1,Master!$F$2:$F$308,Master!$G$2:$G$308,""))</f>
        <v>tbl-colorectalca-incidence-rande-aar</v>
      </c>
    </row>
    <row r="4" spans="1:16">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c r="A5" s="98" t="s">
        <v>885</v>
      </c>
      <c r="B5" s="99"/>
      <c r="E5" s="100" t="s">
        <v>886</v>
      </c>
      <c r="F5" t="s">
        <v>1245</v>
      </c>
      <c r="G5" t="s">
        <v>220</v>
      </c>
      <c r="H5" t="s">
        <v>18</v>
      </c>
      <c r="I5" t="s">
        <v>537</v>
      </c>
      <c r="J5" t="s">
        <v>449</v>
      </c>
      <c r="K5" t="s">
        <v>409</v>
      </c>
      <c r="L5" t="s">
        <v>421</v>
      </c>
      <c r="M5" t="s">
        <v>470</v>
      </c>
      <c r="N5" t="s">
        <v>915</v>
      </c>
    </row>
    <row r="6" spans="1:16" ht="15" customHeight="1">
      <c r="A6" t="s">
        <v>891</v>
      </c>
      <c r="B6" t="b">
        <v>0</v>
      </c>
      <c r="E6" s="99"/>
      <c r="F6" t="s">
        <v>929</v>
      </c>
      <c r="G6">
        <v>35.1</v>
      </c>
      <c r="H6">
        <v>37.799999999999997</v>
      </c>
      <c r="I6">
        <v>29.7</v>
      </c>
      <c r="J6">
        <v>37.5</v>
      </c>
      <c r="K6">
        <v>39.200000000000003</v>
      </c>
      <c r="L6">
        <v>39.5</v>
      </c>
      <c r="M6">
        <v>31.9</v>
      </c>
      <c r="N6">
        <v>36.4</v>
      </c>
    </row>
    <row r="7" spans="1:16" ht="15.75" customHeight="1">
      <c r="E7" s="99"/>
      <c r="F7" t="s">
        <v>1571</v>
      </c>
      <c r="G7">
        <v>30.5</v>
      </c>
      <c r="H7">
        <v>22.2</v>
      </c>
      <c r="I7">
        <v>0</v>
      </c>
      <c r="J7">
        <v>31.1</v>
      </c>
      <c r="K7" t="s">
        <v>754</v>
      </c>
      <c r="L7" t="s">
        <v>754</v>
      </c>
      <c r="M7">
        <v>30.9</v>
      </c>
      <c r="N7">
        <v>36.5</v>
      </c>
    </row>
    <row r="8" spans="1:16">
      <c r="E8" s="99"/>
      <c r="F8" t="s">
        <v>1572</v>
      </c>
      <c r="G8" t="s">
        <v>754</v>
      </c>
      <c r="H8" t="s">
        <v>754</v>
      </c>
      <c r="I8" t="s">
        <v>754</v>
      </c>
      <c r="J8">
        <v>23.7</v>
      </c>
      <c r="K8" t="s">
        <v>754</v>
      </c>
      <c r="L8" t="s">
        <v>754</v>
      </c>
      <c r="M8">
        <v>23.4</v>
      </c>
      <c r="N8">
        <v>28.2</v>
      </c>
      <c r="P8" s="14"/>
    </row>
    <row r="9" spans="1:16">
      <c r="A9" s="98" t="s">
        <v>893</v>
      </c>
      <c r="B9" s="99"/>
      <c r="E9" s="99"/>
      <c r="F9" t="s">
        <v>927</v>
      </c>
      <c r="G9">
        <v>24.6</v>
      </c>
      <c r="H9">
        <v>29</v>
      </c>
      <c r="I9" t="s">
        <v>754</v>
      </c>
      <c r="J9">
        <v>38.5</v>
      </c>
      <c r="K9" t="s">
        <v>754</v>
      </c>
      <c r="L9" t="s">
        <v>754</v>
      </c>
      <c r="M9">
        <v>27.6</v>
      </c>
      <c r="N9">
        <v>29.3</v>
      </c>
    </row>
    <row r="10" spans="1:16">
      <c r="A10" t="s">
        <v>894</v>
      </c>
      <c r="B10" t="s">
        <v>983</v>
      </c>
      <c r="E10" s="99"/>
    </row>
    <row r="11" spans="1:16">
      <c r="A11" t="s">
        <v>895</v>
      </c>
      <c r="B11" t="s">
        <v>887</v>
      </c>
      <c r="E11" s="99"/>
      <c r="F11" s="46"/>
      <c r="G11" s="59"/>
      <c r="H11" s="59"/>
      <c r="I11" s="59"/>
      <c r="J11" s="42"/>
      <c r="K11" s="42"/>
      <c r="L11" s="42"/>
      <c r="M11" s="47"/>
      <c r="N11" s="47"/>
      <c r="O11" s="46"/>
    </row>
    <row r="12" spans="1:16">
      <c r="A12" t="s">
        <v>896</v>
      </c>
      <c r="E12" s="99"/>
      <c r="F12" s="74"/>
      <c r="G12" s="42"/>
      <c r="H12" s="42"/>
      <c r="I12" s="59"/>
      <c r="J12" s="59"/>
      <c r="K12" s="59"/>
      <c r="L12" s="59"/>
      <c r="M12" s="46"/>
      <c r="N12" s="46"/>
      <c r="O12" s="46"/>
    </row>
    <row r="13" spans="1:16">
      <c r="A13" t="s">
        <v>897</v>
      </c>
      <c r="E13" s="99"/>
      <c r="F13" s="47"/>
      <c r="G13" s="47"/>
      <c r="H13" s="47"/>
      <c r="I13" s="46"/>
      <c r="J13" s="46"/>
      <c r="K13" s="46"/>
      <c r="L13" s="46"/>
      <c r="M13" s="46"/>
      <c r="N13" s="46"/>
      <c r="O13" s="46"/>
    </row>
    <row r="14" spans="1:16">
      <c r="A14" t="s">
        <v>899</v>
      </c>
      <c r="B14" t="s">
        <v>715</v>
      </c>
      <c r="E14" s="99"/>
      <c r="F14" s="68"/>
      <c r="G14" s="68"/>
      <c r="H14" s="68"/>
      <c r="I14" s="46"/>
      <c r="J14" s="47"/>
      <c r="K14" s="47"/>
      <c r="L14" s="47"/>
      <c r="M14" s="47"/>
      <c r="N14" s="47"/>
      <c r="O14" s="46"/>
    </row>
    <row r="15" spans="1:16">
      <c r="A15" t="s">
        <v>901</v>
      </c>
      <c r="B15" t="b">
        <v>1</v>
      </c>
      <c r="E15" s="99"/>
      <c r="G15" s="68"/>
      <c r="H15" s="68"/>
      <c r="I15" s="46"/>
      <c r="J15" s="47"/>
      <c r="K15" s="47"/>
      <c r="L15" s="47"/>
      <c r="M15" s="47"/>
      <c r="N15" s="47"/>
      <c r="O15" s="46"/>
    </row>
    <row r="16" spans="1:16">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501</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tbl-adult-50to64-colorectalca-screening-percent</v>
      </c>
    </row>
    <row r="4" spans="1:17">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c r="A5" s="98" t="s">
        <v>885</v>
      </c>
      <c r="B5" s="99"/>
      <c r="E5" s="100" t="s">
        <v>886</v>
      </c>
      <c r="F5" t="s">
        <v>887</v>
      </c>
      <c r="G5" t="s">
        <v>220</v>
      </c>
      <c r="H5" t="s">
        <v>18</v>
      </c>
      <c r="I5" t="s">
        <v>537</v>
      </c>
      <c r="J5" t="s">
        <v>449</v>
      </c>
      <c r="K5" t="s">
        <v>409</v>
      </c>
      <c r="L5" t="s">
        <v>421</v>
      </c>
      <c r="M5" t="s">
        <v>470</v>
      </c>
      <c r="N5" t="s">
        <v>898</v>
      </c>
      <c r="O5" t="s">
        <v>914</v>
      </c>
      <c r="P5" t="s">
        <v>915</v>
      </c>
      <c r="Q5" t="s">
        <v>1993</v>
      </c>
    </row>
    <row r="6" spans="1:17" ht="15" customHeight="1">
      <c r="A6" t="s">
        <v>891</v>
      </c>
      <c r="B6" t="b">
        <v>0</v>
      </c>
      <c r="E6" s="99"/>
      <c r="F6">
        <v>2016</v>
      </c>
      <c r="G6">
        <v>62.2</v>
      </c>
      <c r="H6">
        <v>68.8</v>
      </c>
      <c r="I6">
        <v>64.7</v>
      </c>
      <c r="J6">
        <v>61.9</v>
      </c>
      <c r="K6">
        <v>48.1</v>
      </c>
      <c r="L6">
        <v>60.2</v>
      </c>
      <c r="M6">
        <v>63.7</v>
      </c>
      <c r="N6">
        <v>63.3</v>
      </c>
      <c r="O6">
        <v>63.7</v>
      </c>
      <c r="P6">
        <v>63.1</v>
      </c>
      <c r="Q6">
        <v>66.3</v>
      </c>
    </row>
    <row r="7" spans="1:17" ht="15.75" customHeight="1">
      <c r="E7" s="99"/>
      <c r="F7">
        <v>2018</v>
      </c>
      <c r="G7">
        <v>60.6</v>
      </c>
      <c r="H7">
        <v>61.7</v>
      </c>
      <c r="I7">
        <v>86.3</v>
      </c>
      <c r="J7">
        <v>62.3</v>
      </c>
      <c r="K7">
        <v>58.8</v>
      </c>
      <c r="L7">
        <v>68.8</v>
      </c>
      <c r="M7">
        <v>70</v>
      </c>
      <c r="N7">
        <v>64.099999999999994</v>
      </c>
      <c r="O7">
        <v>66.5</v>
      </c>
      <c r="P7">
        <v>65.400000000000006</v>
      </c>
      <c r="Q7">
        <v>66.3</v>
      </c>
    </row>
    <row r="8" spans="1:17">
      <c r="E8" s="99"/>
      <c r="P8" s="14"/>
    </row>
    <row r="9" spans="1:17">
      <c r="A9" s="98" t="s">
        <v>893</v>
      </c>
      <c r="B9" s="99"/>
      <c r="E9" s="99"/>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506</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tbl-lungbronchca-incident-mortal-aar</v>
      </c>
    </row>
    <row r="4" spans="1:17">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t="s">
        <v>18</v>
      </c>
      <c r="I5" t="s">
        <v>537</v>
      </c>
      <c r="J5" t="s">
        <v>449</v>
      </c>
      <c r="K5" t="s">
        <v>409</v>
      </c>
      <c r="L5" t="s">
        <v>421</v>
      </c>
      <c r="M5" t="s">
        <v>470</v>
      </c>
      <c r="N5" t="s">
        <v>914</v>
      </c>
      <c r="O5" t="s">
        <v>915</v>
      </c>
    </row>
    <row r="6" spans="1:17" ht="15" customHeight="1">
      <c r="A6" t="s">
        <v>891</v>
      </c>
      <c r="B6" t="b">
        <v>0</v>
      </c>
      <c r="E6" s="99"/>
      <c r="F6" t="s">
        <v>1992</v>
      </c>
      <c r="G6">
        <v>56.5</v>
      </c>
      <c r="H6">
        <v>59.9</v>
      </c>
      <c r="I6">
        <v>57.6</v>
      </c>
      <c r="J6">
        <v>44.9</v>
      </c>
      <c r="K6">
        <v>62.9</v>
      </c>
      <c r="L6">
        <v>55.1</v>
      </c>
      <c r="M6">
        <v>42</v>
      </c>
      <c r="N6">
        <v>59.9</v>
      </c>
      <c r="O6">
        <v>52.4</v>
      </c>
    </row>
    <row r="7" spans="1:17" ht="15.75" customHeight="1">
      <c r="E7" s="99"/>
      <c r="F7" t="s">
        <v>1851</v>
      </c>
      <c r="G7">
        <v>29.1</v>
      </c>
      <c r="H7">
        <v>37.9</v>
      </c>
      <c r="I7">
        <v>27.7</v>
      </c>
      <c r="J7">
        <v>21.7</v>
      </c>
      <c r="K7">
        <v>35.6</v>
      </c>
      <c r="L7">
        <v>32.6</v>
      </c>
      <c r="M7">
        <v>18.8</v>
      </c>
      <c r="N7">
        <v>31.3</v>
      </c>
      <c r="O7">
        <v>26.5</v>
      </c>
    </row>
    <row r="8" spans="1:17">
      <c r="E8" s="99"/>
      <c r="P8" s="14"/>
    </row>
    <row r="9" spans="1:17">
      <c r="A9" s="98" t="s">
        <v>893</v>
      </c>
      <c r="B9" s="99"/>
      <c r="E9" s="99"/>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508</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tbl-lungbronchca-incident-rande-aar</v>
      </c>
    </row>
    <row r="4" spans="1:17">
      <c r="A4" s="58" t="s">
        <v>6</v>
      </c>
      <c r="B4" t="str">
        <f>IF($B$1="","",_xlfn.XLOOKUP($B$1,Master!$F$2:$F$308,Master!$H$2:$H$308,""))</f>
        <v>fig-lungbronchca-incident-rande-aar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t="s">
        <v>18</v>
      </c>
      <c r="I5" t="s">
        <v>537</v>
      </c>
      <c r="J5" t="s">
        <v>449</v>
      </c>
      <c r="K5" t="s">
        <v>409</v>
      </c>
      <c r="L5" t="s">
        <v>421</v>
      </c>
      <c r="M5" t="s">
        <v>470</v>
      </c>
      <c r="N5" t="s">
        <v>914</v>
      </c>
      <c r="O5" t="s">
        <v>915</v>
      </c>
    </row>
    <row r="6" spans="1:17" ht="15" customHeight="1">
      <c r="A6" t="s">
        <v>891</v>
      </c>
      <c r="B6" t="b">
        <v>0</v>
      </c>
      <c r="E6" s="99"/>
      <c r="F6" t="s">
        <v>1994</v>
      </c>
      <c r="G6">
        <v>56.2</v>
      </c>
      <c r="H6">
        <v>63</v>
      </c>
      <c r="I6">
        <v>55.9</v>
      </c>
      <c r="J6">
        <v>45.2</v>
      </c>
      <c r="K6">
        <v>56.9</v>
      </c>
      <c r="L6">
        <v>57.8</v>
      </c>
      <c r="M6">
        <v>43</v>
      </c>
      <c r="N6">
        <v>62.2</v>
      </c>
      <c r="O6">
        <v>56.5</v>
      </c>
    </row>
    <row r="7" spans="1:17" ht="15.75" customHeight="1">
      <c r="E7" s="99"/>
      <c r="F7" t="s">
        <v>1995</v>
      </c>
      <c r="G7">
        <v>56.8</v>
      </c>
      <c r="H7">
        <v>58.2</v>
      </c>
      <c r="I7">
        <v>59.5</v>
      </c>
      <c r="J7">
        <v>45.3</v>
      </c>
      <c r="K7">
        <v>69.2</v>
      </c>
      <c r="L7">
        <v>52.9</v>
      </c>
      <c r="M7">
        <v>41.6</v>
      </c>
      <c r="N7">
        <v>58.6</v>
      </c>
      <c r="O7">
        <v>49.6</v>
      </c>
    </row>
    <row r="8" spans="1:17">
      <c r="E8" s="99"/>
      <c r="F8" t="s">
        <v>1996</v>
      </c>
      <c r="G8">
        <v>31.6</v>
      </c>
      <c r="H8">
        <v>42.9</v>
      </c>
      <c r="I8">
        <v>31</v>
      </c>
      <c r="J8">
        <v>25.1</v>
      </c>
      <c r="K8">
        <v>35.700000000000003</v>
      </c>
      <c r="L8">
        <v>38.799999999999997</v>
      </c>
      <c r="M8">
        <v>21.5</v>
      </c>
      <c r="N8">
        <v>35.5</v>
      </c>
      <c r="O8">
        <v>31.3</v>
      </c>
      <c r="P8" s="14"/>
    </row>
    <row r="9" spans="1:17">
      <c r="A9" s="98" t="s">
        <v>893</v>
      </c>
      <c r="B9" s="99"/>
      <c r="E9" s="99"/>
      <c r="F9" t="s">
        <v>1997</v>
      </c>
      <c r="G9">
        <v>27.3</v>
      </c>
      <c r="H9">
        <v>34.5</v>
      </c>
      <c r="I9">
        <v>25.2</v>
      </c>
      <c r="J9">
        <v>19.2</v>
      </c>
      <c r="K9">
        <v>35.700000000000003</v>
      </c>
      <c r="L9">
        <v>26.9</v>
      </c>
      <c r="M9">
        <v>16.8</v>
      </c>
      <c r="N9">
        <v>28.2</v>
      </c>
      <c r="O9">
        <v>23.1</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509</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tbl-lungca-incidence-rande-aar</v>
      </c>
    </row>
    <row r="4" spans="1:17">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c r="A6" t="s">
        <v>891</v>
      </c>
      <c r="B6" t="b">
        <v>0</v>
      </c>
      <c r="E6" s="99"/>
      <c r="F6" t="s">
        <v>929</v>
      </c>
      <c r="G6" s="55">
        <v>59.3</v>
      </c>
      <c r="H6" s="55">
        <v>65.900000000000006</v>
      </c>
      <c r="I6" s="55">
        <v>60.3</v>
      </c>
      <c r="J6" s="55">
        <v>51.6</v>
      </c>
      <c r="K6" s="55">
        <v>63.1</v>
      </c>
      <c r="L6" s="55">
        <v>58.5</v>
      </c>
      <c r="M6" s="55">
        <v>44</v>
      </c>
      <c r="N6" s="55">
        <v>61.6</v>
      </c>
      <c r="O6" s="55">
        <v>58.1</v>
      </c>
    </row>
    <row r="7" spans="1:17" ht="15.75" customHeight="1">
      <c r="E7" s="99"/>
      <c r="F7" t="s">
        <v>1571</v>
      </c>
      <c r="G7" s="55">
        <v>67.099999999999994</v>
      </c>
      <c r="H7" s="55">
        <v>40.700000000000003</v>
      </c>
      <c r="I7" s="55" t="s">
        <v>754</v>
      </c>
      <c r="J7" s="55">
        <v>30.2</v>
      </c>
      <c r="K7" s="55" t="s">
        <v>754</v>
      </c>
      <c r="L7" s="55">
        <v>61.7</v>
      </c>
      <c r="M7" s="55">
        <v>35.799999999999997</v>
      </c>
      <c r="N7" s="55">
        <v>53.4</v>
      </c>
      <c r="O7" s="55">
        <v>42.2</v>
      </c>
    </row>
    <row r="8" spans="1:17">
      <c r="E8" s="99"/>
      <c r="F8" t="s">
        <v>1844</v>
      </c>
      <c r="G8" s="55" t="s">
        <v>754</v>
      </c>
      <c r="H8" s="55" t="s">
        <v>754</v>
      </c>
      <c r="I8" s="55" t="s">
        <v>754</v>
      </c>
      <c r="J8" s="55">
        <v>28.2</v>
      </c>
      <c r="K8" s="55">
        <v>0</v>
      </c>
      <c r="L8" s="55" t="s">
        <v>754</v>
      </c>
      <c r="M8" s="55">
        <v>27</v>
      </c>
      <c r="N8" s="55">
        <v>31.5</v>
      </c>
      <c r="O8" s="55">
        <v>41.6</v>
      </c>
      <c r="P8" s="14"/>
    </row>
    <row r="9" spans="1:17">
      <c r="A9" s="98" t="s">
        <v>893</v>
      </c>
      <c r="B9" s="99"/>
      <c r="E9" s="99"/>
      <c r="F9" t="s">
        <v>927</v>
      </c>
      <c r="G9" s="55">
        <v>31.3</v>
      </c>
      <c r="H9" s="55">
        <v>37.299999999999997</v>
      </c>
      <c r="I9" s="55" t="s">
        <v>754</v>
      </c>
      <c r="J9" s="55">
        <v>31.4</v>
      </c>
      <c r="K9" s="55" t="s">
        <v>754</v>
      </c>
      <c r="L9" s="55" t="s">
        <v>754</v>
      </c>
      <c r="M9" s="55">
        <v>27.5</v>
      </c>
      <c r="N9" s="55">
        <v>32.799999999999997</v>
      </c>
      <c r="O9" s="55">
        <v>28</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tbl-male-prostateca-incidence-mortal-aar</v>
      </c>
    </row>
    <row r="4" spans="1:17">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s="55" t="s">
        <v>18</v>
      </c>
      <c r="I5" s="55" t="s">
        <v>537</v>
      </c>
      <c r="J5" s="55" t="s">
        <v>449</v>
      </c>
      <c r="K5" s="55" t="s">
        <v>409</v>
      </c>
      <c r="L5" s="55" t="s">
        <v>421</v>
      </c>
      <c r="M5" s="55" t="s">
        <v>470</v>
      </c>
      <c r="N5" s="55" t="s">
        <v>914</v>
      </c>
      <c r="O5" s="55" t="s">
        <v>915</v>
      </c>
    </row>
    <row r="6" spans="1:17" ht="15" customHeight="1">
      <c r="A6" t="s">
        <v>891</v>
      </c>
      <c r="B6" t="b">
        <v>0</v>
      </c>
      <c r="E6" s="99"/>
      <c r="F6" t="s">
        <v>1992</v>
      </c>
      <c r="G6" s="55">
        <v>139.80000000000001</v>
      </c>
      <c r="H6" s="55">
        <v>126.9</v>
      </c>
      <c r="I6" s="55">
        <v>124.5</v>
      </c>
      <c r="J6" s="55">
        <v>137.9</v>
      </c>
      <c r="K6" s="55">
        <v>93.4</v>
      </c>
      <c r="L6" s="55">
        <v>115.5</v>
      </c>
      <c r="M6" s="55">
        <v>141.30000000000001</v>
      </c>
      <c r="N6" s="55">
        <v>140.19999999999999</v>
      </c>
      <c r="O6" s="55">
        <v>135.5</v>
      </c>
    </row>
    <row r="7" spans="1:17" ht="15.75" customHeight="1">
      <c r="E7" s="99"/>
      <c r="F7" t="s">
        <v>1851</v>
      </c>
      <c r="G7" s="55">
        <v>18</v>
      </c>
      <c r="H7" s="55">
        <v>18.2</v>
      </c>
      <c r="I7" s="55">
        <v>10.4</v>
      </c>
      <c r="J7" s="55">
        <v>10.9</v>
      </c>
      <c r="K7" s="55">
        <v>12.4</v>
      </c>
      <c r="L7" s="55">
        <v>16.3</v>
      </c>
      <c r="M7" s="55">
        <v>12.7</v>
      </c>
      <c r="N7" s="55">
        <v>15.9</v>
      </c>
      <c r="O7" s="55">
        <v>15.5</v>
      </c>
    </row>
    <row r="8" spans="1:17">
      <c r="E8" s="99"/>
      <c r="G8" s="55"/>
      <c r="H8" s="55"/>
      <c r="I8" s="55"/>
      <c r="J8" s="55"/>
      <c r="K8" s="55"/>
      <c r="L8" s="55"/>
      <c r="M8" s="55"/>
      <c r="N8" s="55"/>
      <c r="O8" s="55"/>
      <c r="P8" s="14"/>
    </row>
    <row r="9" spans="1:17">
      <c r="A9" s="98" t="s">
        <v>893</v>
      </c>
      <c r="B9" s="99"/>
      <c r="E9" s="99"/>
      <c r="G9" s="55"/>
      <c r="H9" s="55"/>
      <c r="I9" s="55"/>
      <c r="J9" s="55"/>
      <c r="K9" s="55"/>
      <c r="L9" s="55"/>
      <c r="M9" s="55"/>
      <c r="N9" s="55"/>
      <c r="O9" s="55"/>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H16" sqref="H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512</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tbl-female-breastca-incidence-mortal-aar</v>
      </c>
    </row>
    <row r="4" spans="1:17">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t="s">
        <v>18</v>
      </c>
      <c r="I5" s="55" t="s">
        <v>537</v>
      </c>
      <c r="J5" s="55" t="s">
        <v>449</v>
      </c>
      <c r="K5" s="55" t="s">
        <v>409</v>
      </c>
      <c r="L5" s="55" t="s">
        <v>421</v>
      </c>
      <c r="M5" s="55" t="s">
        <v>470</v>
      </c>
      <c r="N5" s="55" t="s">
        <v>914</v>
      </c>
      <c r="O5" s="55" t="s">
        <v>915</v>
      </c>
    </row>
    <row r="6" spans="1:17" ht="15" customHeight="1">
      <c r="A6" t="s">
        <v>891</v>
      </c>
      <c r="B6" t="b">
        <v>0</v>
      </c>
      <c r="E6" s="99"/>
      <c r="F6" t="s">
        <v>1992</v>
      </c>
      <c r="G6" s="55">
        <v>135.1</v>
      </c>
      <c r="H6" s="55">
        <v>129.6</v>
      </c>
      <c r="I6" s="55">
        <v>160.69999999999999</v>
      </c>
      <c r="J6" s="55">
        <v>134.30000000000001</v>
      </c>
      <c r="K6" s="55">
        <v>114.3</v>
      </c>
      <c r="L6" s="55">
        <v>133.6</v>
      </c>
      <c r="M6" s="55">
        <v>144.69999999999999</v>
      </c>
      <c r="N6" s="55">
        <v>141.19999999999999</v>
      </c>
      <c r="O6" s="55">
        <v>135.5</v>
      </c>
    </row>
    <row r="7" spans="1:17" ht="15.75" customHeight="1">
      <c r="E7" s="99"/>
      <c r="F7" t="s">
        <v>1851</v>
      </c>
      <c r="G7" s="55">
        <v>21.5</v>
      </c>
      <c r="H7" s="55">
        <v>23.5</v>
      </c>
      <c r="I7" s="55">
        <v>12</v>
      </c>
      <c r="J7" s="55">
        <v>16.2</v>
      </c>
      <c r="K7" s="55">
        <v>20</v>
      </c>
      <c r="L7" s="55">
        <v>20.7</v>
      </c>
      <c r="M7" s="55">
        <v>15.3</v>
      </c>
      <c r="N7" s="55">
        <v>17.7</v>
      </c>
      <c r="O7" s="55">
        <v>17</v>
      </c>
    </row>
    <row r="8" spans="1:17">
      <c r="E8" s="99"/>
      <c r="G8" s="55"/>
      <c r="H8" s="55"/>
      <c r="I8" s="55"/>
      <c r="J8" s="55"/>
      <c r="K8" s="55"/>
      <c r="L8" s="55"/>
      <c r="M8" s="55"/>
      <c r="N8" s="55"/>
      <c r="O8" s="55"/>
      <c r="P8" s="14"/>
    </row>
    <row r="9" spans="1:17">
      <c r="A9" s="98" t="s">
        <v>893</v>
      </c>
      <c r="B9" s="99"/>
      <c r="E9" s="99"/>
      <c r="G9" s="55"/>
      <c r="H9" s="55"/>
      <c r="I9" s="55"/>
      <c r="J9" s="55"/>
      <c r="K9" s="55"/>
      <c r="L9" s="55"/>
      <c r="M9" s="55"/>
      <c r="N9" s="55"/>
      <c r="O9" s="55"/>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E5" sqref="E5:E5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512</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tbl-female-breastca-incidence-mortal-aar</v>
      </c>
    </row>
    <row r="4" spans="1:17">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c r="A6" t="s">
        <v>891</v>
      </c>
      <c r="B6" t="b">
        <v>0</v>
      </c>
      <c r="E6" s="99"/>
      <c r="F6" t="s">
        <v>1974</v>
      </c>
      <c r="G6" s="55">
        <v>83.7</v>
      </c>
      <c r="H6" s="55">
        <v>76.8</v>
      </c>
      <c r="I6" s="55">
        <v>77.7</v>
      </c>
      <c r="J6" s="55">
        <v>81.7</v>
      </c>
      <c r="K6" s="55">
        <v>68.599999999999994</v>
      </c>
      <c r="L6" s="55">
        <v>66</v>
      </c>
      <c r="M6" s="55">
        <v>84.5</v>
      </c>
      <c r="N6" s="55">
        <v>80.400000000000006</v>
      </c>
      <c r="O6" s="55">
        <v>80.900000000000006</v>
      </c>
    </row>
    <row r="7" spans="1:17" ht="15.75" customHeight="1">
      <c r="E7" s="99"/>
      <c r="F7">
        <v>2016</v>
      </c>
      <c r="G7" s="55">
        <v>87.2</v>
      </c>
      <c r="H7" s="55">
        <v>74.5</v>
      </c>
      <c r="I7" s="55">
        <v>69.5</v>
      </c>
      <c r="J7" s="55">
        <v>72</v>
      </c>
      <c r="K7" s="55">
        <v>64</v>
      </c>
      <c r="L7" s="55">
        <v>72.3</v>
      </c>
      <c r="M7" s="55">
        <v>84.8</v>
      </c>
      <c r="N7" s="55">
        <v>79.2</v>
      </c>
      <c r="O7" s="55">
        <v>79.7</v>
      </c>
    </row>
    <row r="8" spans="1:17">
      <c r="E8" s="99"/>
      <c r="F8">
        <v>2018</v>
      </c>
      <c r="G8" s="55">
        <v>78</v>
      </c>
      <c r="H8" s="55">
        <v>78.8</v>
      </c>
      <c r="I8" s="55">
        <v>80.2</v>
      </c>
      <c r="J8" s="55">
        <v>69.8</v>
      </c>
      <c r="K8" s="55">
        <v>66.099999999999994</v>
      </c>
      <c r="L8" s="55">
        <v>73.3</v>
      </c>
      <c r="M8" s="55">
        <v>79.3</v>
      </c>
      <c r="N8" s="55">
        <v>80.900000000000006</v>
      </c>
      <c r="O8" s="55">
        <v>82.1</v>
      </c>
      <c r="P8" s="14"/>
    </row>
    <row r="9" spans="1:17">
      <c r="A9" s="98" t="s">
        <v>893</v>
      </c>
      <c r="B9" s="99"/>
      <c r="E9" s="99"/>
      <c r="F9">
        <v>2021</v>
      </c>
      <c r="G9" s="55">
        <v>88.5</v>
      </c>
      <c r="H9" s="55">
        <v>73.3</v>
      </c>
      <c r="I9" s="55">
        <v>80.2</v>
      </c>
      <c r="J9" s="55">
        <v>72.7</v>
      </c>
      <c r="K9" s="55">
        <v>52.2</v>
      </c>
      <c r="L9" s="55">
        <v>77.099999999999994</v>
      </c>
      <c r="M9" s="55">
        <v>77.3</v>
      </c>
      <c r="N9" s="55">
        <v>78.8</v>
      </c>
      <c r="O9" s="55">
        <v>78.2</v>
      </c>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514</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tbl-cervutca-incident-mortal-aar</v>
      </c>
    </row>
    <row r="4" spans="1:17">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t="s">
        <v>18</v>
      </c>
      <c r="I5" t="s">
        <v>537</v>
      </c>
      <c r="J5" s="55" t="s">
        <v>449</v>
      </c>
      <c r="K5" s="55" t="s">
        <v>409</v>
      </c>
      <c r="L5" s="55" t="s">
        <v>421</v>
      </c>
      <c r="M5" s="55" t="s">
        <v>470</v>
      </c>
      <c r="N5" s="55" t="s">
        <v>914</v>
      </c>
      <c r="O5" s="55" t="s">
        <v>915</v>
      </c>
    </row>
    <row r="6" spans="1:17" ht="15" customHeight="1">
      <c r="A6" t="s">
        <v>891</v>
      </c>
      <c r="B6" t="b">
        <v>0</v>
      </c>
      <c r="E6" s="99"/>
      <c r="F6" t="s">
        <v>1992</v>
      </c>
      <c r="G6" s="55">
        <v>6.1</v>
      </c>
      <c r="H6" s="55">
        <v>7.5</v>
      </c>
      <c r="I6" s="55" t="s">
        <v>754</v>
      </c>
      <c r="J6" s="55">
        <v>7.5</v>
      </c>
      <c r="K6" s="55">
        <v>14</v>
      </c>
      <c r="L6" s="55">
        <v>8.6999999999999993</v>
      </c>
      <c r="M6" s="55">
        <v>5.9</v>
      </c>
      <c r="N6" s="55">
        <v>6.9</v>
      </c>
      <c r="O6" s="55">
        <v>6.4</v>
      </c>
    </row>
    <row r="7" spans="1:17" ht="15.75" customHeight="1">
      <c r="E7" s="99"/>
      <c r="F7" t="s">
        <v>1851</v>
      </c>
      <c r="G7" s="55" t="s">
        <v>754</v>
      </c>
      <c r="H7" s="55">
        <v>2.7</v>
      </c>
      <c r="I7" s="55" t="s">
        <v>754</v>
      </c>
      <c r="J7" s="55" t="s">
        <v>754</v>
      </c>
      <c r="K7" s="55" t="s">
        <v>754</v>
      </c>
      <c r="L7" s="55" t="s">
        <v>754</v>
      </c>
      <c r="M7" s="55">
        <v>1.1000000000000001</v>
      </c>
      <c r="N7" s="55">
        <v>1.7</v>
      </c>
      <c r="O7" s="55">
        <v>1.6</v>
      </c>
    </row>
    <row r="8" spans="1:17">
      <c r="E8" s="99"/>
      <c r="G8" s="55"/>
      <c r="H8" s="55"/>
      <c r="I8" s="55"/>
      <c r="J8" s="55"/>
      <c r="K8" s="55"/>
      <c r="L8" s="55"/>
      <c r="M8" s="55"/>
      <c r="N8" s="55"/>
      <c r="O8" s="55"/>
      <c r="P8" s="14"/>
    </row>
    <row r="9" spans="1:17">
      <c r="A9" s="98" t="s">
        <v>893</v>
      </c>
      <c r="B9" s="99"/>
      <c r="E9" s="99"/>
      <c r="G9" s="55"/>
      <c r="H9" s="55"/>
      <c r="I9" s="55"/>
      <c r="J9" s="55"/>
      <c r="K9" s="55"/>
      <c r="L9" s="55"/>
      <c r="M9" s="55"/>
      <c r="N9" s="55"/>
      <c r="O9" s="55"/>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514</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tbl-cervutca-incident-mortal-aar</v>
      </c>
    </row>
    <row r="4" spans="1:17">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c r="A6" t="s">
        <v>891</v>
      </c>
      <c r="B6" t="b">
        <v>0</v>
      </c>
      <c r="E6" s="99"/>
      <c r="F6">
        <v>2018</v>
      </c>
      <c r="G6" s="55">
        <v>90.6</v>
      </c>
      <c r="H6" s="55">
        <v>88.8</v>
      </c>
      <c r="I6" s="55">
        <v>96.2</v>
      </c>
      <c r="J6" s="55">
        <v>80.599999999999994</v>
      </c>
      <c r="K6" s="55">
        <v>81.7</v>
      </c>
      <c r="L6" s="55">
        <v>86.1</v>
      </c>
      <c r="M6" s="55">
        <v>87.8</v>
      </c>
      <c r="N6" s="55">
        <v>86.5</v>
      </c>
      <c r="O6" s="55">
        <v>84.7</v>
      </c>
    </row>
    <row r="7" spans="1:17" ht="15.75" customHeight="1">
      <c r="E7" s="99"/>
      <c r="G7" s="55"/>
      <c r="H7" s="55"/>
      <c r="I7" s="55"/>
      <c r="J7" s="55"/>
      <c r="K7" s="55"/>
      <c r="L7" s="55"/>
      <c r="M7" s="55"/>
      <c r="N7" s="55"/>
      <c r="O7" s="55"/>
    </row>
    <row r="8" spans="1:17">
      <c r="E8" s="99"/>
      <c r="G8" s="55"/>
      <c r="H8" s="55"/>
      <c r="I8" s="55"/>
      <c r="J8" s="55"/>
      <c r="K8" s="55"/>
      <c r="L8" s="55"/>
      <c r="M8" s="55"/>
      <c r="N8" s="55"/>
      <c r="O8" s="55"/>
      <c r="P8" s="14"/>
    </row>
    <row r="9" spans="1:17">
      <c r="A9" s="98" t="s">
        <v>893</v>
      </c>
      <c r="B9" s="99"/>
      <c r="E9" s="99"/>
      <c r="G9" s="55"/>
      <c r="H9" s="55"/>
      <c r="I9" s="55"/>
      <c r="J9" s="55"/>
      <c r="K9" s="55"/>
      <c r="L9" s="55"/>
      <c r="M9" s="55"/>
      <c r="N9" s="55"/>
      <c r="O9" s="55"/>
    </row>
    <row r="10" spans="1:17">
      <c r="A10" t="s">
        <v>894</v>
      </c>
      <c r="B10" t="s">
        <v>1002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518</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tbl-24to35mo-child-vaccine-series-percent</v>
      </c>
    </row>
    <row r="4" spans="1:17">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c r="A5" s="98" t="s">
        <v>885</v>
      </c>
      <c r="B5" s="99"/>
      <c r="E5" s="100" t="s">
        <v>886</v>
      </c>
      <c r="F5" t="s">
        <v>887</v>
      </c>
      <c r="G5" t="s">
        <v>220</v>
      </c>
      <c r="H5" t="s">
        <v>18</v>
      </c>
      <c r="I5" t="s">
        <v>537</v>
      </c>
      <c r="J5" s="55" t="s">
        <v>449</v>
      </c>
      <c r="K5" s="55" t="s">
        <v>409</v>
      </c>
      <c r="L5" s="55" t="s">
        <v>421</v>
      </c>
      <c r="M5" s="55" t="s">
        <v>470</v>
      </c>
      <c r="N5" s="55" t="s">
        <v>914</v>
      </c>
      <c r="O5" s="55" t="s">
        <v>915</v>
      </c>
      <c r="P5" t="s">
        <v>1993</v>
      </c>
    </row>
    <row r="6" spans="1:17" ht="15" customHeight="1">
      <c r="A6" t="s">
        <v>891</v>
      </c>
      <c r="B6" t="b">
        <v>0</v>
      </c>
      <c r="E6" s="99"/>
      <c r="F6">
        <v>2019</v>
      </c>
      <c r="G6" s="55">
        <v>62.2</v>
      </c>
      <c r="H6" s="55">
        <v>43.1</v>
      </c>
      <c r="I6" s="55">
        <v>59.2</v>
      </c>
      <c r="J6" s="55">
        <v>37.4</v>
      </c>
      <c r="K6" s="55">
        <v>48.6</v>
      </c>
      <c r="L6" s="55">
        <v>57.4</v>
      </c>
      <c r="M6" s="55">
        <v>51.6</v>
      </c>
      <c r="N6" s="55">
        <v>60.1</v>
      </c>
      <c r="O6" s="55">
        <v>56.7</v>
      </c>
      <c r="P6">
        <v>62.3</v>
      </c>
    </row>
    <row r="7" spans="1:17" ht="15.75" customHeight="1">
      <c r="E7" s="99"/>
      <c r="F7">
        <v>2020</v>
      </c>
      <c r="G7" s="55">
        <v>60</v>
      </c>
      <c r="H7" s="55">
        <v>41.8</v>
      </c>
      <c r="I7" s="55">
        <v>58.4</v>
      </c>
      <c r="J7" s="55">
        <v>35.799999999999997</v>
      </c>
      <c r="K7" s="55">
        <v>44.2</v>
      </c>
      <c r="L7" s="55">
        <v>58</v>
      </c>
      <c r="M7" s="55">
        <v>51.1</v>
      </c>
      <c r="N7" s="55">
        <v>60</v>
      </c>
      <c r="O7" s="55">
        <v>56.4</v>
      </c>
      <c r="P7">
        <v>62.3</v>
      </c>
    </row>
    <row r="8" spans="1:17">
      <c r="E8" s="99"/>
      <c r="F8">
        <v>2021</v>
      </c>
      <c r="G8" s="55">
        <v>60.5</v>
      </c>
      <c r="H8" s="55">
        <v>39.200000000000003</v>
      </c>
      <c r="I8" s="55">
        <v>59.8</v>
      </c>
      <c r="J8" s="55">
        <v>34.6</v>
      </c>
      <c r="K8" s="55">
        <v>42.5</v>
      </c>
      <c r="L8" s="55">
        <v>56.9</v>
      </c>
      <c r="M8" s="55">
        <v>52.6</v>
      </c>
      <c r="N8" s="55">
        <v>60.1</v>
      </c>
      <c r="O8" s="55">
        <v>55.6</v>
      </c>
      <c r="P8" s="14">
        <v>62.3</v>
      </c>
    </row>
    <row r="9" spans="1:17">
      <c r="A9" s="98" t="s">
        <v>893</v>
      </c>
      <c r="B9" s="99"/>
      <c r="E9" s="99"/>
      <c r="F9">
        <v>2022</v>
      </c>
      <c r="G9" s="55">
        <v>58.9</v>
      </c>
      <c r="H9" s="55">
        <v>40.4</v>
      </c>
      <c r="I9" s="55">
        <v>63.7</v>
      </c>
      <c r="J9" s="55">
        <v>35.200000000000003</v>
      </c>
      <c r="K9" s="55">
        <v>42.5</v>
      </c>
      <c r="L9" s="55">
        <v>55.6</v>
      </c>
      <c r="M9" s="55">
        <v>54.8</v>
      </c>
      <c r="N9" s="55">
        <v>59.4</v>
      </c>
      <c r="O9" s="55">
        <v>55.8</v>
      </c>
      <c r="P9">
        <v>62.3</v>
      </c>
    </row>
    <row r="10" spans="1:17">
      <c r="A10" t="s">
        <v>894</v>
      </c>
      <c r="B10" t="s">
        <v>972</v>
      </c>
      <c r="E10" s="99"/>
      <c r="F10">
        <v>2023</v>
      </c>
      <c r="G10">
        <v>62.2</v>
      </c>
      <c r="H10">
        <v>39</v>
      </c>
      <c r="I10">
        <v>64.8</v>
      </c>
      <c r="J10">
        <v>32.200000000000003</v>
      </c>
      <c r="K10">
        <v>45.6</v>
      </c>
      <c r="L10">
        <v>58.2</v>
      </c>
      <c r="M10">
        <v>53.5</v>
      </c>
      <c r="N10">
        <v>59.1</v>
      </c>
      <c r="O10">
        <v>56.9</v>
      </c>
      <c r="P10">
        <v>62.3</v>
      </c>
    </row>
    <row r="11" spans="1:17">
      <c r="A11" t="s">
        <v>895</v>
      </c>
      <c r="B11" t="s">
        <v>887</v>
      </c>
      <c r="E11" s="99"/>
      <c r="F11" s="46" t="s">
        <v>1998</v>
      </c>
      <c r="G11" s="59">
        <v>65.2</v>
      </c>
      <c r="H11" s="59">
        <v>44.1</v>
      </c>
      <c r="I11" s="59">
        <v>66.2</v>
      </c>
      <c r="J11" s="42">
        <v>36.799999999999997</v>
      </c>
      <c r="K11" s="42">
        <v>48.1</v>
      </c>
      <c r="L11" s="42">
        <v>64</v>
      </c>
      <c r="M11" s="47" t="s">
        <v>1999</v>
      </c>
      <c r="N11" s="47" t="s">
        <v>2000</v>
      </c>
      <c r="O11" s="46" t="s">
        <v>1492</v>
      </c>
      <c r="P11">
        <v>62.3</v>
      </c>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1860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tbl-covid-mort-aar</v>
      </c>
    </row>
    <row r="4" spans="1:17">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c r="A6" t="s">
        <v>891</v>
      </c>
      <c r="B6" t="b">
        <v>0</v>
      </c>
      <c r="E6" s="99"/>
      <c r="F6">
        <v>2020</v>
      </c>
      <c r="G6" s="55">
        <v>63.1</v>
      </c>
      <c r="H6" s="55">
        <v>142</v>
      </c>
      <c r="I6" s="55">
        <v>95.7</v>
      </c>
      <c r="J6" s="55">
        <v>204.4</v>
      </c>
      <c r="K6" s="55">
        <v>62.2</v>
      </c>
      <c r="L6" s="55">
        <v>58.4</v>
      </c>
      <c r="M6" s="55">
        <v>143</v>
      </c>
      <c r="N6" s="55">
        <v>128.1</v>
      </c>
      <c r="O6" s="55">
        <v>92.7</v>
      </c>
      <c r="P6">
        <v>144.4</v>
      </c>
    </row>
    <row r="7" spans="1:17" ht="15.75" customHeight="1">
      <c r="E7" s="99"/>
      <c r="F7">
        <v>2021</v>
      </c>
      <c r="G7" s="55">
        <v>83</v>
      </c>
      <c r="H7" s="55">
        <v>90.5</v>
      </c>
      <c r="I7" s="55">
        <v>41.6</v>
      </c>
      <c r="J7" s="55">
        <v>67.400000000000006</v>
      </c>
      <c r="K7" s="55">
        <v>83.4</v>
      </c>
      <c r="L7" s="55">
        <v>77.5</v>
      </c>
      <c r="M7" s="55">
        <v>68.400000000000006</v>
      </c>
      <c r="N7" s="55">
        <v>73.5</v>
      </c>
      <c r="O7" s="55">
        <v>86</v>
      </c>
      <c r="P7">
        <v>84.1</v>
      </c>
    </row>
    <row r="8" spans="1:17">
      <c r="E8" s="99"/>
      <c r="F8">
        <v>2022</v>
      </c>
      <c r="G8" s="55">
        <v>42.8</v>
      </c>
      <c r="H8" s="55">
        <v>53.2</v>
      </c>
      <c r="I8" s="55">
        <v>28.9</v>
      </c>
      <c r="J8" s="55">
        <v>45.5</v>
      </c>
      <c r="K8" s="55">
        <v>60</v>
      </c>
      <c r="L8" s="55">
        <v>34</v>
      </c>
      <c r="M8" s="55">
        <v>35.5</v>
      </c>
      <c r="N8" s="55">
        <v>40.799999999999997</v>
      </c>
      <c r="O8" s="55">
        <v>42.3</v>
      </c>
      <c r="P8" s="14">
        <v>42.6</v>
      </c>
    </row>
    <row r="9" spans="1:17">
      <c r="A9" s="98" t="s">
        <v>893</v>
      </c>
      <c r="B9" s="99"/>
      <c r="E9" s="99"/>
      <c r="G9" s="55"/>
      <c r="H9" s="55"/>
      <c r="I9" s="55"/>
      <c r="J9" s="55"/>
      <c r="K9" s="55"/>
      <c r="L9" s="55"/>
      <c r="M9" s="55"/>
      <c r="N9" s="55"/>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L19" sqref="L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530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tbl-13yo+-hpv-vaccine-complete-percent</v>
      </c>
    </row>
    <row r="4" spans="1:17">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c r="A5" s="98" t="s">
        <v>885</v>
      </c>
      <c r="B5" s="99"/>
      <c r="E5" s="100" t="s">
        <v>886</v>
      </c>
      <c r="F5" t="s">
        <v>887</v>
      </c>
      <c r="G5" t="s">
        <v>220</v>
      </c>
      <c r="H5" t="s">
        <v>18</v>
      </c>
      <c r="I5" t="s">
        <v>537</v>
      </c>
      <c r="J5" s="55" t="s">
        <v>449</v>
      </c>
      <c r="K5" s="55" t="s">
        <v>409</v>
      </c>
      <c r="L5" s="55" t="s">
        <v>421</v>
      </c>
      <c r="M5" s="55" t="s">
        <v>470</v>
      </c>
      <c r="N5" s="55" t="s">
        <v>914</v>
      </c>
      <c r="O5" s="55" t="s">
        <v>915</v>
      </c>
      <c r="P5" t="s">
        <v>1993</v>
      </c>
    </row>
    <row r="6" spans="1:17" ht="15" customHeight="1">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c r="E7" s="99"/>
      <c r="F7">
        <v>2020</v>
      </c>
      <c r="G7" s="55">
        <v>16.899999999999999</v>
      </c>
      <c r="H7" s="55">
        <v>20.2</v>
      </c>
      <c r="I7" s="55">
        <v>19.600000000000001</v>
      </c>
      <c r="J7" s="55">
        <v>15.7</v>
      </c>
      <c r="K7" s="55">
        <v>19.3</v>
      </c>
      <c r="L7" s="55">
        <v>15.7</v>
      </c>
      <c r="M7" s="55">
        <v>19.3</v>
      </c>
      <c r="N7" s="55">
        <v>24.1</v>
      </c>
      <c r="O7" s="55">
        <v>25.2</v>
      </c>
      <c r="P7">
        <v>28.7</v>
      </c>
    </row>
    <row r="8" spans="1:17">
      <c r="E8" s="99"/>
      <c r="F8">
        <v>2021</v>
      </c>
      <c r="G8" s="55">
        <v>18.899999999999999</v>
      </c>
      <c r="H8" s="55">
        <v>20.2</v>
      </c>
      <c r="I8" s="55">
        <v>17</v>
      </c>
      <c r="J8" s="55">
        <v>15.3</v>
      </c>
      <c r="K8" s="55">
        <v>19.100000000000001</v>
      </c>
      <c r="L8" s="55">
        <v>15.4</v>
      </c>
      <c r="M8" s="55">
        <v>21.3</v>
      </c>
      <c r="N8" s="55">
        <v>25.1</v>
      </c>
      <c r="O8" s="55">
        <v>25.8</v>
      </c>
      <c r="P8" s="14">
        <v>28.7</v>
      </c>
    </row>
    <row r="9" spans="1:17">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c r="A10" t="s">
        <v>894</v>
      </c>
      <c r="B10" t="s">
        <v>972</v>
      </c>
      <c r="E10" s="99"/>
      <c r="F10">
        <v>2023</v>
      </c>
      <c r="G10">
        <v>15.2</v>
      </c>
      <c r="H10">
        <v>15.2</v>
      </c>
      <c r="I10">
        <v>15.9</v>
      </c>
      <c r="J10">
        <v>15</v>
      </c>
      <c r="K10">
        <v>20.3</v>
      </c>
      <c r="L10">
        <v>16.100000000000001</v>
      </c>
      <c r="M10">
        <v>22.1</v>
      </c>
      <c r="N10">
        <v>24.5</v>
      </c>
      <c r="O10">
        <v>25.6</v>
      </c>
      <c r="P10">
        <v>28.7</v>
      </c>
    </row>
    <row r="11" spans="1:17">
      <c r="A11" t="s">
        <v>895</v>
      </c>
      <c r="B11" t="s">
        <v>887</v>
      </c>
      <c r="E11" s="99"/>
      <c r="F11" s="46" t="s">
        <v>1998</v>
      </c>
      <c r="G11" s="59">
        <v>16.100000000000001</v>
      </c>
      <c r="H11" s="59">
        <v>18.7</v>
      </c>
      <c r="I11" s="59">
        <v>14.5</v>
      </c>
      <c r="J11" s="42">
        <v>16.100000000000001</v>
      </c>
      <c r="K11" s="42">
        <v>19.8</v>
      </c>
      <c r="L11" s="42">
        <v>14.5</v>
      </c>
      <c r="M11" s="47" t="s">
        <v>1519</v>
      </c>
      <c r="N11" s="47" t="s">
        <v>2001</v>
      </c>
      <c r="O11" s="46" t="s">
        <v>2002</v>
      </c>
      <c r="P11">
        <v>28.7</v>
      </c>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531</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tbl-adult-flu-immi-lastyear-percent</v>
      </c>
    </row>
    <row r="4" spans="1:17">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c r="E7" s="99"/>
      <c r="F7">
        <v>2018</v>
      </c>
      <c r="G7" s="55">
        <v>22.4</v>
      </c>
      <c r="H7" s="55">
        <v>27.4</v>
      </c>
      <c r="I7" s="55">
        <v>28.9</v>
      </c>
      <c r="J7" s="55">
        <v>27.9</v>
      </c>
      <c r="K7" s="55">
        <v>27.8</v>
      </c>
      <c r="L7" s="55">
        <v>23.2</v>
      </c>
      <c r="M7" s="55">
        <v>29.5</v>
      </c>
      <c r="N7" s="55">
        <v>25.9</v>
      </c>
      <c r="O7" s="55">
        <v>26.9</v>
      </c>
    </row>
    <row r="8" spans="1:17">
      <c r="E8" s="99"/>
      <c r="F8">
        <v>2021</v>
      </c>
      <c r="G8" s="55">
        <v>41.1</v>
      </c>
      <c r="H8" s="55">
        <v>40.700000000000003</v>
      </c>
      <c r="I8" s="55">
        <v>43.8</v>
      </c>
      <c r="J8" s="55">
        <v>42.9</v>
      </c>
      <c r="K8" s="55">
        <v>28.2</v>
      </c>
      <c r="L8" s="55">
        <v>44.5</v>
      </c>
      <c r="M8" s="55">
        <v>45.5</v>
      </c>
      <c r="N8" s="55">
        <v>44.7</v>
      </c>
      <c r="O8" s="55">
        <v>44.5</v>
      </c>
      <c r="P8" s="14"/>
    </row>
    <row r="9" spans="1:17">
      <c r="A9" s="98" t="s">
        <v>893</v>
      </c>
      <c r="B9" s="99"/>
      <c r="E9" s="99"/>
      <c r="G9" s="55"/>
      <c r="H9" s="55"/>
      <c r="I9" s="55"/>
      <c r="J9" s="55"/>
      <c r="K9" s="55"/>
      <c r="L9" s="55"/>
      <c r="M9" s="55"/>
      <c r="N9" s="55"/>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532</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tbl-65+-flu-immi-percent</v>
      </c>
    </row>
    <row r="4" spans="1:17">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c r="E7" s="99"/>
      <c r="F7">
        <v>2018</v>
      </c>
      <c r="G7" s="55">
        <v>22.4</v>
      </c>
      <c r="H7" s="55">
        <v>27.4</v>
      </c>
      <c r="I7" s="55">
        <v>28.9</v>
      </c>
      <c r="J7" s="55">
        <v>27.9</v>
      </c>
      <c r="K7" s="55">
        <v>27.8</v>
      </c>
      <c r="L7" s="55">
        <v>23.2</v>
      </c>
      <c r="M7" s="55">
        <v>29.5</v>
      </c>
      <c r="N7" s="55">
        <v>25.9</v>
      </c>
      <c r="O7" s="55">
        <v>26.9</v>
      </c>
    </row>
    <row r="8" spans="1:17">
      <c r="E8" s="99"/>
      <c r="F8">
        <v>2021</v>
      </c>
      <c r="G8" s="55">
        <v>41.1</v>
      </c>
      <c r="H8" s="55">
        <v>40.700000000000003</v>
      </c>
      <c r="I8" s="55">
        <v>43.8</v>
      </c>
      <c r="J8" s="55">
        <v>42.9</v>
      </c>
      <c r="K8" s="55">
        <v>28.2</v>
      </c>
      <c r="L8" s="55">
        <v>44.5</v>
      </c>
      <c r="M8" s="55">
        <v>45.5</v>
      </c>
      <c r="N8" s="55">
        <v>44.7</v>
      </c>
      <c r="O8" s="55">
        <v>44.5</v>
      </c>
      <c r="P8" s="14"/>
    </row>
    <row r="9" spans="1:17">
      <c r="A9" s="98" t="s">
        <v>893</v>
      </c>
      <c r="B9" s="99"/>
      <c r="E9" s="99"/>
      <c r="G9" s="55"/>
      <c r="H9" s="55"/>
      <c r="I9" s="55"/>
      <c r="J9" s="55"/>
      <c r="K9" s="55"/>
      <c r="L9" s="55"/>
      <c r="M9" s="55"/>
      <c r="N9" s="55"/>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533</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tbl-65+-pneumo-immi-percent</v>
      </c>
    </row>
    <row r="4" spans="1:17">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c r="A6" t="s">
        <v>891</v>
      </c>
      <c r="B6" t="b">
        <v>0</v>
      </c>
      <c r="E6" s="99"/>
      <c r="F6">
        <v>2016</v>
      </c>
      <c r="G6" s="55" t="s">
        <v>2003</v>
      </c>
      <c r="H6" s="55">
        <v>74.8</v>
      </c>
      <c r="I6" s="55">
        <v>71.099999999999994</v>
      </c>
      <c r="J6" s="55" t="s">
        <v>2004</v>
      </c>
      <c r="K6" s="55" t="s">
        <v>2004</v>
      </c>
      <c r="L6" s="55">
        <v>60.7</v>
      </c>
      <c r="M6" s="55">
        <v>72.7</v>
      </c>
      <c r="N6" s="55">
        <v>73.8</v>
      </c>
      <c r="O6" s="55">
        <v>69.3</v>
      </c>
    </row>
    <row r="7" spans="1:17" ht="15.75" customHeight="1">
      <c r="E7" s="99"/>
      <c r="F7">
        <v>2018</v>
      </c>
      <c r="G7" s="55">
        <v>75</v>
      </c>
      <c r="H7" s="55" t="s">
        <v>2005</v>
      </c>
      <c r="I7" s="55" t="s">
        <v>2006</v>
      </c>
      <c r="J7" s="55" t="s">
        <v>2006</v>
      </c>
      <c r="K7" s="55" t="s">
        <v>2007</v>
      </c>
      <c r="L7" s="55" t="s">
        <v>2008</v>
      </c>
      <c r="M7" s="55">
        <v>69.2</v>
      </c>
      <c r="N7" s="55">
        <v>69.400000000000006</v>
      </c>
      <c r="O7" s="55">
        <v>64</v>
      </c>
    </row>
    <row r="8" spans="1:17">
      <c r="E8" s="99"/>
      <c r="F8">
        <v>2021</v>
      </c>
      <c r="G8" s="55">
        <v>65</v>
      </c>
      <c r="H8" s="55">
        <v>67</v>
      </c>
      <c r="I8" s="55">
        <v>75.7</v>
      </c>
      <c r="J8" s="55" t="s">
        <v>2009</v>
      </c>
      <c r="K8" s="55" t="s">
        <v>2010</v>
      </c>
      <c r="L8" s="55" t="s">
        <v>2011</v>
      </c>
      <c r="M8" s="55">
        <v>65</v>
      </c>
      <c r="N8" s="55">
        <v>70.099999999999994</v>
      </c>
      <c r="O8" s="55">
        <v>65.599999999999994</v>
      </c>
      <c r="P8" s="14"/>
    </row>
    <row r="9" spans="1:17">
      <c r="A9" s="98" t="s">
        <v>893</v>
      </c>
      <c r="B9" s="99"/>
      <c r="E9" s="99"/>
      <c r="G9" s="55"/>
      <c r="H9" s="55"/>
      <c r="I9" s="55"/>
      <c r="J9" s="55"/>
      <c r="K9" s="55"/>
      <c r="L9" s="55"/>
      <c r="M9" s="55"/>
      <c r="N9" s="55"/>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535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tbl-hiv-incident-aar</v>
      </c>
    </row>
    <row r="4" spans="1:17">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1799</v>
      </c>
      <c r="O5" s="101"/>
    </row>
    <row r="6" spans="1:17" ht="15" customHeight="1">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c r="E7" s="99"/>
      <c r="F7">
        <v>2014</v>
      </c>
      <c r="G7" s="55">
        <v>7.7</v>
      </c>
      <c r="H7" s="55">
        <v>3.9</v>
      </c>
      <c r="I7" s="55" t="s">
        <v>2012</v>
      </c>
      <c r="J7" s="55">
        <v>8.1999999999999993</v>
      </c>
      <c r="K7" s="55">
        <v>9.4</v>
      </c>
      <c r="L7" s="55">
        <v>5.5</v>
      </c>
      <c r="M7" s="55">
        <v>11.8</v>
      </c>
      <c r="N7" s="55">
        <v>7.8</v>
      </c>
      <c r="O7" s="55">
        <v>18</v>
      </c>
    </row>
    <row r="8" spans="1:17">
      <c r="E8" s="99"/>
      <c r="F8">
        <v>2015</v>
      </c>
      <c r="G8" s="55">
        <v>7.7</v>
      </c>
      <c r="H8" s="55">
        <v>5.3</v>
      </c>
      <c r="I8" s="55" t="s">
        <v>2013</v>
      </c>
      <c r="J8" s="55">
        <v>7.9</v>
      </c>
      <c r="K8" s="55">
        <v>9.8000000000000007</v>
      </c>
      <c r="L8" s="55">
        <v>5.0999999999999996</v>
      </c>
      <c r="M8" s="55">
        <v>11.9</v>
      </c>
      <c r="N8" s="55">
        <v>6.8</v>
      </c>
      <c r="O8" s="55">
        <v>16.899999999999999</v>
      </c>
      <c r="P8" s="14"/>
    </row>
    <row r="9" spans="1:17">
      <c r="A9" s="98" t="s">
        <v>893</v>
      </c>
      <c r="B9" s="99"/>
      <c r="E9" s="99"/>
      <c r="F9">
        <v>2016</v>
      </c>
      <c r="G9" s="55">
        <v>6.2</v>
      </c>
      <c r="H9" s="55">
        <v>6.8</v>
      </c>
      <c r="I9" s="55" t="s">
        <v>2014</v>
      </c>
      <c r="J9" s="55">
        <v>7.1</v>
      </c>
      <c r="K9" s="55">
        <v>6.7</v>
      </c>
      <c r="L9" s="55">
        <v>4.4000000000000004</v>
      </c>
      <c r="M9" s="55">
        <v>11.7</v>
      </c>
      <c r="N9" s="55">
        <v>7</v>
      </c>
      <c r="O9" s="55">
        <v>15.7</v>
      </c>
    </row>
    <row r="10" spans="1:17">
      <c r="A10" t="s">
        <v>894</v>
      </c>
      <c r="B10" t="s">
        <v>972</v>
      </c>
      <c r="E10" s="99"/>
      <c r="F10">
        <v>2017</v>
      </c>
      <c r="G10">
        <v>5.8</v>
      </c>
      <c r="H10">
        <v>8.4</v>
      </c>
      <c r="I10" t="s">
        <v>2015</v>
      </c>
      <c r="J10">
        <v>8.3000000000000007</v>
      </c>
      <c r="K10">
        <v>5.6</v>
      </c>
      <c r="L10">
        <v>5.7</v>
      </c>
      <c r="M10">
        <v>10.9</v>
      </c>
      <c r="N10">
        <v>6.8</v>
      </c>
      <c r="O10">
        <v>15.5</v>
      </c>
    </row>
    <row r="11" spans="1:17">
      <c r="A11" t="s">
        <v>895</v>
      </c>
      <c r="B11" t="s">
        <v>887</v>
      </c>
      <c r="E11" s="99"/>
      <c r="F11" s="46" t="s">
        <v>1978</v>
      </c>
      <c r="G11" s="59">
        <v>5.4</v>
      </c>
      <c r="H11" s="59">
        <v>8.1</v>
      </c>
      <c r="I11" s="59">
        <v>3.5</v>
      </c>
      <c r="J11" s="42">
        <v>8.4</v>
      </c>
      <c r="K11" s="42">
        <v>5.2</v>
      </c>
      <c r="L11" s="42">
        <v>5.7</v>
      </c>
      <c r="M11" s="47" t="s">
        <v>2016</v>
      </c>
      <c r="N11" s="47" t="s">
        <v>1783</v>
      </c>
      <c r="O11" s="46" t="s">
        <v>1785</v>
      </c>
    </row>
    <row r="12" spans="1:17">
      <c r="A12" t="s">
        <v>896</v>
      </c>
      <c r="E12" s="99"/>
      <c r="F12" s="74" t="s">
        <v>1980</v>
      </c>
      <c r="G12" s="42">
        <v>5.0999999999999996</v>
      </c>
      <c r="H12" s="42">
        <v>6</v>
      </c>
      <c r="I12" s="59">
        <v>3.5</v>
      </c>
      <c r="J12" s="59">
        <v>7.4</v>
      </c>
      <c r="K12" s="59">
        <v>5.2</v>
      </c>
      <c r="L12" s="59">
        <v>5.5</v>
      </c>
      <c r="M12" s="46" t="s">
        <v>1481</v>
      </c>
      <c r="N12" s="46" t="s">
        <v>2017</v>
      </c>
      <c r="O12" s="46" t="s">
        <v>2018</v>
      </c>
    </row>
    <row r="13" spans="1:17">
      <c r="A13" t="s">
        <v>897</v>
      </c>
      <c r="E13" s="99"/>
      <c r="F13" s="47" t="s">
        <v>1982</v>
      </c>
      <c r="G13" s="47" t="s">
        <v>2019</v>
      </c>
      <c r="H13" s="47" t="s">
        <v>1783</v>
      </c>
      <c r="I13" s="46" t="s">
        <v>2020</v>
      </c>
      <c r="J13" s="46" t="s">
        <v>2021</v>
      </c>
      <c r="K13" s="46" t="s">
        <v>2022</v>
      </c>
      <c r="L13" s="46" t="s">
        <v>1515</v>
      </c>
      <c r="M13" s="46" t="s">
        <v>2023</v>
      </c>
      <c r="N13" s="46" t="s">
        <v>2024</v>
      </c>
      <c r="O13" s="46" t="s">
        <v>2025</v>
      </c>
    </row>
    <row r="14" spans="1:17">
      <c r="A14" t="s">
        <v>899</v>
      </c>
      <c r="B14" t="s">
        <v>715</v>
      </c>
      <c r="E14" s="99"/>
      <c r="F14" s="68" t="s">
        <v>1142</v>
      </c>
      <c r="G14" s="68" t="s">
        <v>2026</v>
      </c>
      <c r="H14" s="68" t="s">
        <v>2027</v>
      </c>
      <c r="I14" s="46" t="s">
        <v>1896</v>
      </c>
      <c r="J14" s="47" t="s">
        <v>1986</v>
      </c>
      <c r="K14" s="47" t="s">
        <v>2028</v>
      </c>
      <c r="L14" s="47" t="s">
        <v>2029</v>
      </c>
      <c r="M14" s="47" t="s">
        <v>2030</v>
      </c>
      <c r="N14" s="47" t="s">
        <v>1520</v>
      </c>
      <c r="O14" s="46" t="s">
        <v>2031</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543</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tbl-gono-incident-aar</v>
      </c>
    </row>
    <row r="4" spans="1:17">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s="121" t="s">
        <v>220</v>
      </c>
      <c r="H5" s="121" t="s">
        <v>18</v>
      </c>
      <c r="I5" s="121" t="s">
        <v>537</v>
      </c>
      <c r="J5" s="121" t="s">
        <v>449</v>
      </c>
      <c r="K5" s="121" t="s">
        <v>409</v>
      </c>
      <c r="L5" s="121" t="s">
        <v>421</v>
      </c>
      <c r="M5" s="121" t="s">
        <v>470</v>
      </c>
      <c r="N5" s="121" t="s">
        <v>898</v>
      </c>
      <c r="O5" s="121" t="s">
        <v>914</v>
      </c>
    </row>
    <row r="6" spans="1:17" ht="15" customHeight="1">
      <c r="A6" t="s">
        <v>891</v>
      </c>
      <c r="B6" t="b">
        <v>1</v>
      </c>
      <c r="E6" s="99"/>
      <c r="F6">
        <v>2017</v>
      </c>
      <c r="G6" s="55">
        <v>74</v>
      </c>
      <c r="H6" s="55">
        <v>80</v>
      </c>
      <c r="I6" s="55">
        <v>29</v>
      </c>
      <c r="J6" s="55">
        <v>41</v>
      </c>
      <c r="K6" s="55">
        <v>113</v>
      </c>
      <c r="L6" s="55">
        <v>75</v>
      </c>
      <c r="M6" s="55">
        <v>76</v>
      </c>
      <c r="N6" s="55">
        <v>71</v>
      </c>
      <c r="O6" s="55">
        <v>101.2</v>
      </c>
    </row>
    <row r="7" spans="1:17" ht="15.75" customHeight="1">
      <c r="E7" s="99"/>
      <c r="F7">
        <v>2018</v>
      </c>
      <c r="G7" s="55">
        <v>63</v>
      </c>
      <c r="H7" s="55">
        <v>66</v>
      </c>
      <c r="I7" s="55">
        <v>25</v>
      </c>
      <c r="J7" s="55">
        <v>38</v>
      </c>
      <c r="K7" s="55">
        <v>52</v>
      </c>
      <c r="L7" s="55">
        <v>60</v>
      </c>
      <c r="M7" s="55">
        <v>87</v>
      </c>
      <c r="N7" s="55">
        <v>68</v>
      </c>
      <c r="O7" s="55">
        <v>107</v>
      </c>
    </row>
    <row r="8" spans="1:17">
      <c r="E8" s="99"/>
      <c r="F8">
        <v>2019</v>
      </c>
      <c r="G8" s="55">
        <v>75</v>
      </c>
      <c r="H8" s="55">
        <v>77</v>
      </c>
      <c r="I8" s="55">
        <v>36</v>
      </c>
      <c r="J8" s="55">
        <v>47</v>
      </c>
      <c r="K8" s="55">
        <v>69</v>
      </c>
      <c r="L8" s="55">
        <v>71</v>
      </c>
      <c r="M8" s="55">
        <v>105</v>
      </c>
      <c r="N8" s="55">
        <v>81</v>
      </c>
      <c r="O8" s="55">
        <v>114.9</v>
      </c>
      <c r="P8" s="14"/>
    </row>
    <row r="9" spans="1:17">
      <c r="A9" s="98" t="s">
        <v>893</v>
      </c>
      <c r="B9" s="99"/>
      <c r="E9" s="99"/>
      <c r="F9">
        <v>2020</v>
      </c>
      <c r="G9" s="55">
        <v>109</v>
      </c>
      <c r="H9" s="55">
        <v>109</v>
      </c>
      <c r="I9" s="55">
        <v>35</v>
      </c>
      <c r="J9" s="55">
        <v>38</v>
      </c>
      <c r="K9" s="55">
        <v>161</v>
      </c>
      <c r="L9" s="55">
        <v>93</v>
      </c>
      <c r="M9" s="55">
        <v>119</v>
      </c>
      <c r="N9" s="55">
        <v>101</v>
      </c>
      <c r="O9" s="55">
        <v>168.8</v>
      </c>
    </row>
    <row r="10" spans="1:17">
      <c r="A10" t="s">
        <v>894</v>
      </c>
      <c r="B10" t="s">
        <v>972</v>
      </c>
      <c r="E10" s="99"/>
      <c r="F10">
        <v>2021</v>
      </c>
      <c r="G10">
        <v>83</v>
      </c>
      <c r="H10">
        <v>87</v>
      </c>
      <c r="I10">
        <v>40</v>
      </c>
      <c r="J10">
        <v>63</v>
      </c>
      <c r="K10">
        <v>99</v>
      </c>
      <c r="L10">
        <v>89</v>
      </c>
      <c r="M10">
        <v>113</v>
      </c>
      <c r="N10">
        <v>92</v>
      </c>
      <c r="O10">
        <v>141.6</v>
      </c>
    </row>
    <row r="11" spans="1:17">
      <c r="A11" t="s">
        <v>895</v>
      </c>
      <c r="B11" t="s">
        <v>887</v>
      </c>
      <c r="E11" s="99"/>
      <c r="F11" s="46" t="s">
        <v>1143</v>
      </c>
      <c r="G11" s="59">
        <v>103</v>
      </c>
      <c r="H11" s="59">
        <v>74</v>
      </c>
      <c r="I11" s="59">
        <v>38</v>
      </c>
      <c r="J11" s="42">
        <v>57</v>
      </c>
      <c r="K11" s="42">
        <v>63</v>
      </c>
      <c r="L11" s="42">
        <v>81</v>
      </c>
      <c r="M11" s="47" t="s">
        <v>1670</v>
      </c>
      <c r="N11" s="47" t="s">
        <v>2032</v>
      </c>
      <c r="O11" s="46" t="s">
        <v>2033</v>
      </c>
    </row>
    <row r="12" spans="1:17">
      <c r="A12" t="s">
        <v>896</v>
      </c>
      <c r="E12" s="99"/>
      <c r="F12" s="74" t="s">
        <v>1144</v>
      </c>
      <c r="G12" s="42">
        <v>147</v>
      </c>
      <c r="H12" s="42">
        <v>94</v>
      </c>
      <c r="I12" s="59">
        <v>41</v>
      </c>
      <c r="J12" s="59">
        <v>74</v>
      </c>
      <c r="K12" s="59">
        <v>85</v>
      </c>
      <c r="L12" s="59">
        <v>80</v>
      </c>
      <c r="M12" s="46" t="s">
        <v>2034</v>
      </c>
      <c r="N12" s="46" t="s">
        <v>2035</v>
      </c>
      <c r="O12" s="46" t="s">
        <v>2036</v>
      </c>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555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tbl-chlamy-incident-aar</v>
      </c>
    </row>
    <row r="4" spans="1:17">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s="121" t="s">
        <v>220</v>
      </c>
      <c r="H5" s="121" t="s">
        <v>18</v>
      </c>
      <c r="I5" s="121" t="s">
        <v>537</v>
      </c>
      <c r="J5" s="121" t="s">
        <v>449</v>
      </c>
      <c r="K5" s="121" t="s">
        <v>409</v>
      </c>
      <c r="L5" s="121" t="s">
        <v>421</v>
      </c>
      <c r="M5" s="121" t="s">
        <v>470</v>
      </c>
      <c r="N5" s="121" t="s">
        <v>898</v>
      </c>
      <c r="O5" s="121" t="s">
        <v>914</v>
      </c>
    </row>
    <row r="6" spans="1:17" ht="15" customHeight="1">
      <c r="A6" t="s">
        <v>891</v>
      </c>
      <c r="B6" t="b">
        <v>1</v>
      </c>
      <c r="E6" s="99"/>
      <c r="F6">
        <v>2017</v>
      </c>
      <c r="G6" s="55">
        <v>360</v>
      </c>
      <c r="H6" s="55">
        <v>402</v>
      </c>
      <c r="I6" s="55">
        <v>209</v>
      </c>
      <c r="J6" s="55">
        <v>307</v>
      </c>
      <c r="K6" s="55">
        <v>417</v>
      </c>
      <c r="L6" s="55">
        <v>345</v>
      </c>
      <c r="M6" s="55">
        <v>428</v>
      </c>
      <c r="N6" s="55">
        <v>382</v>
      </c>
      <c r="O6" s="55">
        <v>421</v>
      </c>
    </row>
    <row r="7" spans="1:17" ht="15.75" customHeight="1">
      <c r="E7" s="99"/>
      <c r="F7">
        <v>2018</v>
      </c>
      <c r="G7" s="55">
        <v>395</v>
      </c>
      <c r="H7" s="55">
        <v>402</v>
      </c>
      <c r="I7" s="55">
        <v>207</v>
      </c>
      <c r="J7" s="55">
        <v>358</v>
      </c>
      <c r="K7" s="55">
        <v>418</v>
      </c>
      <c r="L7" s="55">
        <v>367</v>
      </c>
      <c r="M7" s="55">
        <v>440</v>
      </c>
      <c r="N7" s="55">
        <v>401</v>
      </c>
      <c r="O7" s="55">
        <v>444</v>
      </c>
    </row>
    <row r="8" spans="1:17">
      <c r="E8" s="99"/>
      <c r="F8">
        <v>2019</v>
      </c>
      <c r="G8" s="55">
        <v>401</v>
      </c>
      <c r="H8" s="55">
        <v>450</v>
      </c>
      <c r="I8" s="55">
        <v>243</v>
      </c>
      <c r="J8" s="55">
        <v>384</v>
      </c>
      <c r="K8" s="55">
        <v>435</v>
      </c>
      <c r="L8" s="55">
        <v>380</v>
      </c>
      <c r="M8" s="55">
        <v>491</v>
      </c>
      <c r="N8" s="55">
        <v>437</v>
      </c>
      <c r="O8" s="55">
        <v>458</v>
      </c>
      <c r="P8" s="14"/>
    </row>
    <row r="9" spans="1:17">
      <c r="A9" s="98" t="s">
        <v>893</v>
      </c>
      <c r="B9" s="99"/>
      <c r="E9" s="99"/>
      <c r="F9">
        <v>2020</v>
      </c>
      <c r="G9" s="55">
        <v>313</v>
      </c>
      <c r="H9" s="55">
        <v>373</v>
      </c>
      <c r="I9" s="55">
        <v>163</v>
      </c>
      <c r="J9" s="55">
        <v>311</v>
      </c>
      <c r="K9" s="55">
        <v>328</v>
      </c>
      <c r="L9" s="55">
        <v>301</v>
      </c>
      <c r="M9" s="55">
        <v>349</v>
      </c>
      <c r="N9" s="55">
        <v>331</v>
      </c>
      <c r="O9" s="55">
        <v>394</v>
      </c>
    </row>
    <row r="10" spans="1:17">
      <c r="A10" t="s">
        <v>894</v>
      </c>
      <c r="B10" t="s">
        <v>972</v>
      </c>
      <c r="E10" s="99"/>
      <c r="F10">
        <v>2021</v>
      </c>
      <c r="G10">
        <v>308</v>
      </c>
      <c r="H10">
        <v>361</v>
      </c>
      <c r="I10">
        <v>204</v>
      </c>
      <c r="J10">
        <v>323</v>
      </c>
      <c r="K10">
        <v>292</v>
      </c>
      <c r="L10">
        <v>240</v>
      </c>
      <c r="M10">
        <v>397</v>
      </c>
      <c r="N10">
        <v>346</v>
      </c>
      <c r="O10">
        <v>370</v>
      </c>
    </row>
    <row r="11" spans="1:17">
      <c r="A11" t="s">
        <v>895</v>
      </c>
      <c r="B11" t="s">
        <v>887</v>
      </c>
      <c r="E11" s="99"/>
      <c r="F11" s="46" t="s">
        <v>1143</v>
      </c>
      <c r="G11" s="59">
        <v>334</v>
      </c>
      <c r="H11" s="59">
        <v>340</v>
      </c>
      <c r="I11" s="59">
        <v>210</v>
      </c>
      <c r="J11" s="42">
        <v>305</v>
      </c>
      <c r="K11" s="42">
        <v>305</v>
      </c>
      <c r="L11" s="42">
        <v>284</v>
      </c>
      <c r="M11" s="47" t="s">
        <v>2037</v>
      </c>
      <c r="N11" s="47" t="s">
        <v>2038</v>
      </c>
      <c r="O11" s="46" t="s">
        <v>2039</v>
      </c>
    </row>
    <row r="12" spans="1:17">
      <c r="A12" t="s">
        <v>896</v>
      </c>
      <c r="E12" s="99"/>
      <c r="F12" s="74" t="s">
        <v>1144</v>
      </c>
      <c r="G12" s="42">
        <v>374</v>
      </c>
      <c r="H12" s="42">
        <v>375</v>
      </c>
      <c r="I12" s="59">
        <v>237</v>
      </c>
      <c r="J12" s="59">
        <v>330</v>
      </c>
      <c r="K12" s="59">
        <v>346</v>
      </c>
      <c r="L12" s="59">
        <v>334</v>
      </c>
      <c r="M12" s="46" t="s">
        <v>2040</v>
      </c>
      <c r="N12" s="46" t="s">
        <v>2041</v>
      </c>
      <c r="O12" s="46" t="s">
        <v>2042</v>
      </c>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556</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tbl-syph-early-aar</v>
      </c>
    </row>
    <row r="4" spans="1:17">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s="55" t="s">
        <v>887</v>
      </c>
      <c r="G5" s="55" t="s">
        <v>220</v>
      </c>
      <c r="H5" s="55" t="s">
        <v>18</v>
      </c>
      <c r="I5" s="55" t="s">
        <v>537</v>
      </c>
      <c r="J5" s="55" t="s">
        <v>449</v>
      </c>
      <c r="K5" s="55" t="s">
        <v>409</v>
      </c>
      <c r="L5" s="55" t="s">
        <v>421</v>
      </c>
      <c r="M5" s="55" t="s">
        <v>470</v>
      </c>
      <c r="N5" s="55" t="s">
        <v>2043</v>
      </c>
      <c r="O5" s="55" t="s">
        <v>914</v>
      </c>
    </row>
    <row r="6" spans="1:17" ht="15" customHeight="1">
      <c r="A6" t="s">
        <v>891</v>
      </c>
      <c r="B6" t="b">
        <v>1</v>
      </c>
      <c r="E6" s="99"/>
      <c r="F6" s="55">
        <v>2017</v>
      </c>
      <c r="G6" s="55">
        <v>22</v>
      </c>
      <c r="H6" s="55">
        <v>14</v>
      </c>
      <c r="I6" s="55">
        <v>11</v>
      </c>
      <c r="J6" s="55">
        <v>10</v>
      </c>
      <c r="K6" s="55">
        <v>13</v>
      </c>
      <c r="L6" s="55">
        <v>8</v>
      </c>
      <c r="M6" s="55">
        <v>16</v>
      </c>
      <c r="N6" s="55">
        <v>15</v>
      </c>
      <c r="O6" s="55">
        <v>10</v>
      </c>
    </row>
    <row r="7" spans="1:17" ht="15.75" customHeight="1">
      <c r="E7" s="99"/>
      <c r="F7" s="55">
        <v>2018</v>
      </c>
      <c r="G7" s="55">
        <v>17</v>
      </c>
      <c r="H7" s="55">
        <v>17</v>
      </c>
      <c r="I7" s="55">
        <v>17</v>
      </c>
      <c r="J7" s="55">
        <v>11</v>
      </c>
      <c r="K7" s="55">
        <v>11</v>
      </c>
      <c r="L7" s="55">
        <v>12</v>
      </c>
      <c r="M7" s="55">
        <v>14</v>
      </c>
      <c r="N7" s="55">
        <v>15</v>
      </c>
      <c r="O7" s="55">
        <v>11</v>
      </c>
    </row>
    <row r="8" spans="1:17">
      <c r="E8" s="99"/>
      <c r="F8" s="55">
        <v>2019</v>
      </c>
      <c r="G8" s="55">
        <v>34</v>
      </c>
      <c r="H8" s="55">
        <v>29</v>
      </c>
      <c r="I8" s="55">
        <v>9</v>
      </c>
      <c r="J8" s="55">
        <v>14</v>
      </c>
      <c r="K8" s="55">
        <v>13</v>
      </c>
      <c r="L8" s="55">
        <v>18</v>
      </c>
      <c r="M8" s="55">
        <v>16</v>
      </c>
      <c r="N8" s="55">
        <v>20</v>
      </c>
      <c r="O8" s="55">
        <v>14</v>
      </c>
      <c r="P8" s="14"/>
    </row>
    <row r="9" spans="1:17">
      <c r="A9" s="98" t="s">
        <v>893</v>
      </c>
      <c r="B9" s="99"/>
      <c r="E9" s="99"/>
      <c r="F9" s="55">
        <v>2020</v>
      </c>
      <c r="G9" s="55">
        <v>25</v>
      </c>
      <c r="H9" s="55">
        <v>27</v>
      </c>
      <c r="I9" s="55">
        <v>14</v>
      </c>
      <c r="J9" s="55">
        <v>12</v>
      </c>
      <c r="K9" s="55">
        <v>12</v>
      </c>
      <c r="L9" s="55">
        <v>14</v>
      </c>
      <c r="M9" s="55">
        <v>19</v>
      </c>
      <c r="N9" s="55">
        <v>19</v>
      </c>
      <c r="O9" s="55">
        <v>13</v>
      </c>
    </row>
    <row r="10" spans="1:17">
      <c r="A10" t="s">
        <v>894</v>
      </c>
      <c r="B10" t="s">
        <v>972</v>
      </c>
      <c r="E10" s="99"/>
      <c r="F10" s="55">
        <v>2021</v>
      </c>
      <c r="G10" s="55">
        <v>29</v>
      </c>
      <c r="H10" s="55">
        <v>29</v>
      </c>
      <c r="I10" s="55">
        <v>15</v>
      </c>
      <c r="J10" s="55">
        <v>14</v>
      </c>
      <c r="K10" s="55">
        <v>14</v>
      </c>
      <c r="L10" s="55">
        <v>14</v>
      </c>
      <c r="M10" s="55">
        <v>24</v>
      </c>
      <c r="N10" s="55">
        <v>23</v>
      </c>
      <c r="O10" s="55">
        <v>22</v>
      </c>
    </row>
    <row r="11" spans="1:17">
      <c r="A11" t="s">
        <v>895</v>
      </c>
      <c r="B11" t="s">
        <v>887</v>
      </c>
      <c r="E11" s="99"/>
      <c r="F11" s="68" t="s">
        <v>1143</v>
      </c>
      <c r="G11" s="59">
        <v>24</v>
      </c>
      <c r="H11" s="59">
        <v>27</v>
      </c>
      <c r="I11" s="59">
        <v>16</v>
      </c>
      <c r="J11" s="42">
        <v>18</v>
      </c>
      <c r="K11" s="42">
        <v>30</v>
      </c>
      <c r="L11" s="42">
        <v>19</v>
      </c>
      <c r="M11" s="47" t="s">
        <v>2044</v>
      </c>
      <c r="N11" s="47" t="s">
        <v>2044</v>
      </c>
      <c r="O11" s="68" t="s">
        <v>2045</v>
      </c>
    </row>
    <row r="12" spans="1:17">
      <c r="A12" t="s">
        <v>896</v>
      </c>
      <c r="E12" s="99"/>
      <c r="F12" s="47" t="s">
        <v>1144</v>
      </c>
      <c r="G12" s="42">
        <v>29</v>
      </c>
      <c r="H12" s="42">
        <v>22</v>
      </c>
      <c r="I12" s="59">
        <v>15</v>
      </c>
      <c r="J12" s="59">
        <v>13</v>
      </c>
      <c r="K12" s="59">
        <v>29</v>
      </c>
      <c r="L12" s="59">
        <v>11</v>
      </c>
      <c r="M12" s="68" t="s">
        <v>2046</v>
      </c>
      <c r="N12" s="68" t="s">
        <v>2046</v>
      </c>
      <c r="O12" s="68" t="s">
        <v>2047</v>
      </c>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561</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tbl-lyme-disease</v>
      </c>
    </row>
    <row r="4" spans="1:17">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s="121" t="s">
        <v>220</v>
      </c>
      <c r="H5" s="121" t="s">
        <v>18</v>
      </c>
      <c r="I5" s="121" t="s">
        <v>537</v>
      </c>
      <c r="J5" s="121" t="s">
        <v>449</v>
      </c>
      <c r="K5" s="121" t="s">
        <v>409</v>
      </c>
      <c r="L5" s="121" t="s">
        <v>421</v>
      </c>
      <c r="M5" s="121" t="s">
        <v>470</v>
      </c>
      <c r="N5" s="121" t="s">
        <v>2043</v>
      </c>
      <c r="O5" s="121" t="s">
        <v>914</v>
      </c>
    </row>
    <row r="6" spans="1:17" ht="15" customHeight="1">
      <c r="A6" t="s">
        <v>891</v>
      </c>
      <c r="B6" t="b">
        <v>1</v>
      </c>
      <c r="E6" s="99"/>
      <c r="F6">
        <v>2017</v>
      </c>
      <c r="G6" s="55">
        <v>22</v>
      </c>
      <c r="H6" s="55">
        <v>14</v>
      </c>
      <c r="I6" s="55">
        <v>11</v>
      </c>
      <c r="J6" s="55">
        <v>10</v>
      </c>
      <c r="K6" s="55">
        <v>13</v>
      </c>
      <c r="L6" s="55">
        <v>8</v>
      </c>
      <c r="M6" s="55">
        <v>16</v>
      </c>
      <c r="N6" s="55">
        <v>15</v>
      </c>
      <c r="O6" s="55">
        <v>10</v>
      </c>
    </row>
    <row r="7" spans="1:17" ht="15.75" customHeight="1">
      <c r="E7" s="99"/>
      <c r="F7">
        <v>2018</v>
      </c>
      <c r="G7" s="55">
        <v>17</v>
      </c>
      <c r="H7" s="55">
        <v>17</v>
      </c>
      <c r="I7" s="55">
        <v>17</v>
      </c>
      <c r="J7" s="55">
        <v>11</v>
      </c>
      <c r="K7" s="55">
        <v>11</v>
      </c>
      <c r="L7" s="55">
        <v>12</v>
      </c>
      <c r="M7" s="55">
        <v>14</v>
      </c>
      <c r="N7" s="55">
        <v>15</v>
      </c>
      <c r="O7" s="55">
        <v>11</v>
      </c>
    </row>
    <row r="8" spans="1:17">
      <c r="E8" s="99"/>
      <c r="F8">
        <v>2019</v>
      </c>
      <c r="G8" s="55">
        <v>34</v>
      </c>
      <c r="H8" s="55">
        <v>29</v>
      </c>
      <c r="I8" s="55">
        <v>9</v>
      </c>
      <c r="J8" s="55">
        <v>14</v>
      </c>
      <c r="K8" s="55">
        <v>13</v>
      </c>
      <c r="L8" s="55">
        <v>18</v>
      </c>
      <c r="M8" s="55">
        <v>16</v>
      </c>
      <c r="N8" s="55">
        <v>20</v>
      </c>
      <c r="O8" s="55">
        <v>14</v>
      </c>
      <c r="P8" s="14"/>
    </row>
    <row r="9" spans="1:17">
      <c r="A9" s="98" t="s">
        <v>893</v>
      </c>
      <c r="B9" s="99"/>
      <c r="E9" s="99"/>
      <c r="F9">
        <v>2020</v>
      </c>
      <c r="G9" s="55">
        <v>25</v>
      </c>
      <c r="H9" s="55">
        <v>27</v>
      </c>
      <c r="I9" s="55">
        <v>14</v>
      </c>
      <c r="J9" s="55">
        <v>12</v>
      </c>
      <c r="K9" s="55">
        <v>12</v>
      </c>
      <c r="L9" s="55">
        <v>14</v>
      </c>
      <c r="M9" s="55">
        <v>19</v>
      </c>
      <c r="N9" s="55">
        <v>19</v>
      </c>
      <c r="O9" s="55">
        <v>13</v>
      </c>
    </row>
    <row r="10" spans="1:17">
      <c r="A10" t="s">
        <v>894</v>
      </c>
      <c r="B10" t="s">
        <v>972</v>
      </c>
      <c r="E10" s="99"/>
      <c r="F10">
        <v>2021</v>
      </c>
      <c r="G10">
        <v>29</v>
      </c>
      <c r="H10">
        <v>29</v>
      </c>
      <c r="I10">
        <v>15</v>
      </c>
      <c r="J10">
        <v>14</v>
      </c>
      <c r="K10">
        <v>14</v>
      </c>
      <c r="L10">
        <v>14</v>
      </c>
      <c r="M10">
        <v>24</v>
      </c>
      <c r="N10">
        <v>23</v>
      </c>
      <c r="O10">
        <v>22</v>
      </c>
    </row>
    <row r="11" spans="1:17">
      <c r="A11" t="s">
        <v>895</v>
      </c>
      <c r="B11" t="s">
        <v>887</v>
      </c>
      <c r="E11" s="99"/>
      <c r="F11" s="46" t="s">
        <v>1143</v>
      </c>
      <c r="G11" s="59">
        <v>24</v>
      </c>
      <c r="H11" s="59">
        <v>27</v>
      </c>
      <c r="I11" s="59">
        <v>16</v>
      </c>
      <c r="J11" s="42">
        <v>18</v>
      </c>
      <c r="K11" s="42">
        <v>30</v>
      </c>
      <c r="L11" s="42">
        <v>19</v>
      </c>
      <c r="M11" s="47" t="s">
        <v>2044</v>
      </c>
      <c r="N11" s="47" t="s">
        <v>2044</v>
      </c>
      <c r="O11" s="46" t="s">
        <v>2045</v>
      </c>
    </row>
    <row r="12" spans="1:17">
      <c r="A12" t="s">
        <v>896</v>
      </c>
      <c r="E12" s="99"/>
      <c r="F12" s="74" t="s">
        <v>1144</v>
      </c>
      <c r="G12" s="42">
        <v>29</v>
      </c>
      <c r="H12" s="42">
        <v>22</v>
      </c>
      <c r="I12" s="59">
        <v>15</v>
      </c>
      <c r="J12" s="59">
        <v>13</v>
      </c>
      <c r="K12" s="59">
        <v>29</v>
      </c>
      <c r="L12" s="59">
        <v>11</v>
      </c>
      <c r="M12" s="46" t="s">
        <v>2046</v>
      </c>
      <c r="N12" s="46" t="s">
        <v>2046</v>
      </c>
      <c r="O12" s="46" t="s">
        <v>2047</v>
      </c>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566</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tbl-anaplasmosis</v>
      </c>
    </row>
    <row r="4" spans="1:17">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c r="A5" s="98" t="s">
        <v>885</v>
      </c>
      <c r="B5" s="99"/>
      <c r="E5" s="100" t="s">
        <v>886</v>
      </c>
      <c r="F5" t="s">
        <v>887</v>
      </c>
      <c r="G5" s="121" t="s">
        <v>220</v>
      </c>
      <c r="H5" s="121" t="s">
        <v>18</v>
      </c>
      <c r="I5" s="121" t="s">
        <v>537</v>
      </c>
      <c r="J5" s="121" t="s">
        <v>449</v>
      </c>
      <c r="K5" s="121" t="s">
        <v>409</v>
      </c>
      <c r="L5" s="121" t="s">
        <v>421</v>
      </c>
      <c r="M5" s="121" t="s">
        <v>470</v>
      </c>
      <c r="N5" s="121" t="s">
        <v>915</v>
      </c>
      <c r="O5" s="121"/>
    </row>
    <row r="6" spans="1:17" ht="15" customHeight="1">
      <c r="A6" t="s">
        <v>891</v>
      </c>
      <c r="B6" t="b">
        <v>1</v>
      </c>
      <c r="E6" s="99"/>
      <c r="F6">
        <v>2020</v>
      </c>
      <c r="G6" s="55">
        <v>11.9</v>
      </c>
      <c r="H6" s="55">
        <v>6</v>
      </c>
      <c r="I6" s="55">
        <v>30.4</v>
      </c>
      <c r="J6" s="55">
        <v>2.1</v>
      </c>
      <c r="K6" s="55">
        <v>14.5</v>
      </c>
      <c r="L6" s="55">
        <v>4.5</v>
      </c>
      <c r="M6" s="55">
        <v>3.8</v>
      </c>
      <c r="N6" s="55">
        <v>7</v>
      </c>
      <c r="O6" s="55"/>
    </row>
    <row r="7" spans="1:17" ht="15.75" customHeight="1">
      <c r="E7" s="99"/>
      <c r="F7">
        <v>2021</v>
      </c>
      <c r="G7" s="55">
        <v>17</v>
      </c>
      <c r="H7" s="55">
        <v>17.899999999999999</v>
      </c>
      <c r="I7" s="55">
        <v>84.2</v>
      </c>
      <c r="J7" s="55">
        <v>1.2</v>
      </c>
      <c r="K7" s="55">
        <v>25.1</v>
      </c>
      <c r="L7" s="55">
        <v>20.3</v>
      </c>
      <c r="M7" s="55">
        <v>4.5999999999999996</v>
      </c>
      <c r="N7" s="55">
        <v>10.3</v>
      </c>
      <c r="O7" s="55"/>
    </row>
    <row r="8" spans="1:17">
      <c r="E8" s="99"/>
      <c r="F8">
        <v>2022</v>
      </c>
      <c r="G8" s="55">
        <v>0.7</v>
      </c>
      <c r="H8" s="55">
        <v>9.4</v>
      </c>
      <c r="I8" s="55">
        <v>33.700000000000003</v>
      </c>
      <c r="J8" s="55">
        <v>1.8</v>
      </c>
      <c r="K8" s="55">
        <v>21.3</v>
      </c>
      <c r="L8" s="55">
        <v>43.3</v>
      </c>
      <c r="M8" s="55">
        <v>43.3</v>
      </c>
      <c r="N8" s="55">
        <v>6</v>
      </c>
      <c r="O8" s="55"/>
      <c r="P8" s="14"/>
    </row>
    <row r="9" spans="1:17">
      <c r="A9" s="98" t="s">
        <v>893</v>
      </c>
      <c r="B9" s="99"/>
      <c r="E9" s="99"/>
      <c r="F9">
        <v>2023</v>
      </c>
      <c r="G9" s="55">
        <v>10.4</v>
      </c>
      <c r="H9" s="55">
        <v>18.7</v>
      </c>
      <c r="I9" s="55">
        <v>96.6</v>
      </c>
      <c r="J9" s="55">
        <v>2.1</v>
      </c>
      <c r="K9" s="55">
        <v>45.1</v>
      </c>
      <c r="L9" s="55">
        <v>75.099999999999994</v>
      </c>
      <c r="M9" s="55">
        <v>6</v>
      </c>
      <c r="N9" s="55">
        <v>10.3</v>
      </c>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568</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tbl-babesiosis</v>
      </c>
    </row>
    <row r="4" spans="1:17">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c r="A5" s="98" t="s">
        <v>885</v>
      </c>
      <c r="B5" s="99"/>
      <c r="E5" s="100" t="s">
        <v>886</v>
      </c>
      <c r="F5" t="s">
        <v>887</v>
      </c>
      <c r="G5" s="121" t="s">
        <v>220</v>
      </c>
      <c r="H5" s="121" t="s">
        <v>18</v>
      </c>
      <c r="I5" s="121" t="s">
        <v>537</v>
      </c>
      <c r="J5" s="121" t="s">
        <v>449</v>
      </c>
      <c r="K5" s="121" t="s">
        <v>409</v>
      </c>
      <c r="L5" s="121" t="s">
        <v>421</v>
      </c>
      <c r="M5" s="121" t="s">
        <v>470</v>
      </c>
      <c r="N5" s="121" t="s">
        <v>915</v>
      </c>
      <c r="O5" s="121"/>
    </row>
    <row r="6" spans="1:17" ht="15" customHeight="1">
      <c r="A6" t="s">
        <v>891</v>
      </c>
      <c r="B6" t="b">
        <v>1</v>
      </c>
      <c r="E6" s="99"/>
      <c r="F6">
        <v>2020</v>
      </c>
      <c r="G6" s="55">
        <v>8.1999999999999993</v>
      </c>
      <c r="H6" s="55">
        <v>11.2</v>
      </c>
      <c r="I6" s="55">
        <v>25.4</v>
      </c>
      <c r="J6" s="55">
        <v>2.1</v>
      </c>
      <c r="K6" s="55">
        <v>5.3</v>
      </c>
      <c r="L6" s="55">
        <v>2.8</v>
      </c>
      <c r="M6" s="55">
        <v>5.9</v>
      </c>
      <c r="N6" s="55">
        <v>2.8</v>
      </c>
      <c r="O6" s="55"/>
    </row>
    <row r="7" spans="1:17" ht="15.75" customHeight="1">
      <c r="E7" s="99"/>
      <c r="F7">
        <v>2021</v>
      </c>
      <c r="G7" s="55">
        <v>17.399999999999999</v>
      </c>
      <c r="H7" s="55">
        <v>17.100000000000001</v>
      </c>
      <c r="I7" s="55">
        <v>51.8</v>
      </c>
      <c r="J7" s="55">
        <v>4.9000000000000004</v>
      </c>
      <c r="K7" s="55">
        <v>10.6</v>
      </c>
      <c r="L7" s="55">
        <v>11.8</v>
      </c>
      <c r="M7" s="55">
        <v>5.7</v>
      </c>
      <c r="N7" s="55">
        <v>4.0999999999999996</v>
      </c>
      <c r="O7" s="55"/>
    </row>
    <row r="8" spans="1:17">
      <c r="E8" s="99"/>
      <c r="F8">
        <v>2022</v>
      </c>
      <c r="G8" s="55">
        <v>0.7</v>
      </c>
      <c r="H8" s="55">
        <v>8.1</v>
      </c>
      <c r="I8" s="55">
        <v>31.6</v>
      </c>
      <c r="J8" s="55">
        <v>5.9</v>
      </c>
      <c r="K8" s="55">
        <v>16.3</v>
      </c>
      <c r="L8" s="55">
        <v>20.8</v>
      </c>
      <c r="M8" s="55">
        <v>3.7</v>
      </c>
      <c r="N8" s="55">
        <v>3</v>
      </c>
      <c r="O8" s="55"/>
      <c r="P8" s="14"/>
    </row>
    <row r="9" spans="1:17">
      <c r="A9" s="98" t="s">
        <v>893</v>
      </c>
      <c r="B9" s="99"/>
      <c r="E9" s="99"/>
      <c r="F9">
        <v>2023</v>
      </c>
      <c r="G9" s="55">
        <v>10.1</v>
      </c>
      <c r="H9" s="55">
        <v>19.899999999999999</v>
      </c>
      <c r="I9" s="55">
        <v>61</v>
      </c>
      <c r="J9" s="55">
        <v>6.8</v>
      </c>
      <c r="K9" s="55">
        <v>28.8</v>
      </c>
      <c r="L9" s="55">
        <v>38.9</v>
      </c>
      <c r="M9" s="55">
        <v>12.5</v>
      </c>
      <c r="N9" s="55">
        <v>5.9</v>
      </c>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activeCellId="1" sqref="C6 K28:L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15.57031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572</v>
      </c>
      <c r="C1" s="97"/>
      <c r="D1" s="97"/>
      <c r="E1" s="97"/>
      <c r="F1" s="97"/>
      <c r="G1" s="97"/>
      <c r="H1" s="97"/>
      <c r="I1" s="97"/>
      <c r="J1" s="97"/>
      <c r="K1" s="97"/>
      <c r="L1" s="97"/>
      <c r="M1" s="97"/>
      <c r="N1" s="97"/>
      <c r="O1" s="97"/>
    </row>
    <row r="2" spans="1:17">
      <c r="A2" s="58" t="s">
        <v>883</v>
      </c>
      <c r="B2" t="s">
        <v>12</v>
      </c>
    </row>
    <row r="3" spans="1:17">
      <c r="A3" s="58" t="s">
        <v>884</v>
      </c>
      <c r="B3" t="str">
        <f>IF($B$1="","",_xlfn.XLOOKUP($B$1,Master!$F$2:$F$308,Master!$G$2:$G$308,""))</f>
        <v>tbl-rabies-test-domestic</v>
      </c>
    </row>
    <row r="4" spans="1:17">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c r="A5" s="98" t="s">
        <v>885</v>
      </c>
      <c r="B5" s="99"/>
      <c r="E5" s="100" t="s">
        <v>886</v>
      </c>
      <c r="F5" t="s">
        <v>887</v>
      </c>
      <c r="G5" s="121" t="s">
        <v>2048</v>
      </c>
      <c r="H5" s="121" t="s">
        <v>2049</v>
      </c>
      <c r="I5" s="121" t="s">
        <v>2050</v>
      </c>
      <c r="J5" s="121"/>
      <c r="K5" s="121"/>
      <c r="L5" s="121"/>
      <c r="M5" s="121"/>
      <c r="N5" s="121"/>
      <c r="O5" s="121"/>
    </row>
    <row r="6" spans="1:17" ht="15" customHeight="1">
      <c r="A6" t="s">
        <v>891</v>
      </c>
      <c r="B6" t="b">
        <v>0</v>
      </c>
      <c r="E6" s="99"/>
      <c r="F6" t="s">
        <v>220</v>
      </c>
      <c r="G6" s="55">
        <v>35</v>
      </c>
      <c r="H6" s="55">
        <v>1</v>
      </c>
      <c r="I6" s="55">
        <v>2.9</v>
      </c>
      <c r="J6" s="55"/>
      <c r="K6" s="55"/>
      <c r="L6" s="55"/>
      <c r="M6" s="55"/>
      <c r="N6" s="55"/>
      <c r="O6" s="55"/>
    </row>
    <row r="7" spans="1:17" ht="15.75" customHeight="1">
      <c r="E7" s="99"/>
      <c r="F7" t="s">
        <v>18</v>
      </c>
      <c r="G7" s="55">
        <v>51</v>
      </c>
      <c r="H7" s="55">
        <v>2</v>
      </c>
      <c r="I7" s="55">
        <v>3.9</v>
      </c>
      <c r="J7" s="55"/>
      <c r="K7" s="55"/>
      <c r="L7" s="55"/>
      <c r="M7" s="55"/>
      <c r="N7" s="55"/>
      <c r="O7" s="55"/>
    </row>
    <row r="8" spans="1:17">
      <c r="E8" s="99"/>
      <c r="F8" t="s">
        <v>537</v>
      </c>
      <c r="G8" s="55">
        <v>13</v>
      </c>
      <c r="H8" s="55">
        <v>0</v>
      </c>
      <c r="I8" s="55">
        <v>0</v>
      </c>
      <c r="J8" s="55"/>
      <c r="K8" s="55"/>
      <c r="L8" s="55"/>
      <c r="M8" s="55"/>
      <c r="N8" s="55"/>
      <c r="O8" s="55"/>
      <c r="P8" s="14"/>
    </row>
    <row r="9" spans="1:17">
      <c r="A9" s="98" t="s">
        <v>893</v>
      </c>
      <c r="B9" s="99"/>
      <c r="E9" s="99"/>
      <c r="F9" t="s">
        <v>449</v>
      </c>
      <c r="G9" s="55">
        <v>25</v>
      </c>
      <c r="H9" s="55">
        <v>1</v>
      </c>
      <c r="I9" s="55">
        <v>4</v>
      </c>
      <c r="J9" s="55"/>
      <c r="K9" s="55"/>
      <c r="L9" s="55"/>
      <c r="M9" s="55"/>
      <c r="N9" s="55"/>
      <c r="O9" s="55"/>
    </row>
    <row r="10" spans="1:17">
      <c r="A10" t="s">
        <v>894</v>
      </c>
      <c r="E10" s="99"/>
      <c r="F10" t="s">
        <v>409</v>
      </c>
      <c r="G10">
        <v>33</v>
      </c>
      <c r="H10">
        <v>0</v>
      </c>
      <c r="I10">
        <v>0</v>
      </c>
    </row>
    <row r="11" spans="1:17">
      <c r="A11" t="s">
        <v>895</v>
      </c>
      <c r="E11" s="99"/>
      <c r="F11" s="46" t="s">
        <v>421</v>
      </c>
      <c r="G11" s="59">
        <v>26</v>
      </c>
      <c r="H11" s="59">
        <v>0</v>
      </c>
      <c r="I11" s="59">
        <v>0</v>
      </c>
      <c r="J11" s="42"/>
      <c r="K11" s="42"/>
      <c r="L11" s="42"/>
      <c r="M11" s="47"/>
      <c r="N11" s="47"/>
      <c r="O11" s="46"/>
    </row>
    <row r="12" spans="1:17">
      <c r="A12" t="s">
        <v>896</v>
      </c>
      <c r="E12" s="99"/>
      <c r="F12" s="74" t="s">
        <v>470</v>
      </c>
      <c r="G12" s="42">
        <v>55</v>
      </c>
      <c r="H12" s="42">
        <v>1</v>
      </c>
      <c r="I12" s="59">
        <v>1.8</v>
      </c>
      <c r="J12" s="59"/>
      <c r="K12" s="59"/>
      <c r="L12" s="59"/>
      <c r="M12" s="46"/>
      <c r="N12" s="46"/>
      <c r="O12" s="46"/>
    </row>
    <row r="13" spans="1:17">
      <c r="A13" t="s">
        <v>897</v>
      </c>
      <c r="E13" s="99"/>
      <c r="F13" s="47" t="s">
        <v>898</v>
      </c>
      <c r="G13" s="47" t="s">
        <v>2051</v>
      </c>
      <c r="H13" s="47" t="s">
        <v>2052</v>
      </c>
      <c r="I13" s="46" t="s">
        <v>1509</v>
      </c>
      <c r="J13" s="46"/>
      <c r="K13" s="46"/>
      <c r="L13" s="46"/>
      <c r="M13" s="46"/>
      <c r="N13" s="46"/>
      <c r="O13" s="46"/>
    </row>
    <row r="14" spans="1:17">
      <c r="A14" t="s">
        <v>899</v>
      </c>
      <c r="E14" s="99"/>
      <c r="F14" s="68"/>
      <c r="G14" s="68"/>
      <c r="H14" s="68"/>
      <c r="I14" s="46"/>
      <c r="J14" s="47"/>
      <c r="K14" s="47"/>
      <c r="L14" s="47"/>
      <c r="M14" s="47"/>
      <c r="N14" s="47"/>
      <c r="O14" s="46"/>
    </row>
    <row r="15" spans="1:17">
      <c r="A15" t="s">
        <v>901</v>
      </c>
      <c r="E15" s="99"/>
      <c r="G15" s="68"/>
      <c r="H15" s="68"/>
      <c r="I15" s="46"/>
      <c r="J15" s="47"/>
      <c r="K15" s="47"/>
      <c r="L15" s="47"/>
      <c r="M15" s="47"/>
      <c r="N15" s="47"/>
      <c r="O15" s="46"/>
    </row>
    <row r="16" spans="1:17">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4.42578125" bestFit="1" customWidth="1"/>
    <col min="8" max="8" width="8.28515625" bestFit="1" customWidth="1"/>
    <col min="9" max="9" width="15.57031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575</v>
      </c>
      <c r="C1" s="97"/>
      <c r="D1" s="97"/>
      <c r="E1" s="97"/>
      <c r="F1" s="97"/>
      <c r="G1" s="97"/>
      <c r="H1" s="97"/>
      <c r="I1" s="97"/>
      <c r="J1" s="97"/>
      <c r="K1" s="97"/>
      <c r="L1" s="97"/>
      <c r="M1" s="97"/>
      <c r="N1" s="97"/>
      <c r="O1" s="97"/>
    </row>
    <row r="2" spans="1:17">
      <c r="A2" s="58" t="s">
        <v>883</v>
      </c>
      <c r="B2" t="s">
        <v>12</v>
      </c>
    </row>
    <row r="3" spans="1:17">
      <c r="A3" s="58" t="s">
        <v>884</v>
      </c>
      <c r="B3" t="str">
        <f>IF($B$1="","",_xlfn.XLOOKUP($B$1,Master!$F$2:$F$308,Master!$G$2:$G$308,""))</f>
        <v>tbl-rabies-test-wild</v>
      </c>
    </row>
    <row r="4" spans="1:17">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c r="A5" s="98" t="s">
        <v>885</v>
      </c>
      <c r="B5" s="99"/>
      <c r="E5" s="100" t="s">
        <v>886</v>
      </c>
      <c r="F5" t="s">
        <v>887</v>
      </c>
      <c r="G5" s="121" t="s">
        <v>2053</v>
      </c>
      <c r="H5" s="121" t="s">
        <v>2054</v>
      </c>
      <c r="I5" s="121" t="s">
        <v>2050</v>
      </c>
      <c r="J5" s="121"/>
      <c r="K5" s="121"/>
      <c r="L5" s="121"/>
      <c r="M5" s="121"/>
      <c r="N5" s="121"/>
      <c r="O5" s="121"/>
    </row>
    <row r="6" spans="1:17" ht="15" customHeight="1">
      <c r="A6" t="s">
        <v>891</v>
      </c>
      <c r="B6" t="b">
        <v>0</v>
      </c>
      <c r="E6" s="99"/>
      <c r="F6" t="s">
        <v>220</v>
      </c>
      <c r="G6" s="55">
        <v>76</v>
      </c>
      <c r="H6" s="55">
        <v>6</v>
      </c>
      <c r="I6" s="55">
        <v>7.9</v>
      </c>
      <c r="J6" s="55"/>
      <c r="K6" s="55"/>
      <c r="L6" s="55"/>
      <c r="M6" s="55"/>
      <c r="N6" s="55"/>
      <c r="O6" s="55"/>
    </row>
    <row r="7" spans="1:17" ht="15.75" customHeight="1">
      <c r="E7" s="99"/>
      <c r="F7" t="s">
        <v>18</v>
      </c>
      <c r="G7" s="55">
        <v>71</v>
      </c>
      <c r="H7" s="55">
        <v>4</v>
      </c>
      <c r="I7" s="55">
        <v>5.6</v>
      </c>
      <c r="J7" s="55"/>
      <c r="K7" s="55"/>
      <c r="L7" s="55"/>
      <c r="M7" s="55"/>
      <c r="N7" s="55"/>
      <c r="O7" s="55"/>
    </row>
    <row r="8" spans="1:17">
      <c r="E8" s="99"/>
      <c r="F8" t="s">
        <v>537</v>
      </c>
      <c r="G8" s="55">
        <v>54</v>
      </c>
      <c r="H8" s="55">
        <v>3</v>
      </c>
      <c r="I8" s="55">
        <v>5.6</v>
      </c>
      <c r="J8" s="55"/>
      <c r="K8" s="55"/>
      <c r="L8" s="55"/>
      <c r="M8" s="55"/>
      <c r="N8" s="55"/>
      <c r="O8" s="55"/>
      <c r="P8" s="14"/>
    </row>
    <row r="9" spans="1:17">
      <c r="A9" s="98" t="s">
        <v>893</v>
      </c>
      <c r="B9" s="99"/>
      <c r="E9" s="99"/>
      <c r="F9" t="s">
        <v>449</v>
      </c>
      <c r="G9" s="55">
        <v>31</v>
      </c>
      <c r="H9" s="55">
        <v>0</v>
      </c>
      <c r="I9" s="55">
        <v>0</v>
      </c>
      <c r="J9" s="55"/>
      <c r="K9" s="55"/>
      <c r="L9" s="55"/>
      <c r="M9" s="55"/>
      <c r="N9" s="55"/>
      <c r="O9" s="55"/>
    </row>
    <row r="10" spans="1:17">
      <c r="A10" t="s">
        <v>894</v>
      </c>
      <c r="E10" s="99"/>
      <c r="F10" t="s">
        <v>409</v>
      </c>
      <c r="G10">
        <v>13</v>
      </c>
      <c r="H10">
        <v>3</v>
      </c>
      <c r="I10">
        <v>23.1</v>
      </c>
    </row>
    <row r="11" spans="1:17">
      <c r="A11" t="s">
        <v>895</v>
      </c>
      <c r="E11" s="99"/>
      <c r="F11" s="46" t="s">
        <v>421</v>
      </c>
      <c r="G11" s="59">
        <v>58</v>
      </c>
      <c r="H11" s="59">
        <v>10</v>
      </c>
      <c r="I11" s="59">
        <v>17.2</v>
      </c>
      <c r="J11" s="42"/>
      <c r="K11" s="42"/>
      <c r="L11" s="42"/>
      <c r="M11" s="47"/>
      <c r="N11" s="47"/>
      <c r="O11" s="46"/>
    </row>
    <row r="12" spans="1:17">
      <c r="A12" t="s">
        <v>896</v>
      </c>
      <c r="E12" s="99"/>
      <c r="F12" s="74" t="s">
        <v>470</v>
      </c>
      <c r="G12" s="42">
        <v>294</v>
      </c>
      <c r="H12" s="42">
        <v>18</v>
      </c>
      <c r="I12" s="59">
        <v>6.1</v>
      </c>
      <c r="J12" s="59"/>
      <c r="K12" s="59"/>
      <c r="L12" s="59"/>
      <c r="M12" s="46"/>
      <c r="N12" s="46"/>
      <c r="O12" s="46"/>
    </row>
    <row r="13" spans="1:17">
      <c r="A13" t="s">
        <v>897</v>
      </c>
      <c r="E13" s="99"/>
      <c r="F13" s="47" t="s">
        <v>898</v>
      </c>
      <c r="G13" s="47" t="s">
        <v>2055</v>
      </c>
      <c r="H13" s="47" t="s">
        <v>2056</v>
      </c>
      <c r="I13" s="46" t="s">
        <v>1919</v>
      </c>
      <c r="J13" s="46"/>
      <c r="K13" s="46"/>
      <c r="L13" s="46"/>
      <c r="M13" s="46"/>
      <c r="N13" s="46"/>
      <c r="O13" s="46"/>
    </row>
    <row r="14" spans="1:17">
      <c r="A14" t="s">
        <v>899</v>
      </c>
      <c r="E14" s="99"/>
      <c r="F14" s="68"/>
      <c r="G14" s="68"/>
      <c r="H14" s="68"/>
      <c r="I14" s="46"/>
      <c r="J14" s="47"/>
      <c r="K14" s="47"/>
      <c r="L14" s="47"/>
      <c r="M14" s="47"/>
      <c r="N14" s="47"/>
      <c r="O14" s="46"/>
    </row>
    <row r="15" spans="1:17">
      <c r="A15" t="s">
        <v>901</v>
      </c>
      <c r="E15" s="99"/>
      <c r="G15" s="68"/>
      <c r="H15" s="68"/>
      <c r="I15" s="46"/>
      <c r="J15" s="47"/>
      <c r="K15" s="47"/>
      <c r="L15" s="47"/>
      <c r="M15" s="47"/>
      <c r="N15" s="47"/>
      <c r="O15" s="46"/>
    </row>
    <row r="16" spans="1:17">
      <c r="A16" t="s">
        <v>1146</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576</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tbl-rabies-pep-rate</v>
      </c>
    </row>
    <row r="4" spans="1:17">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c r="A5" s="98" t="s">
        <v>885</v>
      </c>
      <c r="B5" s="99"/>
      <c r="E5" s="100" t="s">
        <v>886</v>
      </c>
      <c r="F5" t="s">
        <v>887</v>
      </c>
      <c r="G5" s="121" t="s">
        <v>220</v>
      </c>
      <c r="H5" s="121" t="s">
        <v>18</v>
      </c>
      <c r="I5" s="121" t="s">
        <v>537</v>
      </c>
      <c r="J5" s="121" t="s">
        <v>449</v>
      </c>
      <c r="K5" s="121" t="s">
        <v>409</v>
      </c>
      <c r="L5" s="121" t="s">
        <v>421</v>
      </c>
      <c r="M5" s="121" t="s">
        <v>470</v>
      </c>
      <c r="N5" s="121" t="s">
        <v>898</v>
      </c>
      <c r="O5" s="121"/>
    </row>
    <row r="6" spans="1:17" ht="15" customHeight="1">
      <c r="A6" t="s">
        <v>891</v>
      </c>
      <c r="B6" t="b">
        <v>0</v>
      </c>
      <c r="E6" s="99"/>
      <c r="F6">
        <v>2021</v>
      </c>
      <c r="G6" s="55">
        <v>2.4</v>
      </c>
      <c r="H6" s="55">
        <v>2.1</v>
      </c>
      <c r="I6" s="55">
        <v>2.2999999999999998</v>
      </c>
      <c r="J6" s="55">
        <v>1.4</v>
      </c>
      <c r="K6" s="55">
        <v>2</v>
      </c>
      <c r="L6" s="55">
        <v>3.8</v>
      </c>
      <c r="M6" s="55">
        <v>1.9</v>
      </c>
      <c r="N6" s="55">
        <v>2.1</v>
      </c>
      <c r="O6" s="55"/>
    </row>
    <row r="7" spans="1:17" ht="15.75" customHeight="1">
      <c r="E7" s="99"/>
      <c r="F7">
        <v>2022</v>
      </c>
      <c r="G7" s="55">
        <v>4.0999999999999996</v>
      </c>
      <c r="H7" s="55">
        <v>2.4</v>
      </c>
      <c r="I7" s="55">
        <v>2.9</v>
      </c>
      <c r="J7" s="55">
        <v>2.7</v>
      </c>
      <c r="K7" s="55">
        <v>2.4</v>
      </c>
      <c r="L7" s="55">
        <v>2.5</v>
      </c>
      <c r="M7" s="55">
        <v>2.1</v>
      </c>
      <c r="N7" s="55">
        <v>2.5</v>
      </c>
      <c r="O7" s="55"/>
    </row>
    <row r="8" spans="1:17">
      <c r="E8" s="99"/>
      <c r="F8">
        <v>2023</v>
      </c>
      <c r="G8" s="55">
        <v>3.3</v>
      </c>
      <c r="H8" s="55">
        <v>3</v>
      </c>
      <c r="I8" s="55">
        <v>2.4</v>
      </c>
      <c r="J8" s="55">
        <v>4.4000000000000004</v>
      </c>
      <c r="K8" s="55">
        <v>3.3</v>
      </c>
      <c r="L8" s="55">
        <v>1.7</v>
      </c>
      <c r="M8" s="55">
        <v>1.9</v>
      </c>
      <c r="N8" s="55">
        <v>2.7</v>
      </c>
      <c r="O8" s="55"/>
      <c r="P8" s="14"/>
    </row>
    <row r="9" spans="1:17">
      <c r="A9" s="98" t="s">
        <v>893</v>
      </c>
      <c r="B9" s="99"/>
      <c r="E9" s="99"/>
      <c r="F9">
        <v>2024</v>
      </c>
      <c r="G9" s="55">
        <v>3</v>
      </c>
      <c r="H9" s="55">
        <v>4.9000000000000004</v>
      </c>
      <c r="I9" s="55">
        <v>3.4</v>
      </c>
      <c r="J9" s="55">
        <v>1.9</v>
      </c>
      <c r="K9" s="55">
        <v>4.5999999999999996</v>
      </c>
      <c r="L9" s="55">
        <v>0.8</v>
      </c>
      <c r="M9" s="55">
        <v>2.5</v>
      </c>
      <c r="N9" s="55">
        <v>2.9</v>
      </c>
      <c r="O9" s="55"/>
    </row>
    <row r="10" spans="1:17">
      <c r="A10" t="s">
        <v>894</v>
      </c>
      <c r="B10" t="s">
        <v>972</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715</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tbl-early-pnc-percent</v>
      </c>
    </row>
    <row r="4" spans="1:17">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c r="E7" s="99"/>
      <c r="F7">
        <v>2014</v>
      </c>
      <c r="G7" s="55">
        <v>78.900000000000006</v>
      </c>
      <c r="H7" s="55">
        <v>73.599999999999994</v>
      </c>
      <c r="I7" s="55">
        <v>78.099999999999994</v>
      </c>
      <c r="J7" s="55">
        <v>67.3</v>
      </c>
      <c r="K7" s="55">
        <v>66.5</v>
      </c>
      <c r="L7" s="55">
        <v>77.8</v>
      </c>
      <c r="M7" s="55">
        <v>66.2</v>
      </c>
      <c r="N7" s="55">
        <v>75.8</v>
      </c>
      <c r="O7" s="55">
        <v>73.900000000000006</v>
      </c>
    </row>
    <row r="8" spans="1:17">
      <c r="E8" s="99"/>
      <c r="F8">
        <v>2015</v>
      </c>
      <c r="G8" s="55">
        <v>81.3</v>
      </c>
      <c r="H8" s="55">
        <v>73.400000000000006</v>
      </c>
      <c r="I8" s="55">
        <v>79.7</v>
      </c>
      <c r="J8" s="55">
        <v>69.3</v>
      </c>
      <c r="K8" s="55">
        <v>66.5</v>
      </c>
      <c r="L8" s="55">
        <v>77.5</v>
      </c>
      <c r="M8" s="55">
        <v>70.099999999999994</v>
      </c>
      <c r="N8" s="55">
        <v>76.900000000000006</v>
      </c>
      <c r="O8" s="55">
        <v>75.400000000000006</v>
      </c>
      <c r="P8" s="14"/>
    </row>
    <row r="9" spans="1:17">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c r="A10" t="s">
        <v>894</v>
      </c>
      <c r="B10" t="s">
        <v>972</v>
      </c>
      <c r="E10" s="99"/>
      <c r="F10">
        <v>2017</v>
      </c>
      <c r="G10">
        <v>84.7</v>
      </c>
      <c r="H10">
        <v>73.599999999999994</v>
      </c>
      <c r="I10">
        <v>85.7</v>
      </c>
      <c r="J10">
        <v>74.099999999999994</v>
      </c>
      <c r="K10">
        <v>67.900000000000006</v>
      </c>
      <c r="L10">
        <v>74</v>
      </c>
      <c r="M10">
        <v>80.900000000000006</v>
      </c>
      <c r="N10">
        <v>77.8</v>
      </c>
      <c r="O10">
        <v>76.3</v>
      </c>
    </row>
    <row r="11" spans="1:17">
      <c r="A11" t="s">
        <v>895</v>
      </c>
      <c r="B11" t="s">
        <v>887</v>
      </c>
      <c r="E11" s="99"/>
      <c r="F11" s="46" t="s">
        <v>1978</v>
      </c>
      <c r="G11" s="59">
        <v>84.4</v>
      </c>
      <c r="H11" s="59">
        <v>72.400000000000006</v>
      </c>
      <c r="I11" s="59">
        <v>86.8</v>
      </c>
      <c r="J11" s="42">
        <v>74.5</v>
      </c>
      <c r="K11" s="42">
        <v>67.7</v>
      </c>
      <c r="L11" s="42">
        <v>72.5</v>
      </c>
      <c r="M11" s="47" t="s">
        <v>2057</v>
      </c>
      <c r="N11" s="47" t="s">
        <v>2058</v>
      </c>
      <c r="O11" s="46" t="s">
        <v>2059</v>
      </c>
    </row>
    <row r="12" spans="1:17">
      <c r="A12" t="s">
        <v>896</v>
      </c>
      <c r="E12" s="99"/>
      <c r="F12" s="74" t="s">
        <v>1980</v>
      </c>
      <c r="G12" s="42">
        <v>84.2</v>
      </c>
      <c r="H12" s="42">
        <v>70.900000000000006</v>
      </c>
      <c r="I12" s="59">
        <v>85.3</v>
      </c>
      <c r="J12" s="59">
        <v>74.5</v>
      </c>
      <c r="K12" s="59">
        <v>66.2</v>
      </c>
      <c r="L12" s="59">
        <v>72.900000000000006</v>
      </c>
      <c r="M12" s="46" t="s">
        <v>2060</v>
      </c>
      <c r="N12" s="46" t="s">
        <v>2061</v>
      </c>
      <c r="O12" s="46" t="s">
        <v>2062</v>
      </c>
    </row>
    <row r="13" spans="1:17">
      <c r="A13" t="s">
        <v>897</v>
      </c>
      <c r="E13" s="99"/>
      <c r="F13" s="47" t="s">
        <v>1982</v>
      </c>
      <c r="G13" s="47" t="s">
        <v>2063</v>
      </c>
      <c r="H13" s="47" t="s">
        <v>2064</v>
      </c>
      <c r="I13" s="46" t="s">
        <v>2065</v>
      </c>
      <c r="J13" s="46" t="s">
        <v>2066</v>
      </c>
      <c r="K13" s="46" t="s">
        <v>2067</v>
      </c>
      <c r="L13" s="46" t="s">
        <v>2068</v>
      </c>
      <c r="M13" s="46" t="s">
        <v>2069</v>
      </c>
      <c r="N13" s="46" t="s">
        <v>2070</v>
      </c>
      <c r="O13" s="46" t="s">
        <v>2071</v>
      </c>
    </row>
    <row r="14" spans="1:17">
      <c r="A14" t="s">
        <v>899</v>
      </c>
      <c r="B14" t="s">
        <v>715</v>
      </c>
      <c r="E14" s="99"/>
      <c r="F14" s="68" t="s">
        <v>1142</v>
      </c>
      <c r="G14" s="68" t="s">
        <v>2072</v>
      </c>
      <c r="H14" s="68" t="s">
        <v>2073</v>
      </c>
      <c r="I14" s="46" t="s">
        <v>2074</v>
      </c>
      <c r="J14" s="47" t="s">
        <v>2075</v>
      </c>
      <c r="K14" s="47" t="s">
        <v>2076</v>
      </c>
      <c r="L14" s="47" t="s">
        <v>2077</v>
      </c>
      <c r="M14" s="47" t="s">
        <v>2078</v>
      </c>
      <c r="N14" s="47" t="s">
        <v>2079</v>
      </c>
      <c r="O14" s="46" t="s">
        <v>2080</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581</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tbl-late-no-pnc-percent</v>
      </c>
    </row>
    <row r="4" spans="1:17">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3.2</v>
      </c>
      <c r="H7" s="55">
        <v>3.9</v>
      </c>
      <c r="I7" s="55">
        <v>2.2999999999999998</v>
      </c>
      <c r="J7" s="55">
        <v>4.7</v>
      </c>
      <c r="K7" s="55">
        <v>5.8</v>
      </c>
      <c r="L7" s="55">
        <v>3.9</v>
      </c>
      <c r="M7" s="55">
        <v>4.0999999999999996</v>
      </c>
      <c r="N7" s="55">
        <v>4.0999999999999996</v>
      </c>
      <c r="O7" s="55">
        <v>5.6</v>
      </c>
    </row>
    <row r="8" spans="1:17">
      <c r="E8" s="99"/>
      <c r="F8">
        <v>2015</v>
      </c>
      <c r="G8" s="55">
        <v>3.1</v>
      </c>
      <c r="H8" s="55">
        <v>4.0999999999999996</v>
      </c>
      <c r="I8" s="55">
        <v>2.6</v>
      </c>
      <c r="J8" s="55">
        <v>4.5999999999999996</v>
      </c>
      <c r="K8" s="55">
        <v>6.1</v>
      </c>
      <c r="L8" s="55">
        <v>3.9</v>
      </c>
      <c r="M8" s="55">
        <v>4</v>
      </c>
      <c r="N8" s="55">
        <v>4</v>
      </c>
      <c r="O8" s="55">
        <v>5.4</v>
      </c>
      <c r="P8" s="14"/>
    </row>
    <row r="9" spans="1:17">
      <c r="A9" s="98" t="s">
        <v>893</v>
      </c>
      <c r="B9" s="99"/>
      <c r="E9" s="99"/>
      <c r="F9">
        <v>2016</v>
      </c>
      <c r="G9" s="55">
        <v>3.4</v>
      </c>
      <c r="H9" s="55">
        <v>4.4000000000000004</v>
      </c>
      <c r="I9" s="55">
        <v>2.7</v>
      </c>
      <c r="J9" s="55">
        <v>4.2</v>
      </c>
      <c r="K9" s="55">
        <v>6.3</v>
      </c>
      <c r="L9" s="55">
        <v>4.9000000000000004</v>
      </c>
      <c r="M9" s="55">
        <v>3.9</v>
      </c>
      <c r="N9" s="55">
        <v>4.4000000000000004</v>
      </c>
      <c r="O9" s="55">
        <v>5.7</v>
      </c>
    </row>
    <row r="10" spans="1:17">
      <c r="A10" t="s">
        <v>894</v>
      </c>
      <c r="B10" t="s">
        <v>972</v>
      </c>
      <c r="E10" s="99"/>
      <c r="F10">
        <v>2017</v>
      </c>
      <c r="G10">
        <v>3.7</v>
      </c>
      <c r="H10">
        <v>5</v>
      </c>
      <c r="I10">
        <v>2.6</v>
      </c>
      <c r="J10">
        <v>3.9</v>
      </c>
      <c r="K10">
        <v>5.9</v>
      </c>
      <c r="L10">
        <v>4.7</v>
      </c>
      <c r="M10">
        <v>3.9</v>
      </c>
      <c r="N10">
        <v>4.4000000000000004</v>
      </c>
      <c r="O10">
        <v>5.4</v>
      </c>
    </row>
    <row r="11" spans="1:17">
      <c r="A11" t="s">
        <v>895</v>
      </c>
      <c r="B11" t="s">
        <v>887</v>
      </c>
      <c r="E11" s="99"/>
      <c r="F11" s="46" t="s">
        <v>1978</v>
      </c>
      <c r="G11" s="59">
        <v>3.7</v>
      </c>
      <c r="H11" s="59">
        <v>5.3</v>
      </c>
      <c r="I11" s="59">
        <v>2.5</v>
      </c>
      <c r="J11" s="42">
        <v>3.8</v>
      </c>
      <c r="K11" s="42">
        <v>5.2</v>
      </c>
      <c r="L11" s="42">
        <v>5.2</v>
      </c>
      <c r="M11" s="47" t="s">
        <v>2081</v>
      </c>
      <c r="N11" s="47" t="s">
        <v>2026</v>
      </c>
      <c r="O11" s="46" t="s">
        <v>2019</v>
      </c>
    </row>
    <row r="12" spans="1:17">
      <c r="A12" t="s">
        <v>896</v>
      </c>
      <c r="E12" s="99"/>
      <c r="F12" s="74" t="s">
        <v>1980</v>
      </c>
      <c r="G12" s="42">
        <v>3.7</v>
      </c>
      <c r="H12" s="42">
        <v>5.3</v>
      </c>
      <c r="I12" s="59">
        <v>2.4</v>
      </c>
      <c r="J12" s="59">
        <v>3.8</v>
      </c>
      <c r="K12" s="59">
        <v>5.8</v>
      </c>
      <c r="L12" s="59">
        <v>4.7</v>
      </c>
      <c r="M12" s="46" t="s">
        <v>2026</v>
      </c>
      <c r="N12" s="46" t="s">
        <v>2082</v>
      </c>
      <c r="O12" s="46" t="s">
        <v>2083</v>
      </c>
    </row>
    <row r="13" spans="1:17">
      <c r="A13" t="s">
        <v>897</v>
      </c>
      <c r="E13" s="99"/>
      <c r="F13" s="47" t="s">
        <v>1982</v>
      </c>
      <c r="G13" s="47" t="s">
        <v>2084</v>
      </c>
      <c r="H13" s="47" t="s">
        <v>1981</v>
      </c>
      <c r="I13" s="46" t="s">
        <v>1521</v>
      </c>
      <c r="J13" s="46" t="s">
        <v>2085</v>
      </c>
      <c r="K13" s="46" t="s">
        <v>2086</v>
      </c>
      <c r="L13" s="46" t="s">
        <v>2087</v>
      </c>
      <c r="M13" s="46" t="s">
        <v>1984</v>
      </c>
      <c r="N13" s="46" t="s">
        <v>2088</v>
      </c>
      <c r="O13" s="46" t="s">
        <v>2024</v>
      </c>
    </row>
    <row r="14" spans="1:17">
      <c r="A14" t="s">
        <v>899</v>
      </c>
      <c r="B14" t="s">
        <v>715</v>
      </c>
      <c r="E14" s="99"/>
      <c r="F14" s="68" t="s">
        <v>1142</v>
      </c>
      <c r="G14" s="68" t="s">
        <v>2082</v>
      </c>
      <c r="H14" s="68" t="s">
        <v>1985</v>
      </c>
      <c r="I14" s="46" t="s">
        <v>1499</v>
      </c>
      <c r="J14" s="47" t="s">
        <v>2082</v>
      </c>
      <c r="K14" s="47" t="s">
        <v>1481</v>
      </c>
      <c r="L14" s="47" t="s">
        <v>1520</v>
      </c>
      <c r="M14" s="47" t="s">
        <v>1986</v>
      </c>
      <c r="N14" s="47" t="s">
        <v>2082</v>
      </c>
      <c r="O14" s="46" t="s">
        <v>2019</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582</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tbl-epc-rande-percent</v>
      </c>
    </row>
    <row r="4" spans="1:17">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1245</v>
      </c>
      <c r="G5" s="121" t="s">
        <v>220</v>
      </c>
      <c r="H5" s="121" t="s">
        <v>18</v>
      </c>
      <c r="I5" s="121" t="s">
        <v>537</v>
      </c>
      <c r="J5" s="121" t="s">
        <v>449</v>
      </c>
      <c r="K5" s="121" t="s">
        <v>409</v>
      </c>
      <c r="L5" s="121" t="s">
        <v>421</v>
      </c>
      <c r="M5" s="121" t="s">
        <v>470</v>
      </c>
      <c r="N5" s="121" t="s">
        <v>914</v>
      </c>
      <c r="O5" s="121" t="s">
        <v>915</v>
      </c>
    </row>
    <row r="6" spans="1:17" ht="15" customHeight="1">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c r="E7" s="99"/>
      <c r="F7" t="s">
        <v>1571</v>
      </c>
      <c r="G7" s="55">
        <v>75.5</v>
      </c>
      <c r="H7" s="55">
        <v>60.9</v>
      </c>
      <c r="I7" s="55">
        <v>86.4</v>
      </c>
      <c r="J7" s="55">
        <v>66.8</v>
      </c>
      <c r="K7" s="55">
        <v>53.2</v>
      </c>
      <c r="L7" s="55">
        <v>61.3</v>
      </c>
      <c r="M7" s="55">
        <v>69.5</v>
      </c>
      <c r="N7" s="55">
        <v>69.400000000000006</v>
      </c>
      <c r="O7" s="55">
        <v>65.2</v>
      </c>
    </row>
    <row r="8" spans="1:17">
      <c r="E8" s="99"/>
      <c r="F8" t="s">
        <v>1572</v>
      </c>
      <c r="G8" s="55">
        <v>79.400000000000006</v>
      </c>
      <c r="H8" s="55">
        <v>65.3</v>
      </c>
      <c r="I8" s="55">
        <v>79.2</v>
      </c>
      <c r="J8" s="55">
        <v>79.3</v>
      </c>
      <c r="K8" s="55">
        <v>66.099999999999994</v>
      </c>
      <c r="L8" s="55">
        <v>67.7</v>
      </c>
      <c r="M8" s="55">
        <v>79.900000000000006</v>
      </c>
      <c r="N8" s="55">
        <v>77.2</v>
      </c>
      <c r="O8" s="55">
        <v>77.5</v>
      </c>
      <c r="P8" s="14"/>
    </row>
    <row r="9" spans="1:17">
      <c r="A9" s="98" t="s">
        <v>893</v>
      </c>
      <c r="B9" s="99"/>
      <c r="E9" s="99"/>
      <c r="F9" t="s">
        <v>927</v>
      </c>
      <c r="G9" s="55">
        <v>74.3</v>
      </c>
      <c r="H9" s="55">
        <v>60.2</v>
      </c>
      <c r="I9" s="55">
        <v>74.599999999999994</v>
      </c>
      <c r="J9" s="55">
        <v>62.4</v>
      </c>
      <c r="K9" s="55">
        <v>60</v>
      </c>
      <c r="L9" s="55">
        <v>62.5</v>
      </c>
      <c r="M9" s="55">
        <v>72</v>
      </c>
      <c r="N9" s="55">
        <v>70.599999999999994</v>
      </c>
      <c r="O9" s="55">
        <v>67.7</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B14" sqref="B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584</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tbl-15to44-preg-rate</v>
      </c>
    </row>
    <row r="4" spans="1:17">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65</v>
      </c>
      <c r="H7" s="55">
        <v>91.1</v>
      </c>
      <c r="I7" s="55">
        <v>55.8</v>
      </c>
      <c r="J7" s="55">
        <v>94.3</v>
      </c>
      <c r="K7" s="55">
        <v>86.3</v>
      </c>
      <c r="L7" s="55">
        <v>66.3</v>
      </c>
      <c r="M7" s="55">
        <v>75.2</v>
      </c>
      <c r="N7" s="55">
        <v>74.3</v>
      </c>
      <c r="O7" s="55">
        <v>86.5</v>
      </c>
    </row>
    <row r="8" spans="1:17">
      <c r="E8" s="99"/>
      <c r="F8">
        <v>2015</v>
      </c>
      <c r="G8" s="55">
        <v>64.400000000000006</v>
      </c>
      <c r="H8" s="55">
        <v>92.6</v>
      </c>
      <c r="I8" s="55">
        <v>56.9</v>
      </c>
      <c r="J8" s="55">
        <v>97.2</v>
      </c>
      <c r="K8" s="55">
        <v>89.1</v>
      </c>
      <c r="L8" s="55">
        <v>65</v>
      </c>
      <c r="M8" s="55">
        <v>75.3</v>
      </c>
      <c r="N8" s="55">
        <v>73.8</v>
      </c>
      <c r="O8" s="55">
        <v>84.7</v>
      </c>
      <c r="P8" s="14"/>
    </row>
    <row r="9" spans="1:17">
      <c r="A9" s="98" t="s">
        <v>893</v>
      </c>
      <c r="B9" s="99"/>
      <c r="E9" s="99"/>
      <c r="F9">
        <v>2016</v>
      </c>
      <c r="G9" s="55">
        <v>64.5</v>
      </c>
      <c r="H9" s="55">
        <v>94</v>
      </c>
      <c r="I9" s="55">
        <v>56.5</v>
      </c>
      <c r="J9" s="55">
        <v>97.7</v>
      </c>
      <c r="K9" s="55">
        <v>91.1</v>
      </c>
      <c r="L9" s="55">
        <v>65.3</v>
      </c>
      <c r="M9" s="55">
        <v>72.900000000000006</v>
      </c>
      <c r="N9" s="55">
        <v>72.2</v>
      </c>
      <c r="O9" s="55">
        <v>83.3</v>
      </c>
    </row>
    <row r="10" spans="1:17">
      <c r="A10" t="s">
        <v>894</v>
      </c>
      <c r="B10" t="s">
        <v>983</v>
      </c>
      <c r="E10" s="99"/>
      <c r="F10">
        <v>2017</v>
      </c>
      <c r="G10">
        <v>63.5</v>
      </c>
      <c r="H10">
        <v>93.5</v>
      </c>
      <c r="I10">
        <v>56.1</v>
      </c>
      <c r="J10">
        <v>100.2</v>
      </c>
      <c r="K10">
        <v>92.9</v>
      </c>
      <c r="L10">
        <v>65.5</v>
      </c>
      <c r="M10">
        <v>70.7</v>
      </c>
      <c r="N10">
        <v>72.7</v>
      </c>
      <c r="O10">
        <v>81.3</v>
      </c>
    </row>
    <row r="11" spans="1:17">
      <c r="A11" t="s">
        <v>895</v>
      </c>
      <c r="B11" t="s">
        <v>887</v>
      </c>
      <c r="E11" s="99"/>
      <c r="F11" s="46" t="s">
        <v>1978</v>
      </c>
      <c r="G11" s="59">
        <v>64.400000000000006</v>
      </c>
      <c r="H11" s="59">
        <v>92.4</v>
      </c>
      <c r="I11" s="59">
        <v>55.1</v>
      </c>
      <c r="J11" s="42">
        <v>104</v>
      </c>
      <c r="K11" s="42">
        <v>92.9</v>
      </c>
      <c r="L11" s="42">
        <v>64.900000000000006</v>
      </c>
      <c r="M11" s="47" t="s">
        <v>1507</v>
      </c>
      <c r="N11" s="47" t="s">
        <v>2089</v>
      </c>
      <c r="O11" s="46" t="s">
        <v>2090</v>
      </c>
    </row>
    <row r="12" spans="1:17">
      <c r="A12" t="s">
        <v>896</v>
      </c>
      <c r="E12" s="99"/>
      <c r="F12" s="74" t="s">
        <v>1980</v>
      </c>
      <c r="G12" s="42">
        <v>62.5</v>
      </c>
      <c r="H12" s="42">
        <v>90.1</v>
      </c>
      <c r="I12" s="59">
        <v>55.2</v>
      </c>
      <c r="J12" s="59">
        <v>106</v>
      </c>
      <c r="K12" s="59">
        <v>91.3</v>
      </c>
      <c r="L12" s="59">
        <v>62.2</v>
      </c>
      <c r="M12" s="46" t="s">
        <v>2091</v>
      </c>
      <c r="N12" s="46" t="s">
        <v>2092</v>
      </c>
      <c r="O12" s="46" t="s">
        <v>2093</v>
      </c>
    </row>
    <row r="13" spans="1:17">
      <c r="A13" t="s">
        <v>897</v>
      </c>
      <c r="E13" s="99"/>
      <c r="F13" s="47" t="s">
        <v>1982</v>
      </c>
      <c r="G13" s="47" t="s">
        <v>2094</v>
      </c>
      <c r="H13" s="47" t="s">
        <v>2095</v>
      </c>
      <c r="I13" s="46" t="s">
        <v>2096</v>
      </c>
      <c r="J13" s="46" t="s">
        <v>2097</v>
      </c>
      <c r="K13" s="46" t="s">
        <v>2098</v>
      </c>
      <c r="L13" s="46" t="s">
        <v>2099</v>
      </c>
      <c r="M13" s="46" t="s">
        <v>1507</v>
      </c>
      <c r="N13" s="46" t="s">
        <v>2100</v>
      </c>
      <c r="O13" s="46" t="s">
        <v>2101</v>
      </c>
    </row>
    <row r="14" spans="1:17">
      <c r="A14" t="s">
        <v>899</v>
      </c>
      <c r="B14" t="s">
        <v>701</v>
      </c>
      <c r="E14" s="99"/>
      <c r="F14" s="68" t="s">
        <v>1142</v>
      </c>
      <c r="G14" s="68" t="s">
        <v>2102</v>
      </c>
      <c r="H14" s="68" t="s">
        <v>2103</v>
      </c>
      <c r="I14" s="46" t="s">
        <v>2104</v>
      </c>
      <c r="J14" s="47" t="s">
        <v>2105</v>
      </c>
      <c r="K14" s="47" t="s">
        <v>2106</v>
      </c>
      <c r="L14" s="47" t="s">
        <v>2107</v>
      </c>
      <c r="M14" s="47" t="s">
        <v>2108</v>
      </c>
      <c r="N14" s="47" t="s">
        <v>2109</v>
      </c>
      <c r="O14" s="46" t="s">
        <v>2110</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tbl-15to44-preg-rande-rate</v>
      </c>
    </row>
    <row r="4" spans="1:17">
      <c r="A4" s="58" t="s">
        <v>6</v>
      </c>
      <c r="B4" t="str">
        <f>IF($B$1="","",_xlfn.XLOOKUP($B$1,Master!$F$2:$F$308,Master!$H$2:$H$308,""))</f>
        <v>fig-15to44-preg-rande-rate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1245</v>
      </c>
      <c r="G5" s="121" t="s">
        <v>220</v>
      </c>
      <c r="H5" s="121" t="s">
        <v>18</v>
      </c>
      <c r="I5" s="121" t="s">
        <v>537</v>
      </c>
      <c r="J5" s="121" t="s">
        <v>449</v>
      </c>
      <c r="K5" s="121" t="s">
        <v>409</v>
      </c>
      <c r="L5" s="121" t="s">
        <v>421</v>
      </c>
      <c r="M5" s="121" t="s">
        <v>470</v>
      </c>
      <c r="N5" s="121" t="s">
        <v>914</v>
      </c>
      <c r="O5" s="121" t="s">
        <v>915</v>
      </c>
    </row>
    <row r="6" spans="1:17" ht="15" customHeight="1">
      <c r="A6" t="s">
        <v>891</v>
      </c>
      <c r="B6" t="b">
        <v>0</v>
      </c>
      <c r="E6" s="99"/>
      <c r="F6" t="s">
        <v>929</v>
      </c>
      <c r="G6" s="55">
        <v>50.7</v>
      </c>
      <c r="H6" s="55">
        <v>86.9</v>
      </c>
      <c r="I6" s="55">
        <v>52.9</v>
      </c>
      <c r="J6" s="55">
        <v>125.9</v>
      </c>
      <c r="K6" s="55">
        <v>82.8</v>
      </c>
      <c r="L6" s="55">
        <v>52.3</v>
      </c>
      <c r="M6" s="55">
        <v>56.6</v>
      </c>
      <c r="N6" s="55">
        <v>58.8</v>
      </c>
      <c r="O6" s="55">
        <v>60.1</v>
      </c>
    </row>
    <row r="7" spans="1:17" ht="15.75" customHeight="1">
      <c r="E7" s="99"/>
      <c r="F7" t="s">
        <v>1571</v>
      </c>
      <c r="G7" s="55">
        <v>71.7</v>
      </c>
      <c r="H7" s="55">
        <v>67.900000000000006</v>
      </c>
      <c r="I7" s="55">
        <v>40.200000000000003</v>
      </c>
      <c r="J7" s="55">
        <v>60.4</v>
      </c>
      <c r="K7" s="55">
        <v>57.4</v>
      </c>
      <c r="L7" s="55">
        <v>62</v>
      </c>
      <c r="M7" s="55">
        <v>79</v>
      </c>
      <c r="N7" s="55">
        <v>81.599999999999994</v>
      </c>
      <c r="O7" s="55">
        <v>82.1</v>
      </c>
    </row>
    <row r="8" spans="1:17">
      <c r="E8" s="99"/>
      <c r="F8" t="s">
        <v>1572</v>
      </c>
      <c r="G8" s="55">
        <v>37</v>
      </c>
      <c r="H8" s="55">
        <v>51.4</v>
      </c>
      <c r="I8" s="55">
        <v>50.2</v>
      </c>
      <c r="J8" s="55">
        <v>50.6</v>
      </c>
      <c r="K8" s="55">
        <v>72.7</v>
      </c>
      <c r="L8" s="55">
        <v>34.200000000000003</v>
      </c>
      <c r="M8" s="55">
        <v>55.1</v>
      </c>
      <c r="N8" s="55">
        <v>58.6</v>
      </c>
      <c r="O8" s="55">
        <v>56.3</v>
      </c>
      <c r="P8" s="14"/>
    </row>
    <row r="9" spans="1:17">
      <c r="A9" s="98" t="s">
        <v>893</v>
      </c>
      <c r="B9" s="99"/>
      <c r="E9" s="99"/>
      <c r="F9" t="s">
        <v>927</v>
      </c>
      <c r="G9" s="55">
        <v>71.3</v>
      </c>
      <c r="H9" s="55">
        <v>80.7</v>
      </c>
      <c r="I9" s="55">
        <v>78.5</v>
      </c>
      <c r="J9" s="55">
        <v>98.7</v>
      </c>
      <c r="K9" s="55">
        <v>81.3</v>
      </c>
      <c r="L9" s="55">
        <v>64.400000000000006</v>
      </c>
      <c r="M9" s="55">
        <v>80.5</v>
      </c>
      <c r="N9" s="55">
        <v>81.5</v>
      </c>
      <c r="O9" s="55">
        <v>78.8</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701</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2128</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tbl-15to19-teenpreg-rate</v>
      </c>
    </row>
    <row r="4" spans="1:17">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18.600000000000001</v>
      </c>
      <c r="H7" s="55">
        <v>29.7</v>
      </c>
      <c r="I7" s="55">
        <v>7.5</v>
      </c>
      <c r="J7" s="55">
        <v>14.8</v>
      </c>
      <c r="K7" s="55">
        <v>38.299999999999997</v>
      </c>
      <c r="L7" s="55">
        <v>23</v>
      </c>
      <c r="M7" s="55">
        <v>18.8</v>
      </c>
      <c r="N7" s="55">
        <v>24.2</v>
      </c>
      <c r="O7" s="55">
        <v>33.5</v>
      </c>
    </row>
    <row r="8" spans="1:17">
      <c r="E8" s="99"/>
      <c r="F8">
        <v>2015</v>
      </c>
      <c r="G8" s="55">
        <v>16.7</v>
      </c>
      <c r="H8" s="55">
        <v>28.7</v>
      </c>
      <c r="I8" s="55">
        <v>6.7</v>
      </c>
      <c r="J8" s="55">
        <v>15</v>
      </c>
      <c r="K8" s="55">
        <v>33.200000000000003</v>
      </c>
      <c r="L8" s="55">
        <v>21.1</v>
      </c>
      <c r="M8" s="55">
        <v>17.399999999999999</v>
      </c>
      <c r="N8" s="55">
        <v>22.6</v>
      </c>
      <c r="O8" s="55">
        <v>29.9</v>
      </c>
      <c r="P8" s="14"/>
    </row>
    <row r="9" spans="1:17">
      <c r="A9" s="98" t="s">
        <v>893</v>
      </c>
      <c r="B9" s="99"/>
      <c r="E9" s="99"/>
      <c r="F9">
        <v>2016</v>
      </c>
      <c r="G9" s="55">
        <v>16.2</v>
      </c>
      <c r="H9" s="55">
        <v>28.3</v>
      </c>
      <c r="I9" s="55">
        <v>5.5</v>
      </c>
      <c r="J9" s="55">
        <v>14.9</v>
      </c>
      <c r="K9" s="55">
        <v>31.7</v>
      </c>
      <c r="L9" s="55">
        <v>21.7</v>
      </c>
      <c r="M9" s="55">
        <v>14.7</v>
      </c>
      <c r="N9" s="55">
        <v>20.7</v>
      </c>
      <c r="O9" s="55">
        <v>27.1</v>
      </c>
    </row>
    <row r="10" spans="1:17">
      <c r="A10" t="s">
        <v>894</v>
      </c>
      <c r="B10" t="s">
        <v>972</v>
      </c>
      <c r="E10" s="99"/>
      <c r="F10">
        <v>2017</v>
      </c>
      <c r="G10">
        <v>15.2</v>
      </c>
      <c r="H10">
        <v>25.1</v>
      </c>
      <c r="I10">
        <v>5.6</v>
      </c>
      <c r="J10">
        <v>14.3</v>
      </c>
      <c r="K10">
        <v>29.9</v>
      </c>
      <c r="L10">
        <v>19.5</v>
      </c>
      <c r="M10">
        <v>14</v>
      </c>
      <c r="N10">
        <v>19.899999999999999</v>
      </c>
      <c r="O10">
        <v>25.4</v>
      </c>
    </row>
    <row r="11" spans="1:17">
      <c r="A11" t="s">
        <v>895</v>
      </c>
      <c r="B11" t="s">
        <v>887</v>
      </c>
      <c r="E11" s="99"/>
      <c r="F11" s="46" t="s">
        <v>1978</v>
      </c>
      <c r="G11" s="59">
        <v>15.5</v>
      </c>
      <c r="H11" s="59">
        <v>22.4</v>
      </c>
      <c r="I11" s="59">
        <v>4.7</v>
      </c>
      <c r="J11" s="42">
        <v>14.4</v>
      </c>
      <c r="K11" s="42">
        <v>32.9</v>
      </c>
      <c r="L11" s="42">
        <v>20.2</v>
      </c>
      <c r="M11" s="47" t="s">
        <v>2111</v>
      </c>
      <c r="N11" s="47" t="s">
        <v>2112</v>
      </c>
      <c r="O11" s="46" t="s">
        <v>2113</v>
      </c>
    </row>
    <row r="12" spans="1:17">
      <c r="A12" t="s">
        <v>896</v>
      </c>
      <c r="E12" s="99"/>
      <c r="F12" s="74" t="s">
        <v>1980</v>
      </c>
      <c r="G12" s="42">
        <v>14</v>
      </c>
      <c r="H12" s="42">
        <v>18.600000000000001</v>
      </c>
      <c r="I12" s="59">
        <v>4.8</v>
      </c>
      <c r="J12" s="59">
        <v>13.6</v>
      </c>
      <c r="K12" s="59">
        <v>30.6</v>
      </c>
      <c r="L12" s="59">
        <v>16.600000000000001</v>
      </c>
      <c r="M12" s="46" t="s">
        <v>2114</v>
      </c>
      <c r="N12" s="46" t="s">
        <v>2115</v>
      </c>
      <c r="O12" s="46" t="s">
        <v>1778</v>
      </c>
    </row>
    <row r="13" spans="1:17">
      <c r="A13" t="s">
        <v>897</v>
      </c>
      <c r="E13" s="99"/>
      <c r="F13" s="47" t="s">
        <v>1982</v>
      </c>
      <c r="G13" s="47" t="s">
        <v>1776</v>
      </c>
      <c r="H13" s="47" t="s">
        <v>2116</v>
      </c>
      <c r="I13" s="46" t="s">
        <v>2024</v>
      </c>
      <c r="J13" s="46" t="s">
        <v>1854</v>
      </c>
      <c r="K13" s="46" t="s">
        <v>2117</v>
      </c>
      <c r="L13" s="46" t="s">
        <v>2114</v>
      </c>
      <c r="M13" s="46" t="s">
        <v>2118</v>
      </c>
      <c r="N13" s="46" t="s">
        <v>2119</v>
      </c>
      <c r="O13" s="46" t="s">
        <v>2120</v>
      </c>
    </row>
    <row r="14" spans="1:17">
      <c r="A14" t="s">
        <v>899</v>
      </c>
      <c r="B14" t="s">
        <v>701</v>
      </c>
      <c r="E14" s="99"/>
      <c r="F14" s="68" t="s">
        <v>1142</v>
      </c>
      <c r="G14" s="68" t="s">
        <v>2121</v>
      </c>
      <c r="H14" s="68" t="s">
        <v>1784</v>
      </c>
      <c r="I14" s="46" t="s">
        <v>1985</v>
      </c>
      <c r="J14" s="47" t="s">
        <v>2122</v>
      </c>
      <c r="K14" s="47" t="s">
        <v>2001</v>
      </c>
      <c r="L14" s="47" t="s">
        <v>1876</v>
      </c>
      <c r="M14" s="47" t="s">
        <v>2123</v>
      </c>
      <c r="N14" s="47" t="s">
        <v>1846</v>
      </c>
      <c r="O14" s="46" t="s">
        <v>2124</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J37" sqref="J3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589</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tbl-17+-teenpreg-rande-rate</v>
      </c>
    </row>
    <row r="4" spans="1:17">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1245</v>
      </c>
      <c r="G5" s="121" t="s">
        <v>220</v>
      </c>
      <c r="H5" s="121" t="s">
        <v>18</v>
      </c>
      <c r="I5" s="121" t="s">
        <v>537</v>
      </c>
      <c r="J5" s="121" t="s">
        <v>449</v>
      </c>
      <c r="K5" s="121" t="s">
        <v>409</v>
      </c>
      <c r="L5" s="121" t="s">
        <v>421</v>
      </c>
      <c r="M5" s="121" t="s">
        <v>470</v>
      </c>
      <c r="N5" s="121" t="s">
        <v>914</v>
      </c>
      <c r="O5" s="121" t="s">
        <v>915</v>
      </c>
    </row>
    <row r="6" spans="1:17" ht="15" customHeight="1">
      <c r="A6" t="s">
        <v>891</v>
      </c>
      <c r="B6" t="b">
        <v>0</v>
      </c>
      <c r="E6" s="99"/>
      <c r="F6" t="s">
        <v>929</v>
      </c>
      <c r="G6" s="55">
        <v>1.1000000000000001</v>
      </c>
      <c r="H6" s="55">
        <v>0.7</v>
      </c>
      <c r="I6" s="55" t="s">
        <v>2125</v>
      </c>
      <c r="J6" s="55" t="s">
        <v>2126</v>
      </c>
      <c r="K6" s="55">
        <v>2.2999999999999998</v>
      </c>
      <c r="L6" s="55">
        <v>1.6</v>
      </c>
      <c r="M6" s="55">
        <v>0.6</v>
      </c>
      <c r="N6" s="55">
        <v>1.4</v>
      </c>
      <c r="O6" s="55">
        <v>1.3</v>
      </c>
    </row>
    <row r="7" spans="1:17" ht="15.75" customHeight="1">
      <c r="E7" s="99"/>
      <c r="F7" t="s">
        <v>1571</v>
      </c>
      <c r="G7" s="55">
        <v>5.0999999999999996</v>
      </c>
      <c r="H7" s="55">
        <v>3.9</v>
      </c>
      <c r="I7" s="55" t="s">
        <v>1609</v>
      </c>
      <c r="J7" s="55">
        <v>2.1</v>
      </c>
      <c r="K7" s="55" t="s">
        <v>1897</v>
      </c>
      <c r="L7" s="55" t="s">
        <v>1808</v>
      </c>
      <c r="M7" s="55">
        <v>4.9000000000000004</v>
      </c>
      <c r="N7" s="55">
        <v>6.8</v>
      </c>
      <c r="O7" s="55">
        <v>6.4</v>
      </c>
    </row>
    <row r="8" spans="1:17">
      <c r="E8" s="99"/>
      <c r="F8" t="s">
        <v>1572</v>
      </c>
      <c r="G8" s="55" t="s">
        <v>1609</v>
      </c>
      <c r="H8" s="55" t="s">
        <v>2013</v>
      </c>
      <c r="I8" s="55" t="s">
        <v>1609</v>
      </c>
      <c r="J8" s="55" t="s">
        <v>2127</v>
      </c>
      <c r="K8" s="55" t="s">
        <v>1609</v>
      </c>
      <c r="L8" s="55" t="s">
        <v>1609</v>
      </c>
      <c r="M8" s="55" t="s">
        <v>2126</v>
      </c>
      <c r="N8" s="55">
        <v>0.7</v>
      </c>
      <c r="O8" s="55">
        <v>0.6</v>
      </c>
      <c r="P8" s="14"/>
    </row>
    <row r="9" spans="1:17">
      <c r="A9" s="98" t="s">
        <v>893</v>
      </c>
      <c r="B9" s="99"/>
      <c r="E9" s="99"/>
      <c r="F9" t="s">
        <v>927</v>
      </c>
      <c r="G9" s="55">
        <v>2.9</v>
      </c>
      <c r="H9" s="55">
        <v>4</v>
      </c>
      <c r="I9" s="55" t="s">
        <v>2028</v>
      </c>
      <c r="J9" s="55">
        <v>6.3</v>
      </c>
      <c r="K9" s="55">
        <v>5.2</v>
      </c>
      <c r="L9" s="55">
        <v>5</v>
      </c>
      <c r="M9" s="55">
        <v>4.8</v>
      </c>
      <c r="N9" s="55">
        <v>5.0999999999999996</v>
      </c>
      <c r="O9" s="55">
        <v>5.3</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701</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590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tbl-financial-coverage-liveb-percent</v>
      </c>
    </row>
    <row r="4" spans="1:17">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2129</v>
      </c>
      <c r="G5" s="121" t="s">
        <v>220</v>
      </c>
      <c r="H5" s="121" t="s">
        <v>18</v>
      </c>
      <c r="I5" s="121" t="s">
        <v>537</v>
      </c>
      <c r="J5" s="121" t="s">
        <v>449</v>
      </c>
      <c r="K5" s="121" t="s">
        <v>409</v>
      </c>
      <c r="L5" s="121" t="s">
        <v>421</v>
      </c>
      <c r="M5" s="121" t="s">
        <v>470</v>
      </c>
      <c r="N5" s="121" t="s">
        <v>898</v>
      </c>
      <c r="O5" s="121" t="s">
        <v>915</v>
      </c>
    </row>
    <row r="6" spans="1:17" ht="15" customHeight="1">
      <c r="A6" t="s">
        <v>891</v>
      </c>
      <c r="B6" t="b">
        <v>0</v>
      </c>
      <c r="E6" s="99"/>
      <c r="F6" t="s">
        <v>2130</v>
      </c>
      <c r="G6" s="55">
        <v>32.4</v>
      </c>
      <c r="H6" s="55">
        <v>57.3</v>
      </c>
      <c r="I6" s="55">
        <v>23.7</v>
      </c>
      <c r="J6" s="55">
        <v>60.9</v>
      </c>
      <c r="K6" s="55">
        <v>66.599999999999994</v>
      </c>
      <c r="L6" s="55">
        <v>44.7</v>
      </c>
      <c r="M6" s="55">
        <v>32.5</v>
      </c>
      <c r="N6" s="55">
        <v>45.5</v>
      </c>
      <c r="O6" s="55">
        <v>49.8</v>
      </c>
    </row>
    <row r="7" spans="1:17" ht="15.75" customHeight="1">
      <c r="E7" s="99"/>
      <c r="F7" t="s">
        <v>2131</v>
      </c>
      <c r="G7" s="55">
        <v>0.3</v>
      </c>
      <c r="H7" s="55">
        <v>0.8</v>
      </c>
      <c r="I7" s="55">
        <v>0.1</v>
      </c>
      <c r="J7" s="55">
        <v>0.7</v>
      </c>
      <c r="K7" s="55">
        <v>0.4</v>
      </c>
      <c r="L7" s="55">
        <v>0.3</v>
      </c>
      <c r="M7" s="55">
        <v>0.3</v>
      </c>
      <c r="N7" s="55">
        <v>0.5</v>
      </c>
      <c r="O7" s="55">
        <v>1</v>
      </c>
    </row>
    <row r="8" spans="1:17">
      <c r="E8" s="99"/>
      <c r="F8" t="s">
        <v>2132</v>
      </c>
      <c r="G8" s="55">
        <v>65</v>
      </c>
      <c r="H8" s="55">
        <v>35.299999999999997</v>
      </c>
      <c r="I8" s="55">
        <v>72.3</v>
      </c>
      <c r="J8" s="55">
        <v>30.7</v>
      </c>
      <c r="K8" s="55">
        <v>27</v>
      </c>
      <c r="L8" s="55">
        <v>49.7</v>
      </c>
      <c r="M8" s="55">
        <v>61.7</v>
      </c>
      <c r="N8" s="55">
        <v>48.2</v>
      </c>
      <c r="O8" s="55">
        <v>45.7</v>
      </c>
      <c r="P8" s="14"/>
    </row>
    <row r="9" spans="1:17">
      <c r="A9" s="98" t="s">
        <v>893</v>
      </c>
      <c r="B9" s="99"/>
      <c r="E9" s="99"/>
      <c r="G9" s="55"/>
      <c r="H9" s="55"/>
      <c r="I9" s="55"/>
      <c r="J9" s="55"/>
      <c r="K9" s="55"/>
      <c r="L9" s="55"/>
      <c r="M9" s="55"/>
      <c r="N9" s="55"/>
      <c r="O9" s="55"/>
    </row>
    <row r="10" spans="1:17">
      <c r="A10" t="s">
        <v>894</v>
      </c>
      <c r="B10" t="s">
        <v>1020</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595</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tbl-preterm-birth</v>
      </c>
    </row>
    <row r="4" spans="1:17">
      <c r="A4" s="58" t="s">
        <v>6</v>
      </c>
      <c r="B4" t="str">
        <f>IF($B$1="","",_xlfn.XLOOKUP($B$1,Master!$F$2:$F$308,Master!$H$2:$H$308,""))</f>
        <v>fig-preterm-birth</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8.8000000000000007</v>
      </c>
      <c r="H7" s="55">
        <v>7.9</v>
      </c>
      <c r="I7" s="55">
        <v>9.6999999999999993</v>
      </c>
      <c r="J7" s="55">
        <v>6.4</v>
      </c>
      <c r="K7" s="55">
        <v>10.8</v>
      </c>
      <c r="L7" s="55">
        <v>8.5</v>
      </c>
      <c r="M7" s="55">
        <v>9.3000000000000007</v>
      </c>
      <c r="N7" s="55">
        <v>9</v>
      </c>
      <c r="O7" s="55">
        <v>8.8000000000000007</v>
      </c>
    </row>
    <row r="8" spans="1:17">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c r="A9" s="98" t="s">
        <v>893</v>
      </c>
      <c r="B9" s="99"/>
      <c r="E9" s="99"/>
      <c r="F9">
        <v>2016</v>
      </c>
      <c r="G9" s="55">
        <v>9.1999999999999993</v>
      </c>
      <c r="H9" s="55">
        <v>8.1999999999999993</v>
      </c>
      <c r="I9" s="55">
        <v>9.4</v>
      </c>
      <c r="J9" s="55">
        <v>7</v>
      </c>
      <c r="K9" s="55">
        <v>9.6</v>
      </c>
      <c r="L9" s="55">
        <v>8.6</v>
      </c>
      <c r="M9" s="55">
        <v>9</v>
      </c>
      <c r="N9" s="55">
        <v>9.1</v>
      </c>
      <c r="O9" s="55">
        <v>8.9</v>
      </c>
    </row>
    <row r="10" spans="1:17">
      <c r="A10" t="s">
        <v>894</v>
      </c>
      <c r="B10" t="s">
        <v>972</v>
      </c>
      <c r="E10" s="99"/>
      <c r="F10">
        <v>2017</v>
      </c>
      <c r="G10">
        <v>9.6</v>
      </c>
      <c r="H10">
        <v>8.1999999999999993</v>
      </c>
      <c r="I10">
        <v>9</v>
      </c>
      <c r="J10">
        <v>6.5</v>
      </c>
      <c r="K10">
        <v>8.9</v>
      </c>
      <c r="L10">
        <v>8.5</v>
      </c>
      <c r="M10">
        <v>8.9</v>
      </c>
      <c r="N10">
        <v>9</v>
      </c>
      <c r="O10">
        <v>9</v>
      </c>
    </row>
    <row r="11" spans="1:17">
      <c r="A11" t="s">
        <v>895</v>
      </c>
      <c r="B11" t="s">
        <v>887</v>
      </c>
      <c r="E11" s="99"/>
      <c r="F11" s="46" t="s">
        <v>1978</v>
      </c>
      <c r="G11" s="59">
        <v>9.1999999999999993</v>
      </c>
      <c r="H11" s="59">
        <v>8.1</v>
      </c>
      <c r="I11" s="59">
        <v>8.3000000000000007</v>
      </c>
      <c r="J11" s="42">
        <v>6.4</v>
      </c>
      <c r="K11" s="42">
        <v>9.1</v>
      </c>
      <c r="L11" s="42">
        <v>9</v>
      </c>
      <c r="M11" s="47" t="s">
        <v>2133</v>
      </c>
      <c r="N11" s="47" t="s">
        <v>2134</v>
      </c>
      <c r="O11" s="46" t="s">
        <v>2134</v>
      </c>
    </row>
    <row r="12" spans="1:17">
      <c r="A12" t="s">
        <v>896</v>
      </c>
      <c r="E12" s="99"/>
      <c r="F12" s="74" t="s">
        <v>1980</v>
      </c>
      <c r="G12" s="42">
        <v>9</v>
      </c>
      <c r="H12" s="42">
        <v>8.3000000000000007</v>
      </c>
      <c r="I12" s="59">
        <v>8.6999999999999993</v>
      </c>
      <c r="J12" s="59">
        <v>6.3</v>
      </c>
      <c r="K12" s="59">
        <v>10.3</v>
      </c>
      <c r="L12" s="59">
        <v>9</v>
      </c>
      <c r="M12" s="46" t="s">
        <v>2133</v>
      </c>
      <c r="N12" s="46" t="s">
        <v>2135</v>
      </c>
      <c r="O12" s="46" t="s">
        <v>2136</v>
      </c>
    </row>
    <row r="13" spans="1:17">
      <c r="A13" t="s">
        <v>897</v>
      </c>
      <c r="E13" s="99"/>
      <c r="F13" s="47" t="s">
        <v>1982</v>
      </c>
      <c r="G13" s="47" t="s">
        <v>2137</v>
      </c>
      <c r="H13" s="47" t="s">
        <v>1479</v>
      </c>
      <c r="I13" s="46" t="s">
        <v>2133</v>
      </c>
      <c r="J13" s="46" t="s">
        <v>2021</v>
      </c>
      <c r="K13" s="46" t="s">
        <v>2138</v>
      </c>
      <c r="L13" s="46" t="s">
        <v>2139</v>
      </c>
      <c r="M13" s="46" t="s">
        <v>2134</v>
      </c>
      <c r="N13" s="46" t="s">
        <v>2135</v>
      </c>
      <c r="O13" s="46" t="s">
        <v>2136</v>
      </c>
    </row>
    <row r="14" spans="1:17">
      <c r="A14" t="s">
        <v>899</v>
      </c>
      <c r="B14" t="s">
        <v>694</v>
      </c>
      <c r="E14" s="99"/>
      <c r="F14" s="68" t="s">
        <v>1142</v>
      </c>
      <c r="G14" s="68" t="s">
        <v>2138</v>
      </c>
      <c r="H14" s="68" t="s">
        <v>1479</v>
      </c>
      <c r="I14" s="46" t="s">
        <v>2133</v>
      </c>
      <c r="J14" s="47" t="s">
        <v>1916</v>
      </c>
      <c r="K14" s="47" t="s">
        <v>2138</v>
      </c>
      <c r="L14" s="47" t="s">
        <v>2140</v>
      </c>
      <c r="M14" s="47" t="s">
        <v>2134</v>
      </c>
      <c r="N14" s="47" t="s">
        <v>1917</v>
      </c>
      <c r="O14" s="46" t="s">
        <v>2138</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597</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tbl-lbw-percent</v>
      </c>
    </row>
    <row r="4" spans="1:17">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7.5</v>
      </c>
      <c r="H7" s="55">
        <v>6.8</v>
      </c>
      <c r="I7" s="55">
        <v>7.5</v>
      </c>
      <c r="J7" s="55">
        <v>6.2</v>
      </c>
      <c r="K7" s="55">
        <v>9.3000000000000007</v>
      </c>
      <c r="L7" s="55">
        <v>7.3</v>
      </c>
      <c r="M7" s="55">
        <v>8.1</v>
      </c>
      <c r="N7" s="55">
        <v>7.7</v>
      </c>
      <c r="O7" s="55">
        <v>7.8</v>
      </c>
    </row>
    <row r="8" spans="1:17">
      <c r="E8" s="99"/>
      <c r="F8">
        <v>2015</v>
      </c>
      <c r="G8" s="55">
        <v>7.5</v>
      </c>
      <c r="H8" s="55">
        <v>6.9</v>
      </c>
      <c r="I8" s="55">
        <v>7.4</v>
      </c>
      <c r="J8" s="55">
        <v>6.3</v>
      </c>
      <c r="K8" s="55">
        <v>8.8000000000000007</v>
      </c>
      <c r="L8" s="55">
        <v>7.4</v>
      </c>
      <c r="M8" s="55">
        <v>8.1999999999999993</v>
      </c>
      <c r="N8" s="55">
        <v>7.5</v>
      </c>
      <c r="O8" s="55">
        <v>7.8</v>
      </c>
      <c r="P8" s="14"/>
    </row>
    <row r="9" spans="1:17">
      <c r="A9" s="98" t="s">
        <v>893</v>
      </c>
      <c r="B9" s="99"/>
      <c r="E9" s="99"/>
      <c r="F9">
        <v>2016</v>
      </c>
      <c r="G9" s="55">
        <v>7.4</v>
      </c>
      <c r="H9" s="55">
        <v>6.6</v>
      </c>
      <c r="I9" s="55">
        <v>7</v>
      </c>
      <c r="J9" s="55">
        <v>6.3</v>
      </c>
      <c r="K9" s="55">
        <v>8.3000000000000007</v>
      </c>
      <c r="L9" s="55">
        <v>7.2</v>
      </c>
      <c r="M9" s="55">
        <v>8</v>
      </c>
      <c r="N9" s="55">
        <v>7.7</v>
      </c>
      <c r="O9" s="55">
        <v>7.9</v>
      </c>
    </row>
    <row r="10" spans="1:17">
      <c r="A10" t="s">
        <v>894</v>
      </c>
      <c r="B10" t="s">
        <v>972</v>
      </c>
      <c r="E10" s="99"/>
      <c r="F10">
        <v>2017</v>
      </c>
      <c r="G10">
        <v>7.5</v>
      </c>
      <c r="H10">
        <v>6.7</v>
      </c>
      <c r="I10">
        <v>7</v>
      </c>
      <c r="J10">
        <v>6</v>
      </c>
      <c r="K10">
        <v>7.2</v>
      </c>
      <c r="L10">
        <v>7.2</v>
      </c>
      <c r="M10">
        <v>7.9</v>
      </c>
      <c r="N10">
        <v>7.7</v>
      </c>
      <c r="O10">
        <v>8.1</v>
      </c>
    </row>
    <row r="11" spans="1:17">
      <c r="A11" t="s">
        <v>895</v>
      </c>
      <c r="B11" t="s">
        <v>887</v>
      </c>
      <c r="E11" s="99"/>
      <c r="F11" s="46" t="s">
        <v>1978</v>
      </c>
      <c r="G11" s="59">
        <v>7.5</v>
      </c>
      <c r="H11" s="59">
        <v>6.6</v>
      </c>
      <c r="I11" s="59">
        <v>6.5</v>
      </c>
      <c r="J11" s="42">
        <v>5.8</v>
      </c>
      <c r="K11" s="42">
        <v>7.8</v>
      </c>
      <c r="L11" s="42">
        <v>7.6</v>
      </c>
      <c r="M11" s="47" t="s">
        <v>1983</v>
      </c>
      <c r="N11" s="47" t="s">
        <v>2141</v>
      </c>
      <c r="O11" s="46" t="s">
        <v>1478</v>
      </c>
    </row>
    <row r="12" spans="1:17">
      <c r="A12" t="s">
        <v>896</v>
      </c>
      <c r="E12" s="99"/>
      <c r="F12" s="74" t="s">
        <v>1980</v>
      </c>
      <c r="G12" s="42">
        <v>7.3</v>
      </c>
      <c r="H12" s="42">
        <v>7</v>
      </c>
      <c r="I12" s="59">
        <v>6.6</v>
      </c>
      <c r="J12" s="59">
        <v>5.6</v>
      </c>
      <c r="K12" s="59">
        <v>8.6</v>
      </c>
      <c r="L12" s="59">
        <v>7.7</v>
      </c>
      <c r="M12" s="46" t="s">
        <v>1983</v>
      </c>
      <c r="N12" s="46" t="s">
        <v>2141</v>
      </c>
      <c r="O12" s="46" t="s">
        <v>1478</v>
      </c>
    </row>
    <row r="13" spans="1:17">
      <c r="A13" t="s">
        <v>897</v>
      </c>
      <c r="E13" s="99"/>
      <c r="F13" s="47" t="s">
        <v>1982</v>
      </c>
      <c r="G13" s="47" t="s">
        <v>1983</v>
      </c>
      <c r="H13" s="47" t="s">
        <v>2086</v>
      </c>
      <c r="I13" s="46" t="s">
        <v>2086</v>
      </c>
      <c r="J13" s="46" t="s">
        <v>1761</v>
      </c>
      <c r="K13" s="46" t="s">
        <v>1477</v>
      </c>
      <c r="L13" s="46" t="s">
        <v>1918</v>
      </c>
      <c r="M13" s="46" t="s">
        <v>2141</v>
      </c>
      <c r="N13" s="46" t="s">
        <v>1983</v>
      </c>
      <c r="O13" s="46" t="s">
        <v>1461</v>
      </c>
    </row>
    <row r="14" spans="1:17">
      <c r="A14" t="s">
        <v>899</v>
      </c>
      <c r="B14" t="s">
        <v>694</v>
      </c>
      <c r="E14" s="99"/>
      <c r="F14" s="68" t="s">
        <v>1142</v>
      </c>
      <c r="G14" s="68" t="s">
        <v>1983</v>
      </c>
      <c r="H14" s="68" t="s">
        <v>1463</v>
      </c>
      <c r="I14" s="46" t="s">
        <v>1919</v>
      </c>
      <c r="J14" s="47" t="s">
        <v>1761</v>
      </c>
      <c r="K14" s="47" t="s">
        <v>1478</v>
      </c>
      <c r="L14" s="47" t="s">
        <v>1918</v>
      </c>
      <c r="M14" s="47" t="s">
        <v>1983</v>
      </c>
      <c r="N14" s="47" t="s">
        <v>1481</v>
      </c>
      <c r="O14" s="46" t="s">
        <v>1479</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598</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tbl-lbw-rande-percent</v>
      </c>
    </row>
    <row r="4" spans="1:17">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1245</v>
      </c>
      <c r="G5" s="121" t="s">
        <v>220</v>
      </c>
      <c r="H5" s="121" t="s">
        <v>18</v>
      </c>
      <c r="I5" s="121" t="s">
        <v>537</v>
      </c>
      <c r="J5" s="121" t="s">
        <v>449</v>
      </c>
      <c r="K5" s="121" t="s">
        <v>409</v>
      </c>
      <c r="L5" s="121" t="s">
        <v>421</v>
      </c>
      <c r="M5" s="121" t="s">
        <v>470</v>
      </c>
      <c r="N5" s="121" t="s">
        <v>914</v>
      </c>
      <c r="O5" s="121" t="s">
        <v>915</v>
      </c>
    </row>
    <row r="6" spans="1:17" ht="15" customHeight="1">
      <c r="A6" t="s">
        <v>891</v>
      </c>
      <c r="B6" t="b">
        <v>0</v>
      </c>
      <c r="E6" s="99"/>
      <c r="F6" t="s">
        <v>929</v>
      </c>
      <c r="G6" s="55">
        <v>6.5</v>
      </c>
      <c r="H6" s="55">
        <v>5.7</v>
      </c>
      <c r="I6" s="55">
        <v>7.1</v>
      </c>
      <c r="J6" s="55">
        <v>4.5999999999999996</v>
      </c>
      <c r="K6" s="55">
        <v>7.2</v>
      </c>
      <c r="L6" s="55">
        <v>7.2</v>
      </c>
      <c r="M6" s="55">
        <v>5.8</v>
      </c>
      <c r="N6" s="55">
        <v>6.7</v>
      </c>
      <c r="O6" s="55">
        <v>6.4</v>
      </c>
    </row>
    <row r="7" spans="1:17" ht="15.75" customHeight="1">
      <c r="E7" s="99"/>
      <c r="F7" t="s">
        <v>1571</v>
      </c>
      <c r="G7" s="55">
        <v>13.4</v>
      </c>
      <c r="H7" s="55">
        <v>13.4</v>
      </c>
      <c r="I7" s="55" t="s">
        <v>2142</v>
      </c>
      <c r="J7" s="55">
        <v>10.4</v>
      </c>
      <c r="K7" s="55">
        <v>16.899999999999999</v>
      </c>
      <c r="L7" s="55">
        <v>11.8</v>
      </c>
      <c r="M7" s="55">
        <v>13</v>
      </c>
      <c r="N7" s="55">
        <v>14.2</v>
      </c>
      <c r="O7" s="55">
        <v>13.8</v>
      </c>
    </row>
    <row r="8" spans="1:17">
      <c r="E8" s="99"/>
      <c r="F8" t="s">
        <v>1572</v>
      </c>
      <c r="G8" s="55">
        <v>8</v>
      </c>
      <c r="H8" s="55">
        <v>8.1</v>
      </c>
      <c r="I8" s="55" t="s">
        <v>2143</v>
      </c>
      <c r="J8" s="55">
        <v>9.3000000000000007</v>
      </c>
      <c r="K8" s="55" t="s">
        <v>1915</v>
      </c>
      <c r="L8" s="55" t="s">
        <v>1913</v>
      </c>
      <c r="M8" s="55">
        <v>9.1999999999999993</v>
      </c>
      <c r="N8" s="55">
        <v>9.3000000000000007</v>
      </c>
      <c r="O8" s="55">
        <v>9.5</v>
      </c>
      <c r="P8" s="14"/>
    </row>
    <row r="9" spans="1:17">
      <c r="A9" s="98" t="s">
        <v>893</v>
      </c>
      <c r="B9" s="99"/>
      <c r="E9" s="99"/>
      <c r="F9" t="s">
        <v>927</v>
      </c>
      <c r="G9" s="55">
        <v>8.1</v>
      </c>
      <c r="H9" s="55">
        <v>8.5</v>
      </c>
      <c r="I9" s="55">
        <v>7.6</v>
      </c>
      <c r="J9" s="55">
        <v>7.1</v>
      </c>
      <c r="K9" s="55">
        <v>9</v>
      </c>
      <c r="L9" s="55">
        <v>7.5</v>
      </c>
      <c r="M9" s="55">
        <v>7.9</v>
      </c>
      <c r="N9" s="55">
        <v>8.3000000000000007</v>
      </c>
      <c r="O9" s="55">
        <v>8.6999999999999993</v>
      </c>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600</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tbl-infant-mortal-rate</v>
      </c>
    </row>
    <row r="4" spans="1:17">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s="101" t="s">
        <v>1798</v>
      </c>
      <c r="H5" s="101"/>
      <c r="I5" s="101"/>
      <c r="J5" s="101"/>
      <c r="K5" s="101"/>
      <c r="L5" s="101"/>
      <c r="M5" s="101"/>
      <c r="N5" s="101" t="s">
        <v>1951</v>
      </c>
      <c r="O5" s="101"/>
    </row>
    <row r="6" spans="1:17" ht="15" customHeight="1">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c r="E7" s="99"/>
      <c r="F7">
        <v>2014</v>
      </c>
      <c r="G7" s="55">
        <v>4.9000000000000004</v>
      </c>
      <c r="H7" s="55">
        <v>5.3</v>
      </c>
      <c r="I7" s="55" t="s">
        <v>2144</v>
      </c>
      <c r="J7" s="55">
        <v>4</v>
      </c>
      <c r="K7" s="55">
        <v>4.5999999999999996</v>
      </c>
      <c r="L7" s="55">
        <v>5.3</v>
      </c>
      <c r="M7" s="55">
        <v>4.0999999999999996</v>
      </c>
      <c r="N7" s="55">
        <v>5.0999999999999996</v>
      </c>
      <c r="O7" s="55">
        <v>4.5999999999999996</v>
      </c>
    </row>
    <row r="8" spans="1:17">
      <c r="E8" s="99"/>
      <c r="F8">
        <v>2015</v>
      </c>
      <c r="G8" s="55">
        <v>4</v>
      </c>
      <c r="H8" s="55">
        <v>4.9000000000000004</v>
      </c>
      <c r="I8" s="55" t="s">
        <v>2145</v>
      </c>
      <c r="J8" s="55">
        <v>3.6</v>
      </c>
      <c r="K8" s="55">
        <v>4.9000000000000004</v>
      </c>
      <c r="L8" s="55">
        <v>5</v>
      </c>
      <c r="M8" s="55">
        <v>3.6</v>
      </c>
      <c r="N8" s="55">
        <v>5</v>
      </c>
      <c r="O8" s="55">
        <v>4.5999999999999996</v>
      </c>
      <c r="P8" s="14"/>
    </row>
    <row r="9" spans="1:17">
      <c r="A9" s="98" t="s">
        <v>893</v>
      </c>
      <c r="B9" s="99"/>
      <c r="E9" s="99"/>
      <c r="F9">
        <v>2016</v>
      </c>
      <c r="G9" s="55">
        <v>3.4</v>
      </c>
      <c r="H9" s="55">
        <v>4</v>
      </c>
      <c r="I9" s="55" t="s">
        <v>2146</v>
      </c>
      <c r="J9" s="55">
        <v>3.6</v>
      </c>
      <c r="K9" s="55">
        <v>4.9000000000000004</v>
      </c>
      <c r="L9" s="55">
        <v>4.8</v>
      </c>
      <c r="M9" s="55">
        <v>3.1</v>
      </c>
      <c r="N9" s="55">
        <v>5</v>
      </c>
      <c r="O9" s="55">
        <v>4.4000000000000004</v>
      </c>
    </row>
    <row r="10" spans="1:17">
      <c r="A10" t="s">
        <v>894</v>
      </c>
      <c r="B10" t="s">
        <v>972</v>
      </c>
      <c r="E10" s="99"/>
      <c r="F10">
        <v>2017</v>
      </c>
      <c r="G10">
        <v>4.5</v>
      </c>
      <c r="H10">
        <v>3.9</v>
      </c>
      <c r="I10" t="s">
        <v>2145</v>
      </c>
      <c r="J10">
        <v>3</v>
      </c>
      <c r="K10">
        <v>4.4000000000000004</v>
      </c>
      <c r="L10">
        <v>4</v>
      </c>
      <c r="M10">
        <v>3.6</v>
      </c>
      <c r="N10">
        <v>4.7</v>
      </c>
      <c r="O10">
        <v>4.5</v>
      </c>
    </row>
    <row r="11" spans="1:17">
      <c r="A11" t="s">
        <v>895</v>
      </c>
      <c r="B11" t="s">
        <v>887</v>
      </c>
      <c r="E11" s="99"/>
      <c r="F11" s="46" t="s">
        <v>1978</v>
      </c>
      <c r="G11" s="59">
        <v>4.3</v>
      </c>
      <c r="H11" s="59">
        <v>3.6</v>
      </c>
      <c r="I11" s="59" t="s">
        <v>2147</v>
      </c>
      <c r="J11" s="42">
        <v>3</v>
      </c>
      <c r="K11" s="42" t="s">
        <v>2148</v>
      </c>
      <c r="L11" s="42">
        <v>3.3</v>
      </c>
      <c r="M11" s="47" t="s">
        <v>2084</v>
      </c>
      <c r="N11" s="47" t="s">
        <v>1986</v>
      </c>
      <c r="O11" s="46" t="s">
        <v>2082</v>
      </c>
    </row>
    <row r="12" spans="1:17">
      <c r="A12" t="s">
        <v>896</v>
      </c>
      <c r="E12" s="99"/>
      <c r="F12" s="74" t="s">
        <v>1980</v>
      </c>
      <c r="G12" s="42">
        <v>4.2</v>
      </c>
      <c r="H12" s="42">
        <v>3.9</v>
      </c>
      <c r="I12" s="59" t="s">
        <v>1892</v>
      </c>
      <c r="J12" s="59">
        <v>2.8</v>
      </c>
      <c r="K12" s="59" t="s">
        <v>2022</v>
      </c>
      <c r="L12" s="59">
        <v>3.3</v>
      </c>
      <c r="M12" s="46" t="s">
        <v>2084</v>
      </c>
      <c r="N12" s="46" t="s">
        <v>2149</v>
      </c>
      <c r="O12" s="46" t="s">
        <v>2082</v>
      </c>
    </row>
    <row r="13" spans="1:17">
      <c r="A13" t="s">
        <v>897</v>
      </c>
      <c r="E13" s="99"/>
      <c r="F13" s="47" t="s">
        <v>1982</v>
      </c>
      <c r="G13" s="47" t="s">
        <v>2150</v>
      </c>
      <c r="H13" s="47" t="s">
        <v>2081</v>
      </c>
      <c r="I13" s="46" t="s">
        <v>2151</v>
      </c>
      <c r="J13" s="46" t="s">
        <v>1499</v>
      </c>
      <c r="K13" s="46" t="s">
        <v>2088</v>
      </c>
      <c r="L13" s="46" t="s">
        <v>2081</v>
      </c>
      <c r="M13" s="46" t="s">
        <v>2152</v>
      </c>
      <c r="N13" s="46" t="s">
        <v>2153</v>
      </c>
      <c r="O13" s="46" t="s">
        <v>2154</v>
      </c>
    </row>
    <row r="14" spans="1:17">
      <c r="A14" t="s">
        <v>899</v>
      </c>
      <c r="B14" t="s">
        <v>701</v>
      </c>
      <c r="E14" s="99"/>
      <c r="F14" s="68" t="s">
        <v>1142</v>
      </c>
      <c r="G14" s="68" t="s">
        <v>2150</v>
      </c>
      <c r="H14" s="68" t="s">
        <v>2155</v>
      </c>
      <c r="I14" s="46" t="s">
        <v>1808</v>
      </c>
      <c r="J14" s="47" t="s">
        <v>2156</v>
      </c>
      <c r="K14" s="47" t="s">
        <v>2157</v>
      </c>
      <c r="L14" s="47" t="s">
        <v>2027</v>
      </c>
      <c r="M14" s="47" t="s">
        <v>2152</v>
      </c>
      <c r="N14" s="47" t="s">
        <v>2153</v>
      </c>
      <c r="O14" s="46" t="s">
        <v>2026</v>
      </c>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592</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tbl-hospital-exclusive-bf-percent</v>
      </c>
    </row>
    <row r="4" spans="1:17">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F5" t="s">
        <v>887</v>
      </c>
      <c r="G5" s="121" t="s">
        <v>220</v>
      </c>
      <c r="H5" s="121" t="s">
        <v>18</v>
      </c>
      <c r="I5" s="121" t="s">
        <v>537</v>
      </c>
      <c r="J5" s="121" t="s">
        <v>449</v>
      </c>
      <c r="K5" s="121" t="s">
        <v>409</v>
      </c>
      <c r="L5" s="121" t="s">
        <v>421</v>
      </c>
      <c r="M5" s="121" t="s">
        <v>470</v>
      </c>
      <c r="N5" s="121" t="s">
        <v>898</v>
      </c>
      <c r="O5" s="121" t="s">
        <v>914</v>
      </c>
    </row>
    <row r="6" spans="1:17" ht="15" customHeight="1">
      <c r="A6" t="s">
        <v>891</v>
      </c>
      <c r="B6" t="b">
        <v>0</v>
      </c>
      <c r="E6" s="99"/>
      <c r="F6">
        <v>2013</v>
      </c>
      <c r="G6" s="55">
        <v>57.8</v>
      </c>
      <c r="H6" s="55">
        <v>55.4</v>
      </c>
      <c r="I6" s="55">
        <v>63.8</v>
      </c>
      <c r="J6" s="55">
        <v>46</v>
      </c>
      <c r="K6" s="55">
        <v>45.1</v>
      </c>
      <c r="L6" s="55">
        <v>63.1</v>
      </c>
      <c r="M6" s="55">
        <v>55</v>
      </c>
      <c r="N6" s="55">
        <v>54.1</v>
      </c>
      <c r="O6" s="55">
        <v>51.3</v>
      </c>
    </row>
    <row r="7" spans="1:17" ht="15.75" customHeight="1">
      <c r="E7" s="99"/>
      <c r="F7">
        <v>2014</v>
      </c>
      <c r="G7" s="55">
        <v>55.1</v>
      </c>
      <c r="H7" s="55">
        <v>50.5</v>
      </c>
      <c r="I7" s="55">
        <v>68.5</v>
      </c>
      <c r="J7" s="55">
        <v>52</v>
      </c>
      <c r="K7" s="55">
        <v>49.1</v>
      </c>
      <c r="L7" s="55">
        <v>61.6</v>
      </c>
      <c r="M7" s="55">
        <v>53</v>
      </c>
      <c r="N7" s="55">
        <v>53.5</v>
      </c>
      <c r="O7" s="55">
        <v>52.5</v>
      </c>
    </row>
    <row r="8" spans="1:17">
      <c r="E8" s="99"/>
      <c r="F8">
        <v>2015</v>
      </c>
      <c r="G8" s="55">
        <v>55.5</v>
      </c>
      <c r="H8" s="55">
        <v>49.7</v>
      </c>
      <c r="I8" s="55">
        <v>67.8</v>
      </c>
      <c r="J8" s="55">
        <v>52.7</v>
      </c>
      <c r="K8" s="55">
        <v>52.7</v>
      </c>
      <c r="L8" s="55">
        <v>63.2</v>
      </c>
      <c r="M8" s="55">
        <v>50.6</v>
      </c>
      <c r="N8" s="55">
        <v>52.8</v>
      </c>
      <c r="O8" s="55">
        <v>52.5</v>
      </c>
      <c r="P8" s="14"/>
    </row>
    <row r="9" spans="1:17">
      <c r="A9" s="98" t="s">
        <v>893</v>
      </c>
      <c r="B9" s="99"/>
      <c r="E9" s="99"/>
      <c r="F9">
        <v>2016</v>
      </c>
      <c r="G9" s="55">
        <v>56.6</v>
      </c>
      <c r="H9" s="55">
        <v>44</v>
      </c>
      <c r="I9" s="55">
        <v>61.4</v>
      </c>
      <c r="J9" s="55">
        <v>36.9</v>
      </c>
      <c r="K9" s="55">
        <v>54.3</v>
      </c>
      <c r="L9" s="55">
        <v>65.599999999999994</v>
      </c>
      <c r="M9" s="55">
        <v>54.5</v>
      </c>
      <c r="N9" s="55">
        <v>50</v>
      </c>
      <c r="O9" s="55">
        <v>52.4</v>
      </c>
    </row>
    <row r="10" spans="1:17">
      <c r="A10" t="s">
        <v>894</v>
      </c>
      <c r="B10" t="s">
        <v>972</v>
      </c>
      <c r="E10" s="99"/>
      <c r="F10">
        <v>2017</v>
      </c>
      <c r="G10">
        <v>56.8</v>
      </c>
      <c r="H10">
        <v>44.3</v>
      </c>
      <c r="I10">
        <v>64.599999999999994</v>
      </c>
      <c r="J10">
        <v>38</v>
      </c>
      <c r="K10">
        <v>55.7</v>
      </c>
      <c r="L10">
        <v>64.3</v>
      </c>
      <c r="M10">
        <v>52.2</v>
      </c>
      <c r="N10">
        <v>49.6</v>
      </c>
      <c r="O10">
        <v>51.7</v>
      </c>
    </row>
    <row r="11" spans="1:17">
      <c r="A11" t="s">
        <v>895</v>
      </c>
      <c r="B11" t="s">
        <v>887</v>
      </c>
      <c r="E11" s="99"/>
      <c r="F11" s="46" t="s">
        <v>1978</v>
      </c>
      <c r="G11" s="59">
        <v>52.3</v>
      </c>
      <c r="H11" s="59">
        <v>37.700000000000003</v>
      </c>
      <c r="I11" s="59">
        <v>65.400000000000006</v>
      </c>
      <c r="J11" s="42">
        <v>31.2</v>
      </c>
      <c r="K11" s="42">
        <v>54.4</v>
      </c>
      <c r="L11" s="42">
        <v>61.3</v>
      </c>
      <c r="M11" s="47" t="s">
        <v>2158</v>
      </c>
      <c r="N11" s="47" t="s">
        <v>2159</v>
      </c>
      <c r="O11" s="46" t="s">
        <v>2160</v>
      </c>
    </row>
    <row r="12" spans="1:17">
      <c r="A12" t="s">
        <v>896</v>
      </c>
      <c r="E12" s="99"/>
      <c r="F12" s="74" t="s">
        <v>1980</v>
      </c>
      <c r="G12" s="42">
        <v>49.6</v>
      </c>
      <c r="H12" s="42">
        <v>36.9</v>
      </c>
      <c r="I12" s="59">
        <v>53.4</v>
      </c>
      <c r="J12" s="59">
        <v>32.700000000000003</v>
      </c>
      <c r="K12" s="59">
        <v>50.7</v>
      </c>
      <c r="L12" s="59">
        <v>60.8</v>
      </c>
      <c r="M12" s="46" t="s">
        <v>2161</v>
      </c>
      <c r="N12" s="46" t="s">
        <v>2162</v>
      </c>
      <c r="O12" s="46" t="s">
        <v>2163</v>
      </c>
    </row>
    <row r="13" spans="1:17">
      <c r="A13" t="s">
        <v>897</v>
      </c>
      <c r="E13" s="99"/>
      <c r="F13" s="47" t="s">
        <v>1982</v>
      </c>
      <c r="G13" s="47" t="s">
        <v>2164</v>
      </c>
      <c r="H13" s="47" t="s">
        <v>2165</v>
      </c>
      <c r="I13" s="46" t="s">
        <v>2166</v>
      </c>
      <c r="J13" s="46" t="s">
        <v>2167</v>
      </c>
      <c r="K13" s="46" t="s">
        <v>2168</v>
      </c>
      <c r="L13" s="46" t="s">
        <v>2169</v>
      </c>
      <c r="M13" s="46" t="s">
        <v>1468</v>
      </c>
      <c r="N13" s="46" t="s">
        <v>2170</v>
      </c>
      <c r="O13" s="46" t="s">
        <v>2171</v>
      </c>
    </row>
    <row r="14" spans="1:17">
      <c r="A14" t="s">
        <v>899</v>
      </c>
      <c r="B14" t="s">
        <v>694</v>
      </c>
      <c r="E14" s="99"/>
      <c r="F14" s="68" t="s">
        <v>1142</v>
      </c>
      <c r="G14" s="68" t="s">
        <v>2172</v>
      </c>
      <c r="H14" s="68" t="s">
        <v>2173</v>
      </c>
      <c r="I14" s="46" t="s">
        <v>2174</v>
      </c>
      <c r="J14" s="47" t="s">
        <v>2175</v>
      </c>
      <c r="K14" s="47" t="s">
        <v>2176</v>
      </c>
      <c r="L14" s="47" t="s">
        <v>2177</v>
      </c>
      <c r="M14" s="47" t="s">
        <v>1487</v>
      </c>
      <c r="N14" s="47" t="s">
        <v>2178</v>
      </c>
      <c r="O14" s="46" t="s">
        <v>2179</v>
      </c>
    </row>
    <row r="15" spans="1:17">
      <c r="A15" t="s">
        <v>901</v>
      </c>
      <c r="B15" t="b">
        <v>1</v>
      </c>
      <c r="E15" s="99"/>
      <c r="F15">
        <v>2022</v>
      </c>
      <c r="G15" s="68" t="s">
        <v>1468</v>
      </c>
      <c r="H15" s="68" t="s">
        <v>2180</v>
      </c>
      <c r="I15" s="46" t="s">
        <v>2181</v>
      </c>
      <c r="J15" s="47" t="s">
        <v>2182</v>
      </c>
      <c r="K15" s="47" t="s">
        <v>2183</v>
      </c>
      <c r="L15" s="47" t="s">
        <v>2076</v>
      </c>
      <c r="M15" s="47" t="s">
        <v>2184</v>
      </c>
      <c r="N15" s="47" t="s">
        <v>2180</v>
      </c>
      <c r="O15" s="46" t="s">
        <v>2185</v>
      </c>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607</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tbl-medicaid-1dental-visit-percent</v>
      </c>
    </row>
    <row r="4" spans="1:17">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s="121" t="s">
        <v>18</v>
      </c>
      <c r="I5" s="121" t="s">
        <v>537</v>
      </c>
      <c r="J5" s="121" t="s">
        <v>449</v>
      </c>
      <c r="K5" s="121" t="s">
        <v>409</v>
      </c>
      <c r="L5" s="121" t="s">
        <v>421</v>
      </c>
      <c r="M5" s="121" t="s">
        <v>470</v>
      </c>
      <c r="N5" s="121" t="s">
        <v>914</v>
      </c>
      <c r="O5" s="121" t="s">
        <v>915</v>
      </c>
    </row>
    <row r="6" spans="1:17" ht="15" customHeight="1">
      <c r="A6" t="s">
        <v>891</v>
      </c>
      <c r="B6" t="b">
        <v>0</v>
      </c>
      <c r="E6" s="99"/>
      <c r="F6" t="s">
        <v>2186</v>
      </c>
      <c r="G6" s="55">
        <v>30.8</v>
      </c>
      <c r="H6" s="55">
        <v>35.799999999999997</v>
      </c>
      <c r="I6" s="55">
        <v>31.6</v>
      </c>
      <c r="J6" s="55">
        <v>45.5</v>
      </c>
      <c r="K6" s="55">
        <v>29.1</v>
      </c>
      <c r="L6" s="55">
        <v>28.5</v>
      </c>
      <c r="M6" s="55">
        <v>30.7</v>
      </c>
      <c r="N6" s="55">
        <v>30.2</v>
      </c>
      <c r="O6" s="55">
        <v>29.5</v>
      </c>
    </row>
    <row r="7" spans="1:17" ht="15.75" customHeight="1">
      <c r="E7" s="99"/>
      <c r="F7" t="s">
        <v>2187</v>
      </c>
      <c r="G7" s="55">
        <v>49.2</v>
      </c>
      <c r="H7" s="55">
        <v>51.5</v>
      </c>
      <c r="I7" s="55">
        <v>53.1</v>
      </c>
      <c r="J7" s="55">
        <v>64.400000000000006</v>
      </c>
      <c r="K7" s="55">
        <v>43.6</v>
      </c>
      <c r="L7" s="55">
        <v>47.8</v>
      </c>
      <c r="M7" s="55">
        <v>52</v>
      </c>
      <c r="N7" s="55">
        <v>54.2</v>
      </c>
      <c r="O7" s="55">
        <v>46.8</v>
      </c>
    </row>
    <row r="8" spans="1:17">
      <c r="E8" s="99"/>
      <c r="G8" s="55"/>
      <c r="H8" s="55"/>
      <c r="I8" s="55"/>
      <c r="J8" s="55"/>
      <c r="K8" s="55"/>
      <c r="L8" s="55"/>
      <c r="M8" s="55"/>
      <c r="N8" s="55"/>
      <c r="O8" s="55"/>
      <c r="P8" s="14"/>
    </row>
    <row r="9" spans="1:17">
      <c r="A9" s="98" t="s">
        <v>893</v>
      </c>
      <c r="B9" s="99"/>
      <c r="E9" s="99"/>
      <c r="G9" s="55"/>
      <c r="H9" s="55"/>
      <c r="I9" s="55"/>
      <c r="J9" s="55"/>
      <c r="K9" s="55"/>
      <c r="L9" s="55"/>
      <c r="M9" s="55"/>
      <c r="N9" s="55"/>
      <c r="O9" s="55"/>
    </row>
    <row r="10" spans="1:17">
      <c r="A10" t="s">
        <v>894</v>
      </c>
      <c r="B10" t="s">
        <v>983</v>
      </c>
      <c r="E10" s="99"/>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abSelected="1" topLeftCell="A4" workbookViewId="0">
      <selection activeCell="F28" sqref="F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58" t="s">
        <v>882</v>
      </c>
      <c r="B1" s="96" t="s">
        <v>609</v>
      </c>
      <c r="C1" s="97"/>
      <c r="D1" s="97"/>
      <c r="E1" s="97"/>
      <c r="F1" s="97"/>
      <c r="G1" s="97"/>
      <c r="H1" s="97"/>
      <c r="I1" s="97"/>
      <c r="J1" s="97"/>
      <c r="K1" s="97"/>
      <c r="L1" s="97"/>
      <c r="M1" s="97"/>
      <c r="N1" s="97"/>
      <c r="O1" s="97"/>
    </row>
    <row r="2" spans="1:17">
      <c r="A2" s="58" t="s">
        <v>883</v>
      </c>
      <c r="B2" t="s">
        <v>1120</v>
      </c>
    </row>
    <row r="3" spans="1:17">
      <c r="A3" s="58" t="s">
        <v>884</v>
      </c>
      <c r="B3" t="str">
        <f>IF($B$1="","",_xlfn.XLOOKUP($B$1,Master!$F$2:$F$308,Master!$G$2:$G$308,""))</f>
        <v>tbl-medicaid-dental-past12-percent</v>
      </c>
    </row>
    <row r="4" spans="1:17">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t="s">
        <v>679</v>
      </c>
      <c r="P4" s="16"/>
      <c r="Q4" s="16"/>
    </row>
    <row r="5" spans="1:17">
      <c r="A5" s="98" t="s">
        <v>885</v>
      </c>
      <c r="B5" s="99"/>
      <c r="E5" s="100" t="s">
        <v>886</v>
      </c>
      <c r="G5" t="s">
        <v>220</v>
      </c>
      <c r="H5" s="121" t="s">
        <v>18</v>
      </c>
      <c r="I5" s="121" t="s">
        <v>537</v>
      </c>
      <c r="J5" s="121" t="s">
        <v>449</v>
      </c>
      <c r="K5" s="121" t="s">
        <v>409</v>
      </c>
      <c r="L5" s="121" t="s">
        <v>421</v>
      </c>
      <c r="M5" s="121" t="s">
        <v>470</v>
      </c>
      <c r="N5" s="121" t="s">
        <v>915</v>
      </c>
      <c r="O5" s="121"/>
    </row>
    <row r="6" spans="1:17" ht="15" customHeight="1">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c r="E7" s="99"/>
      <c r="F7">
        <v>2020</v>
      </c>
      <c r="G7" s="55">
        <v>30.9</v>
      </c>
      <c r="H7" s="55">
        <v>34.1</v>
      </c>
      <c r="I7" s="55">
        <v>31.7</v>
      </c>
      <c r="J7" s="55">
        <v>45.3</v>
      </c>
      <c r="K7" s="55">
        <v>29.8</v>
      </c>
      <c r="L7" s="55">
        <v>28.4</v>
      </c>
      <c r="M7" s="55">
        <v>31.2</v>
      </c>
      <c r="N7" s="55">
        <v>26.3</v>
      </c>
      <c r="O7" s="55"/>
    </row>
    <row r="8" spans="1:17">
      <c r="E8" s="99"/>
      <c r="F8">
        <v>2021</v>
      </c>
      <c r="G8" s="55">
        <v>30.3</v>
      </c>
      <c r="H8" s="55">
        <v>33.9</v>
      </c>
      <c r="I8" s="55">
        <v>30.7</v>
      </c>
      <c r="J8" s="55">
        <v>44.7</v>
      </c>
      <c r="K8" s="55">
        <v>28.5</v>
      </c>
      <c r="L8" s="55">
        <v>27.7</v>
      </c>
      <c r="M8" s="55">
        <v>29.8</v>
      </c>
      <c r="N8" s="55">
        <v>29.8</v>
      </c>
      <c r="O8" s="55"/>
      <c r="P8" s="14"/>
    </row>
    <row r="9" spans="1:17">
      <c r="A9" s="98" t="s">
        <v>893</v>
      </c>
      <c r="B9" s="99"/>
      <c r="E9" s="99"/>
      <c r="F9">
        <v>2022</v>
      </c>
      <c r="G9" s="55">
        <v>30.8</v>
      </c>
      <c r="H9" s="55">
        <v>35.799999999999997</v>
      </c>
      <c r="I9" s="55">
        <v>31.6</v>
      </c>
      <c r="J9" s="55">
        <v>44.5</v>
      </c>
      <c r="K9" s="55">
        <v>29.1</v>
      </c>
      <c r="L9" s="55">
        <v>28.5</v>
      </c>
      <c r="M9" s="55">
        <v>30.7</v>
      </c>
      <c r="N9" s="55">
        <v>29.8</v>
      </c>
      <c r="O9" s="55"/>
    </row>
    <row r="10" spans="1:17">
      <c r="A10" t="s">
        <v>894</v>
      </c>
      <c r="B10" t="s">
        <v>972</v>
      </c>
      <c r="E10" s="99"/>
      <c r="G10" s="55"/>
    </row>
    <row r="11" spans="1:17">
      <c r="A11" t="s">
        <v>895</v>
      </c>
      <c r="B11" t="s">
        <v>887</v>
      </c>
      <c r="E11" s="99"/>
      <c r="F11" s="46"/>
      <c r="G11" s="59"/>
      <c r="H11" s="59"/>
      <c r="I11" s="59"/>
      <c r="J11" s="42"/>
      <c r="K11" s="42"/>
      <c r="L11" s="42"/>
      <c r="M11" s="47"/>
      <c r="N11" s="47"/>
      <c r="O11" s="46"/>
    </row>
    <row r="12" spans="1:17">
      <c r="A12" t="s">
        <v>896</v>
      </c>
      <c r="E12" s="99"/>
      <c r="F12" s="74"/>
      <c r="G12" s="42"/>
      <c r="H12" s="42"/>
      <c r="I12" s="59"/>
      <c r="J12" s="59"/>
      <c r="K12" s="59"/>
      <c r="L12" s="59"/>
      <c r="M12" s="46"/>
      <c r="N12" s="46"/>
      <c r="O12" s="46"/>
    </row>
    <row r="13" spans="1:17">
      <c r="A13" t="s">
        <v>897</v>
      </c>
      <c r="E13" s="99"/>
      <c r="F13" s="47"/>
      <c r="G13" s="47"/>
      <c r="H13" s="47"/>
      <c r="I13" s="46"/>
      <c r="J13" s="46"/>
      <c r="K13" s="46"/>
      <c r="L13" s="46"/>
      <c r="M13" s="46"/>
      <c r="N13" s="46"/>
      <c r="O13" s="46"/>
    </row>
    <row r="14" spans="1:17">
      <c r="A14" t="s">
        <v>899</v>
      </c>
      <c r="B14" t="s">
        <v>694</v>
      </c>
      <c r="E14" s="99"/>
      <c r="F14" s="68"/>
      <c r="G14" s="68"/>
      <c r="H14" s="68"/>
      <c r="I14" s="46"/>
      <c r="J14" s="47"/>
      <c r="K14" s="47"/>
      <c r="L14" s="47"/>
      <c r="M14" s="47"/>
      <c r="N14" s="47"/>
      <c r="O14" s="46"/>
    </row>
    <row r="15" spans="1:17">
      <c r="A15" t="s">
        <v>901</v>
      </c>
      <c r="B15" t="b">
        <v>1</v>
      </c>
      <c r="E15" s="99"/>
      <c r="G15" s="68"/>
      <c r="H15" s="68"/>
      <c r="I15" s="46"/>
      <c r="J15" s="47"/>
      <c r="K15" s="47"/>
      <c r="L15" s="47"/>
      <c r="M15" s="47"/>
      <c r="N15" s="47"/>
      <c r="O15" s="46"/>
    </row>
    <row r="16" spans="1:17">
      <c r="A16" t="s">
        <v>1146</v>
      </c>
      <c r="B16" t="b">
        <v>1</v>
      </c>
      <c r="E16" s="99"/>
      <c r="F16" s="55"/>
      <c r="G16" s="68"/>
      <c r="H16" s="68"/>
      <c r="I16" s="46"/>
      <c r="J16" s="47"/>
      <c r="K16" s="47"/>
      <c r="L16" s="47"/>
      <c r="M16" s="47"/>
      <c r="N16" s="47"/>
      <c r="O16" s="46"/>
    </row>
    <row r="17" spans="1:15">
      <c r="E17" s="99"/>
      <c r="F17" s="55"/>
      <c r="G17" s="68"/>
      <c r="H17" s="68"/>
      <c r="I17" s="46"/>
      <c r="J17" s="47"/>
      <c r="K17" s="47"/>
      <c r="L17" s="47"/>
      <c r="M17" s="47"/>
      <c r="N17" s="47"/>
      <c r="O17" s="46"/>
    </row>
    <row r="18" spans="1:15">
      <c r="A18" s="98" t="s">
        <v>902</v>
      </c>
      <c r="B18" s="99"/>
      <c r="E18" s="99"/>
      <c r="F18" s="55"/>
      <c r="G18" s="68"/>
      <c r="H18" s="68"/>
      <c r="I18" s="46"/>
      <c r="J18" s="46"/>
      <c r="K18" s="46"/>
      <c r="L18" s="46"/>
      <c r="M18" s="46"/>
      <c r="N18" s="46"/>
      <c r="O18" s="46"/>
    </row>
    <row r="19" spans="1:15">
      <c r="A19" t="s">
        <v>903</v>
      </c>
      <c r="E19" s="99"/>
      <c r="F19" s="55"/>
      <c r="G19" s="68"/>
      <c r="H19" s="68"/>
      <c r="I19" s="46"/>
      <c r="J19" s="46"/>
      <c r="K19" s="46"/>
      <c r="L19" s="46"/>
      <c r="M19" s="46"/>
      <c r="N19" s="46"/>
      <c r="O19" s="46"/>
    </row>
    <row r="20" spans="1:15">
      <c r="A20" t="s">
        <v>904</v>
      </c>
      <c r="E20" s="99"/>
      <c r="F20" s="55"/>
      <c r="G20" s="68"/>
      <c r="H20" s="68"/>
      <c r="I20" s="46"/>
      <c r="J20" s="46"/>
      <c r="K20" s="46"/>
      <c r="L20" s="46"/>
      <c r="M20" s="46"/>
      <c r="N20" s="46"/>
      <c r="O20" s="46"/>
    </row>
    <row r="21" spans="1:15">
      <c r="A21" t="s">
        <v>905</v>
      </c>
      <c r="E21" s="99"/>
      <c r="F21" s="55"/>
      <c r="G21" s="68"/>
      <c r="H21" s="68"/>
      <c r="I21" s="46"/>
      <c r="J21" s="46"/>
      <c r="K21" s="46"/>
      <c r="L21" s="46"/>
      <c r="M21" s="46"/>
      <c r="N21" s="46"/>
      <c r="O21" s="46"/>
    </row>
    <row r="22" spans="1:15">
      <c r="A22" t="s">
        <v>906</v>
      </c>
      <c r="E22" s="99"/>
      <c r="F22" s="55"/>
      <c r="G22" s="68"/>
      <c r="H22" s="68"/>
      <c r="I22" s="46"/>
    </row>
    <row r="23" spans="1:15">
      <c r="A23" t="s">
        <v>907</v>
      </c>
      <c r="E23" s="99"/>
      <c r="F23" s="55"/>
      <c r="G23" s="68"/>
      <c r="H23" s="68"/>
      <c r="I23" s="46"/>
    </row>
    <row r="24" spans="1:15">
      <c r="A24" t="s">
        <v>908</v>
      </c>
      <c r="E24" s="99"/>
      <c r="F24" s="46"/>
      <c r="G24" s="46"/>
      <c r="H24" s="46"/>
      <c r="I24" s="46"/>
    </row>
    <row r="25" spans="1:15">
      <c r="A25" t="s">
        <v>909</v>
      </c>
      <c r="E25" s="99"/>
      <c r="F25" s="68"/>
      <c r="G25" s="68"/>
      <c r="H25" s="68"/>
      <c r="I25" s="46"/>
    </row>
    <row r="26" spans="1:15">
      <c r="E26" s="99"/>
      <c r="F26" s="55"/>
      <c r="G26" s="55"/>
      <c r="H26" s="70"/>
      <c r="I26" s="46"/>
    </row>
    <row r="27" spans="1:15">
      <c r="A27" s="101" t="s">
        <v>910</v>
      </c>
      <c r="B27" s="99"/>
      <c r="E27" s="99"/>
      <c r="F27" s="55"/>
      <c r="G27" s="55"/>
      <c r="H27" s="70"/>
      <c r="I27" s="46"/>
    </row>
    <row r="28" spans="1:15">
      <c r="E28" s="99"/>
      <c r="F28" s="55"/>
      <c r="G28" s="55"/>
      <c r="H28" s="70"/>
      <c r="I28" s="46"/>
    </row>
    <row r="29" spans="1:15">
      <c r="E29" s="99"/>
      <c r="F29" s="55"/>
      <c r="G29" s="55"/>
      <c r="H29" s="70"/>
      <c r="I29" s="46"/>
    </row>
    <row r="30" spans="1:15">
      <c r="E30" s="99"/>
      <c r="F30" s="55"/>
      <c r="G30" s="55"/>
      <c r="H30" s="70"/>
      <c r="I30" s="46"/>
    </row>
    <row r="31" spans="1:15">
      <c r="E31" s="99"/>
      <c r="F31" s="55"/>
      <c r="G31" s="55"/>
      <c r="H31" s="70"/>
      <c r="I31" s="46"/>
    </row>
    <row r="32" spans="1:15">
      <c r="E32" s="99"/>
      <c r="G32" s="46"/>
      <c r="H32" s="46"/>
      <c r="I32" s="46"/>
    </row>
    <row r="33" spans="5:9">
      <c r="E33" s="99"/>
      <c r="F33" s="55"/>
      <c r="G33" s="55"/>
      <c r="H33" s="70"/>
      <c r="I33" s="46"/>
    </row>
    <row r="34" spans="5:9">
      <c r="E34" s="99"/>
      <c r="F34" s="55"/>
      <c r="G34" s="55"/>
      <c r="H34" s="70"/>
      <c r="I34" s="47"/>
    </row>
    <row r="35" spans="5:9">
      <c r="E35" s="99"/>
      <c r="F35" s="55"/>
      <c r="G35" s="55"/>
      <c r="H35" s="70"/>
      <c r="I35" s="47"/>
    </row>
    <row r="36" spans="5:9">
      <c r="E36" s="99"/>
      <c r="F36" s="55"/>
      <c r="G36" s="55"/>
      <c r="H36" s="70"/>
      <c r="I36" s="47"/>
    </row>
    <row r="37" spans="5:9">
      <c r="E37" s="99"/>
      <c r="F37" s="55"/>
      <c r="G37" s="55"/>
      <c r="H37" s="70"/>
      <c r="I37" s="47"/>
    </row>
    <row r="38" spans="5:9">
      <c r="E38" s="99"/>
      <c r="F38" s="46"/>
      <c r="G38" s="46"/>
      <c r="H38" s="46"/>
      <c r="I38" s="46"/>
    </row>
    <row r="39" spans="5:9">
      <c r="E39" s="99"/>
      <c r="F39" s="46"/>
      <c r="G39" s="46"/>
      <c r="H39" s="46"/>
      <c r="I39" s="46"/>
    </row>
    <row r="40" spans="5:9">
      <c r="E40" s="99"/>
      <c r="F40" s="46"/>
      <c r="G40" s="46"/>
      <c r="H40" s="46"/>
      <c r="I40" s="46"/>
    </row>
    <row r="41" spans="5:9">
      <c r="E41" s="99"/>
    </row>
    <row r="42" spans="5:9">
      <c r="E42" s="99"/>
    </row>
    <row r="43" spans="5:9">
      <c r="E43" s="99"/>
    </row>
    <row r="44" spans="5:9">
      <c r="E44" s="99"/>
    </row>
    <row r="45" spans="5:9">
      <c r="E45" s="99"/>
    </row>
    <row r="46" spans="5:9">
      <c r="E46" s="99"/>
    </row>
    <row r="47" spans="5:9">
      <c r="E47" s="99"/>
    </row>
    <row r="48" spans="5:9">
      <c r="E48" s="99"/>
    </row>
    <row r="49" spans="5:5">
      <c r="E49" s="99"/>
    </row>
    <row r="50" spans="5:5">
      <c r="E50" s="99"/>
    </row>
    <row r="51" spans="5:5">
      <c r="E51" s="99"/>
    </row>
    <row r="52" spans="5:5">
      <c r="E52" s="99"/>
    </row>
    <row r="53" spans="5:5">
      <c r="E53" s="99"/>
    </row>
    <row r="54" spans="5:5">
      <c r="E54" s="99"/>
    </row>
    <row r="55" spans="5:5">
      <c r="E55" s="99"/>
    </row>
    <row r="56" spans="5:5">
      <c r="E56" s="99"/>
    </row>
    <row r="57" spans="5:5">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240</vt:i4>
      </vt:variant>
    </vt:vector>
  </HeadingPairs>
  <TitlesOfParts>
    <vt:vector size="240"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2026-04-30T17:18:40Z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