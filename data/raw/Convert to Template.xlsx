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dq/Coding/Coding Projects/Mid-Hudson Regional CHA 2025/Mid-HudsonRegionalCHA-2025/data/raw/"/>
    </mc:Choice>
  </mc:AlternateContent>
  <xr:revisionPtr revIDLastSave="0" documentId="13_ncr:1_{6C0A5646-6818-8E4B-B2A7-F1CE0235F33E}" xr6:coauthVersionLast="47" xr6:coauthVersionMax="47" xr10:uidLastSave="{00000000-0000-0000-0000-000000000000}"/>
  <bookViews>
    <workbookView xWindow="0" yWindow="660" windowWidth="34560" windowHeight="21680" xr2:uid="{00000000-000D-0000-FFFF-FFFF00000000}"/>
  </bookViews>
  <sheets>
    <sheet name="Master" sheetId="1" r:id="rId1"/>
    <sheet name="Dropdowns" sheetId="2" r:id="rId2"/>
    <sheet name="_Template" sheetId="5" r:id="rId3"/>
    <sheet name="_Demographics" sheetId="40" r:id="rId4"/>
    <sheet name="Population Demographic Characte" sheetId="42" r:id="rId5"/>
    <sheet name="Sex-Population" sheetId="43" r:id="rId6"/>
    <sheet name="Age-Population" sheetId="44" r:id="rId7"/>
    <sheet name="Ethnicity-Population" sheetId="46" r:id="rId8"/>
    <sheet name="Race-Population" sheetId="47" r:id="rId9"/>
    <sheet name="Spoken Lang-Population" sheetId="48" r:id="rId10"/>
    <sheet name="25 Years+-Population" sheetId="49" r:id="rId11"/>
    <sheet name="Educational Attainment-Pop" sheetId="50" r:id="rId12"/>
    <sheet name="Total Households" sheetId="51" r:id="rId13"/>
    <sheet name="Households by Income" sheetId="52" r:id="rId14"/>
    <sheet name="Veteran Status-Population" sheetId="53" r:id="rId15"/>
    <sheet name="Type of Disability-Population" sheetId="54" r:id="rId16"/>
    <sheet name="_Social and Phys Determinant" sheetId="41" r:id="rId17"/>
    <sheet name="Labor-Force" sheetId="3" r:id="rId18"/>
    <sheet name="Population Unemployed" sheetId="4" r:id="rId19"/>
    <sheet name="Food-Insecurity" sheetId="6" r:id="rId20"/>
    <sheet name="Child-Food-Insecurity" sheetId="7" r:id="rId21"/>
    <sheet name="Cost-Burdened-Renters" sheetId="8" r:id="rId22"/>
    <sheet name="Severely-Cost-Burdened" sheetId="9" r:id="rId23"/>
    <sheet name="HUD-Housing" sheetId="10" r:id="rId24"/>
    <sheet name="Poverty-Threshold" sheetId="11" r:id="rId25"/>
    <sheet name="Poverty-Rate" sheetId="12" r:id="rId26"/>
    <sheet name="Poverty-By-Race" sheetId="13" r:id="rId27"/>
    <sheet name="Economically-Disadvantaged" sheetId="14" r:id="rId28"/>
    <sheet name="ALICE-Budget" sheetId="15" r:id="rId29"/>
    <sheet name="ALICE-Threshold" sheetId="16" r:id="rId30"/>
    <sheet name="Graduation-Rate" sheetId="17" r:id="rId31"/>
    <sheet name="Graduation-By-Race" sheetId="18" r:id="rId32"/>
    <sheet name="Educational-Attainment" sheetId="19" r:id="rId33"/>
    <sheet name="Language-Proficiency" sheetId="20" r:id="rId34"/>
    <sheet name="Disconnected-Youth" sheetId="21" r:id="rId35"/>
    <sheet name="Food-Environment-Index" sheetId="22" r:id="rId36"/>
    <sheet name="Limited-Access-Foods" sheetId="23" r:id="rId37"/>
    <sheet name="Violent-Crime" sheetId="24" r:id="rId38"/>
    <sheet name="Air-Pollution" sheetId="25" r:id="rId39"/>
    <sheet name="Lead-Testing" sheetId="26" r:id="rId40"/>
    <sheet name="Severe-Housing-Problems" sheetId="27" r:id="rId41"/>
    <sheet name="No-Vehicles" sheetId="28" r:id="rId42"/>
    <sheet name="Modes-Transportation" sheetId="29" r:id="rId43"/>
    <sheet name="Commute-Time" sheetId="30" r:id="rId44"/>
    <sheet name="Residential-Segregation" sheetId="31" r:id="rId45"/>
    <sheet name="Medical-Care-Cost" sheetId="32" r:id="rId46"/>
    <sheet name="Children-Uninsured" sheetId="33" r:id="rId47"/>
    <sheet name="Adults-Insured" sheetId="34" r:id="rId48"/>
    <sheet name="Medically-Underserved" sheetId="35" r:id="rId49"/>
    <sheet name="Primary-Care-Providers" sheetId="36" r:id="rId50"/>
    <sheet name="Dentists" sheetId="37" r:id="rId51"/>
    <sheet name="Mental-Health-Providers" sheetId="38" r:id="rId52"/>
    <sheet name="Access-Primary-Care" sheetId="39" r:id="rId5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B3" i="54"/>
  <c r="B3" i="53"/>
  <c r="B3" i="52"/>
  <c r="B3" i="51"/>
  <c r="B3" i="50"/>
  <c r="B3" i="49"/>
  <c r="B3" i="48"/>
  <c r="B3" i="47"/>
  <c r="B3" i="46"/>
  <c r="B3" i="44"/>
  <c r="B3" i="43"/>
  <c r="B3" i="5"/>
</calcChain>
</file>

<file path=xl/sharedStrings.xml><?xml version="1.0" encoding="utf-8"?>
<sst xmlns="http://schemas.openxmlformats.org/spreadsheetml/2006/main" count="4052" uniqueCount="1139">
  <si>
    <t>Activate/Deactivate</t>
  </si>
  <si>
    <t>Count</t>
  </si>
  <si>
    <t>Object_Type</t>
  </si>
  <si>
    <t>Old         F or T #</t>
  </si>
  <si>
    <t>Indicator Name</t>
  </si>
  <si>
    <t>Our Data Source</t>
  </si>
  <si>
    <t xml:space="preserve">Table # </t>
  </si>
  <si>
    <t>Primary Data Source</t>
  </si>
  <si>
    <t>County Assigned</t>
  </si>
  <si>
    <t>Activate</t>
  </si>
  <si>
    <t>Table</t>
  </si>
  <si>
    <t>T1</t>
  </si>
  <si>
    <t>Population Demographic Characteristics, 2023</t>
  </si>
  <si>
    <t>US Census ACS 5-Year</t>
  </si>
  <si>
    <t>Table S0101</t>
  </si>
  <si>
    <t>Orange</t>
  </si>
  <si>
    <t>T2</t>
  </si>
  <si>
    <t>Population by Sex, 2023</t>
  </si>
  <si>
    <t>T3</t>
  </si>
  <si>
    <t>Population by Age, 2023</t>
  </si>
  <si>
    <t>T4</t>
  </si>
  <si>
    <t>Population by Ethnicity, 2023</t>
  </si>
  <si>
    <t>Table B03002</t>
  </si>
  <si>
    <t>T5</t>
  </si>
  <si>
    <t>Population by Race, 2023</t>
  </si>
  <si>
    <t>T6</t>
  </si>
  <si>
    <t>Population by Spoken Language, 2023</t>
  </si>
  <si>
    <t>Table S1601</t>
  </si>
  <si>
    <t>T7</t>
  </si>
  <si>
    <t>Population 25 Years and Older, 2023</t>
  </si>
  <si>
    <t>Table S1501</t>
  </si>
  <si>
    <t>T8</t>
  </si>
  <si>
    <t>Population by Educational Attainment, 2023</t>
  </si>
  <si>
    <t>T9</t>
  </si>
  <si>
    <t>Total Households, 2023</t>
  </si>
  <si>
    <t>Table S1901</t>
  </si>
  <si>
    <t>T10</t>
  </si>
  <si>
    <t>Households by Income, 2023</t>
  </si>
  <si>
    <t>T11</t>
  </si>
  <si>
    <t>Population by Veteran Status, 2023</t>
  </si>
  <si>
    <t>Table S2101</t>
  </si>
  <si>
    <t>T12</t>
  </si>
  <si>
    <t>Percentage of Population by Type of Disability, 2023</t>
  </si>
  <si>
    <t>Table S1810</t>
  </si>
  <si>
    <t>Figure</t>
  </si>
  <si>
    <t>F1</t>
  </si>
  <si>
    <t>Percentage in Labor Force, Population 16 Years and Older, 2021–2023</t>
  </si>
  <si>
    <t>Table DP03</t>
  </si>
  <si>
    <t>F2</t>
  </si>
  <si>
    <t xml:space="preserve">Percentage of Population Unemployed, 16 Years and Older, 2021-2023   </t>
  </si>
  <si>
    <t>F3</t>
  </si>
  <si>
    <t>Percentage of Overall Food Insecurity, 2020–2023</t>
  </si>
  <si>
    <t>Feeding America</t>
  </si>
  <si>
    <t>F4</t>
  </si>
  <si>
    <t>Percentage of Food Insecurty, Children 18 Years and Younger, 2020–2023</t>
  </si>
  <si>
    <t>F5</t>
  </si>
  <si>
    <t>Percentage of Cost Burdened Renter Occupied Units, 2021–2023</t>
  </si>
  <si>
    <t>Table DP04</t>
  </si>
  <si>
    <t>F6</t>
  </si>
  <si>
    <t>Percentage of Severely Cost Burdened Households, 2016–2023</t>
  </si>
  <si>
    <t>County Health Rankings and Roadmaps</t>
  </si>
  <si>
    <t>T13</t>
  </si>
  <si>
    <t>Number of people living in HUD-Subsidized Housing in the Past 12 Months, 2021–2024</t>
  </si>
  <si>
    <t>US Department of Housing and Urban Development</t>
  </si>
  <si>
    <t>T14</t>
  </si>
  <si>
    <t>Poverty Threshold for 2024 by Size of Family and Number of Related Children 18 Years and Younger</t>
  </si>
  <si>
    <t xml:space="preserve">US Census </t>
  </si>
  <si>
    <t>F7</t>
  </si>
  <si>
    <t>Percentage of Population in Poverty, 2021–2023</t>
  </si>
  <si>
    <t>Table S1701</t>
  </si>
  <si>
    <t>F8</t>
  </si>
  <si>
    <t>Percentage of Families below Poverty by Race and Ethnicity, 2018–2022</t>
  </si>
  <si>
    <t>NYS County Health Indicators by Race/Ethnicity (CHIRE)</t>
  </si>
  <si>
    <t>US Census SAIPE</t>
  </si>
  <si>
    <t>F9</t>
  </si>
  <si>
    <t xml:space="preserve">Enrollment Rate of Economically Disadvantaged Students, 2021-2023  </t>
  </si>
  <si>
    <t>NYS Education Department</t>
  </si>
  <si>
    <t>T15</t>
  </si>
  <si>
    <t>ALICE Household Survival Budget, New York State, 2023</t>
  </si>
  <si>
    <t>United for ALICE</t>
  </si>
  <si>
    <t>F10</t>
  </si>
  <si>
    <t>ALICE Threshold Percentage, 2023</t>
  </si>
  <si>
    <t>F11</t>
  </si>
  <si>
    <t>High School Graduation Rate, 2021-2023</t>
  </si>
  <si>
    <t>F12</t>
  </si>
  <si>
    <t>High School Graduation Rate, by Race and Ethnicity, 2023</t>
  </si>
  <si>
    <t>F 13</t>
  </si>
  <si>
    <t>Rate of Higher Education Attainment, 2023</t>
  </si>
  <si>
    <t>F 14</t>
  </si>
  <si>
    <t>Percentage of Population that Speaks English "Less Than Very Well", 5 Years and Older, 2021–2023</t>
  </si>
  <si>
    <t>F15</t>
  </si>
  <si>
    <t>Percentage of Disconnected Youth, 16–19 Years Old, 2014–2023</t>
  </si>
  <si>
    <t>F16</t>
  </si>
  <si>
    <t>Index Score of Residential Segregation, 2013–2023</t>
  </si>
  <si>
    <t>F17</t>
  </si>
  <si>
    <t>Percentage of Adults Who Did Not Receive Medical Care Due to Cost,  2016, 2018, and 2021</t>
  </si>
  <si>
    <t xml:space="preserve">NYS Behavioral Risk Factor Surveillance System (BRFSS) </t>
  </si>
  <si>
    <t>F18</t>
  </si>
  <si>
    <t>Percentage of Children Without Health Insurance, 2020–2023</t>
  </si>
  <si>
    <t>F19</t>
  </si>
  <si>
    <t>Percentage of Adults with Health Insurance, 2020–2023</t>
  </si>
  <si>
    <t>T16</t>
  </si>
  <si>
    <t>Medically Underserved Areas and Populations</t>
  </si>
  <si>
    <t>HRSA</t>
  </si>
  <si>
    <t>Data Warehouse</t>
  </si>
  <si>
    <t>F20</t>
  </si>
  <si>
    <t>Ratio of Residents to Primary Care Providers, 2019–2022</t>
  </si>
  <si>
    <t>F21</t>
  </si>
  <si>
    <t>Ratio of Residents to Dentists, 2019–2022</t>
  </si>
  <si>
    <t>F22</t>
  </si>
  <si>
    <t>Ratio of Residents to Mental Health Providers, 2021–2024</t>
  </si>
  <si>
    <t xml:space="preserve">National Provider Identification Registry, Center for Medicaid and Medicare Services </t>
  </si>
  <si>
    <t>F23</t>
  </si>
  <si>
    <t>Percentage of Adults Who Have a Regular Health Care Provider, 2016, 2018, and 2021</t>
  </si>
  <si>
    <t>NYS Community Health Indicator Reports (CHIRS)</t>
  </si>
  <si>
    <t>F24</t>
  </si>
  <si>
    <t>Potentially Preventable Hospitalizations, Age-Adjusted Rate per 10,000 Population, 2020–2022 </t>
  </si>
  <si>
    <t>NY Statewide Planning and Research Cooperative System</t>
  </si>
  <si>
    <t>F25</t>
  </si>
  <si>
    <t>Potentially Preventable Hospitalizations, Rate Difference Between Black Non-Hispanics and White Non-Hispanics, 2016–2022</t>
  </si>
  <si>
    <t xml:space="preserve">NYS Prevention Agenda Tracking Dashboard </t>
  </si>
  <si>
    <t>F26</t>
  </si>
  <si>
    <t>Potentially Preventable Hospitalizations, Rate Difference Between Hispanics and White Non-Hispanics, 2016–2022</t>
  </si>
  <si>
    <t>F27</t>
  </si>
  <si>
    <t>Index of Factors that Contribute to a Healthy Food Environment, 2018, 2019, and 2022</t>
  </si>
  <si>
    <t>US Department of Agriculture</t>
  </si>
  <si>
    <t>F28</t>
  </si>
  <si>
    <t>Percentage of Population with Limited Access to Healthy Foods, 2015 and 2019</t>
  </si>
  <si>
    <t>F29</t>
  </si>
  <si>
    <t>Violent Crimes, Rate per 100,000 Population, 2018–2021</t>
  </si>
  <si>
    <t>NYS Division of Criminal Justice Services</t>
  </si>
  <si>
    <t>F30</t>
  </si>
  <si>
    <t>Average Daily Density of Fine Particulate Matter, 2014, 2016, 2018, and 2020</t>
  </si>
  <si>
    <t xml:space="preserve">Environmental Public Health Tracking Network </t>
  </si>
  <si>
    <t>F31</t>
  </si>
  <si>
    <t>Percentage of Children Tested for Lead Before 36 Months of Age, 2013, 2016, 2017, and 2019</t>
  </si>
  <si>
    <t xml:space="preserve">NYS Child Health Lead Poisoning Prevention Program </t>
  </si>
  <si>
    <t>F32</t>
  </si>
  <si>
    <t>Percentage of Households with Severe Housing Problems, 2017–2021</t>
  </si>
  <si>
    <t>F33</t>
  </si>
  <si>
    <t>Percentage of Households with No Vehicles Available, 2021–2023</t>
  </si>
  <si>
    <t>F34</t>
  </si>
  <si>
    <t>Percentage of Workers by Mode of Transportation to Work, 2023</t>
  </si>
  <si>
    <t>Table B08141</t>
  </si>
  <si>
    <t>F35</t>
  </si>
  <si>
    <t>Mean Travel Time to Work, 2021–2023</t>
  </si>
  <si>
    <t>F36</t>
  </si>
  <si>
    <t>Top Rated Issues Affecting Health in Dutchess County (n=31)</t>
  </si>
  <si>
    <t xml:space="preserve">Community Partner Survey </t>
  </si>
  <si>
    <t>Dutchess</t>
  </si>
  <si>
    <t>F37</t>
  </si>
  <si>
    <t xml:space="preserve">Top Rated Barriers to Achieving Better Health in Dutchess County </t>
  </si>
  <si>
    <t>F38</t>
  </si>
  <si>
    <t>Impact of Health Issues in Dutchess County (n=31)</t>
  </si>
  <si>
    <t>F39</t>
  </si>
  <si>
    <t xml:space="preserve">Impact of the Social Determinants of Health in Dutchess County </t>
  </si>
  <si>
    <t>F40</t>
  </si>
  <si>
    <t xml:space="preserve">Impact of Economic Wellbeing in Dutchess County </t>
  </si>
  <si>
    <t>F41</t>
  </si>
  <si>
    <t xml:space="preserve">Impact of Mental Wellbeing &amp; Substance Use in Dutchess County </t>
  </si>
  <si>
    <t>F42</t>
  </si>
  <si>
    <t>Impact of Health Insurance Coverage &amp; Access to Care in Dutchess County</t>
  </si>
  <si>
    <t>F43</t>
  </si>
  <si>
    <t xml:space="preserve">Top Rated Issues Affecting Health in Orange County </t>
  </si>
  <si>
    <t>F44</t>
  </si>
  <si>
    <t xml:space="preserve">Top Rated Barriers to Achieving Better Health in Orange County </t>
  </si>
  <si>
    <t>F45</t>
  </si>
  <si>
    <t xml:space="preserve">Impact of Health Issues in Orange County </t>
  </si>
  <si>
    <t>F46</t>
  </si>
  <si>
    <t xml:space="preserve">Impact of the Social Determinants of Health in Orange County </t>
  </si>
  <si>
    <t>F47</t>
  </si>
  <si>
    <t xml:space="preserve">Impact of Economic Wellbeing in Orange County </t>
  </si>
  <si>
    <t>F48</t>
  </si>
  <si>
    <t xml:space="preserve">Impact of Mental Wellbeing &amp; Substance Use in Orange County </t>
  </si>
  <si>
    <t>F49</t>
  </si>
  <si>
    <t>Impact of Health Insurance Coverage &amp; Access to Care in Orange County</t>
  </si>
  <si>
    <t>F50</t>
  </si>
  <si>
    <t>F51</t>
  </si>
  <si>
    <t>F52</t>
  </si>
  <si>
    <t>F53</t>
  </si>
  <si>
    <t>F54</t>
  </si>
  <si>
    <t>F55</t>
  </si>
  <si>
    <t xml:space="preserve">Top Rated Issues Affecting Health in Rockland County </t>
  </si>
  <si>
    <t>F56</t>
  </si>
  <si>
    <t xml:space="preserve">Top Rated Barriers to Achieving Better Health in Rockland County </t>
  </si>
  <si>
    <t>F57</t>
  </si>
  <si>
    <t xml:space="preserve">Impact of Health Issues in Rockland County </t>
  </si>
  <si>
    <t>F58</t>
  </si>
  <si>
    <t xml:space="preserve">Impact of the Social Determinants of Health in Rockland County </t>
  </si>
  <si>
    <t>F59</t>
  </si>
  <si>
    <t xml:space="preserve">Impact of Economic Wellbeing in Rockland County </t>
  </si>
  <si>
    <t>F60</t>
  </si>
  <si>
    <t xml:space="preserve">Impact of Mental Wellbeing &amp; Substance Use in Rockland County </t>
  </si>
  <si>
    <t>F61</t>
  </si>
  <si>
    <t>Impact of Health Insurance Coverage &amp; Access to Care in Rockland County</t>
  </si>
  <si>
    <t>F62</t>
  </si>
  <si>
    <t xml:space="preserve">Top Rated Issues Affecting Health in Sullivan County </t>
  </si>
  <si>
    <t>F63</t>
  </si>
  <si>
    <t xml:space="preserve">Top Rated Barriers to Achieving Better Health in Sullivan County </t>
  </si>
  <si>
    <t>F64</t>
  </si>
  <si>
    <t xml:space="preserve">Impact of Health Issues in Sullivan County </t>
  </si>
  <si>
    <t>F65</t>
  </si>
  <si>
    <t xml:space="preserve">Impact of the Social Determinants of Health in Sullivan County </t>
  </si>
  <si>
    <t>F66</t>
  </si>
  <si>
    <t xml:space="preserve">Impact of Economic Wellbeing in Sullivan County </t>
  </si>
  <si>
    <t>F67</t>
  </si>
  <si>
    <t xml:space="preserve">Impact of Mental Wellbeing &amp; Substance Use in Sullivan County </t>
  </si>
  <si>
    <t>F68</t>
  </si>
  <si>
    <t>Impact of Health Insurance Coverage &amp; Access to Care in Sullivan County</t>
  </si>
  <si>
    <t>F69</t>
  </si>
  <si>
    <t xml:space="preserve">Top Rated Issues Affecting Health in Ulster County </t>
  </si>
  <si>
    <t>F70</t>
  </si>
  <si>
    <t xml:space="preserve">Top Rated Barriers to Achieving Better Health in Ulster County </t>
  </si>
  <si>
    <t>F71</t>
  </si>
  <si>
    <t xml:space="preserve">Impact of Health Issues in Ulster County </t>
  </si>
  <si>
    <t>F72</t>
  </si>
  <si>
    <t xml:space="preserve">Impact of the Social Determinants of Health in Ulster County </t>
  </si>
  <si>
    <t>F73</t>
  </si>
  <si>
    <t xml:space="preserve">Impact of Economic Wellbeing in Ulster County </t>
  </si>
  <si>
    <t>F74</t>
  </si>
  <si>
    <t xml:space="preserve">Impact of Mental Wellbeing &amp; Substance Use in Ulster County </t>
  </si>
  <si>
    <t>F75</t>
  </si>
  <si>
    <t>Impact of Health Insurance Coverage &amp; Access to Care in Ulster County</t>
  </si>
  <si>
    <t>F76</t>
  </si>
  <si>
    <t xml:space="preserve">Top Rated Issues Affecting Health in Westchester County </t>
  </si>
  <si>
    <t>F77</t>
  </si>
  <si>
    <t xml:space="preserve">Top Rated Barriers to Achieving Better Health in Westchester County </t>
  </si>
  <si>
    <t>F78</t>
  </si>
  <si>
    <t xml:space="preserve">Impact of Health Issues in Westchester County </t>
  </si>
  <si>
    <t>F79</t>
  </si>
  <si>
    <t xml:space="preserve">Impact of the Social Determinants of Health in Westchester County </t>
  </si>
  <si>
    <t>F80</t>
  </si>
  <si>
    <t xml:space="preserve">Impact of Economic Wellbeing in Westchester County </t>
  </si>
  <si>
    <t>F81</t>
  </si>
  <si>
    <t xml:space="preserve">Impact of Mental Wellbeing &amp; Substance Use in Westchester County </t>
  </si>
  <si>
    <t>F82</t>
  </si>
  <si>
    <t>Impact of Health Insurance Coverage &amp; Access to Care in Westchester County</t>
  </si>
  <si>
    <t>F83</t>
  </si>
  <si>
    <t>Percentage of Adults Who Participated in Leisure Time Physical Activity in the Past 30 Days, 2013–2014, 2016, 2018, and 2021</t>
  </si>
  <si>
    <t xml:space="preserve">NYS Behavioral Risk Factor Surveillance System (NYS Behavioral Risk Factor Surveillance System (BRFSS) ) </t>
  </si>
  <si>
    <t>Sullivan</t>
  </si>
  <si>
    <t>F84</t>
  </si>
  <si>
    <t>Percentage of Adults Who Report Consuming Less Than One Fruit and Less Than One Vegetable Daily, 2016, 2018, and 2021</t>
  </si>
  <si>
    <t>F85</t>
  </si>
  <si>
    <t>Percentage of Adults Who Consume One or More Sugary Beverages Daily, 2013–2014, 2016, 2018, and 2021</t>
  </si>
  <si>
    <t>T17</t>
  </si>
  <si>
    <t xml:space="preserve">Top Five Leading Causes of Death, by Count and Age-Adjusted Rate per 100,000 Population, 2022 </t>
  </si>
  <si>
    <t xml:space="preserve">NYS Vital Statistics </t>
  </si>
  <si>
    <t>Leading Causes of Death</t>
  </si>
  <si>
    <t>Ulster</t>
  </si>
  <si>
    <t>F86</t>
  </si>
  <si>
    <t xml:space="preserve">Percentage of Deaths That are Premature, 2019–2022 </t>
  </si>
  <si>
    <t>Vital Statistics of NYS</t>
  </si>
  <si>
    <t>F87</t>
  </si>
  <si>
    <t>Premature Deaths, Percentage Difference Between Black Non-Hispanics and White Non-Hispanics, 2019–2022</t>
  </si>
  <si>
    <t>F88</t>
  </si>
  <si>
    <t>Premature Deaths, Percentage Difference Between Hispanics and White Non-Hispanics, 2019–2022</t>
  </si>
  <si>
    <t xml:space="preserve">Vital Statistics of NYS </t>
  </si>
  <si>
    <t>F89</t>
  </si>
  <si>
    <t>Chronic Lower Respiratory Disease Hospitalization, Age-Adjusted Rate per 10,000 Population, 2020–2022</t>
  </si>
  <si>
    <t>F90</t>
  </si>
  <si>
    <t>Chronic Lower Respiratory Disease Mortality, Age-Adjusted Rate per 100,000 Population, 2020-2022</t>
  </si>
  <si>
    <t>F91</t>
  </si>
  <si>
    <t>Chronic Lower Respiratory Disease Hospitalization, Age-Adjusted Rate per 10,000 by Race and Ethnicity, 2020–2022</t>
  </si>
  <si>
    <t>F92</t>
  </si>
  <si>
    <t>Chronic Lower Respiratory Disease Mortality, Age-Adjusted Rate per 100,000 Population by Race and Ethnicity, 2020–2022</t>
  </si>
  <si>
    <t>F93</t>
  </si>
  <si>
    <t>Percentage of Adults with Current Asthma, 2016, 2018, and 2021</t>
  </si>
  <si>
    <t>F94</t>
  </si>
  <si>
    <t>Asthma Hospitalization, Age-Adjusted Rate per 10,000 Population, 2020–2022</t>
  </si>
  <si>
    <t>F95</t>
  </si>
  <si>
    <t>Asthma Hospitalization, Age-Adjusted Rate per 10,000 Population by Race and Ethnicity, 2020–2022</t>
  </si>
  <si>
    <t>F96</t>
  </si>
  <si>
    <t>Asthma Emergency Department Visits, Rate per 10,000 Population 0–17 Years Old, 2017–2023</t>
  </si>
  <si>
    <t>NYSDOH Asthma Dashboard</t>
  </si>
  <si>
    <t>F97</t>
  </si>
  <si>
    <t>Percentage of Adults with Cardiovascular Disease, 2016, 2018, and 2021</t>
  </si>
  <si>
    <t>F98</t>
  </si>
  <si>
    <t>Cardiovascular Disease Hospitalization, Age-Adjusted Rate per 10,000 Population, 2019–2021</t>
  </si>
  <si>
    <t>Rockland</t>
  </si>
  <si>
    <t>F99</t>
  </si>
  <si>
    <t xml:space="preserve">Cardiovascular Disease Mortality, Age-Adjusted Rate Per 100,000 Population, 2018–2021 </t>
  </si>
  <si>
    <t>F100</t>
  </si>
  <si>
    <t>Percentage of Adults with Physician Diagnosed High Blood Pressure, 2022</t>
  </si>
  <si>
    <t>F101</t>
  </si>
  <si>
    <t>Cerebrovascular Disease Hospitalization, Age-Adjusted Rate per 10,000 Population, 2019–2021</t>
  </si>
  <si>
    <t xml:space="preserve">NY Statewide Planning and Research Cooperative System </t>
  </si>
  <si>
    <t>F102</t>
  </si>
  <si>
    <t>Cerebrovascular Disease Hospitalization, Age-Adjusted Rate per 10,000 Population by Race and Ethnicity, 2020–2022</t>
  </si>
  <si>
    <t>F103</t>
  </si>
  <si>
    <t xml:space="preserve">Cerebrovascular Disease Mortality, Age-Adjusted Rate per 100,000 Population, 2018–2021 </t>
  </si>
  <si>
    <t>F104</t>
  </si>
  <si>
    <t>Cerebrovascular Disease Mortality, Age-Adjusted Rate per 100,000 Population by Race and Ethnicity, 2020–2022</t>
  </si>
  <si>
    <t>F105</t>
  </si>
  <si>
    <t>Coronary Heart Disease Hospitalization, Age-Adjuseted Rate per 10,000, 2021</t>
  </si>
  <si>
    <t>F106</t>
  </si>
  <si>
    <t>Coronary Heart Disease Age-Adjusted Hospitalization Rate per 10,00 by Race/Ethnicity, 2020-2022</t>
  </si>
  <si>
    <t>F107</t>
  </si>
  <si>
    <t>Heart Attack, Age-Adjusted Hospitalzaiont Rate per 10,000 population, 2021</t>
  </si>
  <si>
    <t>Congestive Heart Failure Mortality, Age-Adjusted Rate per 100,000 Population, 2018–2021</t>
  </si>
  <si>
    <t xml:space="preserve">Vital Statistics </t>
  </si>
  <si>
    <t>Westchester</t>
  </si>
  <si>
    <t>F203</t>
  </si>
  <si>
    <t>Dropped</t>
  </si>
  <si>
    <t>Percentage of Adults with Physician Diagnosed Prediabetes and Diabetes, 2021</t>
  </si>
  <si>
    <t>F205</t>
  </si>
  <si>
    <t>Diabetes Hospitalization, Age-Adjusted Rate per 10,000 Population, 2021</t>
  </si>
  <si>
    <t>Diabetes Hospitalization, Age-Adjusted Rate per 10,000 by Race and Ethnicity, 2020–2022</t>
  </si>
  <si>
    <t>Percentage of Adults Who Had a Test for High Blood Sugar or Diabetes Within the Past Three Years, 2013–2014, 2016, 2018, and 2021</t>
  </si>
  <si>
    <t>Diabetes Mortality, Age-Adjusted Rate per 100,000 Population, 2018–2021</t>
  </si>
  <si>
    <t>F210</t>
  </si>
  <si>
    <t>Diabetes Mortality, Age-Adjusted per 100,000 Population by Race and Ethnicity, 2020–2022</t>
  </si>
  <si>
    <t>Percentage of Adults Overweight or Obese, 2013–2014, 2016, 2018, 2021</t>
  </si>
  <si>
    <t xml:space="preserve">NYS Student Weight Status Category Reporting System </t>
  </si>
  <si>
    <t>Percentage of Adults who are Obese, 2013–2014, 2016, 2018, and 2021</t>
  </si>
  <si>
    <t>Percentage of School-Aged Children and Adolescents Who Are Overweight or Obese, 2014-2023</t>
  </si>
  <si>
    <t>F215</t>
  </si>
  <si>
    <t>F216</t>
  </si>
  <si>
    <t>F217</t>
  </si>
  <si>
    <t>Cirrhosis Hospitalization, Age-Adjusted Rate per 10,000 Population, 2020–2022</t>
  </si>
  <si>
    <t>Cirrhosis Mortality, Age-Adjusted Rate per 100,000 Population, 2014–2021</t>
  </si>
  <si>
    <t>F220</t>
  </si>
  <si>
    <t>All Cancer Incidence and Mortality, Age-Adjusted Rates per 100,000 Population, 2019–2021</t>
  </si>
  <si>
    <t>NYS Cancer Registry</t>
  </si>
  <si>
    <t>F222</t>
  </si>
  <si>
    <t>F223</t>
  </si>
  <si>
    <t>All Cancer Incidence and Mortality, Age-Adjusted Rates per 100,000 Population by Sex, 2018–2022</t>
  </si>
  <si>
    <t xml:space="preserve">Cancer Statistics Dashboard </t>
  </si>
  <si>
    <t>Colon and Rectum Cancer Incidence and Mortality, Age-Adjusted Rates per 100,000 Population, 2019–2021</t>
  </si>
  <si>
    <t>Colon and Rectum Cancer Incidence and Mortality, Age-Adjusted Rates per 100,000 Population by Sex, 2018–2022</t>
  </si>
  <si>
    <t>Colorectal Cancer Incidence, Age-Adjusted Rate per 100,000 Population by Race and Ethnicity, 2020–2022</t>
  </si>
  <si>
    <t xml:space="preserve">NYS Cancer Registry </t>
  </si>
  <si>
    <t>Percentage of Adults 50–64 Years Old Who Received a Colorectal Cancer Screening Based on the Most Recent Guidelines, 2018</t>
  </si>
  <si>
    <t>NYS Prevention Agenda Dashboard</t>
  </si>
  <si>
    <t xml:space="preserve">NYS Behavioral Risk Factor Surveillance System </t>
  </si>
  <si>
    <t>NEW</t>
  </si>
  <si>
    <t>? Missing ?</t>
  </si>
  <si>
    <t>Lung and Bronchus Cancer Incidence and Mortality, Age-Adjusted Rates per 100,000 Population, 2018–2022</t>
  </si>
  <si>
    <t xml:space="preserve">NYS Cancer Statistics Dashboard </t>
  </si>
  <si>
    <t>Lung and Bronchus Cancer Incidence and Mortality, Age-Adjusted Rates per 100,000 Population by Sex, 2015–2019</t>
  </si>
  <si>
    <t>Lung Cancer Incidence, Age-Adjusted Rate per 100,000 Population by Race and Ethnicity, 2020–2022</t>
  </si>
  <si>
    <t>Prostate Cancer Incidence and Mortality, Age-Adjusted Rates per 100,000 Population Males, 2018–2022</t>
  </si>
  <si>
    <t>NYS Cancer Statistics Dashboard</t>
  </si>
  <si>
    <t>Breast Cancer Incidence and Mortality, Age-Adjusted Rates per 100,000 Population Females, 2018–2022</t>
  </si>
  <si>
    <t>Percentage of Women 50-74 Years Old Receiving Breast Cancer Screening Based on the Most Recent Guidelines, 2013–2018</t>
  </si>
  <si>
    <t>Cervix Uteri Cancer Incidence and Mortality, Age-Adjusted Rates per 100,000 Female Population, 2018–2022</t>
  </si>
  <si>
    <t>Cancer Statistics Dashboard</t>
  </si>
  <si>
    <t>Percentage of Women 21–65 Years Old Receiving Cervical Cancer Screening Based on Most Recent Guidelines, 2018</t>
  </si>
  <si>
    <t>F237</t>
  </si>
  <si>
    <t>Percentage of Children Aged 24–35 Months with the 4:3:1:3:3:1:4 Vaccine Series, 2019–2024</t>
  </si>
  <si>
    <t xml:space="preserve">NYS Immunization Information System </t>
  </si>
  <si>
    <t>F239</t>
  </si>
  <si>
    <t>F240</t>
  </si>
  <si>
    <t>F241</t>
  </si>
  <si>
    <t>F242</t>
  </si>
  <si>
    <t>F243</t>
  </si>
  <si>
    <t>F244</t>
  </si>
  <si>
    <t>F245</t>
  </si>
  <si>
    <t>F246</t>
  </si>
  <si>
    <t>F247</t>
  </si>
  <si>
    <t>F248</t>
  </si>
  <si>
    <t xml:space="preserve">Percentage of Adolescents 13 Years Old with a Complete HPV Vaccine Series, 2019–2024  </t>
  </si>
  <si>
    <t>Percentage of Adults with Flu Immunization in the Past Year,  2016, 2018, and 2021</t>
  </si>
  <si>
    <t>Percentage of Adults 65 Years and Older with Flu Immunization in the Past Year,  2016, 2018, and 2021</t>
  </si>
  <si>
    <t>Percentage of Adults 65 Years and Older with Pneumococcal Immunization, 2016, 2018, and 2021</t>
  </si>
  <si>
    <t>F253</t>
  </si>
  <si>
    <t>Newly Diagnosed HIV, Age-Adjusted Case Rate per 100,000 Population, 2014–2021</t>
  </si>
  <si>
    <t xml:space="preserve">NYS HIV Surveillance System </t>
  </si>
  <si>
    <t>Putnam</t>
  </si>
  <si>
    <t>F255</t>
  </si>
  <si>
    <t>F256</t>
  </si>
  <si>
    <t>F257</t>
  </si>
  <si>
    <t>F258</t>
  </si>
  <si>
    <t>F259</t>
  </si>
  <si>
    <t>Gonorrhea Incidence, Age-Adjusted Rate per 100,000 Population, 2017–2023</t>
  </si>
  <si>
    <t>NYS Office of Sexual Health and Epidemiology</t>
  </si>
  <si>
    <t xml:space="preserve">Sexually Transmitted Infections Surveillance Summary Reports </t>
  </si>
  <si>
    <t>F261</t>
  </si>
  <si>
    <t>F262</t>
  </si>
  <si>
    <t>F263</t>
  </si>
  <si>
    <t>F264</t>
  </si>
  <si>
    <t>F265</t>
  </si>
  <si>
    <t>F266</t>
  </si>
  <si>
    <t>F267</t>
  </si>
  <si>
    <t>F268</t>
  </si>
  <si>
    <t>F269</t>
  </si>
  <si>
    <t>Chlamydia Incidence, Age-Adjusted Rate per 100,000 Population, 2017–2023</t>
  </si>
  <si>
    <t>Early Syphilis Incidence, Age-Adjusted Rate per 100,000 Population, 2017–2023</t>
  </si>
  <si>
    <t xml:space="preserve">NYS Office of Sexual Health and Epidemiology </t>
  </si>
  <si>
    <t>Sexually Transmitted Infections Surveillance Summary Reports</t>
  </si>
  <si>
    <t>F273</t>
  </si>
  <si>
    <t>F274</t>
  </si>
  <si>
    <t>Lyme Disease, Case Rate per 100,000 Population, 2020–2023</t>
  </si>
  <si>
    <t xml:space="preserve">NYS Communicable Disease Annual Reports </t>
  </si>
  <si>
    <t>CD Annual report</t>
  </si>
  <si>
    <t xml:space="preserve">NYS Communicable Disease Electronic Surveillance System </t>
  </si>
  <si>
    <t>F276</t>
  </si>
  <si>
    <t>Anaplasmosis, Case Rate per 100,000 Population, 2020–2023</t>
  </si>
  <si>
    <t>F278</t>
  </si>
  <si>
    <t xml:space="preserve">Babesiosis, Case Rate per 100,000 Population, 2020–2023 </t>
  </si>
  <si>
    <t>F280</t>
  </si>
  <si>
    <t>F281</t>
  </si>
  <si>
    <t>T 38</t>
  </si>
  <si>
    <t>Animal Rabies Testing of Domestic Species†, 2024</t>
  </si>
  <si>
    <t>NYS Wadsworth</t>
  </si>
  <si>
    <t>T 39</t>
  </si>
  <si>
    <t>Animal Rabies Testing of Wild Species†, 2024</t>
  </si>
  <si>
    <t>Persons Authorized to Receive Rabies Post-Exposure Prophylaxis, Rate per 10,000 Population, 2021–2024</t>
  </si>
  <si>
    <t>NYSDOH Bureau of Communicable Disease Control</t>
  </si>
  <si>
    <t>F283</t>
  </si>
  <si>
    <t>Percentage of Births with Early Prenatal Care or Late and No Prenatal Care, 2020–2022</t>
  </si>
  <si>
    <t>Percentage of Births with Early Prenatal Care, 2014–2021</t>
  </si>
  <si>
    <t>Percentage of Births with Late or No Prenatal Care, 2014–2021</t>
  </si>
  <si>
    <t>Percentage of Births with Early Prenatal Care by Race and Ethnicity, 2020–2022</t>
  </si>
  <si>
    <t>F287</t>
  </si>
  <si>
    <t>Pregnancy, Rate per 1,000 Female Population 15–44 Years Old, 2014–2021</t>
  </si>
  <si>
    <t>Pregnancy, Rate per 1,000 Female Population 15–44 Years Old  by Race and Ethnicity, 2020–2022</t>
  </si>
  <si>
    <t>F290</t>
  </si>
  <si>
    <t>F291</t>
  </si>
  <si>
    <t>F292</t>
  </si>
  <si>
    <t>Teen Pregnancy, Rate per 1,000 Female Population 15–19 Years Old, 2011–2018</t>
  </si>
  <si>
    <t>Teen Pregnancy, Rate per 1,000 Female Population 17 Years Old and Younger by Race and Ethnicity, 2020–2022</t>
  </si>
  <si>
    <t>Percentage of Live Births by Financial Coverage, 2022</t>
  </si>
  <si>
    <t>NYS Vital Statistics</t>
  </si>
  <si>
    <t>Percentage of Infants Who Are Exclusively Breastfed in the Hospital among All Infants, 2013–2022</t>
  </si>
  <si>
    <t xml:space="preserve">NYS Prevention Agenda Dashboard </t>
  </si>
  <si>
    <t>F296</t>
  </si>
  <si>
    <t>Percentage of Preterm Births, 2014–2021</t>
  </si>
  <si>
    <t>F298</t>
  </si>
  <si>
    <t>Percentage of Low Birthweight Infants, 2014–2021</t>
  </si>
  <si>
    <t>Percentage of Low Birthweight Infants by Race and Ethnicity, 2020–2022</t>
  </si>
  <si>
    <t>F301</t>
  </si>
  <si>
    <t>Infant Mortality, Rate per 1,000 Live Births, 2014–2021</t>
  </si>
  <si>
    <t>Maternal Mortality, Rate per 100,000 Live Births, 2013–2022 Unstable Data</t>
  </si>
  <si>
    <t>F303</t>
  </si>
  <si>
    <t>F304</t>
  </si>
  <si>
    <t>F305</t>
  </si>
  <si>
    <t>?</t>
  </si>
  <si>
    <t>F307</t>
  </si>
  <si>
    <t>Percentage of Medicaid Enrollees with at least One Dental Visit Within The Last Year, 2021-2023</t>
  </si>
  <si>
    <t>NYS Medicaid Program</t>
  </si>
  <si>
    <t>Percentage of All Medicaid Enrollees with a Dental Visit in the Past 12 Months, 2019–2022</t>
  </si>
  <si>
    <t xml:space="preserve">NYS Medicaid Program </t>
  </si>
  <si>
    <t>F310</t>
  </si>
  <si>
    <t>Percentage Adults with Poor Mental Health for 14 or More Days in the Last Month, 2016, 2018, and 2021</t>
  </si>
  <si>
    <t>Percentage of Adults Reporting a Depressive Disorder, 2016, 2018, and 2021</t>
  </si>
  <si>
    <t>Dropped- Why dropped? It is in the NYSPA and I found the chart in the Ulster workbook</t>
  </si>
  <si>
    <t>NYS Opioid Dashboard</t>
  </si>
  <si>
    <t>T 40</t>
  </si>
  <si>
    <t>Increased Risk of Disease Incidence from Smoking, 2021</t>
  </si>
  <si>
    <t>CDC</t>
  </si>
  <si>
    <t xml:space="preserve">US Department of Health and Human Services </t>
  </si>
  <si>
    <t>Need to download</t>
  </si>
  <si>
    <t>NYS Smokers’ Quitline</t>
  </si>
  <si>
    <t>Percentage of Adults Who Are Current Smokers, 2016, 2018, and 2021</t>
  </si>
  <si>
    <t>Percentage of Cigarette Smoking among Adults Who Report Poor Mental Health, 2016, 2018, and 2021</t>
  </si>
  <si>
    <t>Percentage of Adults Binge Drinking During the Past Month, 2016, 2018, and 2021</t>
  </si>
  <si>
    <t>Overdose Deaths Involving Any Drug, Crude Rate per 100,000 Population, 2019–2022</t>
  </si>
  <si>
    <t>NYS Opioid Data Dashboard</t>
  </si>
  <si>
    <t>F318</t>
  </si>
  <si>
    <t>All Emergency Department Visits Involving Any Opioid Overdose, Age-Adjusted Rate per 100,000 Population, 2019–2022</t>
  </si>
  <si>
    <t>Hospital Discharges Involving Any Opioid Overdose, Age-Adjusted Rate per 100,000 Population, 2019–2022</t>
  </si>
  <si>
    <t>Individuals Enrolled in Treatment Programs Reporting Any Opioid as a Primary Substance, Crude Rate per 100,000 Population, 2020–2023</t>
  </si>
  <si>
    <t xml:space="preserve">Data request from NYS Office of Addiciton Services and Supports Client Data System </t>
  </si>
  <si>
    <t xml:space="preserve">NYS OASAS Data Warehouse </t>
  </si>
  <si>
    <t>Individuals Enrolled in Treatment Programs Reporting Alcohol as a Primary Substance, Crude Rate per 100,000 Population, 2020–2023</t>
  </si>
  <si>
    <t>F320</t>
  </si>
  <si>
    <t>Overdose Deaths Involving Any Opioid, Crude Rate per 100,000 Population, 2019–2022</t>
  </si>
  <si>
    <t>Overdose Deaths Involving Opioid Pain Relievers, Heroin, and Synthetic Opioids Other than Methadone, Age-Adjusted Rate per 100,000 Population, 2022</t>
  </si>
  <si>
    <t>Overdose Deaths among Adults Aged 18–64 Years Involving Any Opioid, Crude Rate per 100,000 Population, 2022</t>
  </si>
  <si>
    <t>Overdose Deaths among Adults Aged 18–64 Years Involving Heroin, Crude Rate per 100,000 Population, 2022</t>
  </si>
  <si>
    <t>Overdose Deaths among Adults Aged 18–64 Years Involving Opioid Pain Relievers, Crude Rate per 100,000 Population, 2022</t>
  </si>
  <si>
    <t>Opioid Analgesics Prescriptions, Age-Adjusted Rate per 1,000 Population, 2020–2023</t>
  </si>
  <si>
    <t>NYS Prescription Monitoring Program</t>
  </si>
  <si>
    <t>Patients Who Received at Least One Buprenorphine Prescription for Opioid Use Disorder, Age-Adjusted Rate per 100,000 Population, 2020–2023</t>
  </si>
  <si>
    <t>Suicide Mortality among Total Population and Youth 15–19 Years Old, Crude Rate per 100,000 Population, 2020–2022</t>
  </si>
  <si>
    <t>Suicide Mortality, Age-Adjusted Rate per 100,000 Population, 2018–2021</t>
  </si>
  <si>
    <t>Asthma, Gastroenteritis, Otitis Media, and Pneumonia Hospitalizations, Rate per 10,000 Population 0–4 Years Old, 2020–2022</t>
  </si>
  <si>
    <t>Combined Above</t>
  </si>
  <si>
    <t>NYSDOH Community Health Indicator Report (CHIRS)</t>
  </si>
  <si>
    <t>Unintentional Injury Mortality, Age-Adjusted Rate per 100,000 Population, 2018–2021</t>
  </si>
  <si>
    <t>Poison Center Calls, Rate per 100,000, 2020-2024</t>
  </si>
  <si>
    <t xml:space="preserve">Upstate NY Poison Center  &amp; NYC Poison Center </t>
  </si>
  <si>
    <t>Poison Center Cannabis Calls, Rate per 100,000 Population, 2020–2024</t>
  </si>
  <si>
    <t>Poison Center Calls, Percentage Children 5 Years Old and Younger, 2020–2024</t>
  </si>
  <si>
    <t xml:space="preserve">Upstate NY Poison Center &amp; NYC Poison Center </t>
  </si>
  <si>
    <t>Alcohol Related Motor Vehicle Injuries and Deaths, Crude Rate per 100,000 Population, 2018–2021</t>
  </si>
  <si>
    <t>Motor Vehicle Injury Mortality, Rate per 100,000 Population, 2018–2021</t>
  </si>
  <si>
    <t>Motor Vehicle Related Mortality, Age-Adjusted Rate per 100,000 Population by Race and Ethnicity, 2020–2022</t>
  </si>
  <si>
    <t>Falls Hospitalization, Age-Adjusted Rate per 10,000 Population, 2018–2021</t>
  </si>
  <si>
    <t>Falls Hospitalization, Rate per 10,000 Population 85 Years and Older, 2018–2021</t>
  </si>
  <si>
    <t>NY Statewide Planning and  Research Cooperative System</t>
  </si>
  <si>
    <t>Falls Hospitalization, Rate per 10,000 Population 65 Years and Older by Race and Ethnicity, 2020–2022</t>
  </si>
  <si>
    <t>F342</t>
  </si>
  <si>
    <t>F343</t>
  </si>
  <si>
    <t>F344</t>
  </si>
  <si>
    <t>Homicide Mortality, Age-Adjusted Rate per 100,000 Population, 2018–2021</t>
  </si>
  <si>
    <t>Assault Hospitalization, Age-Adjusted Rate per 10,000 Population, 2018–2021</t>
  </si>
  <si>
    <t>Domestic Violence Victims Reported, Rate per 100,000 Population, 2020–2023</t>
  </si>
  <si>
    <t>Domestic Violence Victim Data by County</t>
  </si>
  <si>
    <t>Y-labels</t>
  </si>
  <si>
    <t>Footnotes</t>
  </si>
  <si>
    <t>Sources</t>
  </si>
  <si>
    <t>Links</t>
  </si>
  <si>
    <t>Dates</t>
  </si>
  <si>
    <t>Notes</t>
  </si>
  <si>
    <t>Case Rate</t>
  </si>
  <si>
    <t>*</t>
  </si>
  <si>
    <t>*: BRFSS - Crude rate is unreliable due to large standard error.</t>
  </si>
  <si>
    <t>Source: Centers for Disease Control and Prevention</t>
  </si>
  <si>
    <t>https://health.data.ny.gov/Health/Behavioral-Risk-Factor-Surveillance-System-BRFSS-H/jsy7-eb4n/data</t>
  </si>
  <si>
    <t>July 2025</t>
  </si>
  <si>
    <t>Note: "Other" includes American Indian or Alaska Native and Native Hawaiian or Other Pacific Islander. </t>
  </si>
  <si>
    <t>Index</t>
  </si>
  <si>
    <t>*: BRFSS - Percentage is unreliable due to large standard error.</t>
  </si>
  <si>
    <t>Source: Community Partner Survey Focus Groups</t>
  </si>
  <si>
    <t>https://www.cdc.gov/places/</t>
  </si>
  <si>
    <t>June 2025</t>
  </si>
  <si>
    <t>Note:A community water system is a public water system that serves the same people year-round. Most residences including homes, apartments, and condominiums in cities, towns, and mobile home parks are served by community water systems. This is a measure of the number of residents served by community water systems with optimal fluoride levels per 100 residents served by community water systems.</t>
  </si>
  <si>
    <t>Number of Cases</t>
  </si>
  <si>
    <t>*: Data are unstable due to a margin of error greater than 10%.</t>
  </si>
  <si>
    <t>Source: Feeding America</t>
  </si>
  <si>
    <t>https://webbi1.health.ny.gov/SASStoredProcess/guest?_program=%2FEBI%2FPHIG%2Fapps%2Fchir_dashboard%2Fchir_dashboard&amp;p=ch&amp;cos=33</t>
  </si>
  <si>
    <t>May 2025</t>
  </si>
  <si>
    <t>Note: County of residence was assigned based on ZIP Code for cases in which patient county of residence was listed as unknown or missing but a valid NY ZIP Code was present.</t>
  </si>
  <si>
    <t>Percent</t>
  </si>
  <si>
    <t>*: Data are unstable due to fewer than 10 events in the numerator.</t>
  </si>
  <si>
    <t>Source: Health Resources and Services Administration Data Warehouse</t>
  </si>
  <si>
    <t>https://www.health.ny.gov/statistics/community/minority/county/orange.htm</t>
  </si>
  <si>
    <t>April 2025</t>
  </si>
  <si>
    <t>Note: Feeding America takes the CPS data and analyzes the relationships between food insecurity and its determinants (i.e., unemployment, poverty, disability, homeownership, and median income), as well as the percentage of the population that is Black and the percentage of the population that is Hispanic. Coefficient estimates from this analysis combined with information on the same variables defined at the county and congressional district levels are generated to estimate food insecurity.</t>
  </si>
  <si>
    <t>Rate per 1,000</t>
  </si>
  <si>
    <t>*: Data are unstable due to fewer than 20 events in the numerator.</t>
  </si>
  <si>
    <t>Source: NYC Poison Center</t>
  </si>
  <si>
    <t>https://www.health.ny.gov/statistics/diseases/communicable/docs/2019_hepc_regional.pdf</t>
  </si>
  <si>
    <t>March 2025</t>
  </si>
  <si>
    <t>Note: Five-year age-adjusted rates.</t>
  </si>
  <si>
    <t>Rate per 10,000</t>
  </si>
  <si>
    <t>*: The percentage is unstable.</t>
  </si>
  <si>
    <t>Source: NYS Board of Elections</t>
  </si>
  <si>
    <t>https://www.health.ny.gov/statistics/chac/perinatal/county/2018-2020/orange.htm</t>
  </si>
  <si>
    <t>February 2025</t>
  </si>
  <si>
    <t>Note: IMU* = Index of Medical Underservice.</t>
  </si>
  <si>
    <t>Rate per 100,000</t>
  </si>
  <si>
    <t>*: The rate is unstable.</t>
  </si>
  <si>
    <t>Source: NYS Cancer Registry and Cancer Statistics</t>
  </si>
  <si>
    <t>https://www.criminaljustice.ny.gov/crimnet/ojsa/arrests/index.htm</t>
  </si>
  <si>
    <t>January 2025</t>
  </si>
  <si>
    <t>Note: Incidence and mortality rates stratified by race/ethnicity are not available. However, trend data for incidence and mortality rates can be found on NYSDOH Community Health Indicator Reports (CHIRS).</t>
  </si>
  <si>
    <t>Ratio</t>
  </si>
  <si>
    <t>+</t>
  </si>
  <si>
    <t>: The 2019 ED data in NYC may be incomplete and subject to change. Thus, the state rates may be underestimated and subject to change.</t>
  </si>
  <si>
    <t xml:space="preserve">Source: NYS Community Health Indicator Reports Dashboard </t>
  </si>
  <si>
    <t>https://data.nysed.gov/gradrate.php?year=2022&amp;county=44</t>
  </si>
  <si>
    <t>December 2024</t>
  </si>
  <si>
    <t>Note: Incidence and mortality rates stratified by race/ethnicity are not shown due to suppressed and/or unstable data in most counties. However, trend data for incidence and mortality rates can be found on NYSDOH Community Health Indicator Reports (CHIRS).</t>
  </si>
  <si>
    <t>Other</t>
  </si>
  <si>
    <t>Other (please specify): Some additional responses from participants include access to healthy affordable food, transportation, valuing health as a family priority, affordable housing, lack of chronic disease self-management programs, lack of social support systems, language barriers.</t>
  </si>
  <si>
    <t xml:space="preserve">Source: NYS County Health Indicators by Race and Ethnicity </t>
  </si>
  <si>
    <t>https://webbi1.health.ny.gov/SASStoredProcess/guest?_program=%2FEBI%2FPHIG%2Fapps%2Fmch_dashboard%2Fmch_dashboard&amp;p=ch&amp;cos=33</t>
  </si>
  <si>
    <t>November 2024</t>
  </si>
  <si>
    <t>Note: Index of dissimilarity where higher values indicate greater residential segregation between Black and White County residents.</t>
  </si>
  <si>
    <t>Other (please specify): Some additional responses from participants include finding child care, access to health care providers who are trained in LGBTQIA+ health care needs, mental health services, immigration issues, language and cultural barriers, and financial issues.</t>
  </si>
  <si>
    <t>Source: NYS Department of Health Office of Sexual Health and Epidemiology</t>
  </si>
  <si>
    <t>https://webbi1.health.ny.gov/SASStoredProcess/guest?_program=%2FEBI%2FPHIG%2Fapps%2Fopioid_dashboard%2Fop_dashboard&amp;p=ch&amp;cos=33</t>
  </si>
  <si>
    <t>October 2024</t>
  </si>
  <si>
    <t>Note: Mortality rates stratified by race/ethnicity are not available.</t>
  </si>
  <si>
    <t>Other (please specify): Some additional responses from participants include location of services, lack of financial resources, transportation, affordable housing, and service providers not being aware of biases they bring into marginalized communities.</t>
  </si>
  <si>
    <t>Source: NYS Division of Criminal Justice Services</t>
  </si>
  <si>
    <t>https://webbi1.health.ny.gov/SASStoredProcess/guest?_program=%2FEBI%2FPHIG%2Fapps%2Fdashboard%2Fpa_dashboard&amp;p=ch&amp;cos=33</t>
  </si>
  <si>
    <t>September 2024</t>
  </si>
  <si>
    <t>Note: Opioid pain relievers include illicitly produced opioids such as fentanyl.</t>
  </si>
  <si>
    <t>Other (please specify): Some additional responses from participants include navigating health care access, poverty, affordable transportation, and accessibility and availability of quality services.</t>
  </si>
  <si>
    <t>Source: NYS Education Department</t>
  </si>
  <si>
    <t>https://www.health.ny.gov/statistics/diseases/communicable/std/docs/sti_surveillance_report_2021.pdf</t>
  </si>
  <si>
    <t>August 2024</t>
  </si>
  <si>
    <t>Note: Other forms of coverage not shown include Indian Health, CHAMPUS, Other, and Not Stated. Medicaid includes births with Medicaid listed as secondary payer.</t>
  </si>
  <si>
    <t>Other (please specify): Some additional responses from participants include stigma, language barrier as a large portion of the population being served speaks Spanish, navigating the health system, and places to play and/or exercise.</t>
  </si>
  <si>
    <t>Source: NYS Leading Causes of Death Dashboard</t>
  </si>
  <si>
    <t>https://statecancerprofiles.cancer.gov/</t>
  </si>
  <si>
    <t>July 2024</t>
  </si>
  <si>
    <t>Note: Race or races with which the student primarily identifies are indicated by the student or the parent/guardian.</t>
  </si>
  <si>
    <t>s</t>
  </si>
  <si>
    <t xml:space="preserve">s: Data are suppressed due to unreliable or missing data. </t>
  </si>
  <si>
    <t>Source: NYS Opioid Data Dashboard</t>
  </si>
  <si>
    <t>https://data.census.gov/cedsci/</t>
  </si>
  <si>
    <t>June 2024</t>
  </si>
  <si>
    <t>Note: Ranks are based on numbers of deaths, then on mortality rates.</t>
  </si>
  <si>
    <t>s: Data are suppressed due to not meeting reporting criteria.</t>
  </si>
  <si>
    <t>Source: NYS Prevention Agenda Tracking Dashboard</t>
  </si>
  <si>
    <t>https://www.americashealthrankings.org/</t>
  </si>
  <si>
    <t>May 2024</t>
  </si>
  <si>
    <t>Note: Respondents who report any one of the six disability types are considered to have a disability in the American Community Survey. The previous Regional CHA utilized data from the NYSDOH Expanded Behavioral Risk Factor Surveillance System (BRFSS). The data change between the BRFSS and the ACS accounts for the drastic changes between the Regional CHAs.</t>
  </si>
  <si>
    <t xml:space="preserve">s: Data are suppressed due to lack of preliminary data. </t>
  </si>
  <si>
    <t>Source: NYS Smoker's Quitline</t>
  </si>
  <si>
    <t>https://ahead.hiv.gov/</t>
  </si>
  <si>
    <t>April 2024</t>
  </si>
  <si>
    <t>Note: Severely cost burdened is defined as the percent of households that spend 50% or more of their household income on housing. The 2019 County Health Rankings (CHR) used data from 2013-2017 and the 2022 CHR used data from 2016-2020 for this measure.</t>
  </si>
  <si>
    <t xml:space="preserve">s: Data are suppressed due to not meeting confidentialty criteria. </t>
  </si>
  <si>
    <t>Source: NYSDOH Behavioral Risk Factor Surveillance System</t>
  </si>
  <si>
    <t>https://wonder.cdc.gov/</t>
  </si>
  <si>
    <t>March 2024</t>
  </si>
  <si>
    <t>Note: Single-year crude rates.</t>
  </si>
  <si>
    <t xml:space="preserve">s: Data are suppressed due to small sample size. </t>
  </si>
  <si>
    <t>Source: NYSDOH Bureau of Communicable Disease Control</t>
  </si>
  <si>
    <t>https://nccd.cdc.gov/Youthonline/App/Results.aspx?LID=XX</t>
  </si>
  <si>
    <t>February 2024</t>
  </si>
  <si>
    <t>Note: The American Community Survey asks respondents how many automobiles, vans, and trucks of one-ton capacity or less are kept at home for use by members of the household.</t>
  </si>
  <si>
    <t>Source: NYSDOH Communicable Disease Annual Reports</t>
  </si>
  <si>
    <t>https://www.cdc.gov/injury/wisqars/index.html</t>
  </si>
  <si>
    <t>January 2024</t>
  </si>
  <si>
    <t>Note: The American Community Survey asks respondents how they usually got to work last week. For respondents who use multiple transportation modes they are restricted to the single method of transportation used for the longest distance.</t>
  </si>
  <si>
    <t xml:space="preserve">Source: NYSDOH Communicable Disease Electronic Surveillance System </t>
  </si>
  <si>
    <t>https://www.cdc.gov/mmwr/index.html</t>
  </si>
  <si>
    <t>December 2023</t>
  </si>
  <si>
    <t>Note: The American Community Survey asks respondents if they have ever served on active duty in the US Armed Forces.</t>
  </si>
  <si>
    <t>Source: NYSDOH, Wadsworth Center Rabies Laboratory</t>
  </si>
  <si>
    <t>https://www.cdc.gov/asthma/asthmadata.htm</t>
  </si>
  <si>
    <t>November 2023</t>
  </si>
  <si>
    <t>Note: The American Community Survey asks respondents if they have worked in the past week. If the answer is no, they are asked why they are not working. For those who are not working, they are asked whether they plan to return to work, and when they last worked.</t>
  </si>
  <si>
    <t>Source: United for ALICE</t>
  </si>
  <si>
    <t>https://www.cdc.gov/nceh/</t>
  </si>
  <si>
    <t>October 2023</t>
  </si>
  <si>
    <t>Note: The American Community Survey asks respondents if they own or rent the house, apartment, or mobile home they live in. If rented, they ask the monthly rent. Cost burdened is defined as the percentage of renter occupied units in which gross rent is 30% or more of household income.</t>
  </si>
  <si>
    <t>Source: University of Wisconsin Population Health Institute. County Health Rankings &amp; Roadmaps</t>
  </si>
  <si>
    <t>https://www.cdc.gov/nchs/index.htm</t>
  </si>
  <si>
    <t>September 2023</t>
  </si>
  <si>
    <t>Note: The American Community Survey asks respondents in the workforce how many minutes it usually takes them to get from home to work. The travel time refers to a one-way trip on a typical day. This includes time spent waiting for public transportation, picking up passengers in carpools, and time spent in other activities related to getting to work.</t>
  </si>
  <si>
    <t>Source: Upstate NY Poison Center</t>
  </si>
  <si>
    <t>https://www.cdc.gov/nchs/nhis/shs.htm</t>
  </si>
  <si>
    <t>August 2023</t>
  </si>
  <si>
    <t>Note: The American Community Survey asks respondents their income in the past 12 months including joint income. This is for income that is received on a regular basis before payments for taxes, social security, etc. If a family’s total income is less than the official poverty threshold for a family of that size and composition, they are considered to be in poverty.</t>
  </si>
  <si>
    <t>Source: US Census Bureau</t>
  </si>
  <si>
    <t>https://www.cdc.gov/diabetes/data/index.html</t>
  </si>
  <si>
    <t>July 2023</t>
  </si>
  <si>
    <t>Note: The American Community Survey asks respondents their income in the past 12 months. Data are provided as a percent of total households in Table S1901. Calculations were made to provide data as a number in Table 28.</t>
  </si>
  <si>
    <t>Source: US Census Bureau; American Community Survey</t>
  </si>
  <si>
    <t>https://www.cdc.gov/nchhstp/atlas/index.htm</t>
  </si>
  <si>
    <t>June 2023</t>
  </si>
  <si>
    <t>Note: The American Community Survey asks respondents to report whether they sometimes or always spoke a language other than English at home. People who knew languages other than English but did not use them at home, who only used them elsewhere, or whose usage was limited to a few expressions or slang were excluded.</t>
  </si>
  <si>
    <t>Source: Vital Statistics of NYS</t>
  </si>
  <si>
    <t>https://www.cdc.gov/std/statistics/2021/default.htm</t>
  </si>
  <si>
    <t>May 2023</t>
  </si>
  <si>
    <t>Note: The American Community Survey asks respondents what the highest degree or level of school the person has completed.</t>
  </si>
  <si>
    <t>https://www.cdc.gov/vaccines/imz-managers/coverage/teenvaxview/data-reports/index.html</t>
  </si>
  <si>
    <t>April 2023</t>
  </si>
  <si>
    <t>Note: The American Community Survey includes a question that intends to capture current sex; there are no questions about gender, sexual orientation, or sex at birth. Respondents should respond either "male" or "female" based on how they currently identify their sex.</t>
  </si>
  <si>
    <t>https://gis.cdc.gov/grasp/diabetes/diabetesatlas-surveillance.html</t>
  </si>
  <si>
    <t>March 2023</t>
  </si>
  <si>
    <t>Note: The American Community Survey utilized industry titles based on the North American Industry Classification System from 2018.</t>
  </si>
  <si>
    <t>https://www.cdc.gov/hepatitis/statistics/SurveillanceRpts.htm</t>
  </si>
  <si>
    <t>February 2023</t>
  </si>
  <si>
    <t>Note: The Census Bureau collects racial data in accordance with guidelines provide by the US Office of Management and Budget, and these data are based on self-identification. People who identify with more than one race may choose to provide multiple races in response to the race question. For ethnicity, the OMB standards classify individuals in one of two categories: “Hispanic or Latino” or “Not Hispanic or Latino.” The Census Bureau uses the term “Hispanic or Latino” interchangeably with the term “Hispanic,” and also refer to this concept as “ethnicity.”</t>
  </si>
  <si>
    <t>https://www.ghrconnects.org/indicators</t>
  </si>
  <si>
    <t>January 2023</t>
  </si>
  <si>
    <t>Note: The Census Bureau collects racial data in accordance with guidelines provided by the US Office of Management and Budget (OMB) and these data are based on self-identification. People who identify with more than one race may choose to provide multiple races in response to the race question. For ethnicity, the OMB standards classify individuals in one of two categories: “Hispanic or Latino” or “Not Hispanic or Latino.” The Census Bureau uses the term “Hispanic or Latino” interchangeably with the term “Hispanic,” and also refer to this concept as “ethnicity.” The American Community Survey asks respondents their income in the past 12 months including joint income. This is for income that is received on a regular basis before payments for taxes, social security, etc. If a family’s total income is less than the official poverty threshold for a family of that size and composition, then they are considered to be in poverty.</t>
  </si>
  <si>
    <t>https://www.kff.org/</t>
  </si>
  <si>
    <t>December 2022</t>
  </si>
  <si>
    <t>Note: The Census Bureau defines educational attainment as the highest level of education that an individual has completed. This is distinct from the level of schooling that an individual is attending.</t>
  </si>
  <si>
    <t>https://progressreport.cancer.gov/detection</t>
  </si>
  <si>
    <t>November 2022</t>
  </si>
  <si>
    <t>Note: The most recent data are from 2019.</t>
  </si>
  <si>
    <t>https://statecancerprofiles.cancer.gov/index.html</t>
  </si>
  <si>
    <t>October 2022</t>
  </si>
  <si>
    <t>Note: The number of cases is determined using sentinel surveillance, which is extrapolated from samples of positive laboratory results to generate estimates of the total number of cases. Sentinel surveillance was conducted in all Mid-Hudson counties in 2017.</t>
  </si>
  <si>
    <t>https://nces.ed.gov/</t>
  </si>
  <si>
    <t>September 2022</t>
  </si>
  <si>
    <t>Note: The overall violent crime rate of a county is calculated by dividing the total number of violent crimes submitted by police agencies in each county by the county’s population and multiplying the result by 100,000. The US Census Bureau is the source of county population data. Includes all reports received as of May 16, 2022.</t>
  </si>
  <si>
    <t>https://www.niaaa.nih.gov/</t>
  </si>
  <si>
    <t>August 2022</t>
  </si>
  <si>
    <t>Note: The previous Mid-Hudson Region Community Health Assessment, 2019-2021, reported this data on populations aged 5-17 years.</t>
  </si>
  <si>
    <t>https://data.oecd.org/</t>
  </si>
  <si>
    <t>July 2022</t>
  </si>
  <si>
    <t>Note: The rate for 2015 is excluded due to SPARCS data transitioning on October 1, 2015 from ICD-9-CM to ICD-10-CM diagnosis codes. Since ICD-9-CM and ICD-10-CM are not comparable, an annual rate for 2015 cannot be calculated, and data for 2016-andforward should not be compared with data for 2014-and-prior.</t>
  </si>
  <si>
    <t>June 2022</t>
  </si>
  <si>
    <t>Note: The rate for 2015 is excluded due to SPARCS data transitioning on October 1, 2015, from ICD-9-CM to ICD-10-CM diagnosis codes. Since ICD-9-CM and ICD-10-CM are not comparable, an annual rate for 2015 cannot be calculated, and data for 2016-andforward should not be compared with data for 2014-and-prior.</t>
  </si>
  <si>
    <t>https://www.bls.gov/cps/data-overview.htm</t>
  </si>
  <si>
    <t>May 2022</t>
  </si>
  <si>
    <t>Note: The US Census asks respondents if they are currently covered by any type of health insurance or health coverage plans.</t>
  </si>
  <si>
    <t>https://health.gov/healthypeople</t>
  </si>
  <si>
    <t>April 2022</t>
  </si>
  <si>
    <t>Note: The US Census Bureau gathers data called the Comprehensive Housing Affordability Strategy, and these data are shared with the US Department of Housing and Urban Development for reporting purposes. Incomplete kitchen facilities are defined as a unit which lacks a sink with running water, a stove or range, or a refrigerator. Incomplete plumbing facilities is defined as lacking hot and cold piped water, a flush toilet, or a bathtub/shower. Overcrowding is defined as more than one person per room. Severe cost burden is defined as monthly housing costs, including utilities, that exceed 50% of monthly income. Graph reflects the percentage of households with at least one of these four housing problems.</t>
  </si>
  <si>
    <t>March 2022</t>
  </si>
  <si>
    <t>Note: This is a measure of the average daily density of fine particulate matter. Fine particulate matter is defined as particles of air pollutants with an aerodynamic diameter less than 2.5 micrometers. The Environmental Public Health Tracking Network data come from the US Environmental Protection Agency's Air Quality System.</t>
  </si>
  <si>
    <t>February 2022</t>
  </si>
  <si>
    <t>Note: This is a measure of the percentage of children in a single birth cohort tested at least twice for lead before 36 months of age.</t>
  </si>
  <si>
    <t>January 2022</t>
  </si>
  <si>
    <t>Note: Three-year age-adjusted rates for counties and single-year age-adjusted rates for NYS and NYS excluding NYC are used in both the table and graph above.</t>
  </si>
  <si>
    <t>December 2021</t>
  </si>
  <si>
    <t>Note: Three-year age-adjusted rates.</t>
  </si>
  <si>
    <t>November 2021</t>
  </si>
  <si>
    <t>Note: Three-year averages are used for counties and single-year estimates are used for Mid-Hudson and NYS.</t>
  </si>
  <si>
    <t>October 2021</t>
  </si>
  <si>
    <t>Note: Three-year averages were used for counties, while single-year estimates were used for NYS and NYS excluding NYC.</t>
  </si>
  <si>
    <t>September 2021</t>
  </si>
  <si>
    <t>Note: Three-year averages are used for counties and single-year rates are used for NYS and NYS excluding NYC.</t>
  </si>
  <si>
    <t>August 2021</t>
  </si>
  <si>
    <t>Note: Trend data for incidence and mortality rates can be found on NYS Community Health Indicator Reports (CHIRS).</t>
  </si>
  <si>
    <t>July 2021</t>
  </si>
  <si>
    <t>Note: Two-year crude rates.</t>
  </si>
  <si>
    <t>Note: Y-axis does not begin at zero in order to clearly display trend lines.</t>
  </si>
  <si>
    <t>Note: Y-axis does not begin at zero in order to clearly display trend lines. Graduates include students who received a local diploma or a local diploma with Regents endorsement (Regents diploma). All students who received a Regents diploma (with or without Advanced Designation or Career and Technical Education endorsement) are included in the number of students with Regents diploma.</t>
  </si>
  <si>
    <t>Note: Only the crude rate for 2017-2019 is available for this measure.</t>
  </si>
  <si>
    <t>Note: The 2019 ED data in New York City may be incomplete and subject to change. Thus, the state rate may be underestimated and subject to change.</t>
  </si>
  <si>
    <t>Note: The rate for 2015 is excluded due to SPARCS data transitioning on October 1, 2015 from ICD-9-CM to ICD-10-CM diagnosis codes. Since ICD-9-CM and ICD-10-CM are not comparable, an annual rate for 2015 cannot be calculated, and data for 2016-and-forward should not be compared with data for 2014-and-prior. On the graph, the distinction is signified by a dotted line for ICD-9-CM years and a solid line for ICD-10-CM years.</t>
  </si>
  <si>
    <t>Note: 2021 population estimates not available. Rates determined with 2020 population estimates.</t>
  </si>
  <si>
    <t>Note: Data for Westchester provided by NYC Poison Center.</t>
  </si>
  <si>
    <t>Note: Data totals for 2020 are preliminary at the time of this report. </t>
  </si>
  <si>
    <t>Note: Domestic animals include dogs, cats, ferrets, horses, donkeys, mules, cattle, sheep, goats, and pigs.</t>
  </si>
  <si>
    <t>Note: Wild animals include bats, bears, bobcats, coyote, deer, fox, opossum, porcupine, rabbit, raccoon, rat, skunk, squirrel, weasel, woodchuck.</t>
  </si>
  <si>
    <t>Name</t>
  </si>
  <si>
    <t>Table/Figure/Both</t>
  </si>
  <si>
    <t>Both</t>
  </si>
  <si>
    <t xml:space="preserve">Object ID  </t>
  </si>
  <si>
    <t>Table Rules</t>
  </si>
  <si>
    <t xml:space="preserve">Enter Data </t>
  </si>
  <si>
    <t>Year</t>
  </si>
  <si>
    <t>NYS</t>
  </si>
  <si>
    <t>US</t>
  </si>
  <si>
    <t>Multilevel Headers</t>
  </si>
  <si>
    <t>2021</t>
  </si>
  <si>
    <t>Data Type</t>
  </si>
  <si>
    <t>2022</t>
  </si>
  <si>
    <t>2023</t>
  </si>
  <si>
    <t>Figure Rules</t>
  </si>
  <si>
    <t>Figure Type</t>
  </si>
  <si>
    <t>Clustered Bar</t>
  </si>
  <si>
    <t>X Column</t>
  </si>
  <si>
    <t>Y Column</t>
  </si>
  <si>
    <t>X Axis Title</t>
  </si>
  <si>
    <t>Y Axis Title</t>
  </si>
  <si>
    <t>Percentage of Labor Force (%)</t>
  </si>
  <si>
    <t>Start at Zero</t>
  </si>
  <si>
    <t>Pivot For Chart</t>
  </si>
  <si>
    <t>True</t>
  </si>
  <si>
    <t>Source Specifications</t>
  </si>
  <si>
    <t>Table ID</t>
  </si>
  <si>
    <t>DP03</t>
  </si>
  <si>
    <t>URL</t>
  </si>
  <si>
    <t>https://data.census.gov/table/ACSDP5Y2023.DP03</t>
  </si>
  <si>
    <t>Data Year</t>
  </si>
  <si>
    <t>Estimate Type</t>
  </si>
  <si>
    <t>5-Year Estimates</t>
  </si>
  <si>
    <t>Citation Month</t>
  </si>
  <si>
    <t>April</t>
  </si>
  <si>
    <t>Citation Year</t>
  </si>
  <si>
    <t>Custom Text</t>
  </si>
  <si>
    <t>Note Specfications</t>
  </si>
  <si>
    <t>Unemployed</t>
  </si>
  <si>
    <t xml:space="preserve"> </t>
  </si>
  <si>
    <t>County</t>
  </si>
  <si>
    <t>Percentage of Overall Food Insecurity, 2020-2023</t>
  </si>
  <si>
    <t>Object ID</t>
  </si>
  <si>
    <t>food-insecurity</t>
  </si>
  <si>
    <t>Enter Data</t>
  </si>
  <si>
    <t>False</t>
  </si>
  <si>
    <t>Line</t>
  </si>
  <si>
    <t>Food Insecurity Rate (%)</t>
  </si>
  <si>
    <t>https://map.feedingamerica.org/district/2023/overall/new-york</t>
  </si>
  <si>
    <t>June</t>
  </si>
  <si>
    <t>Feeding America, June 2025</t>
  </si>
  <si>
    <t>Percentage of Food Insecurity, Children 18 Years and Younger, 2020-2023</t>
  </si>
  <si>
    <t>childhood-food-insecurity</t>
  </si>
  <si>
    <t>Child Food Insecurity Rate (%)</t>
  </si>
  <si>
    <t>Percentage of Cost Burdened Renter Occupied Units, 2021-2023</t>
  </si>
  <si>
    <t>cost-burdened-renters</t>
  </si>
  <si>
    <t>Percentage of Cost Burdened Renter Occupied Units (%)</t>
  </si>
  <si>
    <t>DP04</t>
  </si>
  <si>
    <t>https://data.census.gov/table/ACSDP5Y2023.DP04</t>
  </si>
  <si>
    <t>Percentage of Severely Cost Burdened Households, 2016-2023</t>
  </si>
  <si>
    <t>severely-cost-burdened</t>
  </si>
  <si>
    <t>Period</t>
  </si>
  <si>
    <t>2016–2020</t>
  </si>
  <si>
    <t>2017–2021</t>
  </si>
  <si>
    <t>2018–2022</t>
  </si>
  <si>
    <t>2019–2023</t>
  </si>
  <si>
    <t>Percentage of Severely Cost Burdened Households (%)</t>
  </si>
  <si>
    <t>https://www.countyhealthrankings.org/</t>
  </si>
  <si>
    <t>County Health Rankings and Roadmaps, 2025</t>
  </si>
  <si>
    <t>Number of People Living in HUD-Subsidized Housing in the Past 12 Months, 2021–2024</t>
  </si>
  <si>
    <t>hud-housing</t>
  </si>
  <si>
    <t>Number</t>
  </si>
  <si>
    <t>Number of People</t>
  </si>
  <si>
    <t>https://www.huduser.gov/portal/datasets/assthsg.html</t>
  </si>
  <si>
    <t>July</t>
  </si>
  <si>
    <t>US Department of Housing and Urban Development, July 2025</t>
  </si>
  <si>
    <t>poverty-threshold</t>
  </si>
  <si>
    <t>Family Size</t>
  </si>
  <si>
    <t>None</t>
  </si>
  <si>
    <t>One</t>
  </si>
  <si>
    <t>Two</t>
  </si>
  <si>
    <t>Three</t>
  </si>
  <si>
    <t>Four</t>
  </si>
  <si>
    <t>Five</t>
  </si>
  <si>
    <t>Six</t>
  </si>
  <si>
    <t>Seven</t>
  </si>
  <si>
    <t>Eight</t>
  </si>
  <si>
    <t>Nine or more</t>
  </si>
  <si>
    <t>One person (unrelated individual): Under age 65</t>
  </si>
  <si>
    <t>$16,320</t>
  </si>
  <si>
    <t>One person (unrelated individual): Aged 65 and older</t>
  </si>
  <si>
    <t>$15,045</t>
  </si>
  <si>
    <t>Two people: Householder under age 65</t>
  </si>
  <si>
    <t>$21,006</t>
  </si>
  <si>
    <t>$21,621</t>
  </si>
  <si>
    <t>Two people: Householder aged 65 and older</t>
  </si>
  <si>
    <t>$18,961</t>
  </si>
  <si>
    <t>$21,540</t>
  </si>
  <si>
    <t>Three people</t>
  </si>
  <si>
    <t>$24,537</t>
  </si>
  <si>
    <t>$25,249</t>
  </si>
  <si>
    <t>$25,273</t>
  </si>
  <si>
    <t>Four people</t>
  </si>
  <si>
    <t>$32,355</t>
  </si>
  <si>
    <t>$32,884</t>
  </si>
  <si>
    <t>$31,812</t>
  </si>
  <si>
    <t>$31,922</t>
  </si>
  <si>
    <t>Five people</t>
  </si>
  <si>
    <t>$39,019</t>
  </si>
  <si>
    <t>$39,586</t>
  </si>
  <si>
    <t>$38,374</t>
  </si>
  <si>
    <t>$37,436</t>
  </si>
  <si>
    <t>$36,863</t>
  </si>
  <si>
    <t>Six people</t>
  </si>
  <si>
    <t>$44,879</t>
  </si>
  <si>
    <t>$45,057</t>
  </si>
  <si>
    <t>$44,128</t>
  </si>
  <si>
    <t>$43,238</t>
  </si>
  <si>
    <t>$41,915</t>
  </si>
  <si>
    <t>$41,131</t>
  </si>
  <si>
    <t>Seven people</t>
  </si>
  <si>
    <t>$51,638</t>
  </si>
  <si>
    <t>$51,961</t>
  </si>
  <si>
    <t>$50,849</t>
  </si>
  <si>
    <t>$50,075</t>
  </si>
  <si>
    <t>$48,631</t>
  </si>
  <si>
    <t>$46,948</t>
  </si>
  <si>
    <t>$45,100</t>
  </si>
  <si>
    <t>Eight people</t>
  </si>
  <si>
    <t>$57,753</t>
  </si>
  <si>
    <t>$58,263</t>
  </si>
  <si>
    <t>$57,215</t>
  </si>
  <si>
    <t>$56,296</t>
  </si>
  <si>
    <t>$54,992</t>
  </si>
  <si>
    <t>$53,337</t>
  </si>
  <si>
    <t>$51,614</t>
  </si>
  <si>
    <t>$51,177</t>
  </si>
  <si>
    <t>Nine people or more</t>
  </si>
  <si>
    <t>$69,473</t>
  </si>
  <si>
    <t>$69,810</t>
  </si>
  <si>
    <t>$68,882</t>
  </si>
  <si>
    <t>$68,102</t>
  </si>
  <si>
    <t>$66,822</t>
  </si>
  <si>
    <t>$65,062</t>
  </si>
  <si>
    <t>$63,469</t>
  </si>
  <si>
    <t>$63,075</t>
  </si>
  <si>
    <t>$60,645</t>
  </si>
  <si>
    <t>https://www.census.gov/data/tables/time-series/demo/income-poverty/historical-poverty-thresholds.html</t>
  </si>
  <si>
    <t>US Census Bureau, 2024 Poverty Thresholds, April 2025</t>
  </si>
  <si>
    <t>Percentage of Population in Poverty, 2021-2023</t>
  </si>
  <si>
    <t>poverty-rate</t>
  </si>
  <si>
    <t>Poverty Rate (%)</t>
  </si>
  <si>
    <t>S1701</t>
  </si>
  <si>
    <t>https://data.census.gov/table/ACSST5Y2023.S1701</t>
  </si>
  <si>
    <t>Percentage of Families Below Poverty Level by Race and Ethnicity, 2023</t>
  </si>
  <si>
    <t>poverty-by-race</t>
  </si>
  <si>
    <t>Race/Ethnicity</t>
  </si>
  <si>
    <t>White (non-Hispanic)</t>
  </si>
  <si>
    <t>Black (including Hispanic)</t>
  </si>
  <si>
    <t>Asian (including Hispanic, excluding PI)</t>
  </si>
  <si>
    <t>Hispanic (any race)</t>
  </si>
  <si>
    <t>Total</t>
  </si>
  <si>
    <t>White (non-Hispanic),Black (including Hispanic),Asian (including Hispanic, excluding PI),Hispanic (any race),Total</t>
  </si>
  <si>
    <t>S1702</t>
  </si>
  <si>
    <t>https://data.census.gov/table/ACSST5Y2023.S1702</t>
  </si>
  <si>
    <t>Enrollment Rate of Economically Disadvantaged Students, 2021-2024</t>
  </si>
  <si>
    <t>economically-disadvantaged</t>
  </si>
  <si>
    <t>School Year</t>
  </si>
  <si>
    <t>2021-2022</t>
  </si>
  <si>
    <t>2022-2023</t>
  </si>
  <si>
    <t>2023-2024</t>
  </si>
  <si>
    <t>Economically Disadvantaged Students (%)</t>
  </si>
  <si>
    <t>https://data.nysed.gov/</t>
  </si>
  <si>
    <t>NYS Education Department, April 2025</t>
  </si>
  <si>
    <t>alice-budget</t>
  </si>
  <si>
    <t>Budget Item</t>
  </si>
  <si>
    <t>Single Adult</t>
  </si>
  <si>
    <t>One Adult, One Child</t>
  </si>
  <si>
    <t>One Adult, One in Child Care</t>
  </si>
  <si>
    <t>Two Adults</t>
  </si>
  <si>
    <t>Two Adults, Two Children</t>
  </si>
  <si>
    <t>Two Adults, Two in Child Care</t>
  </si>
  <si>
    <t>Single Adult 65+</t>
  </si>
  <si>
    <t>Two Adults 65+</t>
  </si>
  <si>
    <t>Housing</t>
  </si>
  <si>
    <t>Child Care</t>
  </si>
  <si>
    <t>Food</t>
  </si>
  <si>
    <t>Transportation</t>
  </si>
  <si>
    <t>Health Care</t>
  </si>
  <si>
    <t>Technology</t>
  </si>
  <si>
    <t>Miscellaneous</t>
  </si>
  <si>
    <t>Taxes</t>
  </si>
  <si>
    <t>Monthly Total</t>
  </si>
  <si>
    <t>ANNUAL TOTAL</t>
  </si>
  <si>
    <t>Hourly Wage</t>
  </si>
  <si>
    <t>https://www.unitedforalice.org/county-reports/new-york</t>
  </si>
  <si>
    <t>United For ALICE, 2023 County Reports, April 2025</t>
  </si>
  <si>
    <t>alice-threshold</t>
  </si>
  <si>
    <t>Category</t>
  </si>
  <si>
    <t>ALICE</t>
  </si>
  <si>
    <t>Poverty</t>
  </si>
  <si>
    <t>Above ALICE Threshold</t>
  </si>
  <si>
    <t>Stacked Bar</t>
  </si>
  <si>
    <t>ALICE,Poverty,Above ALICE Threshold</t>
  </si>
  <si>
    <t>Percentage (%)</t>
  </si>
  <si>
    <t>graduation-rate</t>
  </si>
  <si>
    <t>High School Graduation Rate (%)</t>
  </si>
  <si>
    <t>https://data.nysed.gov/gradrate.php</t>
  </si>
  <si>
    <t>NYS Education Department, Graduation Rate Data, April 2025</t>
  </si>
  <si>
    <t>graduation-by-race</t>
  </si>
  <si>
    <t>Asian or Native Hawaiian/Other PI</t>
  </si>
  <si>
    <t>Black or African American</t>
  </si>
  <si>
    <t>White</t>
  </si>
  <si>
    <t>Multiracial</t>
  </si>
  <si>
    <t>Hispanic</t>
  </si>
  <si>
    <t>Rate of Education Attainment, 2023</t>
  </si>
  <si>
    <t>educational-attainment</t>
  </si>
  <si>
    <t>Education Level</t>
  </si>
  <si>
    <t>Some college, no degree</t>
  </si>
  <si>
    <t>Associate's degree</t>
  </si>
  <si>
    <t>Bachelor's degree</t>
  </si>
  <si>
    <t>Graduate or professional degree</t>
  </si>
  <si>
    <t>S1501</t>
  </si>
  <si>
    <t>https://data.census.gov/table/ACSST5Y2023.S1501</t>
  </si>
  <si>
    <t>Percentage of Population that Speaks English Less Than Very Well, 5 Years and Older, 2021-2023</t>
  </si>
  <si>
    <t>language-proficiency</t>
  </si>
  <si>
    <t>Percentage Speaking English Less Than Very Well (%)</t>
  </si>
  <si>
    <t>S1601</t>
  </si>
  <si>
    <t>https://data.census.gov/table/ACSST5Y2023.S1601</t>
  </si>
  <si>
    <t>Percentage of Disconnected Youth Ages 16-19, 2014-2023</t>
  </si>
  <si>
    <t>disconnected-youth</t>
  </si>
  <si>
    <t>2014–2018</t>
  </si>
  <si>
    <t>2015–2019</t>
  </si>
  <si>
    <t>Percentage of Disconnected Youth (%)</t>
  </si>
  <si>
    <t>S1401</t>
  </si>
  <si>
    <t>https://data.census.gov/table/ACSST5Y2023.S1401</t>
  </si>
  <si>
    <t>Food Environment Index, 2025</t>
  </si>
  <si>
    <t>food-environment-index</t>
  </si>
  <si>
    <t>Food Environment Index</t>
  </si>
  <si>
    <t>Food Environment Index (0-10)</t>
  </si>
  <si>
    <t>Percentage of Population with Limited Access to Healthy Foods, 2025</t>
  </si>
  <si>
    <t>limited-access-healthy-foods</t>
  </si>
  <si>
    <t>Limited Access</t>
  </si>
  <si>
    <t>Percentage with Limited Access (%)</t>
  </si>
  <si>
    <t>Violent Crime Rate per 100,000 Population, 2018-2021</t>
  </si>
  <si>
    <t>violent-crime</t>
  </si>
  <si>
    <t>Violent Crime Rate per 100,000</t>
  </si>
  <si>
    <t>NYS Division of Criminal Justice Services, April 2025</t>
  </si>
  <si>
    <t>Average Daily Density of Fine Particulate Matter, 2014-2020</t>
  </si>
  <si>
    <t>air-pollution</t>
  </si>
  <si>
    <t>Fine Particulate Matter (μg/m³)</t>
  </si>
  <si>
    <t>Percentage of Children Tested for Lead at Least Twice Before 36 Months of Age, 2016-2019 Birth Cohorts</t>
  </si>
  <si>
    <t>lead-testing</t>
  </si>
  <si>
    <t>Birth Cohort</t>
  </si>
  <si>
    <t>Percentage Tested (%)</t>
  </si>
  <si>
    <t>NYS Community Health Indicator Reports Dashboard, April 2025</t>
  </si>
  <si>
    <t>Percentage of Households with Severe Housing Problems, 2025</t>
  </si>
  <si>
    <t>severe-housing-problems</t>
  </si>
  <si>
    <t>Severe Housing Problems</t>
  </si>
  <si>
    <t>Percentage with Severe Housing Problems (%)</t>
  </si>
  <si>
    <t>Percentage of Households with No Available Vehicles, 2023</t>
  </si>
  <si>
    <t>no-vehicles</t>
  </si>
  <si>
    <t>No Vehicles</t>
  </si>
  <si>
    <t>Percentage with No Vehicles (%)</t>
  </si>
  <si>
    <t>Modes of Transportation to Work, 2023</t>
  </si>
  <si>
    <t>modes-transportation</t>
  </si>
  <si>
    <t>Mode</t>
  </si>
  <si>
    <t>Drive alone</t>
  </si>
  <si>
    <t>Carpool</t>
  </si>
  <si>
    <t>Public transportation</t>
  </si>
  <si>
    <t>Walk</t>
  </si>
  <si>
    <t>Work from home</t>
  </si>
  <si>
    <t>S0801</t>
  </si>
  <si>
    <t>https://data.census.gov/table/ACSST5Y2023.S0801</t>
  </si>
  <si>
    <t>Average Commute Time to Work, 2023</t>
  </si>
  <si>
    <t>commute-time</t>
  </si>
  <si>
    <t>Average Commute Time (minutes)</t>
  </si>
  <si>
    <t>Index Score of Residential Segregation, 2013-2023</t>
  </si>
  <si>
    <t>residential-segregation</t>
  </si>
  <si>
    <t>2013–2017</t>
  </si>
  <si>
    <t>Index of Dissimilarity</t>
  </si>
  <si>
    <t>Percentage of Adults Who Did Not Receive Medical Care Due to Cost, 2016, 2018, 2021</t>
  </si>
  <si>
    <t>medical-care-cost</t>
  </si>
  <si>
    <t>Mid-Hudson</t>
  </si>
  <si>
    <t>5.0*</t>
  </si>
  <si>
    <t>Percentage of Adults (%)</t>
  </si>
  <si>
    <t>https://webbi1.health.ny.gov/SASStoredProcess/guest?_program=%2FEBI%2FPHIG%2Fapps%2Fchir_dashboard%2Fchir_dashboard</t>
  </si>
  <si>
    <t>Percentage of Children Without Health Insurance, 2020-2023</t>
  </si>
  <si>
    <t>children-uninsured</t>
  </si>
  <si>
    <t>Percentage of Children Without Health Insurance (%)</t>
  </si>
  <si>
    <t>S2701</t>
  </si>
  <si>
    <t>https://data.census.gov/table/ACSST5Y2023.S2701</t>
  </si>
  <si>
    <t>Percentage of Adults with Health Insurance, 2020-2023</t>
  </si>
  <si>
    <t>adults-insured</t>
  </si>
  <si>
    <t>Percentage of Adults with Health Insurance (%)</t>
  </si>
  <si>
    <t>Medically Underserved Areas and Medically Underserved Populations</t>
  </si>
  <si>
    <t>medically-underserved</t>
  </si>
  <si>
    <t>Area Name</t>
  </si>
  <si>
    <t>Designation Type</t>
  </si>
  <si>
    <t>IMU Score</t>
  </si>
  <si>
    <t>Designation Date</t>
  </si>
  <si>
    <t>Low Income - Poughkeepsie</t>
  </si>
  <si>
    <t>MUP Low Income</t>
  </si>
  <si>
    <t>5/25/2001</t>
  </si>
  <si>
    <t>Migrant &amp; Seasonal Farm Worker - East Dutchess</t>
  </si>
  <si>
    <t>4/16/2001</t>
  </si>
  <si>
    <t>Medicaid Eligible and Medically Indigent - Beacon Service Area</t>
  </si>
  <si>
    <t>MUP Other Population Governor's Exception</t>
  </si>
  <si>
    <t>7/6/1993</t>
  </si>
  <si>
    <t>Orange County Service Area</t>
  </si>
  <si>
    <t>Medically Underserved Area</t>
  </si>
  <si>
    <t>5/4/1994</t>
  </si>
  <si>
    <t>Village of Walden Service Area</t>
  </si>
  <si>
    <t>6/29/1999</t>
  </si>
  <si>
    <t>Village of Kiryas Joel Service Area</t>
  </si>
  <si>
    <t>7/21/1993</t>
  </si>
  <si>
    <t>Low Income - Middletown Service Area</t>
  </si>
  <si>
    <t>4/8/1994</t>
  </si>
  <si>
    <t>Village of New Square Service Area</t>
  </si>
  <si>
    <t>8/3/1993</t>
  </si>
  <si>
    <t>Low Income - Haverstraw</t>
  </si>
  <si>
    <t>7/27/2006</t>
  </si>
  <si>
    <t>Low Income - Western Sullivan Service Area</t>
  </si>
  <si>
    <t>5/31/2002</t>
  </si>
  <si>
    <t>Low Income - Monticello</t>
  </si>
  <si>
    <t>6/24/2004</t>
  </si>
  <si>
    <t>Sullivan and Ulster</t>
  </si>
  <si>
    <t>Low Income - Wawarsing/Fallsburg S Area</t>
  </si>
  <si>
    <t>6/18/2002</t>
  </si>
  <si>
    <t>Plattekill Town - County</t>
  </si>
  <si>
    <t>5/7/1981</t>
  </si>
  <si>
    <t>Westchester Service Area - Elmsford</t>
  </si>
  <si>
    <t>7/5/1994</t>
  </si>
  <si>
    <t>Westchester Service Area - Mount Vernon</t>
  </si>
  <si>
    <t>4/6/1978</t>
  </si>
  <si>
    <t>Low Income - Mount Kisco</t>
  </si>
  <si>
    <t>2/28/2003</t>
  </si>
  <si>
    <t>Westchester Service Area - Peekskill</t>
  </si>
  <si>
    <t>Medicaid Eligible and Medically Indigent - Port Chester</t>
  </si>
  <si>
    <t>4/8/1993</t>
  </si>
  <si>
    <t>Westchester Service Area - Yonkers</t>
  </si>
  <si>
    <t>10/7/1988</t>
  </si>
  <si>
    <t>https://data.hrsa.gov/tools/shortage-area</t>
  </si>
  <si>
    <t>Health Resources and Services Administration, April 2025</t>
  </si>
  <si>
    <t>Ratio of Residents to Primary Care Providers, 2019-2021</t>
  </si>
  <si>
    <t>primary-care-providers</t>
  </si>
  <si>
    <t>Ratio of Residents to Primary Care Providers</t>
  </si>
  <si>
    <t>Ratio of Residents to Dentists, 2019-2022</t>
  </si>
  <si>
    <t>dentists</t>
  </si>
  <si>
    <t>Ratio of Residents to Dentists</t>
  </si>
  <si>
    <t>Ratio of Residents to Mental Health Providers, 2021-2024</t>
  </si>
  <si>
    <t>mental-health-providers</t>
  </si>
  <si>
    <t>Ratio of Residents to Mental Health Providers</t>
  </si>
  <si>
    <t>Percentage of Adults Who Have a Regular Primary Care Provider, 2016, 2018, and 2021</t>
  </si>
  <si>
    <t>access-to-primary-care</t>
  </si>
  <si>
    <t>Percentage of Adults Who Have a Regular Primary Care Provider (%)</t>
  </si>
  <si>
    <t>Total Population</t>
  </si>
  <si>
    <t>Percent of Mid-Hudson Region</t>
  </si>
  <si>
    <t>Percent of NYS</t>
  </si>
  <si>
    <t>NYS excel NYC</t>
  </si>
  <si>
    <t>N/A</t>
  </si>
  <si>
    <t>tbl-population-demographics</t>
  </si>
  <si>
    <t>integer</t>
  </si>
  <si>
    <t>percent1</t>
  </si>
  <si>
    <t>tbl-sex</t>
  </si>
  <si>
    <t>Male</t>
  </si>
  <si>
    <t>Female</t>
  </si>
  <si>
    <t>%</t>
  </si>
  <si>
    <t>NYS excl NYC</t>
  </si>
  <si>
    <t>&lt;5 years</t>
  </si>
  <si>
    <t>5-9 years</t>
  </si>
  <si>
    <t>10-19 years</t>
  </si>
  <si>
    <t>20-29 years</t>
  </si>
  <si>
    <t>30-39 years</t>
  </si>
  <si>
    <t>40-49 years</t>
  </si>
  <si>
    <t>50-59 years</t>
  </si>
  <si>
    <t>60-69 years</t>
  </si>
  <si>
    <t>70-79 years</t>
  </si>
  <si>
    <t>&gt;80 years</t>
  </si>
  <si>
    <t>&lt;18 years</t>
  </si>
  <si>
    <t>tbl-age-population</t>
  </si>
  <si>
    <t>Non-Hispanic</t>
  </si>
  <si>
    <t>tbl-ethnicity</t>
  </si>
  <si>
    <t>Non-Hispanic White</t>
  </si>
  <si>
    <t>Non-Hispanic Black or African American</t>
  </si>
  <si>
    <t>Non-Hispanic American Indian and Alaskan Native</t>
  </si>
  <si>
    <t>Non-Hispanic Asian</t>
  </si>
  <si>
    <t>Non-Hispanic Native Hawaiian and Other Pacific Islander</t>
  </si>
  <si>
    <t>Non-Hispanic Other</t>
  </si>
  <si>
    <t>Non-Hispanic Two or More Races</t>
  </si>
  <si>
    <t>tbl-race</t>
  </si>
  <si>
    <t>Only English</t>
  </si>
  <si>
    <t>Language other than English</t>
  </si>
  <si>
    <t>Spanish</t>
  </si>
  <si>
    <t>Other Indo-European languages</t>
  </si>
  <si>
    <t>Asian and Pacific Islander languages</t>
  </si>
  <si>
    <t>Other languages</t>
  </si>
  <si>
    <t>tbl-language</t>
  </si>
  <si>
    <t>tbl-pop-25</t>
  </si>
  <si>
    <t>Less than 9th grade</t>
  </si>
  <si>
    <t>9th to 12th grade, no diploma</t>
  </si>
  <si>
    <t>High school graduate or equivalent</t>
  </si>
  <si>
    <t>Associate degree</t>
  </si>
  <si>
    <t>N</t>
  </si>
  <si>
    <t>tbl-education</t>
  </si>
  <si>
    <t>Households</t>
  </si>
  <si>
    <t>tbl-income</t>
  </si>
  <si>
    <t>&lt;$10,000</t>
  </si>
  <si>
    <t>$10,000-$14,999</t>
  </si>
  <si>
    <t>$15,000-$24,999</t>
  </si>
  <si>
    <t>$25,000-$34,999</t>
  </si>
  <si>
    <t>$35,000-$49,999</t>
  </si>
  <si>
    <t>$50,000-$74,999</t>
  </si>
  <si>
    <t>$75,000-$99,999</t>
  </si>
  <si>
    <t>$100,000-$149,999</t>
  </si>
  <si>
    <t>$150,000-$199,999</t>
  </si>
  <si>
    <t>&gt;$200,000</t>
  </si>
  <si>
    <t>tbl-veteran</t>
  </si>
  <si>
    <t>Civilian Population 18 Years and Older</t>
  </si>
  <si>
    <t>Civilian Veterans</t>
  </si>
  <si>
    <t>Total with Any Disability</t>
  </si>
  <si>
    <t>Hearing Difficulty</t>
  </si>
  <si>
    <t>Vision Difficulty</t>
  </si>
  <si>
    <t>Cognitive Difficulty</t>
  </si>
  <si>
    <t>Ambulatory Difficulty</t>
  </si>
  <si>
    <t>Self-care Difficulty</t>
  </si>
  <si>
    <t>Independent Living Difficulty</t>
  </si>
  <si>
    <t>tbl-households</t>
  </si>
  <si>
    <t>tbl-disability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</si>
</sst>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sz val="11"/>
      <color rgb="FF000000"/>
      <name val="Calibri"/>
      <family val="2"/>
      <scheme val="minor"/>
    </font>
    <font>
      <sz val="11"/>
      <name val="Calibri"/>
      <family val="2"/>
      <scheme val="minor"/>
    </font>
    <font>
      <sz val="11"/>
      <color rgb="FF92D050"/>
      <name val="Calibri"/>
      <family val="2"/>
      <scheme val="minor"/>
    </font>
    <font>
      <b/>
      <sz val="48"/>
      <color theme="0"/>
      <name val="Calibri"/>
      <family val="2"/>
      <scheme val="minor"/>
    </font>
    <font>
      <sz val="12"/>
      <color rgb="FF6A737D"/>
      <name val="Menlo"/>
      <family val="2"/>
    </font>
    <font>
      <b/>
      <sz val="11"/>
      <color theme="0"/>
      <name val="Calibri"/>
      <family val="2"/>
      <scheme val="minor"/>
    </font>
    <font>
      <sz val="12"/>
      <color rgb="FF9ECBFF"/>
      <name val="Menlo"/>
      <family val="2"/>
    </font>
    <font>
      <b/>
      <sz val="9.6"/>
      <color rgb="FF000000"/>
      <name val="Tw Cen MT"/>
      <family val="2"/>
    </font>
    <font>
      <sz val="9.9"/>
      <color rgb="FF000000"/>
      <name val="Tw Cen MT"/>
      <family val="2"/>
    </font>
    <font>
      <sz val="9.6"/>
      <color rgb="FF000000"/>
      <name val="Tw Cen MT"/>
      <family val="2"/>
    </font>
    <font>
      <b/>
      <sz val="9.6"/>
      <color theme="1"/>
      <name val="Calibri"/>
      <family val="2"/>
      <scheme val="minor"/>
    </font>
    <font>
      <sz val="9.9"/>
      <color theme="1"/>
      <name val="Calibri"/>
      <family val="2"/>
      <scheme val="minor"/>
    </font>
    <font>
      <sz val="9.6"/>
      <color theme="1"/>
      <name val="Calibri"/>
      <family val="2"/>
      <scheme val="minor"/>
    </font>
    <font>
      <sz val="15"/>
      <color rgb="FF000000"/>
      <name val="Tw Cen MT"/>
      <family val="2"/>
    </font>
    <font>
      <sz val="12"/>
      <color rgb="FF6A737D"/>
      <name val="Calibri"/>
      <family val="2"/>
      <scheme val="minor"/>
    </font>
    <font>
      <b/>
      <sz val="11"/>
      <color theme="1"/>
      <name val="Tw Cen MT"/>
      <family val="2"/>
    </font>
    <font>
      <sz val="11"/>
      <color theme="1"/>
      <name val="Tw Cen MT"/>
      <family val="2"/>
    </font>
    <font>
      <sz val="12"/>
      <color rgb="FF9ECBFF"/>
      <name val="Tw Cen MT"/>
      <family val="2"/>
    </font>
    <font>
      <b/>
      <sz val="11"/>
      <color theme="0"/>
      <name val="Tw Cen MT"/>
      <family val="2"/>
    </font>
    <font>
      <b/>
      <sz val="48"/>
      <color theme="0"/>
      <name val="Tw Cen MT"/>
      <family val="2"/>
    </font>
    <font>
      <sz val="12"/>
      <color rgb="FF6A737D"/>
      <name val="Tw Cen MT"/>
      <family val="2"/>
    </font>
    <font>
      <b/>
      <sz val="9.6"/>
      <color theme="1"/>
      <name val="Tw Cen MT"/>
      <family val="2"/>
    </font>
    <font>
      <sz val="9.9"/>
      <color theme="1"/>
      <name val="Tw Cen MT"/>
      <family val="2"/>
    </font>
    <font>
      <sz val="9.6"/>
      <color theme="1"/>
      <name val="Tw Cen MT"/>
      <family val="2"/>
    </font>
    <font>
      <sz val="16"/>
      <color rgb="FF000000"/>
      <name val="Tw Cen MT"/>
      <family val="2"/>
    </font>
    <font>
      <sz val="1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cellStyleXfs>
  <cellXfs count="67">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2" fillId="0" borderId="0" xfId="0" applyFont="1"/>
    <xf numFmtId="0" fontId="0" fillId="0" borderId="0" xfId="0" applyProtection="1">
      <protection locked="0"/>
    </xf>
    <xf numFmtId="0" fontId="0" fillId="2" borderId="0" xfId="0" applyFill="1" applyProtection="1">
      <protection locked="0"/>
    </xf>
    <xf numFmtId="0" fontId="3" fillId="0" borderId="0" xfId="1" applyAlignment="1">
      <alignment horizontal="left" vertical="top"/>
    </xf>
    <xf numFmtId="49" fontId="0" fillId="0" borderId="0" xfId="0" applyNumberFormat="1" applyProtection="1">
      <protection locked="0"/>
    </xf>
    <xf numFmtId="0" fontId="4" fillId="0" borderId="0" xfId="0" applyFont="1" applyAlignment="1">
      <alignment horizontal="left" vertical="top"/>
    </xf>
    <xf numFmtId="0" fontId="4" fillId="2" borderId="0" xfId="0" applyFont="1" applyFill="1" applyAlignment="1">
      <alignment horizontal="left" vertical="top"/>
    </xf>
    <xf numFmtId="0" fontId="0" fillId="0" borderId="0" xfId="0" applyAlignment="1">
      <alignment horizontal="left" vertical="top"/>
    </xf>
    <xf numFmtId="0" fontId="5" fillId="0" borderId="0" xfId="0" applyFont="1"/>
    <xf numFmtId="0" fontId="4" fillId="4" borderId="0" xfId="0" applyFont="1" applyFill="1" applyAlignment="1">
      <alignment horizontal="left" vertical="top"/>
    </xf>
    <xf numFmtId="0" fontId="6" fillId="0" borderId="0" xfId="0" applyFont="1" applyAlignment="1">
      <alignment horizontal="left" vertical="top"/>
    </xf>
    <xf numFmtId="0" fontId="5" fillId="0" borderId="0" xfId="0" applyFont="1" applyAlignment="1">
      <alignment horizontal="left" vertical="top"/>
    </xf>
    <xf numFmtId="0" fontId="0" fillId="5" borderId="0" xfId="0" applyFill="1"/>
    <xf numFmtId="0" fontId="8" fillId="0" borderId="0" xfId="0" applyFont="1"/>
    <xf numFmtId="164" fontId="0" fillId="0" borderId="0" xfId="0" applyNumberFormat="1"/>
    <xf numFmtId="0" fontId="1" fillId="0" borderId="2" xfId="0" applyFont="1" applyBorder="1" applyAlignment="1">
      <alignment horizontal="center" vertical="top"/>
    </xf>
    <xf numFmtId="0" fontId="9" fillId="5" borderId="0" xfId="0" applyFont="1" applyFill="1"/>
    <xf numFmtId="0" fontId="10" fillId="0" borderId="0" xfId="0" applyFont="1"/>
    <xf numFmtId="0" fontId="11" fillId="0" borderId="0" xfId="0" applyFont="1"/>
    <xf numFmtId="0" fontId="12" fillId="0" borderId="0" xfId="0" applyFont="1"/>
    <xf numFmtId="3" fontId="13" fillId="0" borderId="0" xfId="0" applyNumberFormat="1" applyFont="1"/>
    <xf numFmtId="0" fontId="13" fillId="0" borderId="0" xfId="0" applyFont="1"/>
    <xf numFmtId="0" fontId="14" fillId="0" borderId="0" xfId="0" applyFont="1"/>
    <xf numFmtId="0" fontId="15" fillId="0" borderId="0" xfId="0" applyFont="1"/>
    <xf numFmtId="0" fontId="17" fillId="0" borderId="0" xfId="0" applyFont="1"/>
    <xf numFmtId="0" fontId="15" fillId="0" borderId="0" xfId="0" applyFont="1" applyAlignment="1">
      <alignment horizontal="center" vertical="center"/>
    </xf>
    <xf numFmtId="3" fontId="16" fillId="0" borderId="0" xfId="0" applyNumberFormat="1" applyFont="1" applyAlignment="1">
      <alignment horizontal="center" vertical="center"/>
    </xf>
    <xf numFmtId="0" fontId="16" fillId="0" borderId="0" xfId="0" applyFont="1" applyAlignment="1">
      <alignment horizontal="center" vertical="center"/>
    </xf>
    <xf numFmtId="0" fontId="18" fillId="0" borderId="0" xfId="0" applyFont="1"/>
    <xf numFmtId="0" fontId="19" fillId="0" borderId="0" xfId="0" applyFont="1"/>
    <xf numFmtId="0" fontId="20" fillId="0" borderId="0" xfId="0" applyFont="1"/>
    <xf numFmtId="0" fontId="21" fillId="0" borderId="0" xfId="0" applyFont="1"/>
    <xf numFmtId="0" fontId="20" fillId="5" borderId="0" xfId="0" applyFont="1" applyFill="1"/>
    <xf numFmtId="0" fontId="22" fillId="5" borderId="0" xfId="0" applyFont="1" applyFill="1"/>
    <xf numFmtId="0" fontId="24" fillId="0" borderId="0" xfId="0" applyFont="1"/>
    <xf numFmtId="0" fontId="0" fillId="0" borderId="0" xfId="0"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3" fontId="13" fillId="0" borderId="0" xfId="0" applyNumberFormat="1" applyFont="1" applyAlignment="1">
      <alignment horizontal="center" vertical="center"/>
    </xf>
    <xf numFmtId="0" fontId="13" fillId="0" borderId="0" xfId="0" applyFont="1" applyAlignment="1">
      <alignment horizontal="center" vertical="center"/>
    </xf>
    <xf numFmtId="0" fontId="25" fillId="0" borderId="0" xfId="0" applyFont="1"/>
    <xf numFmtId="0" fontId="26" fillId="0" borderId="0" xfId="0" applyFont="1"/>
    <xf numFmtId="3" fontId="27" fillId="0" borderId="0" xfId="0" applyNumberFormat="1" applyFont="1"/>
    <xf numFmtId="0" fontId="28" fillId="0" borderId="0" xfId="0" applyFont="1"/>
    <xf numFmtId="0" fontId="26" fillId="0" borderId="0" xfId="0" applyFont="1" applyAlignment="1">
      <alignment horizontal="center" vertical="center"/>
    </xf>
    <xf numFmtId="3" fontId="27" fillId="0" borderId="0" xfId="0" applyNumberFormat="1" applyFont="1" applyAlignment="1">
      <alignment horizontal="center" vertical="center"/>
    </xf>
    <xf numFmtId="0" fontId="27" fillId="0" borderId="0" xfId="0" applyFont="1" applyAlignment="1">
      <alignment horizontal="center" vertical="center"/>
    </xf>
    <xf numFmtId="0" fontId="29" fillId="0" borderId="0" xfId="0" applyFont="1"/>
    <xf numFmtId="0" fontId="0" fillId="3" borderId="0" xfId="0" applyFill="1" applyAlignment="1">
      <alignment horizontal="left"/>
    </xf>
    <xf numFmtId="0" fontId="0" fillId="0" borderId="0" xfId="0"/>
    <xf numFmtId="0" fontId="7" fillId="5" borderId="0" xfId="0" applyFont="1" applyFill="1" applyAlignment="1">
      <alignment horizontal="center" vertical="center" textRotation="90"/>
    </xf>
    <xf numFmtId="0" fontId="2" fillId="2" borderId="0" xfId="0" applyFont="1" applyFill="1" applyAlignment="1">
      <alignment horizontal="center"/>
    </xf>
    <xf numFmtId="0" fontId="0" fillId="0" borderId="0" xfId="0" applyAlignment="1">
      <alignment horizontal="center"/>
    </xf>
    <xf numFmtId="0" fontId="20" fillId="3" borderId="0" xfId="0" applyFont="1" applyFill="1" applyAlignment="1">
      <alignment horizontal="left"/>
    </xf>
    <xf numFmtId="0" fontId="20" fillId="0" borderId="0" xfId="0" applyFont="1"/>
    <xf numFmtId="0" fontId="19" fillId="2" borderId="0" xfId="0" applyFont="1" applyFill="1" applyAlignment="1">
      <alignment horizontal="center"/>
    </xf>
    <xf numFmtId="0" fontId="23" fillId="5" borderId="0" xfId="0" applyFont="1" applyFill="1" applyAlignment="1">
      <alignment horizontal="center" vertical="center" textRotation="90"/>
    </xf>
    <xf numFmtId="0" fontId="20" fillId="0" borderId="0" xfId="0" applyFont="1" applyAlignment="1">
      <alignment horizontal="center"/>
    </xf>
    <xf numFmtId="0" fontId="11" fillId="0" borderId="0" xfId="0" applyFont="1" applyAlignment="1">
      <alignment horizontal="center"/>
    </xf>
    <xf numFmtId="0" fontId="14" fillId="0" borderId="0" xfId="0" applyFont="1" applyAlignment="1">
      <alignment horizontal="center" vertical="center"/>
    </xf>
    <xf numFmtId="0" fontId="11" fillId="0" borderId="0" xfId="0" applyFont="1" applyAlignment="1">
      <alignment horizontal="center" vertical="center"/>
    </xf>
    <xf numFmtId="0" fontId="25" fillId="0" borderId="0" xfId="0" applyFont="1" applyAlignment="1">
      <alignment horizontal="center" vertical="center"/>
    </xf>
    <xf numFmtId="0" fontId="2" fillId="3" borderId="0" xfId="0" applyFont="1" applyFill="1" applyAlignment="1">
      <alignment horizontal="left"/>
    </xf>
    <xf numFmtId="0" fontId="2" fillId="0" borderId="0" xfId="0" applyFont="1"/>
  </cellXfs>
  <cellStyles count="2">
    <cellStyle name="Hyperlink" xfId="1" builtinId="8"/>
    <cellStyle name="Normal" xfId="0" builtinId="0"/>
  </cellStyles>
  <dxfs count="1">
    <dxf>
      <font>
        <strike val="0"/>
        <outline val="0"/>
        <shadow val="0"/>
        <u val="none"/>
        <vertAlign val="baseline"/>
        <color auto="1"/>
      </font>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1:J290" totalsRowShown="0">
  <autoFilter ref="A1:J290" xr:uid="{00000000-0009-0000-0100-000001000000}"/>
  <tableColumns count="10">
    <tableColumn id="1" xr3:uid="{00000000-0010-0000-0000-000001000000}" name="Activate/Deactivate"/>
    <tableColumn id="9" xr3:uid="{00000000-0010-0000-0000-000009000000}" name="Count"/>
    <tableColumn id="2" xr3:uid="{00000000-0010-0000-0000-000002000000}" name="Object_Type"/>
    <tableColumn id="3" xr3:uid="{00000000-0010-0000-0000-000003000000}" name="Old         F or T #"/>
    <tableColumn id="4" xr3:uid="{00000000-0010-0000-0000-000004000000}" name="Indicator Name"/>
    <tableColumn id="10" xr3:uid="{8B017159-49BC-D540-81F1-06135461E9C6}" name="Object ID" dataDxfId="0"/>
    <tableColumn id="5" xr3:uid="{00000000-0010-0000-0000-000005000000}" name="Our Data Source"/>
    <tableColumn id="6" xr3:uid="{00000000-0010-0000-0000-000006000000}" name="Table # "/>
    <tableColumn id="7" xr3:uid="{00000000-0010-0000-0000-000007000000}" name="Primary Data Source"/>
    <tableColumn id="8" xr3:uid="{00000000-0010-0000-0000-000008000000}" name="County Assigne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statecancerprofiles.cancer.gov/" TargetMode="External"/><Relationship Id="rId18" Type="http://schemas.openxmlformats.org/officeDocument/2006/relationships/hyperlink" Target="https://nccd.cdc.gov/Youthonline/App/Results.aspx?LID=XX" TargetMode="External"/><Relationship Id="rId26" Type="http://schemas.openxmlformats.org/officeDocument/2006/relationships/hyperlink" Target="https://www.cdc.gov/nchhstp/atlas/index.htm" TargetMode="External"/><Relationship Id="rId39" Type="http://schemas.openxmlformats.org/officeDocument/2006/relationships/hyperlink" Target="https://www.bls.gov/cps/data-overview.htm" TargetMode="External"/><Relationship Id="rId21" Type="http://schemas.openxmlformats.org/officeDocument/2006/relationships/hyperlink" Target="https://www.cdc.gov/asthma/asthmadata.htm" TargetMode="External"/><Relationship Id="rId34" Type="http://schemas.openxmlformats.org/officeDocument/2006/relationships/hyperlink" Target="https://statecancerprofiles.cancer.gov/index.html" TargetMode="External"/><Relationship Id="rId7" Type="http://schemas.openxmlformats.org/officeDocument/2006/relationships/hyperlink" Target="https://www.criminaljustice.ny.gov/crimnet/ojsa/arrests/index.htm" TargetMode="External"/><Relationship Id="rId12" Type="http://schemas.openxmlformats.org/officeDocument/2006/relationships/hyperlink" Target="https://www.health.ny.gov/statistics/diseases/communicable/std/docs/sti_surveillance_report_2021.pdf" TargetMode="External"/><Relationship Id="rId17" Type="http://schemas.openxmlformats.org/officeDocument/2006/relationships/hyperlink" Target="https://wonder.cdc.gov/" TargetMode="External"/><Relationship Id="rId25" Type="http://schemas.openxmlformats.org/officeDocument/2006/relationships/hyperlink" Target="https://www.cdc.gov/diabetes/data/index.html" TargetMode="External"/><Relationship Id="rId33" Type="http://schemas.openxmlformats.org/officeDocument/2006/relationships/hyperlink" Target="https://progressreport.cancer.gov/detection" TargetMode="External"/><Relationship Id="rId38" Type="http://schemas.openxmlformats.org/officeDocument/2006/relationships/hyperlink" Target="https://data.census.gov/cedsci/" TargetMode="External"/><Relationship Id="rId2" Type="http://schemas.openxmlformats.org/officeDocument/2006/relationships/hyperlink" Target="https://www.cdc.gov/places/" TargetMode="External"/><Relationship Id="rId16" Type="http://schemas.openxmlformats.org/officeDocument/2006/relationships/hyperlink" Target="https://ahead.hiv.gov/" TargetMode="External"/><Relationship Id="rId20" Type="http://schemas.openxmlformats.org/officeDocument/2006/relationships/hyperlink" Target="https://www.cdc.gov/mmwr/index.html" TargetMode="External"/><Relationship Id="rId29" Type="http://schemas.openxmlformats.org/officeDocument/2006/relationships/hyperlink" Target="https://gis.cdc.gov/grasp/diabetes/diabetesatlas-surveillance.html" TargetMode="External"/><Relationship Id="rId1" Type="http://schemas.openxmlformats.org/officeDocument/2006/relationships/hyperlink" Target="https://health.data.ny.gov/Health/Behavioral-Risk-Factor-Surveillance-System-BRFSS-H/jsy7-eb4n/data" TargetMode="External"/><Relationship Id="rId6" Type="http://schemas.openxmlformats.org/officeDocument/2006/relationships/hyperlink" Target="https://www.health.ny.gov/statistics/chac/perinatal/county/2018-2020/orange.htm" TargetMode="External"/><Relationship Id="rId11" Type="http://schemas.openxmlformats.org/officeDocument/2006/relationships/hyperlink" Target="https://webbi1.health.ny.gov/SASStoredProcess/guest?_program=%2FEBI%2FPHIG%2Fapps%2Fdashboard%2Fpa_dashboard&amp;p=ch&amp;cos=33" TargetMode="External"/><Relationship Id="rId24" Type="http://schemas.openxmlformats.org/officeDocument/2006/relationships/hyperlink" Target="https://www.cdc.gov/nchs/nhis/shs.htm" TargetMode="External"/><Relationship Id="rId32" Type="http://schemas.openxmlformats.org/officeDocument/2006/relationships/hyperlink" Target="https://www.kff.org/" TargetMode="External"/><Relationship Id="rId37" Type="http://schemas.openxmlformats.org/officeDocument/2006/relationships/hyperlink" Target="https://data.oecd.org/" TargetMode="External"/><Relationship Id="rId40" Type="http://schemas.openxmlformats.org/officeDocument/2006/relationships/hyperlink" Target="https://health.gov/healthypeople" TargetMode="External"/><Relationship Id="rId5" Type="http://schemas.openxmlformats.org/officeDocument/2006/relationships/hyperlink" Target="https://www.health.ny.gov/statistics/diseases/communicable/docs/2019_hepc_regional.pdf" TargetMode="External"/><Relationship Id="rId15" Type="http://schemas.openxmlformats.org/officeDocument/2006/relationships/hyperlink" Target="https://www.americashealthrankings.org/" TargetMode="External"/><Relationship Id="rId23" Type="http://schemas.openxmlformats.org/officeDocument/2006/relationships/hyperlink" Target="https://www.cdc.gov/nchs/index.htm" TargetMode="External"/><Relationship Id="rId28" Type="http://schemas.openxmlformats.org/officeDocument/2006/relationships/hyperlink" Target="https://www.cdc.gov/vaccines/imz-managers/coverage/teenvaxview/data-reports/index.html" TargetMode="External"/><Relationship Id="rId36" Type="http://schemas.openxmlformats.org/officeDocument/2006/relationships/hyperlink" Target="https://www.niaaa.nih.gov/" TargetMode="External"/><Relationship Id="rId10" Type="http://schemas.openxmlformats.org/officeDocument/2006/relationships/hyperlink" Target="https://webbi1.health.ny.gov/SASStoredProcess/guest?_program=%2FEBI%2FPHIG%2Fapps%2Fopioid_dashboard%2Fop_dashboard&amp;p=ch&amp;cos=33" TargetMode="External"/><Relationship Id="rId19" Type="http://schemas.openxmlformats.org/officeDocument/2006/relationships/hyperlink" Target="https://www.cdc.gov/injury/wisqars/index.html" TargetMode="External"/><Relationship Id="rId31" Type="http://schemas.openxmlformats.org/officeDocument/2006/relationships/hyperlink" Target="https://www.ghrconnects.org/indicators" TargetMode="External"/><Relationship Id="rId4" Type="http://schemas.openxmlformats.org/officeDocument/2006/relationships/hyperlink" Target="https://www.health.ny.gov/statistics/community/minority/county/orange.htm" TargetMode="External"/><Relationship Id="rId9" Type="http://schemas.openxmlformats.org/officeDocument/2006/relationships/hyperlink" Target="https://webbi1.health.ny.gov/SASStoredProcess/guest?_program=%2FEBI%2FPHIG%2Fapps%2Fmch_dashboard%2Fmch_dashboard&amp;p=ch&amp;cos=33" TargetMode="External"/><Relationship Id="rId14" Type="http://schemas.openxmlformats.org/officeDocument/2006/relationships/hyperlink" Target="https://data.census.gov/cedsci/" TargetMode="External"/><Relationship Id="rId22" Type="http://schemas.openxmlformats.org/officeDocument/2006/relationships/hyperlink" Target="https://www.cdc.gov/nceh/" TargetMode="External"/><Relationship Id="rId27" Type="http://schemas.openxmlformats.org/officeDocument/2006/relationships/hyperlink" Target="https://www.cdc.gov/std/statistics/2021/default.htm" TargetMode="External"/><Relationship Id="rId30" Type="http://schemas.openxmlformats.org/officeDocument/2006/relationships/hyperlink" Target="https://www.cdc.gov/hepatitis/statistics/SurveillanceRpts.htm" TargetMode="External"/><Relationship Id="rId35" Type="http://schemas.openxmlformats.org/officeDocument/2006/relationships/hyperlink" Target="https://nces.ed.gov/" TargetMode="External"/><Relationship Id="rId8" Type="http://schemas.openxmlformats.org/officeDocument/2006/relationships/hyperlink" Target="https://data.nysed.gov/gradrate.php?year=2022&amp;county=44" TargetMode="External"/><Relationship Id="rId3" Type="http://schemas.openxmlformats.org/officeDocument/2006/relationships/hyperlink" Target="https://webbi1.health.ny.gov/SASStoredProcess/guest?_program=%2FEBI%2FPHIG%2Fapps%2Fchir_dashboard%2Fchir_dashboard&amp;p=ch&amp;cos=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0"/>
  <sheetViews>
    <sheetView tabSelected="1" topLeftCell="B1" workbookViewId="0">
      <selection activeCell="F14" sqref="F14"/>
    </sheetView>
  </sheetViews>
  <sheetFormatPr baseColWidth="10" defaultColWidth="8.83203125" defaultRowHeight="15" x14ac:dyDescent="0.2"/>
  <cols>
    <col min="1" max="2" width="19" customWidth="1"/>
    <col min="3" max="3" width="14.33203125" customWidth="1"/>
    <col min="4" max="4" width="16.33203125" customWidth="1"/>
    <col min="5" max="6" width="108.6640625" customWidth="1"/>
    <col min="7" max="7" width="96.5" bestFit="1" customWidth="1"/>
    <col min="8" max="8" width="22.83203125" bestFit="1" customWidth="1"/>
    <col min="9" max="9" width="20.83203125" customWidth="1"/>
    <col min="10" max="10" width="17.83203125" customWidth="1"/>
  </cols>
  <sheetData>
    <row r="1" spans="1:10" x14ac:dyDescent="0.2">
      <c r="A1" t="s">
        <v>0</v>
      </c>
      <c r="B1" t="s">
        <v>1</v>
      </c>
      <c r="C1" t="s">
        <v>2</v>
      </c>
      <c r="D1" t="s">
        <v>3</v>
      </c>
      <c r="E1" t="s">
        <v>4</v>
      </c>
      <c r="F1" t="s">
        <v>752</v>
      </c>
      <c r="G1" t="s">
        <v>5</v>
      </c>
      <c r="H1" t="s">
        <v>6</v>
      </c>
      <c r="I1" t="s">
        <v>7</v>
      </c>
      <c r="J1" t="s">
        <v>8</v>
      </c>
    </row>
    <row r="2" spans="1:10" ht="16" x14ac:dyDescent="0.2">
      <c r="A2" t="s">
        <v>9</v>
      </c>
      <c r="B2">
        <v>1</v>
      </c>
      <c r="C2" t="s">
        <v>10</v>
      </c>
      <c r="D2" t="s">
        <v>11</v>
      </c>
      <c r="E2" t="s">
        <v>12</v>
      </c>
      <c r="F2" s="50" t="s">
        <v>1071</v>
      </c>
      <c r="G2" t="s">
        <v>13</v>
      </c>
      <c r="H2" t="s">
        <v>14</v>
      </c>
      <c r="J2" t="s">
        <v>15</v>
      </c>
    </row>
    <row r="3" spans="1:10" ht="16" x14ac:dyDescent="0.2">
      <c r="A3" t="s">
        <v>9</v>
      </c>
      <c r="B3">
        <v>2</v>
      </c>
      <c r="C3" t="s">
        <v>10</v>
      </c>
      <c r="D3" t="s">
        <v>16</v>
      </c>
      <c r="E3" t="s">
        <v>17</v>
      </c>
      <c r="F3" s="50" t="s">
        <v>1074</v>
      </c>
      <c r="G3" t="s">
        <v>13</v>
      </c>
      <c r="H3" t="s">
        <v>14</v>
      </c>
      <c r="J3" t="s">
        <v>15</v>
      </c>
    </row>
    <row r="4" spans="1:10" ht="16" x14ac:dyDescent="0.2">
      <c r="A4" t="s">
        <v>9</v>
      </c>
      <c r="B4">
        <v>3</v>
      </c>
      <c r="C4" t="s">
        <v>10</v>
      </c>
      <c r="D4" t="s">
        <v>18</v>
      </c>
      <c r="E4" t="s">
        <v>19</v>
      </c>
      <c r="F4" s="50" t="s">
        <v>1090</v>
      </c>
      <c r="G4" t="s">
        <v>13</v>
      </c>
      <c r="H4" t="s">
        <v>14</v>
      </c>
      <c r="J4" t="s">
        <v>15</v>
      </c>
    </row>
    <row r="5" spans="1:10" ht="16" x14ac:dyDescent="0.2">
      <c r="A5" t="s">
        <v>9</v>
      </c>
      <c r="B5">
        <v>4</v>
      </c>
      <c r="C5" t="s">
        <v>10</v>
      </c>
      <c r="D5" t="s">
        <v>20</v>
      </c>
      <c r="E5" t="s">
        <v>21</v>
      </c>
      <c r="F5" s="50" t="s">
        <v>1092</v>
      </c>
      <c r="G5" t="s">
        <v>13</v>
      </c>
      <c r="H5" t="s">
        <v>22</v>
      </c>
      <c r="J5" t="s">
        <v>15</v>
      </c>
    </row>
    <row r="6" spans="1:10" ht="16" x14ac:dyDescent="0.2">
      <c r="A6" t="s">
        <v>9</v>
      </c>
      <c r="B6">
        <v>5</v>
      </c>
      <c r="C6" t="s">
        <v>10</v>
      </c>
      <c r="D6" t="s">
        <v>23</v>
      </c>
      <c r="E6" t="s">
        <v>24</v>
      </c>
      <c r="F6" s="50" t="s">
        <v>1100</v>
      </c>
      <c r="G6" t="s">
        <v>13</v>
      </c>
      <c r="H6" t="s">
        <v>22</v>
      </c>
      <c r="J6" t="s">
        <v>15</v>
      </c>
    </row>
    <row r="7" spans="1:10" ht="16" x14ac:dyDescent="0.2">
      <c r="A7" t="s">
        <v>9</v>
      </c>
      <c r="B7">
        <v>6</v>
      </c>
      <c r="C7" t="s">
        <v>10</v>
      </c>
      <c r="D7" t="s">
        <v>25</v>
      </c>
      <c r="E7" t="s">
        <v>26</v>
      </c>
      <c r="F7" s="50" t="s">
        <v>1107</v>
      </c>
      <c r="G7" t="s">
        <v>13</v>
      </c>
      <c r="H7" t="s">
        <v>27</v>
      </c>
      <c r="J7" t="s">
        <v>15</v>
      </c>
    </row>
    <row r="8" spans="1:10" x14ac:dyDescent="0.2">
      <c r="A8" t="s">
        <v>9</v>
      </c>
      <c r="B8">
        <v>7</v>
      </c>
      <c r="C8" t="s">
        <v>10</v>
      </c>
      <c r="D8" t="s">
        <v>28</v>
      </c>
      <c r="E8" t="s">
        <v>29</v>
      </c>
      <c r="F8" s="11" t="s">
        <v>1108</v>
      </c>
      <c r="G8" t="s">
        <v>13</v>
      </c>
      <c r="H8" t="s">
        <v>30</v>
      </c>
      <c r="J8" t="s">
        <v>15</v>
      </c>
    </row>
    <row r="9" spans="1:10" ht="16" x14ac:dyDescent="0.2">
      <c r="A9" t="s">
        <v>9</v>
      </c>
      <c r="B9">
        <v>8</v>
      </c>
      <c r="C9" t="s">
        <v>10</v>
      </c>
      <c r="D9" t="s">
        <v>31</v>
      </c>
      <c r="E9" t="s">
        <v>32</v>
      </c>
      <c r="F9" s="50" t="s">
        <v>1114</v>
      </c>
      <c r="G9" t="s">
        <v>13</v>
      </c>
      <c r="H9" t="s">
        <v>30</v>
      </c>
      <c r="J9" t="s">
        <v>15</v>
      </c>
    </row>
    <row r="10" spans="1:10" x14ac:dyDescent="0.2">
      <c r="A10" t="s">
        <v>9</v>
      </c>
      <c r="B10">
        <v>9</v>
      </c>
      <c r="C10" t="s">
        <v>10</v>
      </c>
      <c r="D10" t="s">
        <v>33</v>
      </c>
      <c r="E10" t="s">
        <v>34</v>
      </c>
      <c r="F10" s="11" t="s">
        <v>1137</v>
      </c>
      <c r="G10" t="s">
        <v>13</v>
      </c>
      <c r="H10" t="s">
        <v>35</v>
      </c>
      <c r="J10" t="s">
        <v>15</v>
      </c>
    </row>
    <row r="11" spans="1:10" ht="16" x14ac:dyDescent="0.2">
      <c r="A11" t="s">
        <v>9</v>
      </c>
      <c r="B11">
        <v>10</v>
      </c>
      <c r="C11" t="s">
        <v>10</v>
      </c>
      <c r="D11" t="s">
        <v>36</v>
      </c>
      <c r="E11" t="s">
        <v>37</v>
      </c>
      <c r="F11" s="50" t="s">
        <v>1116</v>
      </c>
      <c r="G11" t="s">
        <v>13</v>
      </c>
      <c r="H11" t="s">
        <v>35</v>
      </c>
      <c r="J11" t="s">
        <v>15</v>
      </c>
    </row>
    <row r="12" spans="1:10" ht="16" x14ac:dyDescent="0.2">
      <c r="A12" t="s">
        <v>9</v>
      </c>
      <c r="B12">
        <v>11</v>
      </c>
      <c r="C12" t="s">
        <v>10</v>
      </c>
      <c r="D12" t="s">
        <v>38</v>
      </c>
      <c r="E12" t="s">
        <v>39</v>
      </c>
      <c r="F12" s="50" t="s">
        <v>1127</v>
      </c>
      <c r="G12" t="s">
        <v>13</v>
      </c>
      <c r="H12" t="s">
        <v>40</v>
      </c>
      <c r="J12" t="s">
        <v>15</v>
      </c>
    </row>
    <row r="13" spans="1:10" ht="16" x14ac:dyDescent="0.2">
      <c r="A13" t="s">
        <v>9</v>
      </c>
      <c r="B13">
        <v>12</v>
      </c>
      <c r="C13" t="s">
        <v>10</v>
      </c>
      <c r="D13" t="s">
        <v>41</v>
      </c>
      <c r="E13" t="s">
        <v>42</v>
      </c>
      <c r="F13" s="50" t="s">
        <v>1138</v>
      </c>
      <c r="G13" t="s">
        <v>13</v>
      </c>
      <c r="H13" t="s">
        <v>43</v>
      </c>
      <c r="J13" t="s">
        <v>15</v>
      </c>
    </row>
    <row r="14" spans="1:10" x14ac:dyDescent="0.2">
      <c r="A14" t="s">
        <v>9</v>
      </c>
      <c r="B14">
        <v>13</v>
      </c>
      <c r="C14" t="s">
        <v>44</v>
      </c>
      <c r="D14" t="s">
        <v>45</v>
      </c>
      <c r="E14" t="s">
        <v>46</v>
      </c>
      <c r="F14" s="11"/>
      <c r="G14" t="s">
        <v>13</v>
      </c>
      <c r="H14" t="s">
        <v>47</v>
      </c>
      <c r="J14" t="s">
        <v>15</v>
      </c>
    </row>
    <row r="15" spans="1:10" x14ac:dyDescent="0.2">
      <c r="A15" t="s">
        <v>9</v>
      </c>
      <c r="B15">
        <v>14</v>
      </c>
      <c r="C15" t="s">
        <v>44</v>
      </c>
      <c r="D15" t="s">
        <v>48</v>
      </c>
      <c r="E15" t="s">
        <v>49</v>
      </c>
      <c r="F15" s="11"/>
      <c r="G15" t="s">
        <v>13</v>
      </c>
      <c r="H15" t="s">
        <v>47</v>
      </c>
      <c r="J15" t="s">
        <v>15</v>
      </c>
    </row>
    <row r="16" spans="1:10" x14ac:dyDescent="0.2">
      <c r="A16" t="s">
        <v>9</v>
      </c>
      <c r="B16">
        <v>15</v>
      </c>
      <c r="C16" t="s">
        <v>44</v>
      </c>
      <c r="D16" t="s">
        <v>50</v>
      </c>
      <c r="E16" t="s">
        <v>51</v>
      </c>
      <c r="F16" s="11"/>
      <c r="G16" t="s">
        <v>52</v>
      </c>
      <c r="J16" t="s">
        <v>15</v>
      </c>
    </row>
    <row r="17" spans="1:10" x14ac:dyDescent="0.2">
      <c r="A17" t="s">
        <v>9</v>
      </c>
      <c r="B17">
        <v>16</v>
      </c>
      <c r="C17" t="s">
        <v>44</v>
      </c>
      <c r="D17" t="s">
        <v>53</v>
      </c>
      <c r="E17" t="s">
        <v>54</v>
      </c>
      <c r="F17" s="11"/>
      <c r="G17" t="s">
        <v>52</v>
      </c>
      <c r="J17" t="s">
        <v>15</v>
      </c>
    </row>
    <row r="18" spans="1:10" x14ac:dyDescent="0.2">
      <c r="A18" t="s">
        <v>9</v>
      </c>
      <c r="B18">
        <v>17</v>
      </c>
      <c r="C18" t="s">
        <v>44</v>
      </c>
      <c r="D18" t="s">
        <v>55</v>
      </c>
      <c r="E18" t="s">
        <v>56</v>
      </c>
      <c r="F18" s="11"/>
      <c r="G18" t="s">
        <v>13</v>
      </c>
      <c r="H18" t="s">
        <v>57</v>
      </c>
      <c r="J18" t="s">
        <v>15</v>
      </c>
    </row>
    <row r="19" spans="1:10" x14ac:dyDescent="0.2">
      <c r="A19" t="s">
        <v>9</v>
      </c>
      <c r="B19">
        <v>18</v>
      </c>
      <c r="C19" t="s">
        <v>44</v>
      </c>
      <c r="D19" t="s">
        <v>58</v>
      </c>
      <c r="E19" t="s">
        <v>59</v>
      </c>
      <c r="F19" s="11"/>
      <c r="G19" t="s">
        <v>60</v>
      </c>
      <c r="I19" t="s">
        <v>13</v>
      </c>
      <c r="J19" t="s">
        <v>15</v>
      </c>
    </row>
    <row r="20" spans="1:10" x14ac:dyDescent="0.2">
      <c r="A20" t="s">
        <v>9</v>
      </c>
      <c r="B20">
        <v>19</v>
      </c>
      <c r="C20" t="s">
        <v>10</v>
      </c>
      <c r="D20" t="s">
        <v>61</v>
      </c>
      <c r="E20" t="s">
        <v>62</v>
      </c>
      <c r="F20" s="11"/>
      <c r="G20" t="s">
        <v>63</v>
      </c>
      <c r="J20" t="s">
        <v>15</v>
      </c>
    </row>
    <row r="21" spans="1:10" x14ac:dyDescent="0.2">
      <c r="A21" t="s">
        <v>9</v>
      </c>
      <c r="B21">
        <v>20</v>
      </c>
      <c r="C21" t="s">
        <v>10</v>
      </c>
      <c r="D21" t="s">
        <v>64</v>
      </c>
      <c r="E21" t="s">
        <v>65</v>
      </c>
      <c r="F21" s="11"/>
      <c r="G21" t="s">
        <v>66</v>
      </c>
      <c r="J21" t="s">
        <v>15</v>
      </c>
    </row>
    <row r="22" spans="1:10" x14ac:dyDescent="0.2">
      <c r="A22" t="s">
        <v>9</v>
      </c>
      <c r="B22">
        <v>21</v>
      </c>
      <c r="C22" t="s">
        <v>44</v>
      </c>
      <c r="D22" t="s">
        <v>67</v>
      </c>
      <c r="E22" t="s">
        <v>68</v>
      </c>
      <c r="F22" s="11"/>
      <c r="G22" t="s">
        <v>13</v>
      </c>
      <c r="H22" t="s">
        <v>69</v>
      </c>
      <c r="J22" t="s">
        <v>15</v>
      </c>
    </row>
    <row r="23" spans="1:10" x14ac:dyDescent="0.2">
      <c r="A23" t="s">
        <v>9</v>
      </c>
      <c r="B23">
        <v>22</v>
      </c>
      <c r="C23" t="s">
        <v>44</v>
      </c>
      <c r="D23" t="s">
        <v>70</v>
      </c>
      <c r="E23" t="s">
        <v>71</v>
      </c>
      <c r="F23" s="11"/>
      <c r="G23" t="s">
        <v>72</v>
      </c>
      <c r="I23" t="s">
        <v>73</v>
      </c>
      <c r="J23" t="s">
        <v>15</v>
      </c>
    </row>
    <row r="24" spans="1:10" x14ac:dyDescent="0.2">
      <c r="A24" t="s">
        <v>9</v>
      </c>
      <c r="B24">
        <v>23</v>
      </c>
      <c r="C24" t="s">
        <v>44</v>
      </c>
      <c r="D24" t="s">
        <v>74</v>
      </c>
      <c r="E24" t="s">
        <v>75</v>
      </c>
      <c r="F24" s="11"/>
      <c r="G24" t="s">
        <v>76</v>
      </c>
      <c r="J24" t="s">
        <v>15</v>
      </c>
    </row>
    <row r="25" spans="1:10" x14ac:dyDescent="0.2">
      <c r="A25" t="s">
        <v>9</v>
      </c>
      <c r="B25">
        <v>24</v>
      </c>
      <c r="C25" t="s">
        <v>10</v>
      </c>
      <c r="D25" t="s">
        <v>77</v>
      </c>
      <c r="E25" t="s">
        <v>78</v>
      </c>
      <c r="F25" s="11"/>
      <c r="G25" t="s">
        <v>79</v>
      </c>
      <c r="J25" t="s">
        <v>15</v>
      </c>
    </row>
    <row r="26" spans="1:10" x14ac:dyDescent="0.2">
      <c r="A26" t="s">
        <v>9</v>
      </c>
      <c r="B26">
        <v>25</v>
      </c>
      <c r="C26" t="s">
        <v>44</v>
      </c>
      <c r="D26" t="s">
        <v>80</v>
      </c>
      <c r="E26" t="s">
        <v>81</v>
      </c>
      <c r="F26" s="11"/>
      <c r="G26" t="s">
        <v>79</v>
      </c>
      <c r="J26" t="s">
        <v>15</v>
      </c>
    </row>
    <row r="27" spans="1:10" x14ac:dyDescent="0.2">
      <c r="A27" t="s">
        <v>9</v>
      </c>
      <c r="B27">
        <v>26</v>
      </c>
      <c r="C27" t="s">
        <v>44</v>
      </c>
      <c r="D27" t="s">
        <v>82</v>
      </c>
      <c r="E27" t="s">
        <v>83</v>
      </c>
      <c r="F27" s="11"/>
      <c r="G27" t="s">
        <v>76</v>
      </c>
      <c r="J27" t="s">
        <v>15</v>
      </c>
    </row>
    <row r="28" spans="1:10" x14ac:dyDescent="0.2">
      <c r="A28" t="s">
        <v>9</v>
      </c>
      <c r="B28">
        <v>27</v>
      </c>
      <c r="C28" t="s">
        <v>44</v>
      </c>
      <c r="D28" t="s">
        <v>84</v>
      </c>
      <c r="E28" t="s">
        <v>85</v>
      </c>
      <c r="F28" s="11"/>
      <c r="G28" t="s">
        <v>76</v>
      </c>
      <c r="J28" t="s">
        <v>15</v>
      </c>
    </row>
    <row r="29" spans="1:10" x14ac:dyDescent="0.2">
      <c r="A29" t="s">
        <v>9</v>
      </c>
      <c r="B29">
        <v>28</v>
      </c>
      <c r="C29" t="s">
        <v>44</v>
      </c>
      <c r="D29" t="s">
        <v>86</v>
      </c>
      <c r="E29" t="s">
        <v>87</v>
      </c>
      <c r="F29" s="11"/>
      <c r="G29" t="s">
        <v>13</v>
      </c>
      <c r="H29" t="s">
        <v>30</v>
      </c>
      <c r="J29" t="s">
        <v>15</v>
      </c>
    </row>
    <row r="30" spans="1:10" x14ac:dyDescent="0.2">
      <c r="A30" t="s">
        <v>9</v>
      </c>
      <c r="B30">
        <v>29</v>
      </c>
      <c r="C30" t="s">
        <v>44</v>
      </c>
      <c r="D30" t="s">
        <v>88</v>
      </c>
      <c r="E30" t="s">
        <v>89</v>
      </c>
      <c r="F30" s="11"/>
      <c r="G30" t="s">
        <v>13</v>
      </c>
      <c r="H30" t="s">
        <v>27</v>
      </c>
      <c r="J30" t="s">
        <v>15</v>
      </c>
    </row>
    <row r="31" spans="1:10" x14ac:dyDescent="0.2">
      <c r="A31" t="s">
        <v>9</v>
      </c>
      <c r="B31">
        <v>30</v>
      </c>
      <c r="C31" t="s">
        <v>44</v>
      </c>
      <c r="D31" t="s">
        <v>90</v>
      </c>
      <c r="E31" t="s">
        <v>91</v>
      </c>
      <c r="F31" s="11"/>
      <c r="G31" t="s">
        <v>60</v>
      </c>
      <c r="J31" t="s">
        <v>15</v>
      </c>
    </row>
    <row r="32" spans="1:10" x14ac:dyDescent="0.2">
      <c r="A32" t="s">
        <v>9</v>
      </c>
      <c r="B32">
        <v>31</v>
      </c>
      <c r="C32" t="s">
        <v>44</v>
      </c>
      <c r="D32" t="s">
        <v>92</v>
      </c>
      <c r="E32" t="s">
        <v>93</v>
      </c>
      <c r="F32" s="11"/>
      <c r="G32" t="s">
        <v>60</v>
      </c>
      <c r="J32" t="s">
        <v>15</v>
      </c>
    </row>
    <row r="33" spans="1:10" x14ac:dyDescent="0.2">
      <c r="A33" t="s">
        <v>9</v>
      </c>
      <c r="B33">
        <v>32</v>
      </c>
      <c r="C33" t="s">
        <v>44</v>
      </c>
      <c r="D33" t="s">
        <v>94</v>
      </c>
      <c r="E33" t="s">
        <v>95</v>
      </c>
      <c r="F33" s="11"/>
      <c r="G33" t="s">
        <v>96</v>
      </c>
      <c r="J33" t="s">
        <v>15</v>
      </c>
    </row>
    <row r="34" spans="1:10" x14ac:dyDescent="0.2">
      <c r="A34" t="s">
        <v>9</v>
      </c>
      <c r="B34">
        <v>33</v>
      </c>
      <c r="C34" t="s">
        <v>44</v>
      </c>
      <c r="D34" t="s">
        <v>97</v>
      </c>
      <c r="E34" t="s">
        <v>98</v>
      </c>
      <c r="F34" s="11"/>
      <c r="G34" t="s">
        <v>60</v>
      </c>
      <c r="J34" t="s">
        <v>15</v>
      </c>
    </row>
    <row r="35" spans="1:10" x14ac:dyDescent="0.2">
      <c r="A35" t="s">
        <v>9</v>
      </c>
      <c r="B35">
        <v>34</v>
      </c>
      <c r="C35" t="s">
        <v>44</v>
      </c>
      <c r="D35" t="s">
        <v>99</v>
      </c>
      <c r="E35" t="s">
        <v>100</v>
      </c>
      <c r="F35" s="11"/>
      <c r="G35" t="s">
        <v>66</v>
      </c>
      <c r="J35" t="s">
        <v>15</v>
      </c>
    </row>
    <row r="36" spans="1:10" x14ac:dyDescent="0.2">
      <c r="A36" t="s">
        <v>9</v>
      </c>
      <c r="B36">
        <v>35</v>
      </c>
      <c r="C36" t="s">
        <v>10</v>
      </c>
      <c r="D36" t="s">
        <v>101</v>
      </c>
      <c r="E36" t="s">
        <v>102</v>
      </c>
      <c r="F36" s="11"/>
      <c r="G36" t="s">
        <v>103</v>
      </c>
      <c r="H36" t="s">
        <v>104</v>
      </c>
      <c r="J36" t="s">
        <v>15</v>
      </c>
    </row>
    <row r="37" spans="1:10" x14ac:dyDescent="0.2">
      <c r="A37" t="s">
        <v>9</v>
      </c>
      <c r="B37">
        <v>36</v>
      </c>
      <c r="D37" t="s">
        <v>105</v>
      </c>
      <c r="E37" t="s">
        <v>106</v>
      </c>
      <c r="F37" s="11"/>
      <c r="G37" t="s">
        <v>60</v>
      </c>
      <c r="J37" t="s">
        <v>15</v>
      </c>
    </row>
    <row r="38" spans="1:10" x14ac:dyDescent="0.2">
      <c r="A38" t="s">
        <v>9</v>
      </c>
      <c r="B38">
        <v>37</v>
      </c>
      <c r="D38" t="s">
        <v>107</v>
      </c>
      <c r="E38" t="s">
        <v>108</v>
      </c>
      <c r="F38" s="11"/>
      <c r="G38" t="s">
        <v>60</v>
      </c>
      <c r="J38" t="s">
        <v>15</v>
      </c>
    </row>
    <row r="39" spans="1:10" x14ac:dyDescent="0.2">
      <c r="A39" t="s">
        <v>9</v>
      </c>
      <c r="B39">
        <v>38</v>
      </c>
      <c r="D39" t="s">
        <v>109</v>
      </c>
      <c r="E39" t="s">
        <v>110</v>
      </c>
      <c r="F39" s="11"/>
      <c r="G39" t="s">
        <v>60</v>
      </c>
      <c r="I39" t="s">
        <v>111</v>
      </c>
      <c r="J39" t="s">
        <v>15</v>
      </c>
    </row>
    <row r="40" spans="1:10" x14ac:dyDescent="0.2">
      <c r="A40" t="s">
        <v>9</v>
      </c>
      <c r="B40">
        <v>39</v>
      </c>
      <c r="D40" t="s">
        <v>112</v>
      </c>
      <c r="E40" t="s">
        <v>113</v>
      </c>
      <c r="F40" s="11"/>
      <c r="G40" t="s">
        <v>114</v>
      </c>
      <c r="I40" t="s">
        <v>96</v>
      </c>
      <c r="J40" t="s">
        <v>15</v>
      </c>
    </row>
    <row r="41" spans="1:10" x14ac:dyDescent="0.2">
      <c r="A41" t="s">
        <v>9</v>
      </c>
      <c r="B41">
        <v>40</v>
      </c>
      <c r="D41" t="s">
        <v>115</v>
      </c>
      <c r="E41" t="s">
        <v>116</v>
      </c>
      <c r="F41" s="11"/>
      <c r="G41" t="s">
        <v>72</v>
      </c>
      <c r="I41" t="s">
        <v>117</v>
      </c>
      <c r="J41" t="s">
        <v>15</v>
      </c>
    </row>
    <row r="42" spans="1:10" x14ac:dyDescent="0.2">
      <c r="A42" t="s">
        <v>9</v>
      </c>
      <c r="B42">
        <v>41</v>
      </c>
      <c r="D42" t="s">
        <v>118</v>
      </c>
      <c r="E42" t="s">
        <v>119</v>
      </c>
      <c r="F42" s="11"/>
      <c r="G42" t="s">
        <v>120</v>
      </c>
      <c r="I42" t="s">
        <v>117</v>
      </c>
      <c r="J42" t="s">
        <v>15</v>
      </c>
    </row>
    <row r="43" spans="1:10" x14ac:dyDescent="0.2">
      <c r="A43" t="s">
        <v>9</v>
      </c>
      <c r="B43">
        <v>42</v>
      </c>
      <c r="D43" t="s">
        <v>121</v>
      </c>
      <c r="E43" t="s">
        <v>122</v>
      </c>
      <c r="F43" s="11"/>
      <c r="G43" t="s">
        <v>120</v>
      </c>
      <c r="I43" t="s">
        <v>117</v>
      </c>
      <c r="J43" t="s">
        <v>15</v>
      </c>
    </row>
    <row r="44" spans="1:10" x14ac:dyDescent="0.2">
      <c r="A44" t="s">
        <v>9</v>
      </c>
      <c r="B44">
        <v>43</v>
      </c>
      <c r="D44" t="s">
        <v>123</v>
      </c>
      <c r="E44" t="s">
        <v>124</v>
      </c>
      <c r="F44" s="11"/>
      <c r="G44" t="s">
        <v>60</v>
      </c>
      <c r="I44" t="s">
        <v>125</v>
      </c>
      <c r="J44" t="s">
        <v>15</v>
      </c>
    </row>
    <row r="45" spans="1:10" x14ac:dyDescent="0.2">
      <c r="A45" t="s">
        <v>9</v>
      </c>
      <c r="B45">
        <v>44</v>
      </c>
      <c r="D45" t="s">
        <v>126</v>
      </c>
      <c r="E45" t="s">
        <v>127</v>
      </c>
      <c r="F45" s="11"/>
      <c r="G45" t="s">
        <v>60</v>
      </c>
      <c r="I45" t="s">
        <v>125</v>
      </c>
      <c r="J45" t="s">
        <v>15</v>
      </c>
    </row>
    <row r="46" spans="1:10" x14ac:dyDescent="0.2">
      <c r="A46" t="s">
        <v>9</v>
      </c>
      <c r="B46">
        <v>45</v>
      </c>
      <c r="D46" t="s">
        <v>128</v>
      </c>
      <c r="E46" t="s">
        <v>129</v>
      </c>
      <c r="F46" s="11"/>
      <c r="G46" t="s">
        <v>130</v>
      </c>
      <c r="J46" t="s">
        <v>15</v>
      </c>
    </row>
    <row r="47" spans="1:10" x14ac:dyDescent="0.2">
      <c r="A47" t="s">
        <v>9</v>
      </c>
      <c r="B47">
        <v>46</v>
      </c>
      <c r="D47" t="s">
        <v>131</v>
      </c>
      <c r="E47" t="s">
        <v>132</v>
      </c>
      <c r="F47" s="11"/>
      <c r="G47" t="s">
        <v>60</v>
      </c>
      <c r="I47" t="s">
        <v>133</v>
      </c>
      <c r="J47" t="s">
        <v>15</v>
      </c>
    </row>
    <row r="48" spans="1:10" x14ac:dyDescent="0.2">
      <c r="A48" t="s">
        <v>9</v>
      </c>
      <c r="B48">
        <v>47</v>
      </c>
      <c r="D48" t="s">
        <v>134</v>
      </c>
      <c r="E48" t="s">
        <v>135</v>
      </c>
      <c r="F48" s="11"/>
      <c r="G48" t="s">
        <v>114</v>
      </c>
      <c r="I48" t="s">
        <v>136</v>
      </c>
      <c r="J48" t="s">
        <v>15</v>
      </c>
    </row>
    <row r="49" spans="1:10" x14ac:dyDescent="0.2">
      <c r="A49" t="s">
        <v>9</v>
      </c>
      <c r="B49">
        <v>48</v>
      </c>
      <c r="D49" t="s">
        <v>137</v>
      </c>
      <c r="E49" t="s">
        <v>138</v>
      </c>
      <c r="F49" s="11"/>
      <c r="G49" t="s">
        <v>60</v>
      </c>
      <c r="I49" t="s">
        <v>66</v>
      </c>
      <c r="J49" t="s">
        <v>15</v>
      </c>
    </row>
    <row r="50" spans="1:10" x14ac:dyDescent="0.2">
      <c r="A50" t="s">
        <v>9</v>
      </c>
      <c r="B50">
        <v>49</v>
      </c>
      <c r="D50" t="s">
        <v>139</v>
      </c>
      <c r="E50" t="s">
        <v>140</v>
      </c>
      <c r="F50" s="11"/>
      <c r="G50" t="s">
        <v>13</v>
      </c>
      <c r="H50" t="s">
        <v>57</v>
      </c>
      <c r="J50" t="s">
        <v>15</v>
      </c>
    </row>
    <row r="51" spans="1:10" x14ac:dyDescent="0.2">
      <c r="A51" t="s">
        <v>9</v>
      </c>
      <c r="B51">
        <v>50</v>
      </c>
      <c r="D51" t="s">
        <v>141</v>
      </c>
      <c r="E51" t="s">
        <v>142</v>
      </c>
      <c r="F51" s="11"/>
      <c r="G51" t="s">
        <v>13</v>
      </c>
      <c r="H51" t="s">
        <v>143</v>
      </c>
      <c r="J51" t="s">
        <v>15</v>
      </c>
    </row>
    <row r="52" spans="1:10" x14ac:dyDescent="0.2">
      <c r="A52" t="s">
        <v>9</v>
      </c>
      <c r="B52">
        <v>51</v>
      </c>
      <c r="D52" t="s">
        <v>144</v>
      </c>
      <c r="E52" t="s">
        <v>145</v>
      </c>
      <c r="F52" s="11"/>
      <c r="G52" t="s">
        <v>13</v>
      </c>
      <c r="H52" t="s">
        <v>47</v>
      </c>
      <c r="J52" t="s">
        <v>15</v>
      </c>
    </row>
    <row r="53" spans="1:10" x14ac:dyDescent="0.2">
      <c r="A53" t="s">
        <v>9</v>
      </c>
      <c r="B53">
        <v>52</v>
      </c>
      <c r="D53" t="s">
        <v>146</v>
      </c>
      <c r="E53" t="s">
        <v>147</v>
      </c>
      <c r="F53" s="11"/>
      <c r="G53" t="s">
        <v>148</v>
      </c>
      <c r="J53" t="s">
        <v>149</v>
      </c>
    </row>
    <row r="54" spans="1:10" x14ac:dyDescent="0.2">
      <c r="A54" t="s">
        <v>9</v>
      </c>
      <c r="B54">
        <v>53</v>
      </c>
      <c r="D54" t="s">
        <v>150</v>
      </c>
      <c r="E54" t="s">
        <v>151</v>
      </c>
      <c r="F54" s="11"/>
      <c r="G54" t="s">
        <v>148</v>
      </c>
      <c r="J54" t="s">
        <v>149</v>
      </c>
    </row>
    <row r="55" spans="1:10" x14ac:dyDescent="0.2">
      <c r="A55" t="s">
        <v>9</v>
      </c>
      <c r="B55">
        <v>54</v>
      </c>
      <c r="D55" t="s">
        <v>152</v>
      </c>
      <c r="E55" t="s">
        <v>153</v>
      </c>
      <c r="F55" s="11"/>
      <c r="G55" t="s">
        <v>148</v>
      </c>
      <c r="J55" t="s">
        <v>149</v>
      </c>
    </row>
    <row r="56" spans="1:10" x14ac:dyDescent="0.2">
      <c r="A56" t="s">
        <v>9</v>
      </c>
      <c r="B56">
        <v>55</v>
      </c>
      <c r="D56" t="s">
        <v>154</v>
      </c>
      <c r="E56" t="s">
        <v>155</v>
      </c>
      <c r="F56" s="11"/>
      <c r="G56" t="s">
        <v>148</v>
      </c>
    </row>
    <row r="57" spans="1:10" x14ac:dyDescent="0.2">
      <c r="A57" t="s">
        <v>9</v>
      </c>
      <c r="B57">
        <v>56</v>
      </c>
      <c r="D57" t="s">
        <v>156</v>
      </c>
      <c r="E57" t="s">
        <v>157</v>
      </c>
      <c r="F57" s="11"/>
      <c r="G57" t="s">
        <v>148</v>
      </c>
    </row>
    <row r="58" spans="1:10" x14ac:dyDescent="0.2">
      <c r="A58" t="s">
        <v>9</v>
      </c>
      <c r="B58">
        <v>57</v>
      </c>
      <c r="D58" t="s">
        <v>158</v>
      </c>
      <c r="E58" t="s">
        <v>159</v>
      </c>
      <c r="F58" s="11"/>
      <c r="G58" t="s">
        <v>148</v>
      </c>
    </row>
    <row r="59" spans="1:10" x14ac:dyDescent="0.2">
      <c r="A59" t="s">
        <v>9</v>
      </c>
      <c r="B59">
        <v>58</v>
      </c>
      <c r="D59" t="s">
        <v>160</v>
      </c>
      <c r="E59" t="s">
        <v>161</v>
      </c>
      <c r="F59" s="11"/>
      <c r="G59" t="s">
        <v>148</v>
      </c>
    </row>
    <row r="60" spans="1:10" x14ac:dyDescent="0.2">
      <c r="A60" t="s">
        <v>9</v>
      </c>
      <c r="B60">
        <v>59</v>
      </c>
      <c r="D60" t="s">
        <v>162</v>
      </c>
      <c r="E60" t="s">
        <v>163</v>
      </c>
      <c r="F60" s="11"/>
      <c r="G60" t="s">
        <v>148</v>
      </c>
      <c r="J60" t="s">
        <v>149</v>
      </c>
    </row>
    <row r="61" spans="1:10" x14ac:dyDescent="0.2">
      <c r="A61" t="s">
        <v>9</v>
      </c>
      <c r="B61">
        <v>60</v>
      </c>
      <c r="D61" t="s">
        <v>164</v>
      </c>
      <c r="E61" t="s">
        <v>165</v>
      </c>
      <c r="F61" s="11"/>
      <c r="G61" t="s">
        <v>148</v>
      </c>
      <c r="J61" t="s">
        <v>149</v>
      </c>
    </row>
    <row r="62" spans="1:10" x14ac:dyDescent="0.2">
      <c r="A62" t="s">
        <v>9</v>
      </c>
      <c r="B62">
        <v>61</v>
      </c>
      <c r="D62" t="s">
        <v>166</v>
      </c>
      <c r="E62" t="s">
        <v>167</v>
      </c>
      <c r="F62" s="11"/>
      <c r="G62" t="s">
        <v>148</v>
      </c>
    </row>
    <row r="63" spans="1:10" x14ac:dyDescent="0.2">
      <c r="A63" t="s">
        <v>9</v>
      </c>
      <c r="B63">
        <v>62</v>
      </c>
      <c r="D63" t="s">
        <v>168</v>
      </c>
      <c r="E63" t="s">
        <v>169</v>
      </c>
      <c r="F63" s="11"/>
      <c r="G63" t="s">
        <v>148</v>
      </c>
      <c r="J63" t="s">
        <v>149</v>
      </c>
    </row>
    <row r="64" spans="1:10" x14ac:dyDescent="0.2">
      <c r="A64" t="s">
        <v>9</v>
      </c>
      <c r="B64">
        <v>63</v>
      </c>
      <c r="D64" t="s">
        <v>170</v>
      </c>
      <c r="E64" t="s">
        <v>171</v>
      </c>
      <c r="F64" s="11"/>
      <c r="G64" t="s">
        <v>148</v>
      </c>
    </row>
    <row r="65" spans="1:10" x14ac:dyDescent="0.2">
      <c r="A65" t="s">
        <v>9</v>
      </c>
      <c r="B65">
        <v>64</v>
      </c>
      <c r="D65" t="s">
        <v>172</v>
      </c>
      <c r="E65" t="s">
        <v>173</v>
      </c>
      <c r="F65" s="11"/>
      <c r="G65" t="s">
        <v>148</v>
      </c>
    </row>
    <row r="66" spans="1:10" x14ac:dyDescent="0.2">
      <c r="A66" t="s">
        <v>9</v>
      </c>
      <c r="B66">
        <v>65</v>
      </c>
      <c r="D66" t="s">
        <v>174</v>
      </c>
      <c r="E66" t="s">
        <v>175</v>
      </c>
      <c r="F66" s="11"/>
      <c r="G66" t="s">
        <v>148</v>
      </c>
    </row>
    <row r="67" spans="1:10" x14ac:dyDescent="0.2">
      <c r="A67" t="s">
        <v>9</v>
      </c>
      <c r="B67">
        <v>66</v>
      </c>
      <c r="D67" t="s">
        <v>176</v>
      </c>
      <c r="F67" s="11"/>
      <c r="G67" t="s">
        <v>148</v>
      </c>
    </row>
    <row r="68" spans="1:10" x14ac:dyDescent="0.2">
      <c r="A68" t="s">
        <v>9</v>
      </c>
      <c r="B68">
        <v>67</v>
      </c>
      <c r="D68" t="s">
        <v>177</v>
      </c>
      <c r="F68" s="11"/>
      <c r="G68" t="s">
        <v>148</v>
      </c>
    </row>
    <row r="69" spans="1:10" x14ac:dyDescent="0.2">
      <c r="A69" t="s">
        <v>9</v>
      </c>
      <c r="B69">
        <v>68</v>
      </c>
      <c r="D69" t="s">
        <v>178</v>
      </c>
      <c r="F69" s="11"/>
      <c r="G69" t="s">
        <v>148</v>
      </c>
    </row>
    <row r="70" spans="1:10" x14ac:dyDescent="0.2">
      <c r="A70" t="s">
        <v>9</v>
      </c>
      <c r="B70">
        <v>69</v>
      </c>
      <c r="D70" t="s">
        <v>179</v>
      </c>
      <c r="F70" s="11"/>
      <c r="G70" t="s">
        <v>148</v>
      </c>
    </row>
    <row r="71" spans="1:10" x14ac:dyDescent="0.2">
      <c r="A71" t="s">
        <v>9</v>
      </c>
      <c r="B71">
        <v>70</v>
      </c>
      <c r="D71" t="s">
        <v>180</v>
      </c>
      <c r="F71" s="11"/>
      <c r="G71" t="s">
        <v>148</v>
      </c>
    </row>
    <row r="72" spans="1:10" x14ac:dyDescent="0.2">
      <c r="A72" t="s">
        <v>9</v>
      </c>
      <c r="B72">
        <v>71</v>
      </c>
      <c r="D72" t="s">
        <v>181</v>
      </c>
      <c r="E72" t="s">
        <v>182</v>
      </c>
      <c r="F72" s="11"/>
      <c r="G72" t="s">
        <v>148</v>
      </c>
      <c r="J72" t="s">
        <v>149</v>
      </c>
    </row>
    <row r="73" spans="1:10" x14ac:dyDescent="0.2">
      <c r="A73" t="s">
        <v>9</v>
      </c>
      <c r="B73">
        <v>72</v>
      </c>
      <c r="D73" t="s">
        <v>183</v>
      </c>
      <c r="E73" t="s">
        <v>184</v>
      </c>
      <c r="F73" s="11"/>
      <c r="G73" t="s">
        <v>148</v>
      </c>
      <c r="J73" t="s">
        <v>149</v>
      </c>
    </row>
    <row r="74" spans="1:10" x14ac:dyDescent="0.2">
      <c r="A74" t="s">
        <v>9</v>
      </c>
      <c r="B74">
        <v>73</v>
      </c>
      <c r="D74" t="s">
        <v>185</v>
      </c>
      <c r="E74" t="s">
        <v>186</v>
      </c>
      <c r="F74" s="11"/>
      <c r="G74" t="s">
        <v>148</v>
      </c>
      <c r="J74" t="s">
        <v>149</v>
      </c>
    </row>
    <row r="75" spans="1:10" x14ac:dyDescent="0.2">
      <c r="A75" t="s">
        <v>9</v>
      </c>
      <c r="B75">
        <v>74</v>
      </c>
      <c r="D75" t="s">
        <v>187</v>
      </c>
      <c r="E75" t="s">
        <v>188</v>
      </c>
      <c r="F75" s="11"/>
      <c r="G75" t="s">
        <v>148</v>
      </c>
    </row>
    <row r="76" spans="1:10" x14ac:dyDescent="0.2">
      <c r="A76" t="s">
        <v>9</v>
      </c>
      <c r="B76">
        <v>75</v>
      </c>
      <c r="D76" t="s">
        <v>189</v>
      </c>
      <c r="E76" t="s">
        <v>190</v>
      </c>
      <c r="F76" s="11"/>
      <c r="G76" t="s">
        <v>148</v>
      </c>
    </row>
    <row r="77" spans="1:10" x14ac:dyDescent="0.2">
      <c r="A77" t="s">
        <v>9</v>
      </c>
      <c r="B77">
        <v>76</v>
      </c>
      <c r="D77" t="s">
        <v>191</v>
      </c>
      <c r="E77" t="s">
        <v>192</v>
      </c>
      <c r="F77" s="11"/>
      <c r="G77" t="s">
        <v>148</v>
      </c>
    </row>
    <row r="78" spans="1:10" x14ac:dyDescent="0.2">
      <c r="A78" t="s">
        <v>9</v>
      </c>
      <c r="B78">
        <v>77</v>
      </c>
      <c r="D78" t="s">
        <v>193</v>
      </c>
      <c r="E78" t="s">
        <v>194</v>
      </c>
      <c r="F78" s="11"/>
      <c r="G78" t="s">
        <v>148</v>
      </c>
    </row>
    <row r="79" spans="1:10" x14ac:dyDescent="0.2">
      <c r="A79" t="s">
        <v>9</v>
      </c>
      <c r="B79">
        <v>78</v>
      </c>
      <c r="D79" t="s">
        <v>195</v>
      </c>
      <c r="E79" t="s">
        <v>196</v>
      </c>
      <c r="F79" s="11"/>
      <c r="G79" t="s">
        <v>148</v>
      </c>
      <c r="J79" t="s">
        <v>149</v>
      </c>
    </row>
    <row r="80" spans="1:10" x14ac:dyDescent="0.2">
      <c r="A80" t="s">
        <v>9</v>
      </c>
      <c r="B80">
        <v>79</v>
      </c>
      <c r="D80" t="s">
        <v>197</v>
      </c>
      <c r="E80" t="s">
        <v>198</v>
      </c>
      <c r="F80" s="11"/>
      <c r="G80" t="s">
        <v>148</v>
      </c>
      <c r="J80" t="s">
        <v>149</v>
      </c>
    </row>
    <row r="81" spans="1:10" x14ac:dyDescent="0.2">
      <c r="A81" t="s">
        <v>9</v>
      </c>
      <c r="B81">
        <v>80</v>
      </c>
      <c r="D81" t="s">
        <v>199</v>
      </c>
      <c r="E81" t="s">
        <v>200</v>
      </c>
      <c r="F81" s="11"/>
      <c r="G81" t="s">
        <v>148</v>
      </c>
      <c r="J81" t="s">
        <v>149</v>
      </c>
    </row>
    <row r="82" spans="1:10" x14ac:dyDescent="0.2">
      <c r="A82" t="s">
        <v>9</v>
      </c>
      <c r="B82">
        <v>81</v>
      </c>
      <c r="D82" t="s">
        <v>201</v>
      </c>
      <c r="E82" t="s">
        <v>202</v>
      </c>
      <c r="F82" s="11"/>
      <c r="G82" t="s">
        <v>148</v>
      </c>
    </row>
    <row r="83" spans="1:10" x14ac:dyDescent="0.2">
      <c r="A83" t="s">
        <v>9</v>
      </c>
      <c r="B83">
        <v>82</v>
      </c>
      <c r="D83" t="s">
        <v>203</v>
      </c>
      <c r="E83" t="s">
        <v>204</v>
      </c>
      <c r="F83" s="11"/>
      <c r="G83" t="s">
        <v>148</v>
      </c>
    </row>
    <row r="84" spans="1:10" x14ac:dyDescent="0.2">
      <c r="A84" t="s">
        <v>9</v>
      </c>
      <c r="B84">
        <v>83</v>
      </c>
      <c r="D84" t="s">
        <v>205</v>
      </c>
      <c r="E84" t="s">
        <v>206</v>
      </c>
      <c r="F84" s="11"/>
      <c r="G84" t="s">
        <v>148</v>
      </c>
    </row>
    <row r="85" spans="1:10" x14ac:dyDescent="0.2">
      <c r="A85" t="s">
        <v>9</v>
      </c>
      <c r="B85">
        <v>84</v>
      </c>
      <c r="D85" t="s">
        <v>207</v>
      </c>
      <c r="E85" t="s">
        <v>208</v>
      </c>
      <c r="F85" s="11"/>
      <c r="G85" t="s">
        <v>148</v>
      </c>
    </row>
    <row r="86" spans="1:10" x14ac:dyDescent="0.2">
      <c r="A86" t="s">
        <v>9</v>
      </c>
      <c r="B86">
        <v>85</v>
      </c>
      <c r="D86" t="s">
        <v>209</v>
      </c>
      <c r="E86" t="s">
        <v>210</v>
      </c>
      <c r="F86" s="11"/>
      <c r="G86" t="s">
        <v>148</v>
      </c>
      <c r="J86" t="s">
        <v>149</v>
      </c>
    </row>
    <row r="87" spans="1:10" x14ac:dyDescent="0.2">
      <c r="A87" t="s">
        <v>9</v>
      </c>
      <c r="B87">
        <v>86</v>
      </c>
      <c r="D87" t="s">
        <v>211</v>
      </c>
      <c r="E87" t="s">
        <v>212</v>
      </c>
      <c r="F87" s="11"/>
      <c r="G87" t="s">
        <v>148</v>
      </c>
      <c r="J87" t="s">
        <v>149</v>
      </c>
    </row>
    <row r="88" spans="1:10" x14ac:dyDescent="0.2">
      <c r="A88" t="s">
        <v>9</v>
      </c>
      <c r="B88">
        <v>87</v>
      </c>
      <c r="D88" t="s">
        <v>213</v>
      </c>
      <c r="E88" t="s">
        <v>214</v>
      </c>
      <c r="F88" s="11"/>
      <c r="G88" t="s">
        <v>148</v>
      </c>
      <c r="J88" t="s">
        <v>149</v>
      </c>
    </row>
    <row r="89" spans="1:10" x14ac:dyDescent="0.2">
      <c r="A89" t="s">
        <v>9</v>
      </c>
      <c r="B89">
        <v>88</v>
      </c>
      <c r="D89" t="s">
        <v>215</v>
      </c>
      <c r="E89" t="s">
        <v>216</v>
      </c>
      <c r="F89" s="11"/>
      <c r="G89" t="s">
        <v>148</v>
      </c>
    </row>
    <row r="90" spans="1:10" x14ac:dyDescent="0.2">
      <c r="A90" t="s">
        <v>9</v>
      </c>
      <c r="B90">
        <v>89</v>
      </c>
      <c r="D90" t="s">
        <v>217</v>
      </c>
      <c r="E90" t="s">
        <v>218</v>
      </c>
      <c r="F90" s="11"/>
      <c r="G90" t="s">
        <v>148</v>
      </c>
    </row>
    <row r="91" spans="1:10" x14ac:dyDescent="0.2">
      <c r="A91" t="s">
        <v>9</v>
      </c>
      <c r="B91">
        <v>90</v>
      </c>
      <c r="D91" t="s">
        <v>219</v>
      </c>
      <c r="E91" t="s">
        <v>220</v>
      </c>
      <c r="F91" s="11"/>
      <c r="G91" t="s">
        <v>148</v>
      </c>
    </row>
    <row r="92" spans="1:10" x14ac:dyDescent="0.2">
      <c r="A92" t="s">
        <v>9</v>
      </c>
      <c r="B92">
        <v>91</v>
      </c>
      <c r="D92" t="s">
        <v>221</v>
      </c>
      <c r="E92" t="s">
        <v>222</v>
      </c>
      <c r="F92" s="11"/>
      <c r="G92" t="s">
        <v>148</v>
      </c>
    </row>
    <row r="93" spans="1:10" x14ac:dyDescent="0.2">
      <c r="A93" t="s">
        <v>9</v>
      </c>
      <c r="B93">
        <v>92</v>
      </c>
      <c r="D93" t="s">
        <v>223</v>
      </c>
      <c r="E93" t="s">
        <v>224</v>
      </c>
      <c r="F93" s="11"/>
      <c r="G93" t="s">
        <v>148</v>
      </c>
      <c r="J93" t="s">
        <v>149</v>
      </c>
    </row>
    <row r="94" spans="1:10" x14ac:dyDescent="0.2">
      <c r="A94" t="s">
        <v>9</v>
      </c>
      <c r="B94">
        <v>93</v>
      </c>
      <c r="D94" t="s">
        <v>225</v>
      </c>
      <c r="E94" t="s">
        <v>226</v>
      </c>
      <c r="F94" s="11"/>
      <c r="G94" t="s">
        <v>148</v>
      </c>
      <c r="J94" t="s">
        <v>149</v>
      </c>
    </row>
    <row r="95" spans="1:10" x14ac:dyDescent="0.2">
      <c r="A95" t="s">
        <v>9</v>
      </c>
      <c r="B95">
        <v>94</v>
      </c>
      <c r="D95" t="s">
        <v>227</v>
      </c>
      <c r="E95" t="s">
        <v>228</v>
      </c>
      <c r="F95" s="11"/>
      <c r="G95" t="s">
        <v>148</v>
      </c>
      <c r="J95" t="s">
        <v>149</v>
      </c>
    </row>
    <row r="96" spans="1:10" x14ac:dyDescent="0.2">
      <c r="A96" t="s">
        <v>9</v>
      </c>
      <c r="B96">
        <v>95</v>
      </c>
      <c r="D96" t="s">
        <v>229</v>
      </c>
      <c r="E96" t="s">
        <v>230</v>
      </c>
      <c r="F96" s="11"/>
      <c r="G96" t="s">
        <v>148</v>
      </c>
    </row>
    <row r="97" spans="1:10" x14ac:dyDescent="0.2">
      <c r="A97" t="s">
        <v>9</v>
      </c>
      <c r="B97">
        <v>96</v>
      </c>
      <c r="D97" t="s">
        <v>231</v>
      </c>
      <c r="E97" t="s">
        <v>232</v>
      </c>
      <c r="F97" s="11"/>
      <c r="G97" t="s">
        <v>148</v>
      </c>
    </row>
    <row r="98" spans="1:10" x14ac:dyDescent="0.2">
      <c r="A98" t="s">
        <v>9</v>
      </c>
      <c r="B98">
        <v>97</v>
      </c>
      <c r="D98" t="s">
        <v>233</v>
      </c>
      <c r="E98" t="s">
        <v>234</v>
      </c>
      <c r="F98" s="11"/>
      <c r="G98" t="s">
        <v>148</v>
      </c>
    </row>
    <row r="99" spans="1:10" x14ac:dyDescent="0.2">
      <c r="A99" t="s">
        <v>9</v>
      </c>
      <c r="B99">
        <v>98</v>
      </c>
      <c r="D99" t="s">
        <v>235</v>
      </c>
      <c r="E99" t="s">
        <v>236</v>
      </c>
      <c r="F99" s="11"/>
      <c r="G99" t="s">
        <v>148</v>
      </c>
    </row>
    <row r="100" spans="1:10" x14ac:dyDescent="0.2">
      <c r="A100" t="s">
        <v>9</v>
      </c>
      <c r="B100">
        <v>99</v>
      </c>
      <c r="D100" t="s">
        <v>237</v>
      </c>
      <c r="E100" t="s">
        <v>238</v>
      </c>
      <c r="F100" s="11"/>
      <c r="G100" t="s">
        <v>239</v>
      </c>
      <c r="J100" t="s">
        <v>240</v>
      </c>
    </row>
    <row r="101" spans="1:10" x14ac:dyDescent="0.2">
      <c r="A101" t="s">
        <v>9</v>
      </c>
      <c r="B101">
        <v>100</v>
      </c>
      <c r="D101" t="s">
        <v>241</v>
      </c>
      <c r="E101" t="s">
        <v>242</v>
      </c>
      <c r="F101" s="11"/>
      <c r="G101" t="s">
        <v>239</v>
      </c>
      <c r="J101" t="s">
        <v>240</v>
      </c>
    </row>
    <row r="102" spans="1:10" x14ac:dyDescent="0.2">
      <c r="A102" t="s">
        <v>9</v>
      </c>
      <c r="B102">
        <v>101</v>
      </c>
      <c r="D102" t="s">
        <v>243</v>
      </c>
      <c r="E102" t="s">
        <v>244</v>
      </c>
      <c r="F102" s="11"/>
      <c r="G102" t="s">
        <v>239</v>
      </c>
      <c r="J102" t="s">
        <v>240</v>
      </c>
    </row>
    <row r="103" spans="1:10" x14ac:dyDescent="0.2">
      <c r="A103" t="s">
        <v>9</v>
      </c>
      <c r="B103">
        <v>102</v>
      </c>
      <c r="D103" t="s">
        <v>245</v>
      </c>
      <c r="E103" t="s">
        <v>246</v>
      </c>
      <c r="F103" s="11"/>
      <c r="G103" t="s">
        <v>247</v>
      </c>
      <c r="H103" t="s">
        <v>248</v>
      </c>
      <c r="J103" t="s">
        <v>249</v>
      </c>
    </row>
    <row r="104" spans="1:10" x14ac:dyDescent="0.2">
      <c r="A104" t="s">
        <v>9</v>
      </c>
      <c r="B104">
        <v>103</v>
      </c>
      <c r="D104" t="s">
        <v>250</v>
      </c>
      <c r="E104" t="s">
        <v>251</v>
      </c>
      <c r="F104" s="11"/>
      <c r="G104" t="s">
        <v>120</v>
      </c>
      <c r="I104" t="s">
        <v>252</v>
      </c>
      <c r="J104" t="s">
        <v>249</v>
      </c>
    </row>
    <row r="105" spans="1:10" x14ac:dyDescent="0.2">
      <c r="A105" t="s">
        <v>9</v>
      </c>
      <c r="B105">
        <v>104</v>
      </c>
      <c r="D105" t="s">
        <v>253</v>
      </c>
      <c r="E105" t="s">
        <v>254</v>
      </c>
      <c r="F105" s="11"/>
      <c r="G105" t="s">
        <v>120</v>
      </c>
      <c r="I105" t="s">
        <v>252</v>
      </c>
      <c r="J105" t="s">
        <v>249</v>
      </c>
    </row>
    <row r="106" spans="1:10" x14ac:dyDescent="0.2">
      <c r="A106" t="s">
        <v>9</v>
      </c>
      <c r="B106">
        <v>105</v>
      </c>
      <c r="D106" t="s">
        <v>255</v>
      </c>
      <c r="E106" t="s">
        <v>256</v>
      </c>
      <c r="F106" s="11"/>
      <c r="G106" t="s">
        <v>120</v>
      </c>
      <c r="I106" t="s">
        <v>257</v>
      </c>
      <c r="J106" t="s">
        <v>249</v>
      </c>
    </row>
    <row r="107" spans="1:10" x14ac:dyDescent="0.2">
      <c r="A107" t="s">
        <v>9</v>
      </c>
      <c r="B107">
        <v>106</v>
      </c>
      <c r="D107" t="s">
        <v>258</v>
      </c>
      <c r="E107" t="s">
        <v>259</v>
      </c>
      <c r="F107" s="11"/>
    </row>
    <row r="108" spans="1:10" x14ac:dyDescent="0.2">
      <c r="A108" t="s">
        <v>9</v>
      </c>
      <c r="B108">
        <v>107</v>
      </c>
      <c r="D108" t="s">
        <v>260</v>
      </c>
      <c r="E108" t="s">
        <v>261</v>
      </c>
      <c r="F108" s="11"/>
      <c r="G108" t="s">
        <v>114</v>
      </c>
      <c r="I108" t="s">
        <v>117</v>
      </c>
      <c r="J108" t="s">
        <v>149</v>
      </c>
    </row>
    <row r="109" spans="1:10" x14ac:dyDescent="0.2">
      <c r="A109" t="s">
        <v>9</v>
      </c>
      <c r="B109">
        <v>108</v>
      </c>
      <c r="D109" t="s">
        <v>262</v>
      </c>
      <c r="E109" t="s">
        <v>263</v>
      </c>
      <c r="F109" s="11"/>
    </row>
    <row r="110" spans="1:10" x14ac:dyDescent="0.2">
      <c r="A110" t="s">
        <v>9</v>
      </c>
      <c r="B110">
        <v>109</v>
      </c>
      <c r="D110" t="s">
        <v>264</v>
      </c>
      <c r="E110" t="s">
        <v>265</v>
      </c>
      <c r="F110" s="11"/>
      <c r="G110" t="s">
        <v>114</v>
      </c>
      <c r="I110" t="s">
        <v>252</v>
      </c>
      <c r="J110" t="s">
        <v>149</v>
      </c>
    </row>
    <row r="111" spans="1:10" x14ac:dyDescent="0.2">
      <c r="A111" t="s">
        <v>9</v>
      </c>
      <c r="B111">
        <v>110</v>
      </c>
      <c r="D111" t="s">
        <v>266</v>
      </c>
      <c r="E111" t="s">
        <v>267</v>
      </c>
      <c r="F111" s="11"/>
      <c r="G111" t="s">
        <v>96</v>
      </c>
      <c r="J111" t="s">
        <v>149</v>
      </c>
    </row>
    <row r="112" spans="1:10" x14ac:dyDescent="0.2">
      <c r="A112" t="s">
        <v>9</v>
      </c>
      <c r="B112">
        <v>111</v>
      </c>
      <c r="D112" t="s">
        <v>268</v>
      </c>
      <c r="E112" t="s">
        <v>269</v>
      </c>
      <c r="F112" s="11"/>
      <c r="G112" t="s">
        <v>114</v>
      </c>
      <c r="I112" t="s">
        <v>117</v>
      </c>
      <c r="J112" t="s">
        <v>149</v>
      </c>
    </row>
    <row r="113" spans="1:10" x14ac:dyDescent="0.2">
      <c r="A113" t="s">
        <v>9</v>
      </c>
      <c r="B113">
        <v>112</v>
      </c>
      <c r="D113" t="s">
        <v>270</v>
      </c>
      <c r="E113" t="s">
        <v>271</v>
      </c>
      <c r="F113" s="11"/>
      <c r="G113" t="s">
        <v>72</v>
      </c>
      <c r="I113" t="s">
        <v>117</v>
      </c>
      <c r="J113" t="s">
        <v>149</v>
      </c>
    </row>
    <row r="114" spans="1:10" x14ac:dyDescent="0.2">
      <c r="A114" t="s">
        <v>9</v>
      </c>
      <c r="B114">
        <v>113</v>
      </c>
      <c r="D114" t="s">
        <v>272</v>
      </c>
      <c r="E114" t="s">
        <v>273</v>
      </c>
      <c r="F114" s="11"/>
      <c r="G114" t="s">
        <v>274</v>
      </c>
      <c r="I114" t="s">
        <v>117</v>
      </c>
      <c r="J114" t="s">
        <v>149</v>
      </c>
    </row>
    <row r="115" spans="1:10" x14ac:dyDescent="0.2">
      <c r="A115" t="s">
        <v>9</v>
      </c>
      <c r="B115">
        <v>114</v>
      </c>
      <c r="D115" t="s">
        <v>275</v>
      </c>
      <c r="E115" t="s">
        <v>276</v>
      </c>
      <c r="F115" s="11"/>
    </row>
    <row r="116" spans="1:10" x14ac:dyDescent="0.2">
      <c r="A116" t="s">
        <v>9</v>
      </c>
      <c r="B116">
        <v>115</v>
      </c>
      <c r="D116" t="s">
        <v>277</v>
      </c>
      <c r="E116" t="s">
        <v>278</v>
      </c>
      <c r="F116" s="11"/>
      <c r="G116" t="s">
        <v>114</v>
      </c>
      <c r="I116" t="s">
        <v>117</v>
      </c>
      <c r="J116" t="s">
        <v>279</v>
      </c>
    </row>
    <row r="117" spans="1:10" x14ac:dyDescent="0.2">
      <c r="A117" t="s">
        <v>9</v>
      </c>
      <c r="B117">
        <v>116</v>
      </c>
      <c r="D117" t="s">
        <v>280</v>
      </c>
      <c r="E117" t="s">
        <v>281</v>
      </c>
      <c r="F117" s="11"/>
      <c r="G117" t="s">
        <v>114</v>
      </c>
      <c r="I117" t="s">
        <v>257</v>
      </c>
      <c r="J117" t="s">
        <v>279</v>
      </c>
    </row>
    <row r="118" spans="1:10" x14ac:dyDescent="0.2">
      <c r="A118" t="s">
        <v>9</v>
      </c>
      <c r="B118">
        <v>117</v>
      </c>
      <c r="D118" t="s">
        <v>282</v>
      </c>
      <c r="E118" t="s">
        <v>283</v>
      </c>
      <c r="F118" s="11"/>
      <c r="G118" t="s">
        <v>96</v>
      </c>
      <c r="J118" t="s">
        <v>279</v>
      </c>
    </row>
    <row r="119" spans="1:10" x14ac:dyDescent="0.2">
      <c r="A119" t="s">
        <v>9</v>
      </c>
      <c r="B119">
        <v>118</v>
      </c>
      <c r="D119" t="s">
        <v>284</v>
      </c>
      <c r="E119" t="s">
        <v>285</v>
      </c>
      <c r="F119" s="11"/>
      <c r="G119" t="s">
        <v>114</v>
      </c>
      <c r="I119" t="s">
        <v>286</v>
      </c>
      <c r="J119" t="s">
        <v>279</v>
      </c>
    </row>
    <row r="120" spans="1:10" x14ac:dyDescent="0.2">
      <c r="A120" t="s">
        <v>9</v>
      </c>
      <c r="B120">
        <v>119</v>
      </c>
      <c r="D120" t="s">
        <v>287</v>
      </c>
      <c r="E120" t="s">
        <v>288</v>
      </c>
      <c r="F120" s="11"/>
      <c r="G120" t="s">
        <v>72</v>
      </c>
      <c r="I120" t="s">
        <v>286</v>
      </c>
      <c r="J120" t="s">
        <v>279</v>
      </c>
    </row>
    <row r="121" spans="1:10" x14ac:dyDescent="0.2">
      <c r="A121" t="s">
        <v>9</v>
      </c>
      <c r="B121">
        <v>120</v>
      </c>
      <c r="D121" t="s">
        <v>289</v>
      </c>
      <c r="E121" t="s">
        <v>290</v>
      </c>
      <c r="F121" s="11"/>
      <c r="G121" t="s">
        <v>114</v>
      </c>
      <c r="I121" t="s">
        <v>257</v>
      </c>
      <c r="J121" t="s">
        <v>279</v>
      </c>
    </row>
    <row r="122" spans="1:10" x14ac:dyDescent="0.2">
      <c r="A122" t="s">
        <v>9</v>
      </c>
      <c r="B122">
        <v>121</v>
      </c>
      <c r="D122" t="s">
        <v>291</v>
      </c>
      <c r="E122" t="s">
        <v>292</v>
      </c>
      <c r="F122" s="11"/>
      <c r="G122" t="s">
        <v>72</v>
      </c>
      <c r="I122" t="s">
        <v>257</v>
      </c>
      <c r="J122" t="s">
        <v>279</v>
      </c>
    </row>
    <row r="123" spans="1:10" x14ac:dyDescent="0.2">
      <c r="A123" t="s">
        <v>9</v>
      </c>
      <c r="B123">
        <v>122</v>
      </c>
      <c r="D123" t="s">
        <v>293</v>
      </c>
      <c r="E123" t="s">
        <v>294</v>
      </c>
      <c r="F123" s="11"/>
    </row>
    <row r="124" spans="1:10" x14ac:dyDescent="0.2">
      <c r="A124" t="s">
        <v>9</v>
      </c>
      <c r="B124">
        <v>123</v>
      </c>
      <c r="D124" t="s">
        <v>295</v>
      </c>
      <c r="E124" t="s">
        <v>296</v>
      </c>
      <c r="F124" s="11"/>
    </row>
    <row r="125" spans="1:10" x14ac:dyDescent="0.2">
      <c r="A125" t="s">
        <v>9</v>
      </c>
      <c r="B125">
        <v>124</v>
      </c>
      <c r="D125" t="s">
        <v>297</v>
      </c>
      <c r="E125" t="s">
        <v>298</v>
      </c>
      <c r="F125" s="11"/>
    </row>
    <row r="126" spans="1:10" x14ac:dyDescent="0.2">
      <c r="A126" t="s">
        <v>9</v>
      </c>
      <c r="B126">
        <v>125</v>
      </c>
      <c r="D126">
        <v>202</v>
      </c>
      <c r="E126" t="s">
        <v>299</v>
      </c>
      <c r="F126" s="11"/>
      <c r="G126" t="s">
        <v>114</v>
      </c>
      <c r="I126" t="s">
        <v>300</v>
      </c>
      <c r="J126" t="s">
        <v>301</v>
      </c>
    </row>
    <row r="127" spans="1:10" x14ac:dyDescent="0.2">
      <c r="A127" t="s">
        <v>9</v>
      </c>
      <c r="B127">
        <v>126</v>
      </c>
      <c r="D127" t="s">
        <v>302</v>
      </c>
      <c r="E127" t="s">
        <v>303</v>
      </c>
      <c r="F127" s="11"/>
    </row>
    <row r="128" spans="1:10" x14ac:dyDescent="0.2">
      <c r="A128" t="s">
        <v>9</v>
      </c>
      <c r="B128">
        <v>127</v>
      </c>
      <c r="D128">
        <v>204</v>
      </c>
      <c r="E128" t="s">
        <v>304</v>
      </c>
      <c r="F128" s="11"/>
      <c r="G128" t="s">
        <v>96</v>
      </c>
      <c r="J128" t="s">
        <v>301</v>
      </c>
    </row>
    <row r="129" spans="1:10" x14ac:dyDescent="0.2">
      <c r="A129" t="s">
        <v>9</v>
      </c>
      <c r="B129">
        <v>128</v>
      </c>
      <c r="D129" t="s">
        <v>305</v>
      </c>
      <c r="E129" t="s">
        <v>303</v>
      </c>
      <c r="F129" s="11"/>
    </row>
    <row r="130" spans="1:10" x14ac:dyDescent="0.2">
      <c r="A130" t="s">
        <v>9</v>
      </c>
      <c r="B130">
        <v>129</v>
      </c>
      <c r="D130">
        <v>206</v>
      </c>
      <c r="E130" t="s">
        <v>306</v>
      </c>
      <c r="F130" s="11"/>
      <c r="G130" t="s">
        <v>114</v>
      </c>
      <c r="I130" t="s">
        <v>286</v>
      </c>
      <c r="J130" t="s">
        <v>301</v>
      </c>
    </row>
    <row r="131" spans="1:10" x14ac:dyDescent="0.2">
      <c r="A131" t="s">
        <v>9</v>
      </c>
      <c r="B131">
        <v>130</v>
      </c>
      <c r="D131">
        <v>207</v>
      </c>
      <c r="E131" t="s">
        <v>307</v>
      </c>
      <c r="F131" s="11"/>
      <c r="G131" t="s">
        <v>72</v>
      </c>
      <c r="J131" t="s">
        <v>301</v>
      </c>
    </row>
    <row r="132" spans="1:10" x14ac:dyDescent="0.2">
      <c r="A132" t="s">
        <v>9</v>
      </c>
      <c r="B132">
        <v>131</v>
      </c>
      <c r="D132">
        <v>208</v>
      </c>
      <c r="E132" t="s">
        <v>308</v>
      </c>
      <c r="F132" s="11"/>
      <c r="G132" t="s">
        <v>96</v>
      </c>
      <c r="J132" t="s">
        <v>301</v>
      </c>
    </row>
    <row r="133" spans="1:10" x14ac:dyDescent="0.2">
      <c r="A133" t="s">
        <v>9</v>
      </c>
      <c r="B133">
        <v>132</v>
      </c>
      <c r="D133">
        <v>209</v>
      </c>
      <c r="E133" t="s">
        <v>309</v>
      </c>
      <c r="F133" s="11"/>
      <c r="G133" t="s">
        <v>114</v>
      </c>
      <c r="I133" t="s">
        <v>286</v>
      </c>
      <c r="J133" t="s">
        <v>301</v>
      </c>
    </row>
    <row r="134" spans="1:10" x14ac:dyDescent="0.2">
      <c r="A134" t="s">
        <v>9</v>
      </c>
      <c r="B134">
        <v>133</v>
      </c>
      <c r="D134" t="s">
        <v>310</v>
      </c>
      <c r="E134" t="s">
        <v>303</v>
      </c>
      <c r="F134" s="11"/>
    </row>
    <row r="135" spans="1:10" x14ac:dyDescent="0.2">
      <c r="A135" t="s">
        <v>9</v>
      </c>
      <c r="B135">
        <v>134</v>
      </c>
      <c r="D135">
        <v>211</v>
      </c>
      <c r="E135" t="s">
        <v>311</v>
      </c>
      <c r="F135" s="11"/>
      <c r="G135" t="s">
        <v>72</v>
      </c>
      <c r="I135" t="s">
        <v>257</v>
      </c>
      <c r="J135" t="s">
        <v>301</v>
      </c>
    </row>
    <row r="136" spans="1:10" x14ac:dyDescent="0.2">
      <c r="A136" t="s">
        <v>9</v>
      </c>
      <c r="B136">
        <v>135</v>
      </c>
      <c r="D136">
        <v>212</v>
      </c>
      <c r="E136" t="s">
        <v>312</v>
      </c>
      <c r="F136" s="11"/>
      <c r="G136" t="s">
        <v>96</v>
      </c>
      <c r="I136" t="s">
        <v>313</v>
      </c>
      <c r="J136" t="s">
        <v>301</v>
      </c>
    </row>
    <row r="137" spans="1:10" x14ac:dyDescent="0.2">
      <c r="A137" t="s">
        <v>9</v>
      </c>
      <c r="B137">
        <v>136</v>
      </c>
      <c r="D137">
        <v>213</v>
      </c>
      <c r="E137" t="s">
        <v>314</v>
      </c>
      <c r="F137" s="11"/>
      <c r="G137" t="s">
        <v>96</v>
      </c>
      <c r="J137" t="s">
        <v>301</v>
      </c>
    </row>
    <row r="138" spans="1:10" x14ac:dyDescent="0.2">
      <c r="A138" t="s">
        <v>9</v>
      </c>
      <c r="B138">
        <v>137</v>
      </c>
      <c r="D138">
        <v>214</v>
      </c>
      <c r="E138" t="s">
        <v>315</v>
      </c>
      <c r="F138" s="11"/>
      <c r="G138" t="s">
        <v>114</v>
      </c>
      <c r="J138" t="s">
        <v>301</v>
      </c>
    </row>
    <row r="139" spans="1:10" x14ac:dyDescent="0.2">
      <c r="A139" t="s">
        <v>9</v>
      </c>
      <c r="B139">
        <v>138</v>
      </c>
      <c r="D139" t="s">
        <v>316</v>
      </c>
      <c r="E139" t="s">
        <v>303</v>
      </c>
      <c r="F139" s="11"/>
    </row>
    <row r="140" spans="1:10" x14ac:dyDescent="0.2">
      <c r="A140" t="s">
        <v>9</v>
      </c>
      <c r="B140">
        <v>139</v>
      </c>
      <c r="D140" t="s">
        <v>317</v>
      </c>
      <c r="E140" t="s">
        <v>303</v>
      </c>
      <c r="F140" s="11"/>
    </row>
    <row r="141" spans="1:10" x14ac:dyDescent="0.2">
      <c r="A141" t="s">
        <v>9</v>
      </c>
      <c r="B141">
        <v>140</v>
      </c>
      <c r="D141" t="s">
        <v>318</v>
      </c>
      <c r="E141" t="s">
        <v>303</v>
      </c>
      <c r="F141" s="11"/>
    </row>
    <row r="142" spans="1:10" x14ac:dyDescent="0.2">
      <c r="A142" t="s">
        <v>9</v>
      </c>
      <c r="B142">
        <v>141</v>
      </c>
      <c r="D142">
        <v>218</v>
      </c>
      <c r="E142" t="s">
        <v>319</v>
      </c>
      <c r="F142" s="11"/>
      <c r="G142" t="s">
        <v>114</v>
      </c>
      <c r="I142" t="s">
        <v>117</v>
      </c>
      <c r="J142" t="s">
        <v>149</v>
      </c>
    </row>
    <row r="143" spans="1:10" x14ac:dyDescent="0.2">
      <c r="A143" t="s">
        <v>9</v>
      </c>
      <c r="B143">
        <v>142</v>
      </c>
      <c r="D143">
        <v>219</v>
      </c>
      <c r="E143" t="s">
        <v>320</v>
      </c>
      <c r="F143" s="11"/>
      <c r="G143" t="s">
        <v>114</v>
      </c>
      <c r="I143" t="s">
        <v>286</v>
      </c>
      <c r="J143" t="s">
        <v>149</v>
      </c>
    </row>
    <row r="144" spans="1:10" x14ac:dyDescent="0.2">
      <c r="A144" t="s">
        <v>9</v>
      </c>
      <c r="B144">
        <v>143</v>
      </c>
      <c r="D144" t="s">
        <v>321</v>
      </c>
      <c r="E144" t="s">
        <v>303</v>
      </c>
      <c r="F144" s="11"/>
    </row>
    <row r="145" spans="1:10" x14ac:dyDescent="0.2">
      <c r="A145" t="s">
        <v>9</v>
      </c>
      <c r="B145">
        <v>144</v>
      </c>
      <c r="D145">
        <v>221</v>
      </c>
      <c r="E145" t="s">
        <v>322</v>
      </c>
      <c r="F145" s="11"/>
      <c r="G145" t="s">
        <v>114</v>
      </c>
      <c r="I145" t="s">
        <v>323</v>
      </c>
      <c r="J145" t="s">
        <v>149</v>
      </c>
    </row>
    <row r="146" spans="1:10" x14ac:dyDescent="0.2">
      <c r="A146" t="s">
        <v>9</v>
      </c>
      <c r="B146">
        <v>145</v>
      </c>
      <c r="D146" t="s">
        <v>324</v>
      </c>
      <c r="E146" t="s">
        <v>303</v>
      </c>
      <c r="F146" s="11"/>
    </row>
    <row r="147" spans="1:10" x14ac:dyDescent="0.2">
      <c r="A147" t="s">
        <v>9</v>
      </c>
      <c r="B147">
        <v>146</v>
      </c>
      <c r="D147" t="s">
        <v>325</v>
      </c>
      <c r="E147" t="s">
        <v>303</v>
      </c>
      <c r="F147" s="11"/>
    </row>
    <row r="148" spans="1:10" x14ac:dyDescent="0.2">
      <c r="A148" t="s">
        <v>9</v>
      </c>
      <c r="B148">
        <v>147</v>
      </c>
      <c r="D148">
        <v>224</v>
      </c>
      <c r="E148" t="s">
        <v>326</v>
      </c>
      <c r="F148" s="11"/>
      <c r="G148" t="s">
        <v>327</v>
      </c>
      <c r="I148" t="s">
        <v>323</v>
      </c>
      <c r="J148" t="s">
        <v>149</v>
      </c>
    </row>
    <row r="149" spans="1:10" x14ac:dyDescent="0.2">
      <c r="A149" t="s">
        <v>9</v>
      </c>
      <c r="B149">
        <v>148</v>
      </c>
      <c r="D149">
        <v>225</v>
      </c>
      <c r="E149" t="s">
        <v>328</v>
      </c>
      <c r="F149" s="11"/>
      <c r="G149" t="s">
        <v>114</v>
      </c>
      <c r="I149" t="s">
        <v>323</v>
      </c>
      <c r="J149" t="s">
        <v>149</v>
      </c>
    </row>
    <row r="150" spans="1:10" x14ac:dyDescent="0.2">
      <c r="A150" t="s">
        <v>9</v>
      </c>
      <c r="B150">
        <v>149</v>
      </c>
      <c r="D150">
        <v>226</v>
      </c>
      <c r="E150" t="s">
        <v>329</v>
      </c>
      <c r="F150" s="11"/>
      <c r="G150" t="s">
        <v>114</v>
      </c>
      <c r="I150" t="s">
        <v>323</v>
      </c>
      <c r="J150" t="s">
        <v>149</v>
      </c>
    </row>
    <row r="151" spans="1:10" x14ac:dyDescent="0.2">
      <c r="A151" t="s">
        <v>9</v>
      </c>
      <c r="B151">
        <v>150</v>
      </c>
      <c r="D151">
        <v>227</v>
      </c>
      <c r="E151" t="s">
        <v>330</v>
      </c>
      <c r="F151" s="11"/>
      <c r="G151" t="s">
        <v>72</v>
      </c>
      <c r="I151" t="s">
        <v>331</v>
      </c>
      <c r="J151" t="s">
        <v>149</v>
      </c>
    </row>
    <row r="152" spans="1:10" x14ac:dyDescent="0.2">
      <c r="A152" t="s">
        <v>9</v>
      </c>
      <c r="B152">
        <v>151</v>
      </c>
      <c r="D152">
        <v>228</v>
      </c>
      <c r="E152" t="s">
        <v>332</v>
      </c>
      <c r="F152" s="11"/>
      <c r="G152" t="s">
        <v>333</v>
      </c>
      <c r="I152" t="s">
        <v>334</v>
      </c>
      <c r="J152" t="s">
        <v>149</v>
      </c>
    </row>
    <row r="153" spans="1:10" x14ac:dyDescent="0.2">
      <c r="A153" t="s">
        <v>9</v>
      </c>
      <c r="B153">
        <v>152</v>
      </c>
      <c r="D153" t="s">
        <v>335</v>
      </c>
      <c r="E153" t="s">
        <v>336</v>
      </c>
      <c r="F153" s="11"/>
      <c r="G153" t="s">
        <v>114</v>
      </c>
      <c r="I153" t="s">
        <v>334</v>
      </c>
      <c r="J153" t="s">
        <v>149</v>
      </c>
    </row>
    <row r="154" spans="1:10" x14ac:dyDescent="0.2">
      <c r="A154" t="s">
        <v>9</v>
      </c>
      <c r="B154">
        <v>153</v>
      </c>
      <c r="D154">
        <v>229</v>
      </c>
      <c r="E154" t="s">
        <v>337</v>
      </c>
      <c r="F154" s="11"/>
      <c r="G154" t="s">
        <v>338</v>
      </c>
      <c r="I154" t="s">
        <v>331</v>
      </c>
      <c r="J154" t="s">
        <v>301</v>
      </c>
    </row>
    <row r="155" spans="1:10" x14ac:dyDescent="0.2">
      <c r="A155" t="s">
        <v>9</v>
      </c>
      <c r="B155">
        <v>154</v>
      </c>
      <c r="D155">
        <v>230</v>
      </c>
      <c r="E155" t="s">
        <v>339</v>
      </c>
      <c r="F155" s="11"/>
      <c r="G155" t="s">
        <v>338</v>
      </c>
      <c r="I155" t="s">
        <v>331</v>
      </c>
      <c r="J155" t="s">
        <v>301</v>
      </c>
    </row>
    <row r="156" spans="1:10" x14ac:dyDescent="0.2">
      <c r="A156" t="s">
        <v>9</v>
      </c>
      <c r="B156">
        <v>155</v>
      </c>
      <c r="D156">
        <v>231</v>
      </c>
      <c r="E156" t="s">
        <v>340</v>
      </c>
      <c r="F156" s="11"/>
      <c r="G156" t="s">
        <v>72</v>
      </c>
      <c r="I156" t="s">
        <v>331</v>
      </c>
      <c r="J156" t="s">
        <v>301</v>
      </c>
    </row>
    <row r="157" spans="1:10" x14ac:dyDescent="0.2">
      <c r="A157" t="s">
        <v>9</v>
      </c>
      <c r="B157">
        <v>156</v>
      </c>
      <c r="D157">
        <v>232</v>
      </c>
      <c r="E157" t="s">
        <v>341</v>
      </c>
      <c r="F157" s="11"/>
      <c r="G157" t="s">
        <v>342</v>
      </c>
      <c r="I157" t="s">
        <v>331</v>
      </c>
      <c r="J157" t="s">
        <v>301</v>
      </c>
    </row>
    <row r="158" spans="1:10" x14ac:dyDescent="0.2">
      <c r="A158" t="s">
        <v>9</v>
      </c>
      <c r="B158">
        <v>157</v>
      </c>
      <c r="D158">
        <v>233</v>
      </c>
      <c r="E158" t="s">
        <v>343</v>
      </c>
      <c r="F158" s="11"/>
      <c r="G158" t="s">
        <v>342</v>
      </c>
      <c r="I158" t="s">
        <v>331</v>
      </c>
      <c r="J158" t="s">
        <v>301</v>
      </c>
    </row>
    <row r="159" spans="1:10" x14ac:dyDescent="0.2">
      <c r="A159" t="s">
        <v>9</v>
      </c>
      <c r="B159">
        <v>158</v>
      </c>
      <c r="D159">
        <v>234</v>
      </c>
      <c r="E159" t="s">
        <v>344</v>
      </c>
      <c r="F159" s="11"/>
      <c r="G159" t="s">
        <v>96</v>
      </c>
      <c r="J159" t="s">
        <v>301</v>
      </c>
    </row>
    <row r="160" spans="1:10" x14ac:dyDescent="0.2">
      <c r="A160" t="s">
        <v>9</v>
      </c>
      <c r="B160">
        <v>159</v>
      </c>
      <c r="D160">
        <v>235</v>
      </c>
      <c r="E160" t="s">
        <v>345</v>
      </c>
      <c r="F160" s="11"/>
      <c r="G160" t="s">
        <v>346</v>
      </c>
      <c r="I160" t="s">
        <v>331</v>
      </c>
      <c r="J160" t="s">
        <v>149</v>
      </c>
    </row>
    <row r="161" spans="1:10" x14ac:dyDescent="0.2">
      <c r="A161" t="s">
        <v>9</v>
      </c>
      <c r="B161">
        <v>160</v>
      </c>
      <c r="D161">
        <v>236</v>
      </c>
      <c r="E161" t="s">
        <v>347</v>
      </c>
      <c r="F161" s="11"/>
      <c r="G161" t="s">
        <v>114</v>
      </c>
      <c r="I161" t="s">
        <v>334</v>
      </c>
      <c r="J161" t="s">
        <v>149</v>
      </c>
    </row>
    <row r="162" spans="1:10" x14ac:dyDescent="0.2">
      <c r="A162" t="s">
        <v>9</v>
      </c>
      <c r="B162">
        <v>161</v>
      </c>
      <c r="D162" t="s">
        <v>348</v>
      </c>
      <c r="E162" t="s">
        <v>303</v>
      </c>
      <c r="F162" s="11"/>
    </row>
    <row r="163" spans="1:10" x14ac:dyDescent="0.2">
      <c r="A163" t="s">
        <v>9</v>
      </c>
      <c r="B163">
        <v>162</v>
      </c>
      <c r="D163">
        <v>238</v>
      </c>
      <c r="E163" t="s">
        <v>349</v>
      </c>
      <c r="F163" s="11"/>
      <c r="G163" t="s">
        <v>333</v>
      </c>
      <c r="I163" t="s">
        <v>350</v>
      </c>
      <c r="J163" t="s">
        <v>279</v>
      </c>
    </row>
    <row r="164" spans="1:10" x14ac:dyDescent="0.2">
      <c r="A164" t="s">
        <v>9</v>
      </c>
      <c r="B164">
        <v>163</v>
      </c>
      <c r="D164" t="s">
        <v>351</v>
      </c>
      <c r="E164" t="s">
        <v>303</v>
      </c>
      <c r="F164" s="11"/>
    </row>
    <row r="165" spans="1:10" x14ac:dyDescent="0.2">
      <c r="A165" t="s">
        <v>9</v>
      </c>
      <c r="B165">
        <v>164</v>
      </c>
      <c r="D165" t="s">
        <v>352</v>
      </c>
      <c r="E165" t="s">
        <v>303</v>
      </c>
      <c r="F165" s="11"/>
    </row>
    <row r="166" spans="1:10" x14ac:dyDescent="0.2">
      <c r="A166" t="s">
        <v>9</v>
      </c>
      <c r="B166">
        <v>165</v>
      </c>
      <c r="D166" t="s">
        <v>353</v>
      </c>
      <c r="E166" t="s">
        <v>303</v>
      </c>
      <c r="F166" s="11"/>
    </row>
    <row r="167" spans="1:10" x14ac:dyDescent="0.2">
      <c r="A167" t="s">
        <v>9</v>
      </c>
      <c r="B167">
        <v>166</v>
      </c>
      <c r="D167" t="s">
        <v>354</v>
      </c>
      <c r="E167" t="s">
        <v>303</v>
      </c>
      <c r="F167" s="11"/>
    </row>
    <row r="168" spans="1:10" x14ac:dyDescent="0.2">
      <c r="A168" t="s">
        <v>9</v>
      </c>
      <c r="B168">
        <v>167</v>
      </c>
      <c r="D168" t="s">
        <v>355</v>
      </c>
      <c r="E168" t="s">
        <v>303</v>
      </c>
      <c r="F168" s="11"/>
    </row>
    <row r="169" spans="1:10" x14ac:dyDescent="0.2">
      <c r="A169" t="s">
        <v>9</v>
      </c>
      <c r="B169">
        <v>168</v>
      </c>
      <c r="D169" t="s">
        <v>356</v>
      </c>
      <c r="E169" t="s">
        <v>303</v>
      </c>
      <c r="F169" s="11"/>
    </row>
    <row r="170" spans="1:10" x14ac:dyDescent="0.2">
      <c r="A170" t="s">
        <v>9</v>
      </c>
      <c r="B170">
        <v>169</v>
      </c>
      <c r="D170" t="s">
        <v>357</v>
      </c>
      <c r="E170" t="s">
        <v>303</v>
      </c>
      <c r="F170" s="11"/>
    </row>
    <row r="171" spans="1:10" x14ac:dyDescent="0.2">
      <c r="A171" t="s">
        <v>9</v>
      </c>
      <c r="B171">
        <v>170</v>
      </c>
      <c r="D171" t="s">
        <v>358</v>
      </c>
      <c r="E171" t="s">
        <v>303</v>
      </c>
      <c r="F171" s="11"/>
    </row>
    <row r="172" spans="1:10" x14ac:dyDescent="0.2">
      <c r="A172" t="s">
        <v>9</v>
      </c>
      <c r="B172">
        <v>171</v>
      </c>
      <c r="D172" t="s">
        <v>359</v>
      </c>
      <c r="E172" t="s">
        <v>303</v>
      </c>
      <c r="F172" s="11"/>
    </row>
    <row r="173" spans="1:10" x14ac:dyDescent="0.2">
      <c r="A173" t="s">
        <v>9</v>
      </c>
      <c r="B173">
        <v>172</v>
      </c>
      <c r="D173" t="s">
        <v>360</v>
      </c>
      <c r="E173" t="s">
        <v>303</v>
      </c>
      <c r="F173" s="11"/>
    </row>
    <row r="174" spans="1:10" x14ac:dyDescent="0.2">
      <c r="A174" t="s">
        <v>9</v>
      </c>
      <c r="B174">
        <v>173</v>
      </c>
      <c r="D174">
        <v>249</v>
      </c>
      <c r="E174" t="s">
        <v>361</v>
      </c>
      <c r="F174" s="11"/>
      <c r="G174" t="s">
        <v>333</v>
      </c>
      <c r="I174" t="s">
        <v>350</v>
      </c>
      <c r="J174" t="s">
        <v>279</v>
      </c>
    </row>
    <row r="175" spans="1:10" x14ac:dyDescent="0.2">
      <c r="A175" t="s">
        <v>9</v>
      </c>
      <c r="B175">
        <v>174</v>
      </c>
      <c r="D175">
        <v>250</v>
      </c>
      <c r="E175" t="s">
        <v>362</v>
      </c>
      <c r="F175" s="11"/>
      <c r="G175" t="s">
        <v>96</v>
      </c>
      <c r="J175" t="s">
        <v>279</v>
      </c>
    </row>
    <row r="176" spans="1:10" x14ac:dyDescent="0.2">
      <c r="A176" t="s">
        <v>9</v>
      </c>
      <c r="B176">
        <v>175</v>
      </c>
      <c r="D176">
        <v>251</v>
      </c>
      <c r="E176" t="s">
        <v>363</v>
      </c>
      <c r="F176" s="11"/>
      <c r="G176" t="s">
        <v>96</v>
      </c>
      <c r="J176" t="s">
        <v>279</v>
      </c>
    </row>
    <row r="177" spans="1:10" x14ac:dyDescent="0.2">
      <c r="A177" t="s">
        <v>9</v>
      </c>
      <c r="B177">
        <v>176</v>
      </c>
      <c r="D177">
        <v>252</v>
      </c>
      <c r="E177" t="s">
        <v>364</v>
      </c>
      <c r="F177" s="11"/>
      <c r="G177" t="s">
        <v>96</v>
      </c>
      <c r="J177" t="s">
        <v>279</v>
      </c>
    </row>
    <row r="178" spans="1:10" x14ac:dyDescent="0.2">
      <c r="A178" t="s">
        <v>9</v>
      </c>
      <c r="B178">
        <v>177</v>
      </c>
      <c r="D178" t="s">
        <v>365</v>
      </c>
      <c r="E178" t="s">
        <v>303</v>
      </c>
      <c r="F178" s="11"/>
    </row>
    <row r="179" spans="1:10" x14ac:dyDescent="0.2">
      <c r="A179" t="s">
        <v>9</v>
      </c>
      <c r="B179">
        <v>178</v>
      </c>
      <c r="D179">
        <v>254</v>
      </c>
      <c r="E179" t="s">
        <v>366</v>
      </c>
      <c r="F179" s="11"/>
      <c r="G179" t="s">
        <v>114</v>
      </c>
      <c r="I179" t="s">
        <v>367</v>
      </c>
      <c r="J179" t="s">
        <v>368</v>
      </c>
    </row>
    <row r="180" spans="1:10" x14ac:dyDescent="0.2">
      <c r="A180" t="s">
        <v>9</v>
      </c>
      <c r="B180">
        <v>179</v>
      </c>
      <c r="D180" t="s">
        <v>369</v>
      </c>
      <c r="E180" t="s">
        <v>303</v>
      </c>
      <c r="F180" s="11"/>
    </row>
    <row r="181" spans="1:10" x14ac:dyDescent="0.2">
      <c r="A181" t="s">
        <v>9</v>
      </c>
      <c r="B181">
        <v>180</v>
      </c>
      <c r="D181" t="s">
        <v>370</v>
      </c>
      <c r="E181" t="s">
        <v>303</v>
      </c>
      <c r="F181" s="11"/>
    </row>
    <row r="182" spans="1:10" x14ac:dyDescent="0.2">
      <c r="A182" t="s">
        <v>9</v>
      </c>
      <c r="B182">
        <v>181</v>
      </c>
      <c r="D182" t="s">
        <v>371</v>
      </c>
      <c r="E182" t="s">
        <v>303</v>
      </c>
      <c r="F182" s="11"/>
    </row>
    <row r="183" spans="1:10" x14ac:dyDescent="0.2">
      <c r="A183" t="s">
        <v>9</v>
      </c>
      <c r="B183">
        <v>182</v>
      </c>
      <c r="D183" t="s">
        <v>372</v>
      </c>
      <c r="E183" t="s">
        <v>303</v>
      </c>
      <c r="F183" s="11"/>
    </row>
    <row r="184" spans="1:10" x14ac:dyDescent="0.2">
      <c r="A184" t="s">
        <v>9</v>
      </c>
      <c r="B184">
        <v>183</v>
      </c>
      <c r="D184" t="s">
        <v>373</v>
      </c>
      <c r="E184" t="s">
        <v>303</v>
      </c>
      <c r="F184" s="11"/>
    </row>
    <row r="185" spans="1:10" x14ac:dyDescent="0.2">
      <c r="A185" t="s">
        <v>9</v>
      </c>
      <c r="B185">
        <v>184</v>
      </c>
      <c r="D185" t="s">
        <v>335</v>
      </c>
      <c r="E185" t="s">
        <v>374</v>
      </c>
      <c r="F185" s="11"/>
      <c r="G185" t="s">
        <v>375</v>
      </c>
      <c r="I185" t="s">
        <v>376</v>
      </c>
      <c r="J185" t="s">
        <v>368</v>
      </c>
    </row>
    <row r="186" spans="1:10" x14ac:dyDescent="0.2">
      <c r="A186" t="s">
        <v>9</v>
      </c>
      <c r="B186">
        <v>185</v>
      </c>
      <c r="D186">
        <v>260</v>
      </c>
      <c r="E186" t="s">
        <v>303</v>
      </c>
      <c r="F186" s="11"/>
    </row>
    <row r="187" spans="1:10" x14ac:dyDescent="0.2">
      <c r="A187" t="s">
        <v>9</v>
      </c>
      <c r="B187">
        <v>186</v>
      </c>
      <c r="D187" t="s">
        <v>377</v>
      </c>
      <c r="E187" t="s">
        <v>303</v>
      </c>
      <c r="F187" s="11"/>
    </row>
    <row r="188" spans="1:10" x14ac:dyDescent="0.2">
      <c r="A188" t="s">
        <v>9</v>
      </c>
      <c r="B188">
        <v>187</v>
      </c>
      <c r="D188" t="s">
        <v>378</v>
      </c>
      <c r="E188" t="s">
        <v>303</v>
      </c>
      <c r="F188" s="11"/>
    </row>
    <row r="189" spans="1:10" x14ac:dyDescent="0.2">
      <c r="A189" t="s">
        <v>9</v>
      </c>
      <c r="B189">
        <v>188</v>
      </c>
      <c r="D189" t="s">
        <v>379</v>
      </c>
      <c r="E189" t="s">
        <v>303</v>
      </c>
      <c r="F189" s="11"/>
    </row>
    <row r="190" spans="1:10" x14ac:dyDescent="0.2">
      <c r="A190" t="s">
        <v>9</v>
      </c>
      <c r="B190">
        <v>189</v>
      </c>
      <c r="D190" t="s">
        <v>380</v>
      </c>
      <c r="E190" t="s">
        <v>303</v>
      </c>
      <c r="F190" s="11"/>
    </row>
    <row r="191" spans="1:10" x14ac:dyDescent="0.2">
      <c r="A191" t="s">
        <v>9</v>
      </c>
      <c r="B191">
        <v>190</v>
      </c>
      <c r="D191" t="s">
        <v>381</v>
      </c>
      <c r="E191" t="s">
        <v>303</v>
      </c>
      <c r="F191" s="11"/>
    </row>
    <row r="192" spans="1:10" x14ac:dyDescent="0.2">
      <c r="A192" t="s">
        <v>9</v>
      </c>
      <c r="B192">
        <v>191</v>
      </c>
      <c r="D192" t="s">
        <v>382</v>
      </c>
      <c r="E192" t="s">
        <v>303</v>
      </c>
      <c r="F192" s="11"/>
    </row>
    <row r="193" spans="1:10" x14ac:dyDescent="0.2">
      <c r="A193" t="s">
        <v>9</v>
      </c>
      <c r="B193">
        <v>192</v>
      </c>
      <c r="D193" t="s">
        <v>383</v>
      </c>
      <c r="E193" t="s">
        <v>303</v>
      </c>
      <c r="F193" s="11"/>
    </row>
    <row r="194" spans="1:10" x14ac:dyDescent="0.2">
      <c r="A194" t="s">
        <v>9</v>
      </c>
      <c r="B194">
        <v>193</v>
      </c>
      <c r="D194" t="s">
        <v>384</v>
      </c>
      <c r="E194" t="s">
        <v>303</v>
      </c>
      <c r="F194" s="11"/>
    </row>
    <row r="195" spans="1:10" x14ac:dyDescent="0.2">
      <c r="A195" t="s">
        <v>9</v>
      </c>
      <c r="B195">
        <v>194</v>
      </c>
      <c r="D195" t="s">
        <v>385</v>
      </c>
      <c r="E195" t="s">
        <v>303</v>
      </c>
      <c r="F195" s="11"/>
    </row>
    <row r="196" spans="1:10" x14ac:dyDescent="0.2">
      <c r="A196" t="s">
        <v>9</v>
      </c>
      <c r="B196">
        <v>195</v>
      </c>
      <c r="D196">
        <v>270</v>
      </c>
      <c r="E196" t="s">
        <v>303</v>
      </c>
      <c r="F196" s="11"/>
    </row>
    <row r="197" spans="1:10" x14ac:dyDescent="0.2">
      <c r="A197" t="s">
        <v>9</v>
      </c>
      <c r="B197">
        <v>196</v>
      </c>
      <c r="D197" t="s">
        <v>335</v>
      </c>
      <c r="E197" t="s">
        <v>386</v>
      </c>
      <c r="F197" s="11"/>
      <c r="G197" t="s">
        <v>375</v>
      </c>
      <c r="I197" t="s">
        <v>376</v>
      </c>
      <c r="J197" t="s">
        <v>368</v>
      </c>
    </row>
    <row r="198" spans="1:10" x14ac:dyDescent="0.2">
      <c r="A198" t="s">
        <v>9</v>
      </c>
      <c r="B198">
        <v>197</v>
      </c>
      <c r="D198">
        <v>271</v>
      </c>
      <c r="F198" s="11"/>
    </row>
    <row r="199" spans="1:10" x14ac:dyDescent="0.2">
      <c r="A199" t="s">
        <v>9</v>
      </c>
      <c r="B199">
        <v>198</v>
      </c>
      <c r="D199">
        <v>272</v>
      </c>
      <c r="F199" s="11"/>
    </row>
    <row r="200" spans="1:10" x14ac:dyDescent="0.2">
      <c r="A200" t="s">
        <v>9</v>
      </c>
      <c r="B200">
        <v>199</v>
      </c>
      <c r="E200" t="s">
        <v>387</v>
      </c>
      <c r="F200" s="11"/>
      <c r="G200" t="s">
        <v>388</v>
      </c>
      <c r="I200" t="s">
        <v>389</v>
      </c>
      <c r="J200" t="s">
        <v>368</v>
      </c>
    </row>
    <row r="201" spans="1:10" x14ac:dyDescent="0.2">
      <c r="A201" t="s">
        <v>9</v>
      </c>
      <c r="B201">
        <v>200</v>
      </c>
      <c r="D201" t="s">
        <v>390</v>
      </c>
      <c r="E201" t="s">
        <v>303</v>
      </c>
      <c r="F201" s="11"/>
    </row>
    <row r="202" spans="1:10" x14ac:dyDescent="0.2">
      <c r="A202" t="s">
        <v>9</v>
      </c>
      <c r="B202">
        <v>201</v>
      </c>
      <c r="D202" t="s">
        <v>391</v>
      </c>
      <c r="E202" t="s">
        <v>303</v>
      </c>
      <c r="F202" s="11"/>
    </row>
    <row r="203" spans="1:10" x14ac:dyDescent="0.2">
      <c r="A203" t="s">
        <v>9</v>
      </c>
      <c r="B203">
        <v>202</v>
      </c>
      <c r="D203">
        <v>275</v>
      </c>
      <c r="E203" t="s">
        <v>392</v>
      </c>
      <c r="F203" s="11"/>
      <c r="G203" t="s">
        <v>393</v>
      </c>
      <c r="H203" t="s">
        <v>394</v>
      </c>
      <c r="I203" t="s">
        <v>395</v>
      </c>
      <c r="J203" t="s">
        <v>279</v>
      </c>
    </row>
    <row r="204" spans="1:10" x14ac:dyDescent="0.2">
      <c r="A204" t="s">
        <v>9</v>
      </c>
      <c r="B204">
        <v>203</v>
      </c>
      <c r="D204" t="s">
        <v>396</v>
      </c>
      <c r="E204" t="s">
        <v>303</v>
      </c>
      <c r="F204" s="11"/>
    </row>
    <row r="205" spans="1:10" x14ac:dyDescent="0.2">
      <c r="A205" t="s">
        <v>9</v>
      </c>
      <c r="B205">
        <v>204</v>
      </c>
      <c r="D205">
        <v>277</v>
      </c>
      <c r="E205" t="s">
        <v>397</v>
      </c>
      <c r="F205" s="11"/>
      <c r="G205" t="s">
        <v>393</v>
      </c>
      <c r="H205" t="s">
        <v>394</v>
      </c>
      <c r="I205" t="s">
        <v>395</v>
      </c>
      <c r="J205" t="s">
        <v>279</v>
      </c>
    </row>
    <row r="206" spans="1:10" x14ac:dyDescent="0.2">
      <c r="A206" t="s">
        <v>9</v>
      </c>
      <c r="B206">
        <v>205</v>
      </c>
      <c r="D206" t="s">
        <v>398</v>
      </c>
      <c r="E206" t="s">
        <v>303</v>
      </c>
      <c r="F206" s="11"/>
    </row>
    <row r="207" spans="1:10" x14ac:dyDescent="0.2">
      <c r="A207" t="s">
        <v>9</v>
      </c>
      <c r="B207">
        <v>206</v>
      </c>
      <c r="D207">
        <v>279</v>
      </c>
      <c r="E207" t="s">
        <v>399</v>
      </c>
      <c r="F207" s="11"/>
      <c r="G207" t="s">
        <v>393</v>
      </c>
      <c r="H207" t="s">
        <v>394</v>
      </c>
      <c r="I207" t="s">
        <v>395</v>
      </c>
      <c r="J207" t="s">
        <v>279</v>
      </c>
    </row>
    <row r="208" spans="1:10" x14ac:dyDescent="0.2">
      <c r="A208" t="s">
        <v>9</v>
      </c>
      <c r="B208">
        <v>207</v>
      </c>
      <c r="D208" t="s">
        <v>400</v>
      </c>
      <c r="E208" t="s">
        <v>303</v>
      </c>
      <c r="F208" s="11"/>
    </row>
    <row r="209" spans="1:10" x14ac:dyDescent="0.2">
      <c r="A209" t="s">
        <v>9</v>
      </c>
      <c r="B209">
        <v>208</v>
      </c>
      <c r="D209" t="s">
        <v>401</v>
      </c>
      <c r="E209" t="s">
        <v>303</v>
      </c>
      <c r="F209" s="11"/>
    </row>
    <row r="210" spans="1:10" x14ac:dyDescent="0.2">
      <c r="A210" t="s">
        <v>9</v>
      </c>
      <c r="B210">
        <v>209</v>
      </c>
      <c r="D210" t="s">
        <v>402</v>
      </c>
      <c r="E210" t="s">
        <v>403</v>
      </c>
      <c r="F210" s="11"/>
      <c r="G210" t="s">
        <v>404</v>
      </c>
      <c r="J210" t="s">
        <v>368</v>
      </c>
    </row>
    <row r="211" spans="1:10" x14ac:dyDescent="0.2">
      <c r="A211" t="s">
        <v>9</v>
      </c>
      <c r="B211">
        <v>210</v>
      </c>
      <c r="D211" t="s">
        <v>405</v>
      </c>
      <c r="E211" t="s">
        <v>406</v>
      </c>
      <c r="F211" s="11"/>
      <c r="G211" t="s">
        <v>404</v>
      </c>
      <c r="J211" t="s">
        <v>368</v>
      </c>
    </row>
    <row r="212" spans="1:10" x14ac:dyDescent="0.2">
      <c r="A212" t="s">
        <v>9</v>
      </c>
      <c r="B212">
        <v>211</v>
      </c>
      <c r="D212">
        <v>282</v>
      </c>
      <c r="E212" t="s">
        <v>407</v>
      </c>
      <c r="F212" s="11"/>
      <c r="G212" t="s">
        <v>408</v>
      </c>
      <c r="J212" t="s">
        <v>368</v>
      </c>
    </row>
    <row r="213" spans="1:10" x14ac:dyDescent="0.2">
      <c r="A213" t="s">
        <v>9</v>
      </c>
      <c r="B213">
        <v>212</v>
      </c>
      <c r="D213" t="s">
        <v>409</v>
      </c>
      <c r="E213" t="s">
        <v>410</v>
      </c>
      <c r="F213" s="11"/>
      <c r="J213" t="s">
        <v>240</v>
      </c>
    </row>
    <row r="214" spans="1:10" x14ac:dyDescent="0.2">
      <c r="A214" t="s">
        <v>9</v>
      </c>
      <c r="B214">
        <v>213</v>
      </c>
      <c r="D214">
        <v>284</v>
      </c>
      <c r="E214" t="s">
        <v>411</v>
      </c>
      <c r="F214" s="11"/>
      <c r="G214" t="s">
        <v>114</v>
      </c>
      <c r="I214" t="s">
        <v>257</v>
      </c>
      <c r="J214" t="s">
        <v>240</v>
      </c>
    </row>
    <row r="215" spans="1:10" x14ac:dyDescent="0.2">
      <c r="A215" t="s">
        <v>9</v>
      </c>
      <c r="B215">
        <v>214</v>
      </c>
      <c r="D215">
        <v>285</v>
      </c>
      <c r="E215" t="s">
        <v>412</v>
      </c>
      <c r="F215" s="11"/>
      <c r="G215" t="s">
        <v>114</v>
      </c>
      <c r="I215" t="s">
        <v>257</v>
      </c>
      <c r="J215" t="s">
        <v>240</v>
      </c>
    </row>
    <row r="216" spans="1:10" x14ac:dyDescent="0.2">
      <c r="A216" t="s">
        <v>9</v>
      </c>
      <c r="B216">
        <v>215</v>
      </c>
      <c r="D216">
        <v>286</v>
      </c>
      <c r="E216" t="s">
        <v>413</v>
      </c>
      <c r="F216" s="11"/>
      <c r="G216" t="s">
        <v>72</v>
      </c>
      <c r="I216" t="s">
        <v>257</v>
      </c>
      <c r="J216" t="s">
        <v>240</v>
      </c>
    </row>
    <row r="217" spans="1:10" x14ac:dyDescent="0.2">
      <c r="A217" t="s">
        <v>9</v>
      </c>
      <c r="B217">
        <v>216</v>
      </c>
      <c r="D217" t="s">
        <v>414</v>
      </c>
      <c r="E217" t="s">
        <v>303</v>
      </c>
      <c r="F217" s="11"/>
    </row>
    <row r="218" spans="1:10" x14ac:dyDescent="0.2">
      <c r="A218" t="s">
        <v>9</v>
      </c>
      <c r="B218">
        <v>217</v>
      </c>
      <c r="D218">
        <v>288</v>
      </c>
      <c r="E218" t="s">
        <v>415</v>
      </c>
      <c r="F218" s="11"/>
      <c r="G218" t="s">
        <v>114</v>
      </c>
      <c r="I218" t="s">
        <v>257</v>
      </c>
      <c r="J218" t="s">
        <v>240</v>
      </c>
    </row>
    <row r="219" spans="1:10" x14ac:dyDescent="0.2">
      <c r="A219" t="s">
        <v>9</v>
      </c>
      <c r="B219">
        <v>218</v>
      </c>
      <c r="D219">
        <v>289</v>
      </c>
      <c r="E219" t="s">
        <v>416</v>
      </c>
      <c r="F219" s="11"/>
      <c r="G219" t="s">
        <v>72</v>
      </c>
      <c r="I219" t="s">
        <v>257</v>
      </c>
      <c r="J219" t="s">
        <v>240</v>
      </c>
    </row>
    <row r="220" spans="1:10" x14ac:dyDescent="0.2">
      <c r="A220" t="s">
        <v>9</v>
      </c>
      <c r="B220">
        <v>219</v>
      </c>
      <c r="D220" t="s">
        <v>417</v>
      </c>
      <c r="E220" t="s">
        <v>303</v>
      </c>
      <c r="F220" s="11"/>
    </row>
    <row r="221" spans="1:10" x14ac:dyDescent="0.2">
      <c r="A221" t="s">
        <v>9</v>
      </c>
      <c r="B221">
        <v>220</v>
      </c>
      <c r="D221" t="s">
        <v>418</v>
      </c>
      <c r="E221" t="s">
        <v>303</v>
      </c>
      <c r="F221" s="11"/>
    </row>
    <row r="222" spans="1:10" x14ac:dyDescent="0.2">
      <c r="A222" t="s">
        <v>9</v>
      </c>
      <c r="B222">
        <v>221</v>
      </c>
      <c r="D222" t="s">
        <v>419</v>
      </c>
      <c r="E222" t="s">
        <v>303</v>
      </c>
      <c r="F222" s="11"/>
    </row>
    <row r="223" spans="1:10" x14ac:dyDescent="0.2">
      <c r="A223" t="s">
        <v>9</v>
      </c>
      <c r="B223">
        <v>222</v>
      </c>
      <c r="D223">
        <v>293</v>
      </c>
      <c r="E223" t="s">
        <v>420</v>
      </c>
      <c r="F223" s="11"/>
      <c r="G223" t="s">
        <v>114</v>
      </c>
      <c r="I223" t="s">
        <v>257</v>
      </c>
      <c r="J223" t="s">
        <v>240</v>
      </c>
    </row>
    <row r="224" spans="1:10" x14ac:dyDescent="0.2">
      <c r="A224" t="s">
        <v>9</v>
      </c>
      <c r="B224">
        <v>223</v>
      </c>
      <c r="D224">
        <v>294</v>
      </c>
      <c r="E224" t="s">
        <v>421</v>
      </c>
      <c r="F224" s="11"/>
      <c r="G224" t="s">
        <v>72</v>
      </c>
      <c r="I224" t="s">
        <v>257</v>
      </c>
      <c r="J224" t="s">
        <v>240</v>
      </c>
    </row>
    <row r="225" spans="1:10" x14ac:dyDescent="0.2">
      <c r="A225" t="s">
        <v>9</v>
      </c>
      <c r="B225">
        <v>224</v>
      </c>
      <c r="D225">
        <v>295</v>
      </c>
      <c r="E225" t="s">
        <v>422</v>
      </c>
      <c r="F225" s="11"/>
    </row>
    <row r="226" spans="1:10" x14ac:dyDescent="0.2">
      <c r="A226" t="s">
        <v>9</v>
      </c>
      <c r="B226">
        <v>225</v>
      </c>
      <c r="F226" s="11"/>
      <c r="G226" t="s">
        <v>423</v>
      </c>
      <c r="I226" t="s">
        <v>257</v>
      </c>
      <c r="J226" t="s">
        <v>240</v>
      </c>
    </row>
    <row r="227" spans="1:10" x14ac:dyDescent="0.2">
      <c r="A227" t="s">
        <v>9</v>
      </c>
      <c r="B227">
        <v>226</v>
      </c>
      <c r="D227" t="s">
        <v>335</v>
      </c>
      <c r="E227" t="s">
        <v>424</v>
      </c>
      <c r="F227" s="11"/>
      <c r="G227" t="s">
        <v>425</v>
      </c>
      <c r="I227" t="s">
        <v>257</v>
      </c>
      <c r="J227" t="s">
        <v>240</v>
      </c>
    </row>
    <row r="228" spans="1:10" x14ac:dyDescent="0.2">
      <c r="A228" t="s">
        <v>9</v>
      </c>
      <c r="B228">
        <v>227</v>
      </c>
      <c r="D228" t="s">
        <v>426</v>
      </c>
      <c r="E228" t="s">
        <v>303</v>
      </c>
      <c r="F228" s="11"/>
    </row>
    <row r="229" spans="1:10" x14ac:dyDescent="0.2">
      <c r="A229" t="s">
        <v>9</v>
      </c>
      <c r="B229">
        <v>228</v>
      </c>
      <c r="D229">
        <v>297</v>
      </c>
      <c r="E229" t="s">
        <v>427</v>
      </c>
      <c r="F229" s="11"/>
      <c r="G229" t="s">
        <v>114</v>
      </c>
      <c r="J229" t="s">
        <v>240</v>
      </c>
    </row>
    <row r="230" spans="1:10" x14ac:dyDescent="0.2">
      <c r="A230" t="s">
        <v>9</v>
      </c>
      <c r="B230">
        <v>229</v>
      </c>
      <c r="D230" t="s">
        <v>428</v>
      </c>
      <c r="E230" t="s">
        <v>303</v>
      </c>
      <c r="F230" s="11"/>
    </row>
    <row r="231" spans="1:10" x14ac:dyDescent="0.2">
      <c r="A231" t="s">
        <v>9</v>
      </c>
      <c r="B231">
        <v>230</v>
      </c>
      <c r="D231">
        <v>299</v>
      </c>
      <c r="E231" t="s">
        <v>429</v>
      </c>
      <c r="F231" s="11"/>
      <c r="G231" t="s">
        <v>114</v>
      </c>
      <c r="I231" t="s">
        <v>257</v>
      </c>
      <c r="J231" t="s">
        <v>240</v>
      </c>
    </row>
    <row r="232" spans="1:10" x14ac:dyDescent="0.2">
      <c r="A232" t="s">
        <v>9</v>
      </c>
      <c r="B232">
        <v>231</v>
      </c>
      <c r="D232">
        <v>300</v>
      </c>
      <c r="E232" t="s">
        <v>430</v>
      </c>
      <c r="F232" s="11"/>
      <c r="G232" t="s">
        <v>72</v>
      </c>
      <c r="I232" t="s">
        <v>257</v>
      </c>
      <c r="J232" t="s">
        <v>240</v>
      </c>
    </row>
    <row r="233" spans="1:10" x14ac:dyDescent="0.2">
      <c r="A233" t="s">
        <v>9</v>
      </c>
      <c r="B233">
        <v>232</v>
      </c>
      <c r="D233" t="s">
        <v>431</v>
      </c>
      <c r="E233" t="s">
        <v>303</v>
      </c>
      <c r="F233" s="11"/>
    </row>
    <row r="234" spans="1:10" x14ac:dyDescent="0.2">
      <c r="A234" t="s">
        <v>9</v>
      </c>
      <c r="B234">
        <v>233</v>
      </c>
      <c r="D234">
        <v>302</v>
      </c>
      <c r="E234" t="s">
        <v>432</v>
      </c>
      <c r="F234" s="11"/>
      <c r="G234" t="s">
        <v>114</v>
      </c>
      <c r="I234" t="s">
        <v>257</v>
      </c>
      <c r="J234" t="s">
        <v>240</v>
      </c>
    </row>
    <row r="235" spans="1:10" x14ac:dyDescent="0.2">
      <c r="A235" t="s">
        <v>9</v>
      </c>
      <c r="B235">
        <v>234</v>
      </c>
      <c r="D235" t="s">
        <v>335</v>
      </c>
      <c r="E235" t="s">
        <v>433</v>
      </c>
      <c r="F235" s="11"/>
      <c r="G235" t="s">
        <v>333</v>
      </c>
      <c r="I235" t="s">
        <v>257</v>
      </c>
      <c r="J235" t="s">
        <v>240</v>
      </c>
    </row>
    <row r="236" spans="1:10" x14ac:dyDescent="0.2">
      <c r="A236" t="s">
        <v>9</v>
      </c>
      <c r="B236">
        <v>235</v>
      </c>
      <c r="D236" t="s">
        <v>434</v>
      </c>
      <c r="E236" t="s">
        <v>303</v>
      </c>
      <c r="F236" s="11"/>
    </row>
    <row r="237" spans="1:10" x14ac:dyDescent="0.2">
      <c r="A237" t="s">
        <v>9</v>
      </c>
      <c r="B237">
        <v>236</v>
      </c>
      <c r="D237" t="s">
        <v>435</v>
      </c>
      <c r="E237" t="s">
        <v>303</v>
      </c>
      <c r="F237" s="11"/>
    </row>
    <row r="238" spans="1:10" x14ac:dyDescent="0.2">
      <c r="A238" t="s">
        <v>9</v>
      </c>
      <c r="B238">
        <v>237</v>
      </c>
      <c r="D238" t="s">
        <v>436</v>
      </c>
      <c r="E238" t="s">
        <v>303</v>
      </c>
      <c r="F238" s="11"/>
    </row>
    <row r="239" spans="1:10" x14ac:dyDescent="0.2">
      <c r="A239" t="s">
        <v>9</v>
      </c>
      <c r="B239">
        <v>238</v>
      </c>
      <c r="D239">
        <v>306</v>
      </c>
      <c r="E239" t="s">
        <v>437</v>
      </c>
      <c r="F239" s="11"/>
      <c r="G239" t="s">
        <v>114</v>
      </c>
      <c r="J239" t="s">
        <v>240</v>
      </c>
    </row>
    <row r="240" spans="1:10" x14ac:dyDescent="0.2">
      <c r="A240" t="s">
        <v>9</v>
      </c>
      <c r="B240">
        <v>239</v>
      </c>
      <c r="D240" t="s">
        <v>438</v>
      </c>
      <c r="E240" t="s">
        <v>303</v>
      </c>
      <c r="F240" s="11"/>
    </row>
    <row r="241" spans="1:10" x14ac:dyDescent="0.2">
      <c r="A241" t="s">
        <v>9</v>
      </c>
      <c r="B241">
        <v>240</v>
      </c>
      <c r="D241">
        <v>308</v>
      </c>
      <c r="E241" t="s">
        <v>439</v>
      </c>
      <c r="F241" s="11"/>
      <c r="G241" t="s">
        <v>114</v>
      </c>
      <c r="I241" t="s">
        <v>440</v>
      </c>
      <c r="J241" t="s">
        <v>301</v>
      </c>
    </row>
    <row r="242" spans="1:10" x14ac:dyDescent="0.2">
      <c r="A242" t="s">
        <v>9</v>
      </c>
      <c r="B242">
        <v>241</v>
      </c>
      <c r="D242">
        <v>309</v>
      </c>
      <c r="E242" t="s">
        <v>441</v>
      </c>
      <c r="F242" s="11"/>
      <c r="G242" t="s">
        <v>114</v>
      </c>
      <c r="I242" t="s">
        <v>442</v>
      </c>
      <c r="J242" t="s">
        <v>301</v>
      </c>
    </row>
    <row r="243" spans="1:10" x14ac:dyDescent="0.2">
      <c r="A243" t="s">
        <v>9</v>
      </c>
      <c r="B243">
        <v>242</v>
      </c>
      <c r="D243" t="s">
        <v>443</v>
      </c>
      <c r="E243" t="s">
        <v>303</v>
      </c>
      <c r="F243" s="11"/>
    </row>
    <row r="244" spans="1:10" x14ac:dyDescent="0.2">
      <c r="A244" t="s">
        <v>9</v>
      </c>
      <c r="B244">
        <v>243</v>
      </c>
      <c r="D244">
        <v>311</v>
      </c>
      <c r="E244" t="s">
        <v>444</v>
      </c>
      <c r="F244" s="11"/>
      <c r="G244" t="s">
        <v>96</v>
      </c>
      <c r="J244" t="s">
        <v>249</v>
      </c>
    </row>
    <row r="245" spans="1:10" x14ac:dyDescent="0.2">
      <c r="A245" t="s">
        <v>9</v>
      </c>
      <c r="B245">
        <v>244</v>
      </c>
      <c r="D245">
        <v>312</v>
      </c>
      <c r="E245" t="s">
        <v>445</v>
      </c>
      <c r="F245" s="11"/>
      <c r="G245" t="s">
        <v>96</v>
      </c>
      <c r="J245" t="s">
        <v>249</v>
      </c>
    </row>
    <row r="246" spans="1:10" x14ac:dyDescent="0.2">
      <c r="A246" t="s">
        <v>9</v>
      </c>
      <c r="B246">
        <v>245</v>
      </c>
      <c r="D246" t="s">
        <v>335</v>
      </c>
      <c r="E246" t="s">
        <v>446</v>
      </c>
      <c r="F246" s="11"/>
      <c r="G246" t="s">
        <v>447</v>
      </c>
      <c r="I246" t="s">
        <v>300</v>
      </c>
      <c r="J246" t="s">
        <v>249</v>
      </c>
    </row>
    <row r="247" spans="1:10" x14ac:dyDescent="0.2">
      <c r="A247" t="s">
        <v>9</v>
      </c>
      <c r="B247">
        <v>246</v>
      </c>
      <c r="D247" t="s">
        <v>448</v>
      </c>
      <c r="E247" t="s">
        <v>449</v>
      </c>
      <c r="F247" s="11"/>
      <c r="G247" t="s">
        <v>450</v>
      </c>
      <c r="I247" t="s">
        <v>451</v>
      </c>
      <c r="J247" t="s">
        <v>249</v>
      </c>
    </row>
    <row r="248" spans="1:10" x14ac:dyDescent="0.2">
      <c r="A248" t="s">
        <v>9</v>
      </c>
      <c r="B248">
        <v>247</v>
      </c>
      <c r="D248">
        <v>313</v>
      </c>
      <c r="E248" t="s">
        <v>452</v>
      </c>
      <c r="F248" s="11"/>
      <c r="G248" t="s">
        <v>453</v>
      </c>
      <c r="J248" t="s">
        <v>249</v>
      </c>
    </row>
    <row r="249" spans="1:10" x14ac:dyDescent="0.2">
      <c r="A249" t="s">
        <v>9</v>
      </c>
      <c r="B249">
        <v>248</v>
      </c>
      <c r="D249">
        <v>314</v>
      </c>
      <c r="E249" t="s">
        <v>454</v>
      </c>
      <c r="F249" s="11"/>
      <c r="G249" t="s">
        <v>96</v>
      </c>
      <c r="J249" t="s">
        <v>249</v>
      </c>
    </row>
    <row r="250" spans="1:10" x14ac:dyDescent="0.2">
      <c r="A250" t="s">
        <v>9</v>
      </c>
      <c r="B250">
        <v>249</v>
      </c>
      <c r="D250">
        <v>315</v>
      </c>
      <c r="E250" t="s">
        <v>455</v>
      </c>
      <c r="F250" s="11"/>
      <c r="G250" t="s">
        <v>96</v>
      </c>
      <c r="I250" t="s">
        <v>300</v>
      </c>
      <c r="J250" t="s">
        <v>249</v>
      </c>
    </row>
    <row r="251" spans="1:10" x14ac:dyDescent="0.2">
      <c r="A251" t="s">
        <v>9</v>
      </c>
      <c r="B251">
        <v>250</v>
      </c>
      <c r="D251">
        <v>316</v>
      </c>
      <c r="E251" t="s">
        <v>456</v>
      </c>
      <c r="F251" s="11"/>
      <c r="G251" t="s">
        <v>96</v>
      </c>
      <c r="J251" t="s">
        <v>249</v>
      </c>
    </row>
    <row r="252" spans="1:10" x14ac:dyDescent="0.2">
      <c r="A252" t="s">
        <v>9</v>
      </c>
      <c r="B252">
        <v>251</v>
      </c>
      <c r="D252" t="s">
        <v>335</v>
      </c>
      <c r="E252" t="s">
        <v>457</v>
      </c>
      <c r="F252" s="11"/>
    </row>
    <row r="253" spans="1:10" x14ac:dyDescent="0.2">
      <c r="A253" t="s">
        <v>9</v>
      </c>
      <c r="B253">
        <v>252</v>
      </c>
      <c r="D253">
        <v>317</v>
      </c>
      <c r="E253" t="s">
        <v>437</v>
      </c>
      <c r="F253" s="11"/>
      <c r="G253" t="s">
        <v>458</v>
      </c>
      <c r="I253" t="s">
        <v>286</v>
      </c>
      <c r="J253" t="s">
        <v>249</v>
      </c>
    </row>
    <row r="254" spans="1:10" x14ac:dyDescent="0.2">
      <c r="A254" t="s">
        <v>9</v>
      </c>
      <c r="B254">
        <v>253</v>
      </c>
      <c r="D254" t="s">
        <v>459</v>
      </c>
      <c r="E254" t="s">
        <v>303</v>
      </c>
      <c r="F254" s="11"/>
    </row>
    <row r="255" spans="1:10" x14ac:dyDescent="0.2">
      <c r="A255" t="s">
        <v>9</v>
      </c>
      <c r="B255">
        <v>254</v>
      </c>
      <c r="D255">
        <v>319</v>
      </c>
      <c r="E255" t="s">
        <v>460</v>
      </c>
      <c r="F255" s="11"/>
      <c r="G255" t="s">
        <v>458</v>
      </c>
      <c r="I255" t="s">
        <v>286</v>
      </c>
      <c r="J255" t="s">
        <v>249</v>
      </c>
    </row>
    <row r="256" spans="1:10" x14ac:dyDescent="0.2">
      <c r="A256" t="s">
        <v>9</v>
      </c>
      <c r="B256">
        <v>255</v>
      </c>
      <c r="D256" t="s">
        <v>335</v>
      </c>
      <c r="E256" t="s">
        <v>461</v>
      </c>
      <c r="F256" s="11"/>
    </row>
    <row r="257" spans="1:10" x14ac:dyDescent="0.2">
      <c r="A257" t="s">
        <v>9</v>
      </c>
      <c r="B257">
        <v>256</v>
      </c>
      <c r="D257" t="s">
        <v>335</v>
      </c>
      <c r="E257" t="s">
        <v>462</v>
      </c>
      <c r="F257" s="11"/>
      <c r="G257" t="s">
        <v>463</v>
      </c>
      <c r="I257" t="s">
        <v>464</v>
      </c>
      <c r="J257" t="s">
        <v>249</v>
      </c>
    </row>
    <row r="258" spans="1:10" x14ac:dyDescent="0.2">
      <c r="A258" t="s">
        <v>9</v>
      </c>
      <c r="B258">
        <v>257</v>
      </c>
      <c r="D258" t="s">
        <v>335</v>
      </c>
      <c r="E258" t="s">
        <v>465</v>
      </c>
      <c r="F258" s="11"/>
    </row>
    <row r="259" spans="1:10" x14ac:dyDescent="0.2">
      <c r="A259" t="s">
        <v>9</v>
      </c>
      <c r="B259">
        <v>258</v>
      </c>
      <c r="D259" t="s">
        <v>466</v>
      </c>
      <c r="E259" t="s">
        <v>303</v>
      </c>
      <c r="F259" s="11"/>
    </row>
    <row r="260" spans="1:10" x14ac:dyDescent="0.2">
      <c r="A260" t="s">
        <v>9</v>
      </c>
      <c r="B260">
        <v>259</v>
      </c>
      <c r="D260">
        <v>321</v>
      </c>
      <c r="E260" t="s">
        <v>467</v>
      </c>
      <c r="F260" s="11"/>
      <c r="G260" t="s">
        <v>458</v>
      </c>
      <c r="I260" t="s">
        <v>257</v>
      </c>
      <c r="J260" t="s">
        <v>249</v>
      </c>
    </row>
    <row r="261" spans="1:10" x14ac:dyDescent="0.2">
      <c r="A261" t="s">
        <v>9</v>
      </c>
      <c r="B261">
        <v>260</v>
      </c>
      <c r="D261">
        <v>322</v>
      </c>
      <c r="E261" t="s">
        <v>468</v>
      </c>
      <c r="F261" s="11"/>
      <c r="G261" t="s">
        <v>458</v>
      </c>
      <c r="I261" t="s">
        <v>300</v>
      </c>
      <c r="J261" t="s">
        <v>249</v>
      </c>
    </row>
    <row r="262" spans="1:10" x14ac:dyDescent="0.2">
      <c r="A262" t="s">
        <v>9</v>
      </c>
      <c r="B262">
        <v>261</v>
      </c>
      <c r="D262">
        <v>323</v>
      </c>
      <c r="E262" t="s">
        <v>469</v>
      </c>
      <c r="F262" s="11"/>
      <c r="G262" t="s">
        <v>458</v>
      </c>
      <c r="I262" t="s">
        <v>257</v>
      </c>
      <c r="J262" t="s">
        <v>249</v>
      </c>
    </row>
    <row r="263" spans="1:10" x14ac:dyDescent="0.2">
      <c r="A263" t="s">
        <v>9</v>
      </c>
      <c r="B263">
        <v>262</v>
      </c>
      <c r="D263">
        <v>324</v>
      </c>
      <c r="E263" t="s">
        <v>470</v>
      </c>
      <c r="F263" s="11"/>
      <c r="G263" t="s">
        <v>458</v>
      </c>
      <c r="I263" t="s">
        <v>257</v>
      </c>
      <c r="J263" t="s">
        <v>249</v>
      </c>
    </row>
    <row r="264" spans="1:10" x14ac:dyDescent="0.2">
      <c r="A264" t="s">
        <v>9</v>
      </c>
      <c r="B264">
        <v>263</v>
      </c>
      <c r="D264">
        <v>325</v>
      </c>
      <c r="E264" t="s">
        <v>471</v>
      </c>
      <c r="F264" s="11"/>
      <c r="G264" t="s">
        <v>458</v>
      </c>
      <c r="I264" t="s">
        <v>257</v>
      </c>
      <c r="J264" t="s">
        <v>249</v>
      </c>
    </row>
    <row r="265" spans="1:10" x14ac:dyDescent="0.2">
      <c r="A265" t="s">
        <v>9</v>
      </c>
      <c r="B265">
        <v>264</v>
      </c>
      <c r="D265">
        <v>326</v>
      </c>
      <c r="E265" t="s">
        <v>472</v>
      </c>
      <c r="F265" s="11"/>
      <c r="G265" t="s">
        <v>458</v>
      </c>
      <c r="I265" t="s">
        <v>473</v>
      </c>
      <c r="J265" t="s">
        <v>249</v>
      </c>
    </row>
    <row r="266" spans="1:10" x14ac:dyDescent="0.2">
      <c r="A266" t="s">
        <v>9</v>
      </c>
      <c r="B266">
        <v>265</v>
      </c>
      <c r="D266">
        <v>327</v>
      </c>
      <c r="E266" t="s">
        <v>474</v>
      </c>
      <c r="F266" s="11"/>
      <c r="G266" t="s">
        <v>458</v>
      </c>
      <c r="I266" t="s">
        <v>473</v>
      </c>
      <c r="J266" t="s">
        <v>249</v>
      </c>
    </row>
    <row r="267" spans="1:10" x14ac:dyDescent="0.2">
      <c r="A267" t="s">
        <v>9</v>
      </c>
      <c r="B267">
        <v>266</v>
      </c>
      <c r="D267">
        <v>328</v>
      </c>
      <c r="E267" t="s">
        <v>303</v>
      </c>
      <c r="F267" s="11"/>
      <c r="G267" t="s">
        <v>458</v>
      </c>
      <c r="J267" t="s">
        <v>249</v>
      </c>
    </row>
    <row r="268" spans="1:10" x14ac:dyDescent="0.2">
      <c r="A268" t="s">
        <v>9</v>
      </c>
      <c r="B268">
        <v>267</v>
      </c>
      <c r="D268">
        <v>329</v>
      </c>
      <c r="E268" t="s">
        <v>475</v>
      </c>
      <c r="F268" s="11"/>
      <c r="G268" t="s">
        <v>114</v>
      </c>
      <c r="I268" t="s">
        <v>257</v>
      </c>
      <c r="J268" t="s">
        <v>249</v>
      </c>
    </row>
    <row r="269" spans="1:10" x14ac:dyDescent="0.2">
      <c r="A269" t="s">
        <v>9</v>
      </c>
      <c r="B269">
        <v>268</v>
      </c>
      <c r="D269">
        <v>330</v>
      </c>
      <c r="E269" t="s">
        <v>476</v>
      </c>
      <c r="F269" s="11"/>
      <c r="G269" t="s">
        <v>114</v>
      </c>
      <c r="I269" t="s">
        <v>257</v>
      </c>
      <c r="J269" t="s">
        <v>249</v>
      </c>
    </row>
    <row r="270" spans="1:10" x14ac:dyDescent="0.2">
      <c r="A270" t="s">
        <v>9</v>
      </c>
      <c r="B270">
        <v>269</v>
      </c>
      <c r="D270">
        <v>331</v>
      </c>
      <c r="E270" t="s">
        <v>477</v>
      </c>
      <c r="F270" s="11"/>
      <c r="G270" t="s">
        <v>114</v>
      </c>
      <c r="I270" t="s">
        <v>286</v>
      </c>
      <c r="J270" t="s">
        <v>279</v>
      </c>
    </row>
    <row r="271" spans="1:10" x14ac:dyDescent="0.2">
      <c r="A271" t="s">
        <v>9</v>
      </c>
      <c r="B271">
        <v>270</v>
      </c>
      <c r="D271">
        <v>332</v>
      </c>
      <c r="E271" t="s">
        <v>478</v>
      </c>
      <c r="F271" s="11"/>
      <c r="G271" t="s">
        <v>114</v>
      </c>
      <c r="I271" t="s">
        <v>286</v>
      </c>
      <c r="J271" t="s">
        <v>279</v>
      </c>
    </row>
    <row r="272" spans="1:10" x14ac:dyDescent="0.2">
      <c r="A272" t="s">
        <v>9</v>
      </c>
      <c r="B272">
        <v>271</v>
      </c>
      <c r="D272">
        <v>333</v>
      </c>
      <c r="E272" t="s">
        <v>478</v>
      </c>
      <c r="F272" s="11"/>
      <c r="G272" t="s">
        <v>479</v>
      </c>
      <c r="I272" t="s">
        <v>117</v>
      </c>
      <c r="J272" t="s">
        <v>279</v>
      </c>
    </row>
    <row r="273" spans="1:10" x14ac:dyDescent="0.2">
      <c r="A273" t="s">
        <v>9</v>
      </c>
      <c r="B273">
        <v>272</v>
      </c>
      <c r="D273">
        <v>334</v>
      </c>
      <c r="E273" t="s">
        <v>480</v>
      </c>
      <c r="F273" s="11"/>
      <c r="G273" t="s">
        <v>479</v>
      </c>
      <c r="I273" t="s">
        <v>257</v>
      </c>
      <c r="J273" t="s">
        <v>368</v>
      </c>
    </row>
    <row r="274" spans="1:10" x14ac:dyDescent="0.2">
      <c r="A274" t="s">
        <v>9</v>
      </c>
      <c r="B274">
        <v>273</v>
      </c>
      <c r="D274" t="s">
        <v>335</v>
      </c>
      <c r="E274" t="s">
        <v>481</v>
      </c>
      <c r="F274" s="11"/>
      <c r="G274" t="s">
        <v>482</v>
      </c>
      <c r="J274" t="s">
        <v>368</v>
      </c>
    </row>
    <row r="275" spans="1:10" x14ac:dyDescent="0.2">
      <c r="A275" t="s">
        <v>9</v>
      </c>
      <c r="B275">
        <v>274</v>
      </c>
      <c r="D275" t="s">
        <v>335</v>
      </c>
      <c r="E275" t="s">
        <v>483</v>
      </c>
      <c r="F275" s="11"/>
      <c r="G275" t="s">
        <v>482</v>
      </c>
      <c r="J275" t="s">
        <v>368</v>
      </c>
    </row>
    <row r="276" spans="1:10" x14ac:dyDescent="0.2">
      <c r="A276" t="s">
        <v>9</v>
      </c>
      <c r="B276">
        <v>275</v>
      </c>
      <c r="D276">
        <v>335</v>
      </c>
      <c r="E276" t="s">
        <v>484</v>
      </c>
      <c r="F276" s="11"/>
      <c r="G276" t="s">
        <v>485</v>
      </c>
      <c r="J276" t="s">
        <v>368</v>
      </c>
    </row>
    <row r="277" spans="1:10" x14ac:dyDescent="0.2">
      <c r="A277" t="s">
        <v>9</v>
      </c>
      <c r="B277">
        <v>276</v>
      </c>
      <c r="D277">
        <v>336</v>
      </c>
      <c r="E277" t="s">
        <v>480</v>
      </c>
      <c r="F277" s="11"/>
      <c r="G277" t="s">
        <v>479</v>
      </c>
      <c r="I277" t="s">
        <v>257</v>
      </c>
      <c r="J277" t="s">
        <v>368</v>
      </c>
    </row>
    <row r="278" spans="1:10" x14ac:dyDescent="0.2">
      <c r="A278" t="s">
        <v>9</v>
      </c>
      <c r="B278">
        <v>277</v>
      </c>
      <c r="D278">
        <v>337</v>
      </c>
      <c r="E278" t="s">
        <v>486</v>
      </c>
      <c r="F278" s="11"/>
    </row>
    <row r="279" spans="1:10" x14ac:dyDescent="0.2">
      <c r="A279" t="s">
        <v>9</v>
      </c>
      <c r="B279">
        <v>278</v>
      </c>
      <c r="D279">
        <v>338</v>
      </c>
      <c r="E279" t="s">
        <v>487</v>
      </c>
      <c r="F279" s="11"/>
      <c r="G279" t="s">
        <v>479</v>
      </c>
      <c r="I279" t="s">
        <v>257</v>
      </c>
      <c r="J279" t="s">
        <v>368</v>
      </c>
    </row>
    <row r="280" spans="1:10" x14ac:dyDescent="0.2">
      <c r="A280" t="s">
        <v>9</v>
      </c>
      <c r="B280">
        <v>279</v>
      </c>
      <c r="D280" t="s">
        <v>335</v>
      </c>
      <c r="E280" t="s">
        <v>488</v>
      </c>
      <c r="F280" s="11"/>
      <c r="J280" t="s">
        <v>368</v>
      </c>
    </row>
    <row r="281" spans="1:10" x14ac:dyDescent="0.2">
      <c r="A281" t="s">
        <v>9</v>
      </c>
      <c r="B281">
        <v>280</v>
      </c>
      <c r="D281">
        <v>339</v>
      </c>
      <c r="E281" t="s">
        <v>489</v>
      </c>
      <c r="F281" s="11"/>
    </row>
    <row r="282" spans="1:10" x14ac:dyDescent="0.2">
      <c r="A282" t="s">
        <v>9</v>
      </c>
      <c r="B282">
        <v>281</v>
      </c>
      <c r="E282" t="s">
        <v>303</v>
      </c>
      <c r="F282" s="11"/>
      <c r="G282" t="s">
        <v>479</v>
      </c>
      <c r="I282" t="s">
        <v>286</v>
      </c>
      <c r="J282" t="s">
        <v>368</v>
      </c>
    </row>
    <row r="283" spans="1:10" x14ac:dyDescent="0.2">
      <c r="A283" t="s">
        <v>9</v>
      </c>
      <c r="B283">
        <v>282</v>
      </c>
      <c r="D283">
        <v>340</v>
      </c>
      <c r="E283" t="s">
        <v>490</v>
      </c>
      <c r="F283" s="11"/>
      <c r="G283" t="s">
        <v>479</v>
      </c>
      <c r="I283" t="s">
        <v>491</v>
      </c>
      <c r="J283" t="s">
        <v>368</v>
      </c>
    </row>
    <row r="284" spans="1:10" x14ac:dyDescent="0.2">
      <c r="A284" t="s">
        <v>9</v>
      </c>
      <c r="B284">
        <v>283</v>
      </c>
      <c r="D284">
        <v>341</v>
      </c>
      <c r="E284" t="s">
        <v>492</v>
      </c>
      <c r="F284" s="11"/>
      <c r="G284" t="s">
        <v>72</v>
      </c>
      <c r="I284" t="s">
        <v>286</v>
      </c>
      <c r="J284" t="s">
        <v>368</v>
      </c>
    </row>
    <row r="285" spans="1:10" x14ac:dyDescent="0.2">
      <c r="A285" t="s">
        <v>9</v>
      </c>
      <c r="B285">
        <v>284</v>
      </c>
      <c r="D285" t="s">
        <v>493</v>
      </c>
      <c r="E285" t="s">
        <v>303</v>
      </c>
      <c r="F285" s="11"/>
    </row>
    <row r="286" spans="1:10" x14ac:dyDescent="0.2">
      <c r="A286" t="s">
        <v>9</v>
      </c>
      <c r="B286">
        <v>285</v>
      </c>
      <c r="D286" t="s">
        <v>494</v>
      </c>
      <c r="E286" t="s">
        <v>303</v>
      </c>
      <c r="F286" s="11"/>
    </row>
    <row r="287" spans="1:10" x14ac:dyDescent="0.2">
      <c r="A287" t="s">
        <v>9</v>
      </c>
      <c r="B287">
        <v>286</v>
      </c>
      <c r="D287" t="s">
        <v>495</v>
      </c>
      <c r="E287" t="s">
        <v>303</v>
      </c>
      <c r="F287" s="11"/>
    </row>
    <row r="288" spans="1:10" x14ac:dyDescent="0.2">
      <c r="A288" t="s">
        <v>9</v>
      </c>
      <c r="B288">
        <v>287</v>
      </c>
      <c r="D288">
        <v>345</v>
      </c>
      <c r="E288" t="s">
        <v>496</v>
      </c>
      <c r="F288" s="11"/>
    </row>
    <row r="289" spans="1:10" x14ac:dyDescent="0.2">
      <c r="A289" t="s">
        <v>9</v>
      </c>
      <c r="B289">
        <v>288</v>
      </c>
      <c r="D289">
        <v>346</v>
      </c>
      <c r="E289" t="s">
        <v>497</v>
      </c>
      <c r="F289" s="11"/>
      <c r="G289" t="s">
        <v>114</v>
      </c>
      <c r="I289" t="s">
        <v>286</v>
      </c>
      <c r="J289" t="s">
        <v>368</v>
      </c>
    </row>
    <row r="290" spans="1:10" x14ac:dyDescent="0.2">
      <c r="A290" t="s">
        <v>9</v>
      </c>
      <c r="B290">
        <v>289</v>
      </c>
      <c r="D290">
        <v>347</v>
      </c>
      <c r="E290" t="s">
        <v>498</v>
      </c>
      <c r="F290" s="11"/>
      <c r="G290" t="s">
        <v>130</v>
      </c>
      <c r="I290" t="s">
        <v>499</v>
      </c>
      <c r="J290" t="s">
        <v>368</v>
      </c>
    </row>
  </sheetData>
  <dataValidations count="2">
    <dataValidation type="list" allowBlank="1" showInputMessage="1" showErrorMessage="1" sqref="A2:A290" xr:uid="{00000000-0002-0000-0000-000000000000}">
      <formula1>"Activate,Deactivate"</formula1>
    </dataValidation>
    <dataValidation type="list" allowBlank="1" showInputMessage="1" showErrorMessage="1" sqref="C2:C290" xr:uid="{00000000-0002-0000-0000-000001000000}">
      <formula1>"Table,Figure"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G60"/>
  <sheetViews>
    <sheetView workbookViewId="0">
      <selection activeCell="G12" sqref="G12"/>
    </sheetView>
  </sheetViews>
  <sheetFormatPr baseColWidth="10" defaultColWidth="8.83203125" defaultRowHeight="15" x14ac:dyDescent="0.2"/>
  <cols>
    <col min="1" max="1" width="16.1640625" customWidth="1"/>
    <col min="2" max="2" width="6.33203125" customWidth="1"/>
    <col min="3" max="4" width="16.1640625" customWidth="1"/>
    <col min="5" max="5" width="134.6640625" bestFit="1" customWidth="1"/>
    <col min="6" max="6" width="16.1640625" customWidth="1"/>
    <col min="7" max="7" width="255.6640625" bestFit="1" customWidth="1"/>
  </cols>
  <sheetData>
    <row r="1" spans="1:7" x14ac:dyDescent="0.2">
      <c r="A1" s="2" t="s">
        <v>500</v>
      </c>
      <c r="B1" s="4"/>
      <c r="C1" s="4" t="s">
        <v>501</v>
      </c>
      <c r="D1" s="4" t="s">
        <v>502</v>
      </c>
      <c r="E1" s="4" t="s">
        <v>503</v>
      </c>
      <c r="F1" s="4" t="s">
        <v>504</v>
      </c>
      <c r="G1" s="4" t="s">
        <v>505</v>
      </c>
    </row>
    <row r="2" spans="1:7" x14ac:dyDescent="0.2">
      <c r="A2" t="s">
        <v>506</v>
      </c>
      <c r="B2" t="s">
        <v>507</v>
      </c>
      <c r="C2" t="s">
        <v>508</v>
      </c>
      <c r="D2" s="5" t="s">
        <v>509</v>
      </c>
      <c r="E2" s="6" t="s">
        <v>510</v>
      </c>
      <c r="F2" s="7" t="s">
        <v>511</v>
      </c>
      <c r="G2" s="8" t="s">
        <v>512</v>
      </c>
    </row>
    <row r="3" spans="1:7" x14ac:dyDescent="0.2">
      <c r="A3" t="s">
        <v>513</v>
      </c>
      <c r="B3" t="s">
        <v>507</v>
      </c>
      <c r="C3" t="s">
        <v>514</v>
      </c>
      <c r="D3" s="9" t="s">
        <v>515</v>
      </c>
      <c r="E3" s="6" t="s">
        <v>516</v>
      </c>
      <c r="F3" s="7" t="s">
        <v>517</v>
      </c>
      <c r="G3" s="8" t="s">
        <v>518</v>
      </c>
    </row>
    <row r="4" spans="1:7" x14ac:dyDescent="0.2">
      <c r="A4" t="s">
        <v>519</v>
      </c>
      <c r="B4" t="s">
        <v>507</v>
      </c>
      <c r="C4" t="s">
        <v>520</v>
      </c>
      <c r="D4" s="9" t="s">
        <v>521</v>
      </c>
      <c r="E4" s="6" t="s">
        <v>522</v>
      </c>
      <c r="F4" s="7" t="s">
        <v>523</v>
      </c>
      <c r="G4" s="8" t="s">
        <v>524</v>
      </c>
    </row>
    <row r="5" spans="1:7" x14ac:dyDescent="0.2">
      <c r="A5" t="s">
        <v>525</v>
      </c>
      <c r="B5" t="s">
        <v>507</v>
      </c>
      <c r="C5" t="s">
        <v>526</v>
      </c>
      <c r="D5" s="9" t="s">
        <v>527</v>
      </c>
      <c r="E5" s="6" t="s">
        <v>528</v>
      </c>
      <c r="F5" s="7" t="s">
        <v>529</v>
      </c>
      <c r="G5" s="8" t="s">
        <v>530</v>
      </c>
    </row>
    <row r="6" spans="1:7" x14ac:dyDescent="0.2">
      <c r="A6" t="s">
        <v>531</v>
      </c>
      <c r="B6" t="s">
        <v>507</v>
      </c>
      <c r="C6" t="s">
        <v>532</v>
      </c>
      <c r="D6" s="9" t="s">
        <v>533</v>
      </c>
      <c r="E6" s="6" t="s">
        <v>534</v>
      </c>
      <c r="F6" s="7" t="s">
        <v>535</v>
      </c>
      <c r="G6" s="8" t="s">
        <v>536</v>
      </c>
    </row>
    <row r="7" spans="1:7" x14ac:dyDescent="0.2">
      <c r="A7" t="s">
        <v>537</v>
      </c>
      <c r="B7" t="s">
        <v>507</v>
      </c>
      <c r="C7" t="s">
        <v>538</v>
      </c>
      <c r="D7" s="9" t="s">
        <v>539</v>
      </c>
      <c r="E7" s="6" t="s">
        <v>540</v>
      </c>
      <c r="F7" s="7" t="s">
        <v>541</v>
      </c>
      <c r="G7" s="8" t="s">
        <v>542</v>
      </c>
    </row>
    <row r="8" spans="1:7" x14ac:dyDescent="0.2">
      <c r="A8" t="s">
        <v>543</v>
      </c>
      <c r="B8" t="s">
        <v>507</v>
      </c>
      <c r="C8" t="s">
        <v>544</v>
      </c>
      <c r="D8" s="9" t="s">
        <v>545</v>
      </c>
      <c r="E8" s="6" t="s">
        <v>546</v>
      </c>
      <c r="F8" s="7" t="s">
        <v>547</v>
      </c>
      <c r="G8" s="8" t="s">
        <v>548</v>
      </c>
    </row>
    <row r="9" spans="1:7" x14ac:dyDescent="0.2">
      <c r="A9" t="s">
        <v>549</v>
      </c>
      <c r="B9" t="s">
        <v>550</v>
      </c>
      <c r="C9" t="s">
        <v>551</v>
      </c>
      <c r="D9" s="9" t="s">
        <v>552</v>
      </c>
      <c r="E9" s="6" t="s">
        <v>553</v>
      </c>
      <c r="F9" s="7" t="s">
        <v>554</v>
      </c>
      <c r="G9" s="8" t="s">
        <v>555</v>
      </c>
    </row>
    <row r="10" spans="1:7" x14ac:dyDescent="0.2">
      <c r="B10" s="10" t="s">
        <v>556</v>
      </c>
      <c r="C10" s="8" t="s">
        <v>557</v>
      </c>
      <c r="D10" s="9" t="s">
        <v>558</v>
      </c>
      <c r="E10" s="6" t="s">
        <v>559</v>
      </c>
      <c r="F10" s="7" t="s">
        <v>560</v>
      </c>
      <c r="G10" s="8" t="s">
        <v>561</v>
      </c>
    </row>
    <row r="11" spans="1:7" x14ac:dyDescent="0.2">
      <c r="B11" s="10" t="s">
        <v>556</v>
      </c>
      <c r="C11" s="8" t="s">
        <v>562</v>
      </c>
      <c r="D11" s="9" t="s">
        <v>563</v>
      </c>
      <c r="E11" s="6" t="s">
        <v>564</v>
      </c>
      <c r="F11" s="7" t="s">
        <v>565</v>
      </c>
      <c r="G11" s="8" t="s">
        <v>566</v>
      </c>
    </row>
    <row r="12" spans="1:7" x14ac:dyDescent="0.2">
      <c r="B12" s="10" t="s">
        <v>556</v>
      </c>
      <c r="C12" s="8" t="s">
        <v>567</v>
      </c>
      <c r="D12" s="9" t="s">
        <v>568</v>
      </c>
      <c r="E12" s="6" t="s">
        <v>569</v>
      </c>
      <c r="F12" s="7" t="s">
        <v>570</v>
      </c>
      <c r="G12" s="8" t="s">
        <v>571</v>
      </c>
    </row>
    <row r="13" spans="1:7" x14ac:dyDescent="0.2">
      <c r="B13" s="10" t="s">
        <v>556</v>
      </c>
      <c r="C13" s="8" t="s">
        <v>572</v>
      </c>
      <c r="D13" s="9" t="s">
        <v>573</v>
      </c>
      <c r="E13" s="6" t="s">
        <v>574</v>
      </c>
      <c r="F13" s="7" t="s">
        <v>575</v>
      </c>
      <c r="G13" s="8" t="s">
        <v>576</v>
      </c>
    </row>
    <row r="14" spans="1:7" x14ac:dyDescent="0.2">
      <c r="B14" s="10" t="s">
        <v>556</v>
      </c>
      <c r="C14" s="8" t="s">
        <v>577</v>
      </c>
      <c r="D14" s="5" t="s">
        <v>578</v>
      </c>
      <c r="E14" s="6" t="s">
        <v>579</v>
      </c>
      <c r="F14" s="7" t="s">
        <v>580</v>
      </c>
      <c r="G14" s="8" t="s">
        <v>581</v>
      </c>
    </row>
    <row r="15" spans="1:7" x14ac:dyDescent="0.2">
      <c r="B15" t="s">
        <v>582</v>
      </c>
      <c r="C15" t="s">
        <v>583</v>
      </c>
      <c r="D15" s="5" t="s">
        <v>584</v>
      </c>
      <c r="E15" s="6" t="s">
        <v>585</v>
      </c>
      <c r="F15" s="7" t="s">
        <v>586</v>
      </c>
      <c r="G15" s="8" t="s">
        <v>587</v>
      </c>
    </row>
    <row r="16" spans="1:7" x14ac:dyDescent="0.2">
      <c r="B16" t="s">
        <v>582</v>
      </c>
      <c r="C16" t="s">
        <v>588</v>
      </c>
      <c r="D16" s="5" t="s">
        <v>589</v>
      </c>
      <c r="E16" s="6" t="s">
        <v>590</v>
      </c>
      <c r="F16" s="7" t="s">
        <v>591</v>
      </c>
      <c r="G16" s="8" t="s">
        <v>592</v>
      </c>
    </row>
    <row r="17" spans="2:7" x14ac:dyDescent="0.2">
      <c r="B17" t="s">
        <v>582</v>
      </c>
      <c r="C17" s="11" t="s">
        <v>593</v>
      </c>
      <c r="D17" s="5" t="s">
        <v>594</v>
      </c>
      <c r="E17" s="6" t="s">
        <v>595</v>
      </c>
      <c r="F17" s="7" t="s">
        <v>596</v>
      </c>
      <c r="G17" s="8" t="s">
        <v>597</v>
      </c>
    </row>
    <row r="18" spans="2:7" x14ac:dyDescent="0.2">
      <c r="B18" t="s">
        <v>582</v>
      </c>
      <c r="C18" t="s">
        <v>598</v>
      </c>
      <c r="D18" s="9" t="s">
        <v>599</v>
      </c>
      <c r="E18" s="6" t="s">
        <v>600</v>
      </c>
      <c r="F18" s="7" t="s">
        <v>601</v>
      </c>
      <c r="G18" s="8" t="s">
        <v>602</v>
      </c>
    </row>
    <row r="19" spans="2:7" x14ac:dyDescent="0.2">
      <c r="B19" t="s">
        <v>582</v>
      </c>
      <c r="C19" t="s">
        <v>603</v>
      </c>
      <c r="D19" s="5" t="s">
        <v>604</v>
      </c>
      <c r="E19" s="6" t="s">
        <v>605</v>
      </c>
      <c r="F19" s="7" t="s">
        <v>606</v>
      </c>
      <c r="G19" s="8" t="s">
        <v>607</v>
      </c>
    </row>
    <row r="20" spans="2:7" x14ac:dyDescent="0.2">
      <c r="B20" s="4"/>
      <c r="C20" s="4"/>
      <c r="D20" s="9" t="s">
        <v>608</v>
      </c>
      <c r="E20" s="6" t="s">
        <v>609</v>
      </c>
      <c r="F20" s="7" t="s">
        <v>610</v>
      </c>
      <c r="G20" s="8" t="s">
        <v>611</v>
      </c>
    </row>
    <row r="21" spans="2:7" x14ac:dyDescent="0.2">
      <c r="B21" s="4"/>
      <c r="C21" s="4"/>
      <c r="D21" s="9" t="s">
        <v>612</v>
      </c>
      <c r="E21" s="6" t="s">
        <v>613</v>
      </c>
      <c r="F21" s="7" t="s">
        <v>614</v>
      </c>
      <c r="G21" s="8" t="s">
        <v>615</v>
      </c>
    </row>
    <row r="22" spans="2:7" x14ac:dyDescent="0.2">
      <c r="B22" s="4"/>
      <c r="C22" s="4"/>
      <c r="D22" s="9" t="s">
        <v>616</v>
      </c>
      <c r="E22" s="6" t="s">
        <v>617</v>
      </c>
      <c r="F22" s="7" t="s">
        <v>618</v>
      </c>
      <c r="G22" s="8" t="s">
        <v>619</v>
      </c>
    </row>
    <row r="23" spans="2:7" x14ac:dyDescent="0.2">
      <c r="B23" s="4"/>
      <c r="C23" s="4"/>
      <c r="D23" s="9" t="s">
        <v>620</v>
      </c>
      <c r="E23" s="6" t="s">
        <v>621</v>
      </c>
      <c r="F23" s="7" t="s">
        <v>622</v>
      </c>
      <c r="G23" s="8" t="s">
        <v>623</v>
      </c>
    </row>
    <row r="24" spans="2:7" x14ac:dyDescent="0.2">
      <c r="B24" s="4"/>
      <c r="C24" s="4"/>
      <c r="D24" s="9" t="s">
        <v>624</v>
      </c>
      <c r="E24" s="6" t="s">
        <v>625</v>
      </c>
      <c r="F24" s="7" t="s">
        <v>626</v>
      </c>
      <c r="G24" s="8" t="s">
        <v>627</v>
      </c>
    </row>
    <row r="25" spans="2:7" x14ac:dyDescent="0.2">
      <c r="B25" s="4"/>
      <c r="C25" s="4"/>
      <c r="D25" s="9" t="s">
        <v>628</v>
      </c>
      <c r="E25" s="6" t="s">
        <v>629</v>
      </c>
      <c r="F25" s="7" t="s">
        <v>630</v>
      </c>
      <c r="G25" s="8" t="s">
        <v>631</v>
      </c>
    </row>
    <row r="26" spans="2:7" x14ac:dyDescent="0.2">
      <c r="B26" s="4"/>
      <c r="C26" s="4"/>
      <c r="D26" s="9" t="s">
        <v>632</v>
      </c>
      <c r="E26" s="6" t="s">
        <v>633</v>
      </c>
      <c r="F26" s="7" t="s">
        <v>634</v>
      </c>
      <c r="G26" s="12" t="s">
        <v>635</v>
      </c>
    </row>
    <row r="27" spans="2:7" x14ac:dyDescent="0.2">
      <c r="B27" s="4"/>
      <c r="C27" s="4"/>
      <c r="D27" s="9" t="s">
        <v>636</v>
      </c>
      <c r="E27" s="6" t="s">
        <v>637</v>
      </c>
      <c r="F27" s="7" t="s">
        <v>638</v>
      </c>
      <c r="G27" s="8" t="s">
        <v>639</v>
      </c>
    </row>
    <row r="28" spans="2:7" x14ac:dyDescent="0.2">
      <c r="B28" s="4"/>
      <c r="C28" s="4"/>
      <c r="D28" s="9" t="s">
        <v>640</v>
      </c>
      <c r="E28" s="6" t="s">
        <v>641</v>
      </c>
      <c r="F28" s="7" t="s">
        <v>642</v>
      </c>
      <c r="G28" s="8" t="s">
        <v>643</v>
      </c>
    </row>
    <row r="29" spans="2:7" x14ac:dyDescent="0.2">
      <c r="B29" s="4"/>
      <c r="C29" s="4"/>
      <c r="D29" s="4"/>
      <c r="E29" s="6" t="s">
        <v>644</v>
      </c>
      <c r="F29" s="7" t="s">
        <v>645</v>
      </c>
      <c r="G29" s="8" t="s">
        <v>646</v>
      </c>
    </row>
    <row r="30" spans="2:7" x14ac:dyDescent="0.2">
      <c r="B30" s="4"/>
      <c r="C30" s="4"/>
      <c r="D30" s="4"/>
      <c r="E30" s="6" t="s">
        <v>647</v>
      </c>
      <c r="F30" s="7" t="s">
        <v>648</v>
      </c>
      <c r="G30" s="8" t="s">
        <v>649</v>
      </c>
    </row>
    <row r="31" spans="2:7" x14ac:dyDescent="0.2">
      <c r="B31" s="4"/>
      <c r="C31" s="4"/>
      <c r="D31" s="4"/>
      <c r="E31" s="6" t="s">
        <v>650</v>
      </c>
      <c r="F31" s="7" t="s">
        <v>651</v>
      </c>
      <c r="G31" s="12" t="s">
        <v>652</v>
      </c>
    </row>
    <row r="32" spans="2:7" x14ac:dyDescent="0.2">
      <c r="B32" s="4"/>
      <c r="C32" s="4"/>
      <c r="D32" s="4"/>
      <c r="E32" s="6" t="s">
        <v>653</v>
      </c>
      <c r="F32" s="7" t="s">
        <v>654</v>
      </c>
      <c r="G32" s="12" t="s">
        <v>655</v>
      </c>
    </row>
    <row r="33" spans="2:7" x14ac:dyDescent="0.2">
      <c r="B33" s="4"/>
      <c r="C33" s="4"/>
      <c r="D33" s="4"/>
      <c r="E33" s="6" t="s">
        <v>656</v>
      </c>
      <c r="F33" s="7" t="s">
        <v>657</v>
      </c>
      <c r="G33" s="8" t="s">
        <v>658</v>
      </c>
    </row>
    <row r="34" spans="2:7" x14ac:dyDescent="0.2">
      <c r="B34" s="4"/>
      <c r="C34" s="4"/>
      <c r="D34" s="4"/>
      <c r="E34" s="6" t="s">
        <v>659</v>
      </c>
      <c r="F34" s="7" t="s">
        <v>660</v>
      </c>
      <c r="G34" s="8" t="s">
        <v>661</v>
      </c>
    </row>
    <row r="35" spans="2:7" x14ac:dyDescent="0.2">
      <c r="B35" s="4"/>
      <c r="C35" s="4"/>
      <c r="D35" s="4"/>
      <c r="E35" s="6" t="s">
        <v>662</v>
      </c>
      <c r="F35" s="7" t="s">
        <v>663</v>
      </c>
      <c r="G35" s="8" t="s">
        <v>664</v>
      </c>
    </row>
    <row r="36" spans="2:7" x14ac:dyDescent="0.2">
      <c r="B36" s="4"/>
      <c r="C36" s="4"/>
      <c r="D36" s="4"/>
      <c r="E36" s="6" t="s">
        <v>665</v>
      </c>
      <c r="F36" s="7" t="s">
        <v>666</v>
      </c>
      <c r="G36" s="8" t="s">
        <v>667</v>
      </c>
    </row>
    <row r="37" spans="2:7" x14ac:dyDescent="0.2">
      <c r="B37" s="4"/>
      <c r="C37" s="4"/>
      <c r="D37" s="4"/>
      <c r="E37" s="6" t="s">
        <v>668</v>
      </c>
      <c r="F37" s="7" t="s">
        <v>669</v>
      </c>
      <c r="G37" s="8" t="s">
        <v>670</v>
      </c>
    </row>
    <row r="38" spans="2:7" x14ac:dyDescent="0.2">
      <c r="B38" s="4"/>
      <c r="C38" s="4"/>
      <c r="D38" s="4"/>
      <c r="E38" s="6" t="s">
        <v>671</v>
      </c>
      <c r="F38" s="7" t="s">
        <v>672</v>
      </c>
      <c r="G38" s="8" t="s">
        <v>673</v>
      </c>
    </row>
    <row r="39" spans="2:7" x14ac:dyDescent="0.2">
      <c r="B39" s="4"/>
      <c r="C39" s="4"/>
      <c r="D39" s="4"/>
      <c r="E39" s="6" t="s">
        <v>585</v>
      </c>
      <c r="F39" s="7" t="s">
        <v>674</v>
      </c>
      <c r="G39" s="8" t="s">
        <v>675</v>
      </c>
    </row>
    <row r="40" spans="2:7" x14ac:dyDescent="0.2">
      <c r="B40" s="4"/>
      <c r="C40" s="4"/>
      <c r="D40" s="4"/>
      <c r="E40" s="6" t="s">
        <v>676</v>
      </c>
      <c r="F40" s="7" t="s">
        <v>677</v>
      </c>
      <c r="G40" s="8" t="s">
        <v>678</v>
      </c>
    </row>
    <row r="41" spans="2:7" x14ac:dyDescent="0.2">
      <c r="B41" s="4"/>
      <c r="C41" s="4"/>
      <c r="D41" s="4"/>
      <c r="E41" s="6" t="s">
        <v>679</v>
      </c>
      <c r="F41" s="7" t="s">
        <v>680</v>
      </c>
      <c r="G41" s="8" t="s">
        <v>681</v>
      </c>
    </row>
    <row r="42" spans="2:7" x14ac:dyDescent="0.2">
      <c r="B42" s="4"/>
      <c r="C42" s="4"/>
      <c r="D42" s="4"/>
      <c r="E42" s="4"/>
      <c r="F42" s="7" t="s">
        <v>682</v>
      </c>
      <c r="G42" s="8" t="s">
        <v>683</v>
      </c>
    </row>
    <row r="43" spans="2:7" x14ac:dyDescent="0.2">
      <c r="B43" s="4"/>
      <c r="C43" s="4"/>
      <c r="D43" s="4"/>
      <c r="E43" s="4"/>
      <c r="F43" s="7" t="s">
        <v>684</v>
      </c>
      <c r="G43" s="8" t="s">
        <v>685</v>
      </c>
    </row>
    <row r="44" spans="2:7" x14ac:dyDescent="0.2">
      <c r="B44" s="4"/>
      <c r="C44" s="4"/>
      <c r="D44" s="4"/>
      <c r="E44" s="4"/>
      <c r="F44" s="7" t="s">
        <v>686</v>
      </c>
      <c r="G44" s="13" t="s">
        <v>687</v>
      </c>
    </row>
    <row r="45" spans="2:7" x14ac:dyDescent="0.2">
      <c r="B45" s="4"/>
      <c r="C45" s="4"/>
      <c r="D45" s="4"/>
      <c r="E45" s="4"/>
      <c r="F45" s="7" t="s">
        <v>688</v>
      </c>
      <c r="G45" s="8" t="s">
        <v>689</v>
      </c>
    </row>
    <row r="46" spans="2:7" x14ac:dyDescent="0.2">
      <c r="B46" s="4"/>
      <c r="C46" s="4"/>
      <c r="D46" s="4"/>
      <c r="E46" s="4"/>
      <c r="F46" s="7" t="s">
        <v>690</v>
      </c>
      <c r="G46" s="8" t="s">
        <v>691</v>
      </c>
    </row>
    <row r="47" spans="2:7" x14ac:dyDescent="0.2">
      <c r="B47" s="4"/>
      <c r="C47" s="4"/>
      <c r="D47" s="4"/>
      <c r="E47" s="4"/>
      <c r="F47" s="7" t="s">
        <v>692</v>
      </c>
      <c r="G47" s="14" t="s">
        <v>693</v>
      </c>
    </row>
    <row r="48" spans="2:7" x14ac:dyDescent="0.2">
      <c r="B48" s="4"/>
      <c r="C48" s="4"/>
      <c r="D48" s="4"/>
      <c r="E48" s="4"/>
      <c r="F48" s="7" t="s">
        <v>694</v>
      </c>
      <c r="G48" s="8" t="s">
        <v>695</v>
      </c>
    </row>
    <row r="49" spans="2:7" x14ac:dyDescent="0.2">
      <c r="B49" s="4"/>
      <c r="C49" s="4"/>
      <c r="D49" s="4"/>
      <c r="E49" s="4"/>
      <c r="F49" s="7" t="s">
        <v>696</v>
      </c>
      <c r="G49" s="8" t="s">
        <v>697</v>
      </c>
    </row>
    <row r="50" spans="2:7" x14ac:dyDescent="0.2">
      <c r="B50" s="4"/>
      <c r="C50" s="4"/>
      <c r="D50" s="4"/>
      <c r="E50" s="4"/>
      <c r="F50" s="7" t="s">
        <v>698</v>
      </c>
      <c r="G50" s="8" t="s">
        <v>699</v>
      </c>
    </row>
    <row r="51" spans="2:7" x14ac:dyDescent="0.2">
      <c r="B51" s="4"/>
      <c r="C51" s="4"/>
      <c r="D51" s="4"/>
      <c r="E51" s="4"/>
      <c r="F51" s="4"/>
      <c r="G51" s="8" t="s">
        <v>700</v>
      </c>
    </row>
    <row r="52" spans="2:7" x14ac:dyDescent="0.2">
      <c r="B52" s="4"/>
      <c r="C52" s="4"/>
      <c r="D52" s="4"/>
      <c r="E52" s="4"/>
      <c r="F52" s="4"/>
      <c r="G52" s="8" t="s">
        <v>701</v>
      </c>
    </row>
    <row r="53" spans="2:7" x14ac:dyDescent="0.2">
      <c r="B53" s="4"/>
      <c r="C53" s="4"/>
      <c r="D53" s="4"/>
      <c r="E53" s="4"/>
      <c r="F53" s="4"/>
      <c r="G53" s="8" t="s">
        <v>702</v>
      </c>
    </row>
    <row r="54" spans="2:7" x14ac:dyDescent="0.2">
      <c r="B54" s="4"/>
      <c r="C54" s="4"/>
      <c r="D54" s="4"/>
      <c r="E54" s="4"/>
      <c r="F54" s="4"/>
      <c r="G54" s="8" t="s">
        <v>703</v>
      </c>
    </row>
    <row r="55" spans="2:7" x14ac:dyDescent="0.2">
      <c r="B55" s="4"/>
      <c r="C55" s="4"/>
      <c r="D55" s="4"/>
      <c r="E55" s="4"/>
      <c r="F55" s="4"/>
      <c r="G55" s="8" t="s">
        <v>704</v>
      </c>
    </row>
    <row r="56" spans="2:7" x14ac:dyDescent="0.2">
      <c r="B56" s="4"/>
      <c r="C56" s="4"/>
      <c r="D56" s="4"/>
      <c r="E56" s="4"/>
      <c r="F56" s="4"/>
      <c r="G56" s="8" t="s">
        <v>705</v>
      </c>
    </row>
    <row r="57" spans="2:7" x14ac:dyDescent="0.2">
      <c r="B57" s="4"/>
      <c r="C57" s="4"/>
      <c r="D57" s="4"/>
      <c r="E57" s="4"/>
      <c r="F57" s="4"/>
      <c r="G57" s="8" t="s">
        <v>706</v>
      </c>
    </row>
    <row r="58" spans="2:7" x14ac:dyDescent="0.2">
      <c r="B58" s="4"/>
      <c r="C58" s="4"/>
      <c r="D58" s="4"/>
      <c r="E58" s="4"/>
      <c r="F58" s="4"/>
      <c r="G58" s="8" t="s">
        <v>707</v>
      </c>
    </row>
    <row r="59" spans="2:7" x14ac:dyDescent="0.2">
      <c r="B59" s="4"/>
      <c r="C59" s="4"/>
      <c r="D59" s="4"/>
      <c r="E59" s="4"/>
      <c r="F59" s="4"/>
      <c r="G59" s="8" t="s">
        <v>708</v>
      </c>
    </row>
    <row r="60" spans="2:7" x14ac:dyDescent="0.2">
      <c r="B60" s="4"/>
      <c r="C60" s="4"/>
      <c r="D60" s="4"/>
      <c r="E60" s="4"/>
      <c r="F60" s="4"/>
      <c r="G60" s="8" t="s">
        <v>709</v>
      </c>
    </row>
  </sheetData>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 ref="E21" r:id="rId20" xr:uid="{00000000-0004-0000-0100-000013000000}"/>
    <hyperlink ref="E22" r:id="rId21" xr:uid="{00000000-0004-0000-0100-000014000000}"/>
    <hyperlink ref="E23" r:id="rId22" xr:uid="{00000000-0004-0000-0100-000015000000}"/>
    <hyperlink ref="E24" r:id="rId23" xr:uid="{00000000-0004-0000-0100-000016000000}"/>
    <hyperlink ref="E25" r:id="rId24" xr:uid="{00000000-0004-0000-0100-000017000000}"/>
    <hyperlink ref="E26" r:id="rId25" xr:uid="{00000000-0004-0000-0100-000018000000}"/>
    <hyperlink ref="E27" r:id="rId26" xr:uid="{00000000-0004-0000-0100-000019000000}"/>
    <hyperlink ref="E28" r:id="rId27" xr:uid="{00000000-0004-0000-0100-00001A000000}"/>
    <hyperlink ref="E29" r:id="rId28" xr:uid="{00000000-0004-0000-0100-00001B000000}"/>
    <hyperlink ref="E30" r:id="rId29" xr:uid="{00000000-0004-0000-0100-00001C000000}"/>
    <hyperlink ref="E31" r:id="rId30" xr:uid="{00000000-0004-0000-0100-00001D000000}"/>
    <hyperlink ref="E32" r:id="rId31" xr:uid="{00000000-0004-0000-0100-00001E000000}"/>
    <hyperlink ref="E33" r:id="rId32" xr:uid="{00000000-0004-0000-0100-00001F000000}"/>
    <hyperlink ref="E34" r:id="rId33" xr:uid="{00000000-0004-0000-0100-000020000000}"/>
    <hyperlink ref="E35" r:id="rId34" xr:uid="{00000000-0004-0000-0100-000021000000}"/>
    <hyperlink ref="E36" r:id="rId35" xr:uid="{00000000-0004-0000-0100-000022000000}"/>
    <hyperlink ref="E37" r:id="rId36" xr:uid="{00000000-0004-0000-0100-000023000000}"/>
    <hyperlink ref="E38" r:id="rId37" xr:uid="{00000000-0004-0000-0100-000024000000}"/>
    <hyperlink ref="E39" r:id="rId38" xr:uid="{00000000-0004-0000-0100-000025000000}"/>
    <hyperlink ref="E40" r:id="rId39" xr:uid="{00000000-0004-0000-0100-000026000000}"/>
    <hyperlink ref="E41" r:id="rId40" xr:uid="{00000000-0004-0000-0100-000027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7"/>
  <sheetViews>
    <sheetView workbookViewId="0">
      <selection activeCell="B3" sqref="B3"/>
    </sheetView>
  </sheetViews>
  <sheetFormatPr baseColWidth="10" defaultColWidth="8.83203125" defaultRowHeight="15" x14ac:dyDescent="0.2"/>
  <cols>
    <col min="1" max="1" width="20" bestFit="1" customWidth="1"/>
    <col min="2" max="2" width="16.83203125" customWidth="1"/>
    <col min="5" max="5" width="6.83203125" customWidth="1"/>
    <col min="7" max="7" width="9.5" customWidth="1"/>
    <col min="8" max="8" width="13.5" customWidth="1"/>
    <col min="9" max="9" width="11" customWidth="1"/>
    <col min="11" max="11" width="10.83203125" customWidth="1"/>
    <col min="12" max="12" width="12.33203125" bestFit="1" customWidth="1"/>
    <col min="14" max="14" width="12.33203125" bestFit="1" customWidth="1"/>
    <col min="15" max="15" width="11" bestFit="1" customWidth="1"/>
  </cols>
  <sheetData>
    <row r="1" spans="1:15" x14ac:dyDescent="0.2">
      <c r="A1" s="3" t="s">
        <v>710</v>
      </c>
      <c r="B1" s="65" t="s">
        <v>12</v>
      </c>
      <c r="C1" s="66"/>
      <c r="D1" s="66"/>
      <c r="E1" s="66"/>
      <c r="F1" s="66"/>
      <c r="G1" s="66"/>
      <c r="H1" s="66"/>
      <c r="I1" s="66"/>
      <c r="J1" s="66"/>
      <c r="K1" s="66"/>
      <c r="L1" s="66"/>
      <c r="M1" s="66"/>
      <c r="N1" s="66"/>
      <c r="O1" s="66"/>
    </row>
    <row r="2" spans="1:15" x14ac:dyDescent="0.2">
      <c r="A2" s="3" t="s">
        <v>711</v>
      </c>
    </row>
    <row r="3" spans="1:15" x14ac:dyDescent="0.2">
      <c r="A3" s="3" t="s">
        <v>713</v>
      </c>
      <c r="B3" t="str">
        <f>IF($B$1="","",_xlfn.XLOOKUP($B$1,Master!$E$2:$E$290,Master!$F$2:$F$290,""))</f>
        <v>tbl-population-demographics</v>
      </c>
    </row>
    <row r="4" spans="1:15" x14ac:dyDescent="0.2">
      <c r="E4" s="15"/>
      <c r="F4" s="15"/>
      <c r="G4" s="19" t="s">
        <v>1072</v>
      </c>
      <c r="H4" s="19" t="s">
        <v>1073</v>
      </c>
      <c r="I4" s="19" t="s">
        <v>1073</v>
      </c>
      <c r="J4" s="19"/>
      <c r="K4" s="19"/>
      <c r="L4" s="19"/>
      <c r="M4" s="19"/>
      <c r="N4" s="19"/>
      <c r="O4" s="19"/>
    </row>
    <row r="5" spans="1:15" x14ac:dyDescent="0.2">
      <c r="A5" s="54" t="s">
        <v>714</v>
      </c>
      <c r="B5" s="52"/>
      <c r="E5" s="53" t="s">
        <v>715</v>
      </c>
    </row>
    <row r="6" spans="1:15" ht="15" customHeight="1" x14ac:dyDescent="0.2">
      <c r="A6" t="s">
        <v>719</v>
      </c>
      <c r="E6" s="52"/>
    </row>
    <row r="7" spans="1:15" ht="15.75" customHeight="1" x14ac:dyDescent="0.2">
      <c r="E7" s="52"/>
    </row>
    <row r="8" spans="1:15" x14ac:dyDescent="0.2">
      <c r="E8" s="52"/>
    </row>
    <row r="9" spans="1:15" x14ac:dyDescent="0.2">
      <c r="A9" s="54" t="s">
        <v>724</v>
      </c>
      <c r="B9" s="52"/>
      <c r="E9" s="52"/>
    </row>
    <row r="10" spans="1:15" x14ac:dyDescent="0.2">
      <c r="A10" t="s">
        <v>725</v>
      </c>
      <c r="E10" s="52"/>
    </row>
    <row r="11" spans="1:15" x14ac:dyDescent="0.2">
      <c r="A11" t="s">
        <v>727</v>
      </c>
      <c r="E11" s="52"/>
    </row>
    <row r="12" spans="1:15" x14ac:dyDescent="0.2">
      <c r="A12" t="s">
        <v>728</v>
      </c>
      <c r="E12" s="52"/>
    </row>
    <row r="13" spans="1:15" x14ac:dyDescent="0.2">
      <c r="A13" t="s">
        <v>729</v>
      </c>
      <c r="E13" s="52"/>
    </row>
    <row r="14" spans="1:15" x14ac:dyDescent="0.2">
      <c r="A14" t="s">
        <v>730</v>
      </c>
      <c r="E14" s="52"/>
    </row>
    <row r="15" spans="1:15" x14ac:dyDescent="0.2">
      <c r="A15" t="s">
        <v>732</v>
      </c>
      <c r="E15" s="52"/>
    </row>
    <row r="16" spans="1:15" x14ac:dyDescent="0.2">
      <c r="E16" s="52"/>
    </row>
    <row r="17" spans="1:5" x14ac:dyDescent="0.2">
      <c r="E17" s="52"/>
    </row>
    <row r="18" spans="1:5" x14ac:dyDescent="0.2">
      <c r="A18" s="54" t="s">
        <v>735</v>
      </c>
      <c r="B18" s="52"/>
      <c r="E18" s="52"/>
    </row>
    <row r="19" spans="1:5" x14ac:dyDescent="0.2">
      <c r="A19" t="s">
        <v>736</v>
      </c>
      <c r="E19" s="52"/>
    </row>
    <row r="20" spans="1:5" x14ac:dyDescent="0.2">
      <c r="A20" t="s">
        <v>738</v>
      </c>
      <c r="E20" s="52"/>
    </row>
    <row r="21" spans="1:5" x14ac:dyDescent="0.2">
      <c r="A21" t="s">
        <v>740</v>
      </c>
      <c r="E21" s="52"/>
    </row>
    <row r="22" spans="1:5" x14ac:dyDescent="0.2">
      <c r="A22" t="s">
        <v>741</v>
      </c>
      <c r="E22" s="52"/>
    </row>
    <row r="23" spans="1:5" x14ac:dyDescent="0.2">
      <c r="A23" t="s">
        <v>743</v>
      </c>
      <c r="E23" s="52"/>
    </row>
    <row r="24" spans="1:5" x14ac:dyDescent="0.2">
      <c r="A24" t="s">
        <v>745</v>
      </c>
      <c r="E24" s="52"/>
    </row>
    <row r="25" spans="1:5" x14ac:dyDescent="0.2">
      <c r="A25" t="s">
        <v>746</v>
      </c>
      <c r="E25" s="52"/>
    </row>
    <row r="26" spans="1:5" x14ac:dyDescent="0.2">
      <c r="E26" s="52"/>
    </row>
    <row r="27" spans="1:5" x14ac:dyDescent="0.2">
      <c r="A27" s="55" t="s">
        <v>747</v>
      </c>
      <c r="B27" s="52"/>
      <c r="E27" s="52"/>
    </row>
    <row r="28" spans="1:5" x14ac:dyDescent="0.2">
      <c r="E28" s="52"/>
    </row>
    <row r="29" spans="1:5" x14ac:dyDescent="0.2">
      <c r="E29" s="52"/>
    </row>
    <row r="30" spans="1:5" x14ac:dyDescent="0.2">
      <c r="E30" s="52"/>
    </row>
    <row r="31" spans="1:5" x14ac:dyDescent="0.2">
      <c r="E31" s="52"/>
    </row>
    <row r="32" spans="1:5"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6">
    <mergeCell ref="B1:O1"/>
    <mergeCell ref="E5:E57"/>
    <mergeCell ref="A9:B9"/>
    <mergeCell ref="A5:B5"/>
    <mergeCell ref="A18:B18"/>
    <mergeCell ref="A27:B27"/>
  </mergeCells>
  <dataValidations count="4">
    <dataValidation type="list" allowBlank="1" showInputMessage="1" showErrorMessage="1" sqref="B6 B15" xr:uid="{00000000-0002-0000-0400-000000000000}">
      <formula1>"True,False"</formula1>
    </dataValidation>
    <dataValidation type="list" allowBlank="1" showInputMessage="1" showErrorMessage="1" sqref="B2" xr:uid="{00000000-0002-0000-0400-000001000000}">
      <formula1>"Table,Figure,Both"</formula1>
    </dataValidation>
    <dataValidation type="list" allowBlank="1" showInputMessage="1" showErrorMessage="1" sqref="B10" xr:uid="{00000000-0002-0000-0400-000002000000}">
      <formula1>"Line,Clustered Bar,Stacked Bar"</formula1>
    </dataValidation>
    <dataValidation type="list" allowBlank="1" showInputMessage="1" showErrorMessage="1" sqref="G4:O4" xr:uid="{5EFFF83F-D6DB-704D-8D47-6725A4689772}">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C44B0073-3445-3746-B29B-3D7ED56CBEAF}">
          <x14:formula1>
            <xm:f>Master!$E$2:$E$290</xm:f>
          </x14:formula1>
          <xm:sqref>B1:O1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FC157-F11C-E344-A122-8B836B859B86}">
  <sheetPr>
    <tabColor rgb="FF0070C0"/>
  </sheetPr>
  <dimension ref="A1"/>
  <sheetViews>
    <sheetView workbookViewId="0">
      <selection activeCell="F52" sqref="F52"/>
    </sheetView>
  </sheetViews>
  <sheetFormatPr baseColWidth="10"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6C14-2EBE-7442-9071-D36423E2BE0C}">
  <dimension ref="A1:O57"/>
  <sheetViews>
    <sheetView workbookViewId="0">
      <selection activeCell="B3" sqref="B3"/>
    </sheetView>
  </sheetViews>
  <sheetFormatPr baseColWidth="10" defaultColWidth="8.83203125" defaultRowHeight="15" x14ac:dyDescent="0.2"/>
  <cols>
    <col min="1" max="1" width="20" bestFit="1" customWidth="1"/>
    <col min="2" max="2" width="16.83203125" customWidth="1"/>
    <col min="5" max="5" width="6.83203125" customWidth="1"/>
    <col min="6" max="6" width="12.1640625" bestFit="1" customWidth="1"/>
    <col min="7" max="7" width="13.83203125" bestFit="1" customWidth="1"/>
    <col min="8" max="8" width="24.33203125" bestFit="1" customWidth="1"/>
    <col min="9" max="9" width="11" customWidth="1"/>
    <col min="11" max="11" width="10.83203125" customWidth="1"/>
    <col min="12" max="12" width="12.33203125" bestFit="1" customWidth="1"/>
    <col min="14" max="14" width="12.33203125" bestFit="1" customWidth="1"/>
    <col min="15" max="15" width="11" bestFit="1" customWidth="1"/>
  </cols>
  <sheetData>
    <row r="1" spans="1:15" x14ac:dyDescent="0.2">
      <c r="A1" s="3" t="s">
        <v>710</v>
      </c>
      <c r="B1" s="51" t="s">
        <v>12</v>
      </c>
      <c r="C1" s="52"/>
      <c r="D1" s="52"/>
      <c r="E1" s="52"/>
      <c r="F1" s="52"/>
      <c r="G1" s="52"/>
      <c r="H1" s="52"/>
      <c r="I1" s="52"/>
      <c r="J1" s="52"/>
      <c r="K1" s="52"/>
      <c r="L1" s="52"/>
      <c r="M1" s="52"/>
      <c r="N1" s="52"/>
      <c r="O1" s="52"/>
    </row>
    <row r="2" spans="1:15" x14ac:dyDescent="0.2">
      <c r="A2" s="3" t="s">
        <v>711</v>
      </c>
      <c r="B2" t="s">
        <v>10</v>
      </c>
    </row>
    <row r="3" spans="1:15" ht="16" x14ac:dyDescent="0.2">
      <c r="A3" s="3" t="s">
        <v>713</v>
      </c>
      <c r="B3" s="31" t="s">
        <v>1071</v>
      </c>
    </row>
    <row r="4" spans="1:15" x14ac:dyDescent="0.2">
      <c r="E4" s="15"/>
      <c r="F4" s="15"/>
      <c r="G4" s="19" t="s">
        <v>1072</v>
      </c>
      <c r="H4" s="19" t="s">
        <v>1073</v>
      </c>
      <c r="I4" s="19" t="s">
        <v>1073</v>
      </c>
      <c r="J4" s="19"/>
      <c r="K4" s="19"/>
      <c r="L4" s="19"/>
      <c r="M4" s="19"/>
      <c r="N4" s="19"/>
      <c r="O4" s="19"/>
    </row>
    <row r="5" spans="1:15" x14ac:dyDescent="0.2">
      <c r="A5" s="54" t="s">
        <v>714</v>
      </c>
      <c r="B5" s="52"/>
      <c r="E5" s="53" t="s">
        <v>715</v>
      </c>
      <c r="F5" t="s">
        <v>750</v>
      </c>
      <c r="G5" t="s">
        <v>1066</v>
      </c>
      <c r="H5" t="s">
        <v>1067</v>
      </c>
      <c r="I5" t="s">
        <v>1068</v>
      </c>
    </row>
    <row r="6" spans="1:15" ht="15" customHeight="1" x14ac:dyDescent="0.2">
      <c r="A6" t="s">
        <v>719</v>
      </c>
      <c r="E6" s="52"/>
      <c r="F6" s="1" t="s">
        <v>149</v>
      </c>
      <c r="G6">
        <v>297144</v>
      </c>
      <c r="H6" s="2">
        <v>12.4</v>
      </c>
      <c r="I6" s="2">
        <v>1.5</v>
      </c>
    </row>
    <row r="7" spans="1:15" ht="15.75" customHeight="1" x14ac:dyDescent="0.2">
      <c r="A7" t="s">
        <v>721</v>
      </c>
      <c r="E7" s="52"/>
      <c r="F7" s="1" t="s">
        <v>15</v>
      </c>
      <c r="G7">
        <v>403840</v>
      </c>
      <c r="H7" s="2">
        <v>16.899999999999999</v>
      </c>
      <c r="I7" s="2">
        <v>2</v>
      </c>
    </row>
    <row r="8" spans="1:15" x14ac:dyDescent="0.2">
      <c r="E8" s="52"/>
      <c r="F8" s="1" t="s">
        <v>368</v>
      </c>
      <c r="G8">
        <v>97988</v>
      </c>
      <c r="H8" s="2">
        <v>4.0999999999999996</v>
      </c>
      <c r="I8" s="2">
        <v>0.5</v>
      </c>
    </row>
    <row r="9" spans="1:15" x14ac:dyDescent="0.2">
      <c r="A9" s="54" t="s">
        <v>724</v>
      </c>
      <c r="B9" s="52"/>
      <c r="E9" s="52"/>
      <c r="F9" s="1" t="s">
        <v>279</v>
      </c>
      <c r="G9">
        <v>338936</v>
      </c>
      <c r="H9" s="2">
        <v>14.1</v>
      </c>
      <c r="I9" s="2">
        <v>1.7</v>
      </c>
    </row>
    <row r="10" spans="1:15" x14ac:dyDescent="0.2">
      <c r="A10" t="s">
        <v>725</v>
      </c>
      <c r="E10" s="52"/>
      <c r="F10" s="1" t="s">
        <v>240</v>
      </c>
      <c r="G10">
        <v>79147</v>
      </c>
      <c r="H10" s="2">
        <v>3.3</v>
      </c>
      <c r="I10" s="2">
        <v>0.4</v>
      </c>
    </row>
    <row r="11" spans="1:15" x14ac:dyDescent="0.2">
      <c r="A11" t="s">
        <v>727</v>
      </c>
      <c r="E11" s="52"/>
      <c r="F11" s="1" t="s">
        <v>249</v>
      </c>
      <c r="G11">
        <v>182109</v>
      </c>
      <c r="H11" s="2">
        <v>7.6</v>
      </c>
      <c r="I11" s="2">
        <v>0.9</v>
      </c>
    </row>
    <row r="12" spans="1:15" x14ac:dyDescent="0.2">
      <c r="A12" t="s">
        <v>728</v>
      </c>
      <c r="E12" s="52"/>
      <c r="F12" s="1" t="s">
        <v>301</v>
      </c>
      <c r="G12">
        <v>996888</v>
      </c>
      <c r="H12" s="2">
        <v>41.6</v>
      </c>
      <c r="I12" s="2">
        <v>5</v>
      </c>
    </row>
    <row r="13" spans="1:15" x14ac:dyDescent="0.2">
      <c r="A13" t="s">
        <v>729</v>
      </c>
      <c r="E13" s="52"/>
      <c r="F13" s="1" t="s">
        <v>993</v>
      </c>
      <c r="G13">
        <v>2396052</v>
      </c>
      <c r="H13" s="2">
        <v>100</v>
      </c>
      <c r="I13" s="2">
        <v>12.1</v>
      </c>
    </row>
    <row r="14" spans="1:15" x14ac:dyDescent="0.2">
      <c r="A14" t="s">
        <v>730</v>
      </c>
      <c r="E14" s="52"/>
      <c r="F14" s="1" t="s">
        <v>1069</v>
      </c>
      <c r="G14">
        <v>11356117</v>
      </c>
      <c r="H14" s="2" t="s">
        <v>1070</v>
      </c>
      <c r="I14" s="2">
        <v>57.1</v>
      </c>
    </row>
    <row r="15" spans="1:15" x14ac:dyDescent="0.2">
      <c r="A15" t="s">
        <v>732</v>
      </c>
      <c r="E15" s="52"/>
      <c r="F15" s="18" t="s">
        <v>1069</v>
      </c>
      <c r="G15">
        <v>19872318</v>
      </c>
      <c r="H15" s="2" t="s">
        <v>1070</v>
      </c>
      <c r="I15" s="2">
        <v>100</v>
      </c>
    </row>
    <row r="16" spans="1:15" x14ac:dyDescent="0.2">
      <c r="E16" s="52"/>
    </row>
    <row r="17" spans="1:5" x14ac:dyDescent="0.2">
      <c r="E17" s="52"/>
    </row>
    <row r="18" spans="1:5" x14ac:dyDescent="0.2">
      <c r="A18" s="54" t="s">
        <v>735</v>
      </c>
      <c r="B18" s="52"/>
      <c r="E18" s="52"/>
    </row>
    <row r="19" spans="1:5" x14ac:dyDescent="0.2">
      <c r="A19" t="s">
        <v>736</v>
      </c>
      <c r="E19" s="52"/>
    </row>
    <row r="20" spans="1:5" x14ac:dyDescent="0.2">
      <c r="A20" t="s">
        <v>738</v>
      </c>
      <c r="E20" s="52"/>
    </row>
    <row r="21" spans="1:5" x14ac:dyDescent="0.2">
      <c r="A21" t="s">
        <v>740</v>
      </c>
      <c r="E21" s="52"/>
    </row>
    <row r="22" spans="1:5" x14ac:dyDescent="0.2">
      <c r="A22" t="s">
        <v>741</v>
      </c>
      <c r="E22" s="52"/>
    </row>
    <row r="23" spans="1:5" x14ac:dyDescent="0.2">
      <c r="A23" t="s">
        <v>743</v>
      </c>
      <c r="E23" s="52"/>
    </row>
    <row r="24" spans="1:5" x14ac:dyDescent="0.2">
      <c r="A24" t="s">
        <v>745</v>
      </c>
      <c r="E24" s="52"/>
    </row>
    <row r="25" spans="1:5" x14ac:dyDescent="0.2">
      <c r="A25" t="s">
        <v>746</v>
      </c>
      <c r="E25" s="52"/>
    </row>
    <row r="26" spans="1:5" x14ac:dyDescent="0.2">
      <c r="E26" s="52"/>
    </row>
    <row r="27" spans="1:5" x14ac:dyDescent="0.2">
      <c r="A27" s="55" t="s">
        <v>747</v>
      </c>
      <c r="B27" s="52"/>
      <c r="E27" s="52"/>
    </row>
    <row r="28" spans="1:5" x14ac:dyDescent="0.2">
      <c r="E28" s="52"/>
    </row>
    <row r="29" spans="1:5" x14ac:dyDescent="0.2">
      <c r="E29" s="52"/>
    </row>
    <row r="30" spans="1:5" x14ac:dyDescent="0.2">
      <c r="E30" s="52"/>
    </row>
    <row r="31" spans="1:5" x14ac:dyDescent="0.2">
      <c r="E31" s="52"/>
    </row>
    <row r="32" spans="1:5"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6">
    <mergeCell ref="B1:O1"/>
    <mergeCell ref="A5:B5"/>
    <mergeCell ref="E5:E57"/>
    <mergeCell ref="A9:B9"/>
    <mergeCell ref="A18:B18"/>
    <mergeCell ref="A27:B27"/>
  </mergeCells>
  <dataValidations count="4">
    <dataValidation type="list" allowBlank="1" showInputMessage="1" showErrorMessage="1" sqref="B10" xr:uid="{AFD0FCE5-EB2F-4444-84AB-38B217DAB8E6}">
      <formula1>"Line,Clustered Bar,Stacked Bar"</formula1>
    </dataValidation>
    <dataValidation type="list" allowBlank="1" showInputMessage="1" showErrorMessage="1" sqref="B2" xr:uid="{9117A3F5-8230-8C4A-A731-8D5DD1948CD8}">
      <formula1>"Table,Figure,Both"</formula1>
    </dataValidation>
    <dataValidation type="list" allowBlank="1" showInputMessage="1" showErrorMessage="1" sqref="B6 B15" xr:uid="{11C60EEC-24BF-2940-89B7-1503D45818B2}">
      <formula1>"True,False"</formula1>
    </dataValidation>
    <dataValidation type="list" allowBlank="1" showInputMessage="1" showErrorMessage="1" sqref="G4:O4" xr:uid="{138D0CF8-6BAB-9249-A7B8-D332DDFAFA76}">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75838C34-2C85-C14A-9CA2-E76C07A55342}">
          <x14:formula1>
            <xm:f>Master!$E$2:$E$290</xm:f>
          </x14:formula1>
          <xm:sqref>B1:O1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EBCAD-3975-804B-B31B-61BE543AAC18}">
  <dimension ref="A1:O57"/>
  <sheetViews>
    <sheetView workbookViewId="0">
      <selection activeCell="B3" sqref="B3"/>
    </sheetView>
  </sheetViews>
  <sheetFormatPr baseColWidth="10" defaultColWidth="8.83203125" defaultRowHeight="15" x14ac:dyDescent="0.2"/>
  <cols>
    <col min="1" max="1" width="20" bestFit="1" customWidth="1"/>
    <col min="2" max="2" width="16.83203125" customWidth="1"/>
    <col min="5" max="5" width="6.83203125" customWidth="1"/>
    <col min="7" max="7" width="12" bestFit="1" customWidth="1"/>
    <col min="8" max="8" width="13.5" customWidth="1"/>
    <col min="9" max="9" width="11" customWidth="1"/>
    <col min="11" max="11" width="10.83203125" customWidth="1"/>
    <col min="12" max="12" width="12.33203125" bestFit="1" customWidth="1"/>
    <col min="14" max="14" width="12.33203125" bestFit="1" customWidth="1"/>
    <col min="15" max="15" width="11" bestFit="1" customWidth="1"/>
  </cols>
  <sheetData>
    <row r="1" spans="1:15" x14ac:dyDescent="0.2">
      <c r="A1" s="32" t="s">
        <v>710</v>
      </c>
      <c r="B1" s="56" t="s">
        <v>17</v>
      </c>
      <c r="C1" s="57"/>
      <c r="D1" s="57"/>
      <c r="E1" s="57"/>
      <c r="F1" s="57"/>
      <c r="G1" s="57"/>
      <c r="H1" s="57"/>
      <c r="I1" s="57"/>
      <c r="J1" s="57"/>
      <c r="K1" s="57"/>
      <c r="L1" s="57"/>
      <c r="M1" s="57"/>
      <c r="N1" s="57"/>
      <c r="O1" s="57"/>
    </row>
    <row r="2" spans="1:15" x14ac:dyDescent="0.2">
      <c r="A2" s="32" t="s">
        <v>711</v>
      </c>
      <c r="B2" s="33" t="s">
        <v>10</v>
      </c>
      <c r="C2" s="33"/>
      <c r="D2" s="33"/>
      <c r="E2" s="33"/>
      <c r="F2" s="33"/>
      <c r="G2" s="33"/>
      <c r="H2" s="33"/>
      <c r="I2" s="33"/>
      <c r="J2" s="33"/>
      <c r="K2" s="33"/>
      <c r="L2" s="33"/>
      <c r="M2" s="33"/>
      <c r="N2" s="33"/>
      <c r="O2" s="33"/>
    </row>
    <row r="3" spans="1:15" ht="16" x14ac:dyDescent="0.2">
      <c r="A3" s="32" t="s">
        <v>713</v>
      </c>
      <c r="B3" s="34" t="str">
        <f>IF($B$1="","",_xlfn.XLOOKUP($B$1,Master!$E$2:$E$290,Master!$F$2:$F$290,""))</f>
        <v>tbl-sex</v>
      </c>
      <c r="C3" s="33"/>
      <c r="D3" s="33"/>
      <c r="E3" s="33"/>
      <c r="F3" s="33"/>
      <c r="G3" s="33"/>
      <c r="H3" s="33"/>
      <c r="I3" s="33"/>
      <c r="J3" s="33"/>
      <c r="K3" s="33"/>
      <c r="L3" s="33"/>
      <c r="M3" s="33"/>
      <c r="N3" s="33"/>
      <c r="O3" s="33"/>
    </row>
    <row r="4" spans="1:15" x14ac:dyDescent="0.2">
      <c r="A4" s="33"/>
      <c r="B4" s="33"/>
      <c r="C4" s="33"/>
      <c r="D4" s="33"/>
      <c r="E4" s="35"/>
      <c r="F4" s="35"/>
      <c r="G4" s="36" t="s">
        <v>1072</v>
      </c>
      <c r="H4" s="36" t="s">
        <v>1073</v>
      </c>
      <c r="I4" s="36" t="s">
        <v>1072</v>
      </c>
      <c r="J4" s="36" t="s">
        <v>1073</v>
      </c>
      <c r="K4" s="36"/>
      <c r="L4" s="36"/>
      <c r="M4" s="36"/>
      <c r="N4" s="36"/>
      <c r="O4" s="36"/>
    </row>
    <row r="5" spans="1:15" x14ac:dyDescent="0.2">
      <c r="A5" s="58" t="s">
        <v>714</v>
      </c>
      <c r="B5" s="57"/>
      <c r="C5" s="33"/>
      <c r="D5" s="33"/>
      <c r="E5" s="59" t="s">
        <v>715</v>
      </c>
      <c r="F5" s="33"/>
      <c r="G5" s="61" t="s">
        <v>1075</v>
      </c>
      <c r="H5" s="61"/>
      <c r="I5" s="61" t="s">
        <v>1076</v>
      </c>
      <c r="J5" s="61"/>
      <c r="K5" s="33"/>
      <c r="L5" s="33"/>
      <c r="M5" s="33"/>
      <c r="N5" s="33"/>
      <c r="O5" s="33"/>
    </row>
    <row r="6" spans="1:15" ht="15" customHeight="1" x14ac:dyDescent="0.2">
      <c r="A6" s="33" t="s">
        <v>719</v>
      </c>
      <c r="B6" s="33" t="b">
        <v>1</v>
      </c>
      <c r="C6" s="33"/>
      <c r="D6" s="33"/>
      <c r="E6" s="57"/>
      <c r="F6" s="22"/>
      <c r="G6" s="22" t="s">
        <v>1066</v>
      </c>
      <c r="H6" s="22" t="s">
        <v>1077</v>
      </c>
      <c r="I6" s="22" t="s">
        <v>1066</v>
      </c>
      <c r="J6" s="22" t="s">
        <v>1077</v>
      </c>
      <c r="K6" s="33"/>
      <c r="L6" s="33"/>
      <c r="M6" s="33"/>
      <c r="N6" s="33"/>
      <c r="O6" s="33"/>
    </row>
    <row r="7" spans="1:15" ht="15.75" customHeight="1" x14ac:dyDescent="0.2">
      <c r="A7" s="33"/>
      <c r="B7" s="33"/>
      <c r="C7" s="33"/>
      <c r="D7" s="33"/>
      <c r="E7" s="57"/>
      <c r="F7" s="21" t="s">
        <v>149</v>
      </c>
      <c r="G7" s="23">
        <v>147902</v>
      </c>
      <c r="H7" s="24">
        <v>49.8</v>
      </c>
      <c r="I7" s="23">
        <v>149242</v>
      </c>
      <c r="J7" s="24">
        <v>50.2</v>
      </c>
      <c r="K7" s="33"/>
      <c r="L7" s="33"/>
      <c r="M7" s="33"/>
      <c r="N7" s="33"/>
      <c r="O7" s="33"/>
    </row>
    <row r="8" spans="1:15" x14ac:dyDescent="0.2">
      <c r="A8" s="33"/>
      <c r="B8" s="33"/>
      <c r="C8" s="33"/>
      <c r="D8" s="33"/>
      <c r="E8" s="57"/>
      <c r="F8" s="21" t="s">
        <v>15</v>
      </c>
      <c r="G8" s="23">
        <v>201512</v>
      </c>
      <c r="H8" s="24">
        <v>49.9</v>
      </c>
      <c r="I8" s="23">
        <v>202328</v>
      </c>
      <c r="J8" s="24">
        <v>50.1</v>
      </c>
      <c r="K8" s="33"/>
      <c r="L8" s="33"/>
      <c r="M8" s="33"/>
      <c r="N8" s="33"/>
      <c r="O8" s="33"/>
    </row>
    <row r="9" spans="1:15" x14ac:dyDescent="0.2">
      <c r="A9" s="58" t="s">
        <v>724</v>
      </c>
      <c r="B9" s="57"/>
      <c r="C9" s="33"/>
      <c r="D9" s="33"/>
      <c r="E9" s="57"/>
      <c r="F9" s="21" t="s">
        <v>368</v>
      </c>
      <c r="G9" s="23">
        <v>49503</v>
      </c>
      <c r="H9" s="24">
        <v>50.5</v>
      </c>
      <c r="I9" s="23">
        <v>48485</v>
      </c>
      <c r="J9" s="24">
        <v>49.5</v>
      </c>
      <c r="K9" s="33"/>
      <c r="L9" s="33"/>
      <c r="M9" s="33"/>
      <c r="N9" s="33"/>
      <c r="O9" s="33"/>
    </row>
    <row r="10" spans="1:15" x14ac:dyDescent="0.2">
      <c r="A10" s="33" t="s">
        <v>725</v>
      </c>
      <c r="B10" s="33"/>
      <c r="C10" s="33"/>
      <c r="D10" s="33"/>
      <c r="E10" s="57"/>
      <c r="F10" s="21" t="s">
        <v>279</v>
      </c>
      <c r="G10" s="23">
        <v>167624</v>
      </c>
      <c r="H10" s="24">
        <v>49.5</v>
      </c>
      <c r="I10" s="23">
        <v>171312</v>
      </c>
      <c r="J10" s="24">
        <v>50.5</v>
      </c>
      <c r="K10" s="33"/>
      <c r="L10" s="33"/>
      <c r="M10" s="33"/>
      <c r="N10" s="33"/>
      <c r="O10" s="33"/>
    </row>
    <row r="11" spans="1:15" x14ac:dyDescent="0.2">
      <c r="A11" s="33" t="s">
        <v>727</v>
      </c>
      <c r="B11" s="33"/>
      <c r="C11" s="33"/>
      <c r="D11" s="33"/>
      <c r="E11" s="57"/>
      <c r="F11" s="21" t="s">
        <v>240</v>
      </c>
      <c r="G11" s="23">
        <v>40993</v>
      </c>
      <c r="H11" s="24">
        <v>51.8</v>
      </c>
      <c r="I11" s="23">
        <v>38154</v>
      </c>
      <c r="J11" s="24">
        <v>48.2</v>
      </c>
      <c r="K11" s="33"/>
      <c r="L11" s="33"/>
      <c r="M11" s="33"/>
      <c r="N11" s="33"/>
      <c r="O11" s="33"/>
    </row>
    <row r="12" spans="1:15" x14ac:dyDescent="0.2">
      <c r="A12" s="33" t="s">
        <v>728</v>
      </c>
      <c r="B12" s="33"/>
      <c r="C12" s="33"/>
      <c r="D12" s="33"/>
      <c r="E12" s="57"/>
      <c r="F12" s="21" t="s">
        <v>249</v>
      </c>
      <c r="G12" s="23">
        <v>90719</v>
      </c>
      <c r="H12" s="24">
        <v>49.8</v>
      </c>
      <c r="I12" s="23">
        <v>91390</v>
      </c>
      <c r="J12" s="24">
        <v>50.2</v>
      </c>
      <c r="K12" s="33"/>
      <c r="L12" s="33"/>
      <c r="M12" s="33"/>
      <c r="N12" s="33"/>
      <c r="O12" s="33"/>
    </row>
    <row r="13" spans="1:15" x14ac:dyDescent="0.2">
      <c r="A13" s="33" t="s">
        <v>729</v>
      </c>
      <c r="B13" s="33"/>
      <c r="C13" s="33"/>
      <c r="D13" s="33"/>
      <c r="E13" s="57"/>
      <c r="F13" s="21" t="s">
        <v>301</v>
      </c>
      <c r="G13" s="23">
        <v>485985</v>
      </c>
      <c r="H13" s="24">
        <v>48.8</v>
      </c>
      <c r="I13" s="23">
        <v>510903</v>
      </c>
      <c r="J13" s="24">
        <v>51.2</v>
      </c>
      <c r="K13" s="33"/>
      <c r="L13" s="33"/>
      <c r="M13" s="33"/>
      <c r="N13" s="33"/>
      <c r="O13" s="33"/>
    </row>
    <row r="14" spans="1:15" x14ac:dyDescent="0.2">
      <c r="A14" s="33" t="s">
        <v>730</v>
      </c>
      <c r="B14" s="33"/>
      <c r="C14" s="33"/>
      <c r="D14" s="33"/>
      <c r="E14" s="57"/>
      <c r="F14" s="21" t="s">
        <v>993</v>
      </c>
      <c r="G14" s="23">
        <v>1184238</v>
      </c>
      <c r="H14" s="24">
        <v>49.4</v>
      </c>
      <c r="I14" s="23">
        <v>1211814</v>
      </c>
      <c r="J14" s="24">
        <v>50.6</v>
      </c>
      <c r="K14" s="33"/>
      <c r="L14" s="33"/>
      <c r="M14" s="33"/>
      <c r="N14" s="33"/>
      <c r="O14" s="33"/>
    </row>
    <row r="15" spans="1:15" x14ac:dyDescent="0.2">
      <c r="A15" s="33" t="s">
        <v>732</v>
      </c>
      <c r="B15" s="33"/>
      <c r="C15" s="33"/>
      <c r="D15" s="33"/>
      <c r="E15" s="57"/>
      <c r="F15" s="21" t="s">
        <v>1078</v>
      </c>
      <c r="G15" s="23">
        <v>5614391</v>
      </c>
      <c r="H15" s="24">
        <v>49.4</v>
      </c>
      <c r="I15" s="23">
        <v>5741726</v>
      </c>
      <c r="J15" s="24">
        <v>50.6</v>
      </c>
      <c r="K15" s="33"/>
      <c r="L15" s="33"/>
      <c r="M15" s="33"/>
      <c r="N15" s="33"/>
      <c r="O15" s="33"/>
    </row>
    <row r="16" spans="1:15" x14ac:dyDescent="0.2">
      <c r="A16" s="33"/>
      <c r="B16" s="33"/>
      <c r="C16" s="33"/>
      <c r="D16" s="33"/>
      <c r="E16" s="57"/>
      <c r="F16" s="21" t="s">
        <v>717</v>
      </c>
      <c r="G16" s="23">
        <v>9702417</v>
      </c>
      <c r="H16" s="24">
        <v>48.8</v>
      </c>
      <c r="I16" s="23">
        <v>10169902</v>
      </c>
      <c r="J16" s="24">
        <v>51.2</v>
      </c>
      <c r="K16" s="33"/>
      <c r="L16" s="33"/>
      <c r="M16" s="33"/>
      <c r="N16" s="33"/>
      <c r="O16" s="33"/>
    </row>
    <row r="17" spans="1:15" x14ac:dyDescent="0.2">
      <c r="A17" s="33"/>
      <c r="B17" s="33"/>
      <c r="C17" s="33"/>
      <c r="D17" s="33"/>
      <c r="E17" s="57"/>
      <c r="F17" s="33"/>
      <c r="G17" s="33"/>
      <c r="H17" s="33"/>
      <c r="I17" s="33"/>
      <c r="J17" s="33"/>
      <c r="K17" s="33"/>
      <c r="L17" s="33"/>
      <c r="M17" s="33"/>
      <c r="N17" s="33"/>
      <c r="O17" s="33"/>
    </row>
    <row r="18" spans="1:15" x14ac:dyDescent="0.2">
      <c r="A18" s="58" t="s">
        <v>735</v>
      </c>
      <c r="B18" s="57"/>
      <c r="C18" s="33"/>
      <c r="D18" s="33"/>
      <c r="E18" s="57"/>
      <c r="F18" s="33"/>
      <c r="G18" s="33"/>
      <c r="H18" s="33"/>
      <c r="I18" s="33"/>
      <c r="J18" s="33"/>
      <c r="K18" s="33"/>
      <c r="L18" s="33"/>
      <c r="M18" s="33"/>
      <c r="N18" s="33"/>
      <c r="O18" s="33"/>
    </row>
    <row r="19" spans="1:15" x14ac:dyDescent="0.2">
      <c r="A19" s="33" t="s">
        <v>736</v>
      </c>
      <c r="B19" s="33"/>
      <c r="C19" s="33"/>
      <c r="D19" s="33"/>
      <c r="E19" s="57"/>
      <c r="F19" s="33"/>
      <c r="G19" s="33"/>
      <c r="H19" s="33"/>
      <c r="I19" s="33"/>
      <c r="J19" s="33"/>
      <c r="K19" s="33"/>
      <c r="L19" s="33"/>
      <c r="M19" s="33"/>
      <c r="N19" s="33"/>
      <c r="O19" s="33"/>
    </row>
    <row r="20" spans="1:15" x14ac:dyDescent="0.2">
      <c r="A20" s="33" t="s">
        <v>738</v>
      </c>
      <c r="B20" s="33"/>
      <c r="C20" s="33"/>
      <c r="D20" s="33"/>
      <c r="E20" s="57"/>
      <c r="F20" s="33"/>
      <c r="G20" s="33"/>
      <c r="H20" s="33"/>
      <c r="I20" s="33"/>
      <c r="J20" s="33"/>
      <c r="K20" s="33"/>
      <c r="L20" s="33"/>
      <c r="M20" s="33"/>
      <c r="N20" s="33"/>
      <c r="O20" s="33"/>
    </row>
    <row r="21" spans="1:15" x14ac:dyDescent="0.2">
      <c r="A21" s="33" t="s">
        <v>740</v>
      </c>
      <c r="B21" s="33"/>
      <c r="C21" s="33"/>
      <c r="D21" s="33"/>
      <c r="E21" s="57"/>
      <c r="F21" s="33"/>
      <c r="G21" s="33"/>
      <c r="H21" s="33"/>
      <c r="I21" s="33"/>
      <c r="J21" s="33"/>
      <c r="K21" s="33"/>
      <c r="L21" s="33"/>
      <c r="M21" s="33"/>
      <c r="N21" s="33"/>
      <c r="O21" s="33"/>
    </row>
    <row r="22" spans="1:15" x14ac:dyDescent="0.2">
      <c r="A22" s="33" t="s">
        <v>741</v>
      </c>
      <c r="B22" s="33"/>
      <c r="C22" s="33"/>
      <c r="D22" s="33"/>
      <c r="E22" s="57"/>
      <c r="F22" s="33"/>
      <c r="G22" s="33"/>
      <c r="H22" s="33"/>
      <c r="I22" s="33"/>
      <c r="J22" s="33"/>
      <c r="K22" s="33"/>
      <c r="L22" s="33"/>
      <c r="M22" s="33"/>
      <c r="N22" s="33"/>
      <c r="O22" s="33"/>
    </row>
    <row r="23" spans="1:15" x14ac:dyDescent="0.2">
      <c r="A23" s="33" t="s">
        <v>743</v>
      </c>
      <c r="B23" s="33"/>
      <c r="C23" s="33"/>
      <c r="D23" s="33"/>
      <c r="E23" s="57"/>
      <c r="F23" s="33"/>
      <c r="G23" s="33"/>
      <c r="H23" s="33"/>
      <c r="I23" s="33"/>
      <c r="J23" s="33"/>
      <c r="K23" s="33"/>
      <c r="L23" s="33"/>
      <c r="M23" s="33"/>
      <c r="N23" s="33"/>
      <c r="O23" s="33"/>
    </row>
    <row r="24" spans="1:15" x14ac:dyDescent="0.2">
      <c r="A24" s="33" t="s">
        <v>745</v>
      </c>
      <c r="B24" s="33"/>
      <c r="C24" s="33"/>
      <c r="D24" s="33"/>
      <c r="E24" s="57"/>
      <c r="F24" s="33"/>
      <c r="G24" s="33"/>
      <c r="H24" s="33"/>
      <c r="I24" s="33"/>
      <c r="J24" s="33"/>
      <c r="K24" s="33"/>
      <c r="L24" s="33"/>
      <c r="M24" s="33"/>
      <c r="N24" s="33"/>
      <c r="O24" s="33"/>
    </row>
    <row r="25" spans="1:15" x14ac:dyDescent="0.2">
      <c r="A25" s="33" t="s">
        <v>746</v>
      </c>
      <c r="B25" s="33"/>
      <c r="C25" s="33"/>
      <c r="D25" s="33"/>
      <c r="E25" s="57"/>
      <c r="F25" s="33"/>
      <c r="G25" s="33"/>
      <c r="H25" s="33"/>
      <c r="I25" s="33"/>
      <c r="J25" s="33"/>
      <c r="K25" s="33"/>
      <c r="L25" s="33"/>
      <c r="M25" s="33"/>
      <c r="N25" s="33"/>
      <c r="O25" s="33"/>
    </row>
    <row r="26" spans="1:15" x14ac:dyDescent="0.2">
      <c r="A26" s="33"/>
      <c r="B26" s="33"/>
      <c r="C26" s="33"/>
      <c r="D26" s="33"/>
      <c r="E26" s="57"/>
      <c r="F26" s="33"/>
      <c r="G26" s="33"/>
      <c r="H26" s="33"/>
      <c r="I26" s="33"/>
      <c r="J26" s="33"/>
      <c r="K26" s="33"/>
      <c r="L26" s="33"/>
      <c r="M26" s="33"/>
      <c r="N26" s="33"/>
      <c r="O26" s="33"/>
    </row>
    <row r="27" spans="1:15" x14ac:dyDescent="0.2">
      <c r="A27" s="60" t="s">
        <v>747</v>
      </c>
      <c r="B27" s="57"/>
      <c r="C27" s="33"/>
      <c r="D27" s="33"/>
      <c r="E27" s="57"/>
      <c r="F27" s="33"/>
      <c r="G27" s="33"/>
      <c r="H27" s="33"/>
      <c r="I27" s="33"/>
      <c r="J27" s="33"/>
      <c r="K27" s="33"/>
      <c r="L27" s="33"/>
      <c r="M27" s="33"/>
      <c r="N27" s="33"/>
      <c r="O27" s="33"/>
    </row>
    <row r="28" spans="1:15" x14ac:dyDescent="0.2">
      <c r="A28" s="33"/>
      <c r="B28" s="33"/>
      <c r="C28" s="33"/>
      <c r="D28" s="33"/>
      <c r="E28" s="57"/>
      <c r="F28" s="33"/>
      <c r="G28" s="33"/>
      <c r="H28" s="33"/>
      <c r="I28" s="33"/>
      <c r="J28" s="33"/>
      <c r="K28" s="33"/>
      <c r="L28" s="33"/>
      <c r="M28" s="33"/>
      <c r="N28" s="33"/>
      <c r="O28" s="33"/>
    </row>
    <row r="29" spans="1:15" x14ac:dyDescent="0.2">
      <c r="A29" s="33"/>
      <c r="B29" s="33"/>
      <c r="C29" s="33"/>
      <c r="D29" s="33"/>
      <c r="E29" s="57"/>
      <c r="F29" s="33"/>
      <c r="G29" s="33"/>
      <c r="H29" s="33"/>
      <c r="I29" s="33"/>
      <c r="J29" s="33"/>
      <c r="K29" s="33"/>
      <c r="L29" s="33"/>
      <c r="M29" s="33"/>
      <c r="N29" s="33"/>
      <c r="O29" s="33"/>
    </row>
    <row r="30" spans="1:15" x14ac:dyDescent="0.2">
      <c r="A30" s="33"/>
      <c r="B30" s="33"/>
      <c r="C30" s="33"/>
      <c r="D30" s="33"/>
      <c r="E30" s="57"/>
      <c r="F30" s="33"/>
      <c r="G30" s="33"/>
      <c r="H30" s="33"/>
      <c r="I30" s="33"/>
      <c r="J30" s="33"/>
      <c r="K30" s="33"/>
      <c r="L30" s="33"/>
      <c r="M30" s="33"/>
      <c r="N30" s="33"/>
      <c r="O30" s="33"/>
    </row>
    <row r="31" spans="1:15" x14ac:dyDescent="0.2">
      <c r="A31" s="33"/>
      <c r="B31" s="33"/>
      <c r="C31" s="33"/>
      <c r="D31" s="33"/>
      <c r="E31" s="57"/>
      <c r="F31" s="33"/>
      <c r="G31" s="33"/>
      <c r="H31" s="33"/>
      <c r="I31" s="33"/>
      <c r="J31" s="33"/>
      <c r="K31" s="33"/>
      <c r="L31" s="33"/>
      <c r="M31" s="33"/>
      <c r="N31" s="33"/>
      <c r="O31" s="33"/>
    </row>
    <row r="32" spans="1:15" x14ac:dyDescent="0.2">
      <c r="A32" s="33"/>
      <c r="B32" s="33"/>
      <c r="C32" s="33"/>
      <c r="D32" s="33"/>
      <c r="E32" s="57"/>
      <c r="F32" s="33"/>
      <c r="G32" s="33"/>
      <c r="H32" s="33"/>
      <c r="I32" s="33"/>
      <c r="J32" s="33"/>
      <c r="K32" s="33"/>
      <c r="L32" s="33"/>
      <c r="M32" s="33"/>
      <c r="N32" s="33"/>
      <c r="O32" s="33"/>
    </row>
    <row r="33" spans="1:15" x14ac:dyDescent="0.2">
      <c r="A33" s="33"/>
      <c r="B33" s="33"/>
      <c r="C33" s="33"/>
      <c r="D33" s="33"/>
      <c r="E33" s="57"/>
      <c r="F33" s="33"/>
      <c r="G33" s="33"/>
      <c r="H33" s="33"/>
      <c r="I33" s="33"/>
      <c r="J33" s="33"/>
      <c r="K33" s="33"/>
      <c r="L33" s="33"/>
      <c r="M33" s="33"/>
      <c r="N33" s="33"/>
      <c r="O33" s="33"/>
    </row>
    <row r="34" spans="1:15" x14ac:dyDescent="0.2">
      <c r="A34" s="33"/>
      <c r="B34" s="33"/>
      <c r="C34" s="33"/>
      <c r="D34" s="33"/>
      <c r="E34" s="57"/>
      <c r="F34" s="33"/>
      <c r="G34" s="33"/>
      <c r="H34" s="33"/>
      <c r="I34" s="33"/>
      <c r="J34" s="33"/>
      <c r="K34" s="33"/>
      <c r="L34" s="33"/>
      <c r="M34" s="33"/>
      <c r="N34" s="33"/>
      <c r="O34" s="33"/>
    </row>
    <row r="35" spans="1:15" x14ac:dyDescent="0.2">
      <c r="A35" s="33"/>
      <c r="B35" s="33"/>
      <c r="C35" s="33"/>
      <c r="D35" s="33"/>
      <c r="E35" s="57"/>
      <c r="F35" s="33"/>
      <c r="G35" s="33"/>
      <c r="H35" s="33"/>
      <c r="I35" s="33"/>
      <c r="J35" s="33"/>
      <c r="K35" s="33"/>
      <c r="L35" s="33"/>
      <c r="M35" s="33"/>
      <c r="N35" s="33"/>
      <c r="O35" s="33"/>
    </row>
    <row r="36" spans="1:15" x14ac:dyDescent="0.2">
      <c r="A36" s="33"/>
      <c r="B36" s="33"/>
      <c r="C36" s="33"/>
      <c r="D36" s="33"/>
      <c r="E36" s="57"/>
      <c r="F36" s="33"/>
      <c r="G36" s="33"/>
      <c r="H36" s="33"/>
      <c r="I36" s="33"/>
      <c r="J36" s="33"/>
      <c r="K36" s="33"/>
      <c r="L36" s="33"/>
      <c r="M36" s="33"/>
      <c r="N36" s="33"/>
      <c r="O36" s="33"/>
    </row>
    <row r="37" spans="1:15" x14ac:dyDescent="0.2">
      <c r="A37" s="33"/>
      <c r="B37" s="33"/>
      <c r="C37" s="33"/>
      <c r="D37" s="33"/>
      <c r="E37" s="57"/>
      <c r="F37" s="33"/>
      <c r="G37" s="33"/>
      <c r="H37" s="33"/>
      <c r="I37" s="33"/>
      <c r="J37" s="33"/>
      <c r="K37" s="33"/>
      <c r="L37" s="33"/>
      <c r="M37" s="33"/>
      <c r="N37" s="33"/>
      <c r="O37" s="33"/>
    </row>
    <row r="38" spans="1:15" x14ac:dyDescent="0.2">
      <c r="A38" s="33"/>
      <c r="B38" s="33"/>
      <c r="C38" s="33"/>
      <c r="D38" s="33"/>
      <c r="E38" s="57"/>
      <c r="F38" s="33"/>
      <c r="G38" s="33"/>
      <c r="H38" s="33"/>
      <c r="I38" s="33"/>
      <c r="J38" s="33"/>
      <c r="K38" s="33"/>
      <c r="L38" s="33"/>
      <c r="M38" s="33"/>
      <c r="N38" s="33"/>
      <c r="O38" s="33"/>
    </row>
    <row r="39" spans="1:15" x14ac:dyDescent="0.2">
      <c r="A39" s="33"/>
      <c r="B39" s="33"/>
      <c r="C39" s="33"/>
      <c r="D39" s="33"/>
      <c r="E39" s="57"/>
      <c r="F39" s="33"/>
      <c r="G39" s="33"/>
      <c r="H39" s="33"/>
      <c r="I39" s="33"/>
      <c r="J39" s="33"/>
      <c r="K39" s="33"/>
      <c r="L39" s="33"/>
      <c r="M39" s="33"/>
      <c r="N39" s="33"/>
      <c r="O39" s="33"/>
    </row>
    <row r="40" spans="1:15" x14ac:dyDescent="0.2">
      <c r="A40" s="33"/>
      <c r="B40" s="33"/>
      <c r="C40" s="33"/>
      <c r="D40" s="33"/>
      <c r="E40" s="57"/>
      <c r="F40" s="33"/>
      <c r="G40" s="33"/>
      <c r="H40" s="33"/>
      <c r="I40" s="33"/>
      <c r="J40" s="33"/>
      <c r="K40" s="33"/>
      <c r="L40" s="33"/>
      <c r="M40" s="33"/>
      <c r="N40" s="33"/>
      <c r="O40" s="33"/>
    </row>
    <row r="41" spans="1:15" x14ac:dyDescent="0.2">
      <c r="A41" s="33"/>
      <c r="B41" s="33"/>
      <c r="C41" s="33"/>
      <c r="D41" s="33"/>
      <c r="E41" s="57"/>
      <c r="F41" s="33"/>
      <c r="G41" s="33"/>
      <c r="H41" s="33"/>
      <c r="I41" s="33"/>
      <c r="J41" s="33"/>
      <c r="K41" s="33"/>
      <c r="L41" s="33"/>
      <c r="M41" s="33"/>
      <c r="N41" s="33"/>
      <c r="O41" s="33"/>
    </row>
    <row r="42" spans="1:15" x14ac:dyDescent="0.2">
      <c r="A42" s="33"/>
      <c r="B42" s="33"/>
      <c r="C42" s="33"/>
      <c r="D42" s="33"/>
      <c r="E42" s="57"/>
      <c r="F42" s="33"/>
      <c r="G42" s="33"/>
      <c r="H42" s="33"/>
      <c r="I42" s="33"/>
      <c r="J42" s="33"/>
      <c r="K42" s="33"/>
      <c r="L42" s="33"/>
      <c r="M42" s="33"/>
      <c r="N42" s="33"/>
      <c r="O42" s="33"/>
    </row>
    <row r="43" spans="1:15" x14ac:dyDescent="0.2">
      <c r="A43" s="33"/>
      <c r="B43" s="33"/>
      <c r="C43" s="33"/>
      <c r="D43" s="33"/>
      <c r="E43" s="57"/>
      <c r="F43" s="33"/>
      <c r="G43" s="33"/>
      <c r="H43" s="33"/>
      <c r="I43" s="33"/>
      <c r="J43" s="33"/>
      <c r="K43" s="33"/>
      <c r="L43" s="33"/>
      <c r="M43" s="33"/>
      <c r="N43" s="33"/>
      <c r="O43" s="33"/>
    </row>
    <row r="44" spans="1:15" x14ac:dyDescent="0.2">
      <c r="A44" s="33"/>
      <c r="B44" s="33"/>
      <c r="C44" s="33"/>
      <c r="D44" s="33"/>
      <c r="E44" s="57"/>
      <c r="F44" s="33"/>
      <c r="G44" s="33"/>
      <c r="H44" s="33"/>
      <c r="I44" s="33"/>
      <c r="J44" s="33"/>
      <c r="K44" s="33"/>
      <c r="L44" s="33"/>
      <c r="M44" s="33"/>
      <c r="N44" s="33"/>
      <c r="O44" s="33"/>
    </row>
    <row r="45" spans="1:15" x14ac:dyDescent="0.2">
      <c r="A45" s="33"/>
      <c r="B45" s="33"/>
      <c r="C45" s="33"/>
      <c r="D45" s="33"/>
      <c r="E45" s="57"/>
      <c r="F45" s="33"/>
      <c r="G45" s="33"/>
      <c r="H45" s="33"/>
      <c r="I45" s="33"/>
      <c r="J45" s="33"/>
      <c r="K45" s="33"/>
      <c r="L45" s="33"/>
      <c r="M45" s="33"/>
      <c r="N45" s="33"/>
      <c r="O45" s="33"/>
    </row>
    <row r="46" spans="1:15" x14ac:dyDescent="0.2">
      <c r="A46" s="33"/>
      <c r="B46" s="33"/>
      <c r="C46" s="33"/>
      <c r="D46" s="33"/>
      <c r="E46" s="57"/>
      <c r="F46" s="33"/>
      <c r="G46" s="33"/>
      <c r="H46" s="33"/>
      <c r="I46" s="33"/>
      <c r="J46" s="33"/>
      <c r="K46" s="33"/>
      <c r="L46" s="33"/>
      <c r="M46" s="33"/>
      <c r="N46" s="33"/>
      <c r="O46" s="33"/>
    </row>
    <row r="47" spans="1:15" x14ac:dyDescent="0.2">
      <c r="A47" s="33"/>
      <c r="B47" s="33"/>
      <c r="C47" s="33"/>
      <c r="D47" s="33"/>
      <c r="E47" s="57"/>
      <c r="F47" s="33"/>
      <c r="G47" s="33"/>
      <c r="H47" s="33"/>
      <c r="I47" s="33"/>
      <c r="J47" s="33"/>
      <c r="K47" s="33"/>
      <c r="L47" s="33"/>
      <c r="M47" s="33"/>
      <c r="N47" s="33"/>
      <c r="O47" s="33"/>
    </row>
    <row r="48" spans="1:15" x14ac:dyDescent="0.2">
      <c r="A48" s="33"/>
      <c r="B48" s="33"/>
      <c r="C48" s="33"/>
      <c r="D48" s="33"/>
      <c r="E48" s="57"/>
      <c r="F48" s="33"/>
      <c r="G48" s="33"/>
      <c r="H48" s="33"/>
      <c r="I48" s="33"/>
      <c r="J48" s="33"/>
      <c r="K48" s="33"/>
      <c r="L48" s="33"/>
      <c r="M48" s="33"/>
      <c r="N48" s="33"/>
      <c r="O48" s="33"/>
    </row>
    <row r="49" spans="1:15" x14ac:dyDescent="0.2">
      <c r="A49" s="33"/>
      <c r="B49" s="33"/>
      <c r="C49" s="33"/>
      <c r="D49" s="33"/>
      <c r="E49" s="57"/>
      <c r="F49" s="33"/>
      <c r="G49" s="33"/>
      <c r="H49" s="33"/>
      <c r="I49" s="33"/>
      <c r="J49" s="33"/>
      <c r="K49" s="33"/>
      <c r="L49" s="33"/>
      <c r="M49" s="33"/>
      <c r="N49" s="33"/>
      <c r="O49" s="33"/>
    </row>
    <row r="50" spans="1:15" x14ac:dyDescent="0.2">
      <c r="A50" s="33"/>
      <c r="B50" s="33"/>
      <c r="C50" s="33"/>
      <c r="D50" s="33"/>
      <c r="E50" s="57"/>
      <c r="F50" s="33"/>
      <c r="G50" s="33"/>
      <c r="H50" s="33"/>
      <c r="I50" s="33"/>
      <c r="J50" s="33"/>
      <c r="K50" s="33"/>
      <c r="L50" s="33"/>
      <c r="M50" s="33"/>
      <c r="N50" s="33"/>
      <c r="O50" s="33"/>
    </row>
    <row r="51" spans="1:15" x14ac:dyDescent="0.2">
      <c r="A51" s="33"/>
      <c r="B51" s="33"/>
      <c r="C51" s="33"/>
      <c r="D51" s="33"/>
      <c r="E51" s="57"/>
      <c r="F51" s="33"/>
      <c r="G51" s="33"/>
      <c r="H51" s="33"/>
      <c r="I51" s="33"/>
      <c r="J51" s="33"/>
      <c r="K51" s="33"/>
      <c r="L51" s="33"/>
      <c r="M51" s="33"/>
      <c r="N51" s="33"/>
      <c r="O51" s="33"/>
    </row>
    <row r="52" spans="1:15" x14ac:dyDescent="0.2">
      <c r="A52" s="33"/>
      <c r="B52" s="33"/>
      <c r="C52" s="33"/>
      <c r="D52" s="33"/>
      <c r="E52" s="57"/>
      <c r="F52" s="33"/>
      <c r="G52" s="33"/>
      <c r="H52" s="33"/>
      <c r="I52" s="33"/>
      <c r="J52" s="33"/>
      <c r="K52" s="33"/>
      <c r="L52" s="33"/>
      <c r="M52" s="33"/>
      <c r="N52" s="33"/>
      <c r="O52" s="33"/>
    </row>
    <row r="53" spans="1:15" x14ac:dyDescent="0.2">
      <c r="A53" s="33"/>
      <c r="B53" s="33"/>
      <c r="C53" s="33"/>
      <c r="D53" s="33"/>
      <c r="E53" s="57"/>
      <c r="F53" s="33"/>
      <c r="G53" s="33"/>
      <c r="H53" s="33"/>
      <c r="I53" s="33"/>
      <c r="J53" s="33"/>
      <c r="K53" s="33"/>
      <c r="L53" s="33"/>
      <c r="M53" s="33"/>
      <c r="N53" s="33"/>
      <c r="O53" s="33"/>
    </row>
    <row r="54" spans="1:15" x14ac:dyDescent="0.2">
      <c r="A54" s="33"/>
      <c r="B54" s="33"/>
      <c r="C54" s="33"/>
      <c r="D54" s="33"/>
      <c r="E54" s="57"/>
      <c r="F54" s="33"/>
      <c r="G54" s="33"/>
      <c r="H54" s="33"/>
      <c r="I54" s="33"/>
      <c r="J54" s="33"/>
      <c r="K54" s="33"/>
      <c r="L54" s="33"/>
      <c r="M54" s="33"/>
      <c r="N54" s="33"/>
      <c r="O54" s="33"/>
    </row>
    <row r="55" spans="1:15" x14ac:dyDescent="0.2">
      <c r="A55" s="33"/>
      <c r="B55" s="33"/>
      <c r="C55" s="33"/>
      <c r="D55" s="33"/>
      <c r="E55" s="57"/>
      <c r="F55" s="33"/>
      <c r="G55" s="33"/>
      <c r="H55" s="33"/>
      <c r="I55" s="33"/>
      <c r="J55" s="33"/>
      <c r="K55" s="33"/>
      <c r="L55" s="33"/>
      <c r="M55" s="33"/>
      <c r="N55" s="33"/>
      <c r="O55" s="33"/>
    </row>
    <row r="56" spans="1:15" x14ac:dyDescent="0.2">
      <c r="A56" s="33"/>
      <c r="B56" s="33"/>
      <c r="C56" s="33"/>
      <c r="D56" s="33"/>
      <c r="E56" s="57"/>
      <c r="F56" s="33"/>
      <c r="G56" s="33"/>
      <c r="H56" s="33"/>
      <c r="I56" s="33"/>
      <c r="J56" s="33"/>
      <c r="K56" s="33"/>
      <c r="L56" s="33"/>
      <c r="M56" s="33"/>
      <c r="N56" s="33"/>
      <c r="O56" s="33"/>
    </row>
    <row r="57" spans="1:15" x14ac:dyDescent="0.2">
      <c r="A57" s="33"/>
      <c r="B57" s="33"/>
      <c r="C57" s="33"/>
      <c r="D57" s="33"/>
      <c r="E57" s="57"/>
      <c r="F57" s="33"/>
      <c r="G57" s="33"/>
      <c r="H57" s="33"/>
      <c r="I57" s="33"/>
      <c r="J57" s="33"/>
      <c r="K57" s="33"/>
      <c r="L57" s="33"/>
      <c r="M57" s="33"/>
      <c r="N57" s="33"/>
      <c r="O57" s="33"/>
    </row>
  </sheetData>
  <mergeCells count="8">
    <mergeCell ref="B1:O1"/>
    <mergeCell ref="A5:B5"/>
    <mergeCell ref="E5:E57"/>
    <mergeCell ref="A9:B9"/>
    <mergeCell ref="A18:B18"/>
    <mergeCell ref="A27:B27"/>
    <mergeCell ref="G5:H5"/>
    <mergeCell ref="I5:J5"/>
  </mergeCells>
  <dataValidations count="4">
    <dataValidation type="list" allowBlank="1" showInputMessage="1" showErrorMessage="1" sqref="B10" xr:uid="{CB3F81C8-9672-DE4C-819A-755B722F5EC0}">
      <formula1>"Line,Clustered Bar,Stacked Bar"</formula1>
    </dataValidation>
    <dataValidation type="list" allowBlank="1" showInputMessage="1" showErrorMessage="1" sqref="B2" xr:uid="{C70C7630-E206-334F-9DF8-84C1A22380BD}">
      <formula1>"Table,Figure,Both"</formula1>
    </dataValidation>
    <dataValidation type="list" allowBlank="1" showInputMessage="1" showErrorMessage="1" sqref="B6 B15" xr:uid="{9EA017E0-FA62-A046-AA16-A3BE93E4661E}">
      <formula1>"True,False"</formula1>
    </dataValidation>
    <dataValidation type="list" allowBlank="1" showInputMessage="1" showErrorMessage="1" sqref="G4:O4" xr:uid="{564DFC10-503D-A045-90A5-DA6F3E283F71}">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D33AA007-4897-E449-917F-D769081C5693}">
          <x14:formula1>
            <xm:f>Master!$E$2:$E$290</xm:f>
          </x14:formula1>
          <xm:sqref>B1:O1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2F2B2-0927-3B41-94F2-453F4F532DBF}">
  <dimension ref="A1:AB57"/>
  <sheetViews>
    <sheetView workbookViewId="0">
      <selection activeCell="B4" sqref="B4"/>
    </sheetView>
  </sheetViews>
  <sheetFormatPr baseColWidth="10" defaultColWidth="8.83203125" defaultRowHeight="15" x14ac:dyDescent="0.2"/>
  <cols>
    <col min="1" max="1" width="20" bestFit="1" customWidth="1"/>
    <col min="2" max="2" width="16.83203125" customWidth="1"/>
    <col min="5" max="5" width="12.6640625" bestFit="1" customWidth="1"/>
    <col min="6" max="6" width="10.1640625" bestFit="1" customWidth="1"/>
    <col min="7" max="7" width="11.83203125" bestFit="1" customWidth="1"/>
    <col min="8" max="8" width="8.33203125" bestFit="1" customWidth="1"/>
    <col min="9" max="9" width="11.83203125" bestFit="1" customWidth="1"/>
    <col min="10" max="10" width="8.33203125" bestFit="1" customWidth="1"/>
    <col min="11" max="11" width="11.83203125" bestFit="1" customWidth="1"/>
    <col min="12" max="12" width="8.33203125" bestFit="1" customWidth="1"/>
    <col min="13" max="13" width="11.83203125" bestFit="1" customWidth="1"/>
    <col min="14" max="14" width="8.33203125" bestFit="1" customWidth="1"/>
    <col min="15" max="15" width="11.83203125" bestFit="1" customWidth="1"/>
    <col min="16" max="16" width="8.33203125" bestFit="1" customWidth="1"/>
    <col min="17" max="17" width="11.83203125" bestFit="1" customWidth="1"/>
    <col min="18" max="18" width="8.33203125" bestFit="1" customWidth="1"/>
    <col min="19" max="19" width="11.83203125" bestFit="1" customWidth="1"/>
    <col min="20" max="20" width="8.33203125" bestFit="1" customWidth="1"/>
    <col min="21" max="21" width="11.83203125" bestFit="1" customWidth="1"/>
    <col min="22" max="22" width="8.33203125" bestFit="1" customWidth="1"/>
    <col min="23" max="23" width="11.83203125" bestFit="1" customWidth="1"/>
    <col min="24" max="24" width="8.33203125" bestFit="1" customWidth="1"/>
    <col min="25" max="25" width="11.83203125" bestFit="1" customWidth="1"/>
    <col min="26" max="26" width="8.33203125" bestFit="1" customWidth="1"/>
    <col min="27" max="27" width="11.83203125" bestFit="1" customWidth="1"/>
    <col min="28" max="28" width="8.33203125" bestFit="1" customWidth="1"/>
  </cols>
  <sheetData>
    <row r="1" spans="1:28" x14ac:dyDescent="0.2">
      <c r="A1" s="3" t="s">
        <v>710</v>
      </c>
      <c r="B1" s="51" t="s">
        <v>19</v>
      </c>
      <c r="C1" s="52"/>
      <c r="D1" s="52"/>
      <c r="E1" s="52"/>
      <c r="F1" s="52"/>
      <c r="G1" s="52"/>
      <c r="H1" s="52"/>
      <c r="I1" s="52"/>
      <c r="J1" s="52"/>
      <c r="K1" s="52"/>
      <c r="L1" s="52"/>
      <c r="M1" s="52"/>
      <c r="N1" s="52"/>
      <c r="O1" s="52"/>
    </row>
    <row r="2" spans="1:28" x14ac:dyDescent="0.2">
      <c r="A2" s="3" t="s">
        <v>711</v>
      </c>
      <c r="B2" t="s">
        <v>10</v>
      </c>
    </row>
    <row r="3" spans="1:28" ht="16" x14ac:dyDescent="0.2">
      <c r="A3" s="3" t="s">
        <v>713</v>
      </c>
      <c r="B3" s="20" t="str">
        <f>IF($B$1="","",_xlfn.XLOOKUP($B$1,Master!$E$2:$E$290,Master!$F$2:$F$290,""))</f>
        <v>tbl-age-population</v>
      </c>
    </row>
    <row r="4" spans="1:28" x14ac:dyDescent="0.2">
      <c r="E4" s="15"/>
      <c r="F4" s="15"/>
      <c r="G4" s="19" t="s">
        <v>1072</v>
      </c>
      <c r="H4" s="19" t="s">
        <v>1073</v>
      </c>
      <c r="I4" s="19" t="s">
        <v>1072</v>
      </c>
      <c r="J4" s="19" t="s">
        <v>1073</v>
      </c>
      <c r="K4" s="19" t="s">
        <v>1072</v>
      </c>
      <c r="L4" s="19" t="s">
        <v>1073</v>
      </c>
      <c r="M4" s="19" t="s">
        <v>1072</v>
      </c>
      <c r="N4" s="19" t="s">
        <v>1073</v>
      </c>
      <c r="O4" s="19" t="s">
        <v>1072</v>
      </c>
      <c r="P4" s="19" t="s">
        <v>1073</v>
      </c>
      <c r="Q4" s="19" t="s">
        <v>1072</v>
      </c>
      <c r="R4" s="19" t="s">
        <v>1073</v>
      </c>
      <c r="S4" s="19" t="s">
        <v>1072</v>
      </c>
      <c r="T4" s="19" t="s">
        <v>1073</v>
      </c>
      <c r="U4" s="19" t="s">
        <v>1072</v>
      </c>
      <c r="V4" s="19" t="s">
        <v>1073</v>
      </c>
      <c r="W4" s="19" t="s">
        <v>1072</v>
      </c>
      <c r="X4" s="19" t="s">
        <v>1073</v>
      </c>
      <c r="Y4" s="19" t="s">
        <v>1072</v>
      </c>
      <c r="Z4" s="19" t="s">
        <v>1073</v>
      </c>
      <c r="AA4" s="19" t="s">
        <v>1072</v>
      </c>
      <c r="AB4" s="19" t="s">
        <v>1073</v>
      </c>
    </row>
    <row r="5" spans="1:28" x14ac:dyDescent="0.2">
      <c r="A5" s="54" t="s">
        <v>714</v>
      </c>
      <c r="B5" s="52"/>
      <c r="E5" s="53" t="s">
        <v>715</v>
      </c>
      <c r="G5" s="62" t="s">
        <v>1079</v>
      </c>
      <c r="H5" s="62"/>
      <c r="I5" s="62" t="s">
        <v>1080</v>
      </c>
      <c r="J5" s="62"/>
      <c r="K5" s="62" t="s">
        <v>1081</v>
      </c>
      <c r="L5" s="62"/>
      <c r="M5" s="62" t="s">
        <v>1082</v>
      </c>
      <c r="N5" s="62"/>
      <c r="O5" s="62" t="s">
        <v>1083</v>
      </c>
      <c r="P5" s="62"/>
      <c r="Q5" s="62" t="s">
        <v>1084</v>
      </c>
      <c r="R5" s="62"/>
      <c r="S5" s="62" t="s">
        <v>1085</v>
      </c>
      <c r="T5" s="62"/>
      <c r="U5" s="62" t="s">
        <v>1086</v>
      </c>
      <c r="V5" s="62"/>
      <c r="W5" s="62" t="s">
        <v>1087</v>
      </c>
      <c r="X5" s="62"/>
      <c r="Y5" s="62" t="s">
        <v>1088</v>
      </c>
      <c r="Z5" s="62"/>
      <c r="AA5" s="62" t="s">
        <v>1089</v>
      </c>
      <c r="AB5" s="62"/>
    </row>
    <row r="6" spans="1:28" x14ac:dyDescent="0.2">
      <c r="A6" t="s">
        <v>719</v>
      </c>
      <c r="B6" t="b">
        <v>1</v>
      </c>
      <c r="E6" s="52"/>
      <c r="F6" s="26"/>
      <c r="G6" s="28" t="s">
        <v>1066</v>
      </c>
      <c r="H6" s="28" t="s">
        <v>1077</v>
      </c>
      <c r="I6" s="28" t="s">
        <v>1066</v>
      </c>
      <c r="J6" s="28" t="s">
        <v>1077</v>
      </c>
      <c r="K6" s="28" t="s">
        <v>1066</v>
      </c>
      <c r="L6" s="28" t="s">
        <v>1077</v>
      </c>
      <c r="M6" s="28" t="s">
        <v>1066</v>
      </c>
      <c r="N6" s="28" t="s">
        <v>1077</v>
      </c>
      <c r="O6" s="28" t="s">
        <v>1066</v>
      </c>
      <c r="P6" s="28" t="s">
        <v>1077</v>
      </c>
      <c r="Q6" s="28" t="s">
        <v>1066</v>
      </c>
      <c r="R6" s="28" t="s">
        <v>1077</v>
      </c>
      <c r="S6" s="28" t="s">
        <v>1066</v>
      </c>
      <c r="T6" s="28" t="s">
        <v>1077</v>
      </c>
      <c r="U6" s="28" t="s">
        <v>1066</v>
      </c>
      <c r="V6" s="28" t="s">
        <v>1077</v>
      </c>
      <c r="W6" s="28" t="s">
        <v>1066</v>
      </c>
      <c r="X6" s="28" t="s">
        <v>1077</v>
      </c>
      <c r="Y6" s="28" t="s">
        <v>1066</v>
      </c>
      <c r="Z6" s="28" t="s">
        <v>1077</v>
      </c>
      <c r="AA6" s="28" t="s">
        <v>1066</v>
      </c>
      <c r="AB6" s="28" t="s">
        <v>1077</v>
      </c>
    </row>
    <row r="7" spans="1:28" x14ac:dyDescent="0.2">
      <c r="A7" t="s">
        <v>721</v>
      </c>
      <c r="B7" t="s">
        <v>525</v>
      </c>
      <c r="E7" s="52"/>
      <c r="F7" s="25" t="s">
        <v>149</v>
      </c>
      <c r="G7" s="29">
        <v>13613</v>
      </c>
      <c r="H7" s="30">
        <v>4.5999999999999996</v>
      </c>
      <c r="I7" s="29">
        <v>14448</v>
      </c>
      <c r="J7" s="30">
        <v>4.9000000000000004</v>
      </c>
      <c r="K7" s="29">
        <v>37031</v>
      </c>
      <c r="L7" s="30">
        <v>12.5</v>
      </c>
      <c r="M7" s="29">
        <v>38178</v>
      </c>
      <c r="N7" s="30">
        <v>12.8</v>
      </c>
      <c r="O7" s="29">
        <v>35520</v>
      </c>
      <c r="P7" s="30">
        <v>12</v>
      </c>
      <c r="Q7" s="29">
        <v>36796</v>
      </c>
      <c r="R7" s="30">
        <v>12.4</v>
      </c>
      <c r="S7" s="29">
        <v>43025</v>
      </c>
      <c r="T7" s="30">
        <v>14.5</v>
      </c>
      <c r="U7" s="29">
        <v>41707</v>
      </c>
      <c r="V7" s="30">
        <v>14</v>
      </c>
      <c r="W7" s="29">
        <v>23935</v>
      </c>
      <c r="X7" s="30">
        <v>8.1</v>
      </c>
      <c r="Y7" s="29">
        <v>12891</v>
      </c>
      <c r="Z7" s="30">
        <v>4.3</v>
      </c>
      <c r="AA7" s="29">
        <v>55342</v>
      </c>
      <c r="AB7" s="30">
        <v>18.600000000000001</v>
      </c>
    </row>
    <row r="8" spans="1:28" x14ac:dyDescent="0.2">
      <c r="E8" s="52"/>
      <c r="F8" s="25" t="s">
        <v>15</v>
      </c>
      <c r="G8" s="29">
        <v>27143</v>
      </c>
      <c r="H8" s="30">
        <v>6.7</v>
      </c>
      <c r="I8" s="29">
        <v>27679</v>
      </c>
      <c r="J8" s="30">
        <v>6.9</v>
      </c>
      <c r="K8" s="29">
        <v>61718</v>
      </c>
      <c r="L8" s="30">
        <v>15.3</v>
      </c>
      <c r="M8" s="29">
        <v>52658</v>
      </c>
      <c r="N8" s="30">
        <v>13</v>
      </c>
      <c r="O8" s="29">
        <v>48459</v>
      </c>
      <c r="P8" s="30">
        <v>12</v>
      </c>
      <c r="Q8" s="29">
        <v>49782</v>
      </c>
      <c r="R8" s="30">
        <v>12.3</v>
      </c>
      <c r="S8" s="29">
        <v>52995</v>
      </c>
      <c r="T8" s="30">
        <v>13.1</v>
      </c>
      <c r="U8" s="29">
        <v>45285</v>
      </c>
      <c r="V8" s="30">
        <v>11.2</v>
      </c>
      <c r="W8" s="29">
        <v>25081</v>
      </c>
      <c r="X8" s="30">
        <v>6.2</v>
      </c>
      <c r="Y8" s="29">
        <v>13040</v>
      </c>
      <c r="Z8" s="30">
        <v>3.2</v>
      </c>
      <c r="AA8" s="29">
        <v>103740</v>
      </c>
      <c r="AB8" s="30">
        <v>25.7</v>
      </c>
    </row>
    <row r="9" spans="1:28" x14ac:dyDescent="0.2">
      <c r="A9" s="54" t="s">
        <v>724</v>
      </c>
      <c r="B9" s="52"/>
      <c r="E9" s="52"/>
      <c r="F9" s="25" t="s">
        <v>368</v>
      </c>
      <c r="G9" s="29">
        <v>4521</v>
      </c>
      <c r="H9" s="30">
        <v>4.5999999999999996</v>
      </c>
      <c r="I9" s="29">
        <v>4320</v>
      </c>
      <c r="J9" s="30">
        <v>4.4000000000000004</v>
      </c>
      <c r="K9" s="29">
        <v>12426</v>
      </c>
      <c r="L9" s="30">
        <v>12.7</v>
      </c>
      <c r="M9" s="29">
        <v>10922</v>
      </c>
      <c r="N9" s="30">
        <v>11.1</v>
      </c>
      <c r="O9" s="29">
        <v>11264</v>
      </c>
      <c r="P9" s="30">
        <v>11.5</v>
      </c>
      <c r="Q9" s="29">
        <v>13032</v>
      </c>
      <c r="R9" s="30">
        <v>13.3</v>
      </c>
      <c r="S9" s="29">
        <v>15538</v>
      </c>
      <c r="T9" s="30">
        <v>15.9</v>
      </c>
      <c r="U9" s="29">
        <v>13386</v>
      </c>
      <c r="V9" s="30">
        <v>13.7</v>
      </c>
      <c r="W9" s="29">
        <v>8739</v>
      </c>
      <c r="X9" s="30">
        <v>8.9</v>
      </c>
      <c r="Y9" s="29">
        <v>3840</v>
      </c>
      <c r="Z9" s="30">
        <v>3.9</v>
      </c>
      <c r="AA9" s="29">
        <v>19180</v>
      </c>
      <c r="AB9" s="30">
        <v>19.600000000000001</v>
      </c>
    </row>
    <row r="10" spans="1:28" x14ac:dyDescent="0.2">
      <c r="A10" t="s">
        <v>725</v>
      </c>
      <c r="E10" s="52"/>
      <c r="F10" s="25" t="s">
        <v>279</v>
      </c>
      <c r="G10" s="29">
        <v>28957</v>
      </c>
      <c r="H10" s="30">
        <v>8.5</v>
      </c>
      <c r="I10" s="29">
        <v>27051</v>
      </c>
      <c r="J10" s="30">
        <v>8</v>
      </c>
      <c r="K10" s="29">
        <v>52692</v>
      </c>
      <c r="L10" s="30">
        <v>15.5</v>
      </c>
      <c r="M10" s="29">
        <v>41742</v>
      </c>
      <c r="N10" s="30">
        <v>12.3</v>
      </c>
      <c r="O10" s="29">
        <v>38885</v>
      </c>
      <c r="P10" s="30">
        <v>11.5</v>
      </c>
      <c r="Q10" s="29">
        <v>36560</v>
      </c>
      <c r="R10" s="30">
        <v>10.8</v>
      </c>
      <c r="S10" s="29">
        <v>40115</v>
      </c>
      <c r="T10" s="30">
        <v>11.8</v>
      </c>
      <c r="U10" s="29">
        <v>35529</v>
      </c>
      <c r="V10" s="30">
        <v>10.5</v>
      </c>
      <c r="W10" s="29">
        <v>23713</v>
      </c>
      <c r="X10" s="30">
        <v>7</v>
      </c>
      <c r="Y10" s="29">
        <v>13692</v>
      </c>
      <c r="Z10" s="30">
        <v>4</v>
      </c>
      <c r="AA10" s="29">
        <v>99733</v>
      </c>
      <c r="AB10" s="30">
        <v>29.4</v>
      </c>
    </row>
    <row r="11" spans="1:28" x14ac:dyDescent="0.2">
      <c r="A11" t="s">
        <v>727</v>
      </c>
      <c r="E11" s="52"/>
      <c r="F11" s="25" t="s">
        <v>240</v>
      </c>
      <c r="G11" s="29">
        <v>4656</v>
      </c>
      <c r="H11" s="30">
        <v>5.9</v>
      </c>
      <c r="I11" s="29">
        <v>4969</v>
      </c>
      <c r="J11" s="30">
        <v>6.3</v>
      </c>
      <c r="K11" s="29">
        <v>9343</v>
      </c>
      <c r="L11" s="30">
        <v>11.8</v>
      </c>
      <c r="M11" s="29">
        <v>9032</v>
      </c>
      <c r="N11" s="30">
        <v>11.4</v>
      </c>
      <c r="O11" s="29">
        <v>9668</v>
      </c>
      <c r="P11" s="30">
        <v>12.2</v>
      </c>
      <c r="Q11" s="29">
        <v>9486</v>
      </c>
      <c r="R11" s="30">
        <v>12</v>
      </c>
      <c r="S11" s="29">
        <v>11009</v>
      </c>
      <c r="T11" s="30">
        <v>13.9</v>
      </c>
      <c r="U11" s="29">
        <v>10980</v>
      </c>
      <c r="V11" s="30">
        <v>13.9</v>
      </c>
      <c r="W11" s="29">
        <v>7087</v>
      </c>
      <c r="X11" s="30">
        <v>9</v>
      </c>
      <c r="Y11" s="29">
        <v>2917</v>
      </c>
      <c r="Z11" s="30">
        <v>3.7</v>
      </c>
      <c r="AA11" s="29">
        <v>16947</v>
      </c>
      <c r="AB11" s="30">
        <v>21.4</v>
      </c>
    </row>
    <row r="12" spans="1:28" x14ac:dyDescent="0.2">
      <c r="A12" t="s">
        <v>728</v>
      </c>
      <c r="E12" s="52"/>
      <c r="F12" s="25" t="s">
        <v>249</v>
      </c>
      <c r="G12" s="29">
        <v>7926</v>
      </c>
      <c r="H12" s="30">
        <v>4.4000000000000004</v>
      </c>
      <c r="I12" s="29">
        <v>8802</v>
      </c>
      <c r="J12" s="30">
        <v>4.8</v>
      </c>
      <c r="K12" s="29">
        <v>19831</v>
      </c>
      <c r="L12" s="30">
        <v>10.9</v>
      </c>
      <c r="M12" s="29">
        <v>22175</v>
      </c>
      <c r="N12" s="30">
        <v>12.2</v>
      </c>
      <c r="O12" s="29">
        <v>23060</v>
      </c>
      <c r="P12" s="30">
        <v>12.7</v>
      </c>
      <c r="Q12" s="29">
        <v>22177</v>
      </c>
      <c r="R12" s="30">
        <v>12.2</v>
      </c>
      <c r="S12" s="29">
        <v>26342</v>
      </c>
      <c r="T12" s="30">
        <v>14.5</v>
      </c>
      <c r="U12" s="29">
        <v>26250</v>
      </c>
      <c r="V12" s="30">
        <v>14.4</v>
      </c>
      <c r="W12" s="29">
        <v>16546</v>
      </c>
      <c r="X12" s="30">
        <v>9.1</v>
      </c>
      <c r="Y12" s="29">
        <v>9000</v>
      </c>
      <c r="Z12" s="30">
        <v>4.9000000000000004</v>
      </c>
      <c r="AA12" s="29">
        <v>31636</v>
      </c>
      <c r="AB12" s="30">
        <v>17.399999999999999</v>
      </c>
    </row>
    <row r="13" spans="1:28" x14ac:dyDescent="0.2">
      <c r="A13" t="s">
        <v>729</v>
      </c>
      <c r="E13" s="52"/>
      <c r="F13" s="25" t="s">
        <v>301</v>
      </c>
      <c r="G13" s="29">
        <v>53282</v>
      </c>
      <c r="H13" s="30">
        <v>5.3</v>
      </c>
      <c r="I13" s="29">
        <v>57324</v>
      </c>
      <c r="J13" s="30">
        <v>5.8</v>
      </c>
      <c r="K13" s="29">
        <v>129780</v>
      </c>
      <c r="L13" s="30">
        <v>13</v>
      </c>
      <c r="M13" s="29">
        <v>115269</v>
      </c>
      <c r="N13" s="30">
        <v>11.6</v>
      </c>
      <c r="O13" s="29">
        <v>121312</v>
      </c>
      <c r="P13" s="30">
        <v>12.2</v>
      </c>
      <c r="Q13" s="29">
        <v>133617</v>
      </c>
      <c r="R13" s="30">
        <v>13.4</v>
      </c>
      <c r="S13" s="29">
        <v>141210</v>
      </c>
      <c r="T13" s="30">
        <v>14.2</v>
      </c>
      <c r="U13" s="29">
        <v>121875</v>
      </c>
      <c r="V13" s="30">
        <v>12.2</v>
      </c>
      <c r="W13" s="29">
        <v>74727</v>
      </c>
      <c r="X13" s="30">
        <v>7.5</v>
      </c>
      <c r="Y13" s="29">
        <v>48492</v>
      </c>
      <c r="Z13" s="30">
        <v>4.9000000000000004</v>
      </c>
      <c r="AA13" s="29">
        <v>214739</v>
      </c>
      <c r="AB13" s="30">
        <v>21.5</v>
      </c>
    </row>
    <row r="14" spans="1:28" x14ac:dyDescent="0.2">
      <c r="A14" t="s">
        <v>730</v>
      </c>
      <c r="E14" s="52"/>
      <c r="F14" s="25" t="s">
        <v>993</v>
      </c>
      <c r="G14" s="29">
        <v>140098</v>
      </c>
      <c r="H14" s="30">
        <v>5.8</v>
      </c>
      <c r="I14" s="29">
        <v>144593</v>
      </c>
      <c r="J14" s="30">
        <v>6</v>
      </c>
      <c r="K14" s="29">
        <v>322821</v>
      </c>
      <c r="L14" s="30">
        <v>13.5</v>
      </c>
      <c r="M14" s="29">
        <v>289976</v>
      </c>
      <c r="N14" s="30">
        <v>12.1</v>
      </c>
      <c r="O14" s="29">
        <v>288168</v>
      </c>
      <c r="P14" s="30">
        <v>12</v>
      </c>
      <c r="Q14" s="29">
        <v>301450</v>
      </c>
      <c r="R14" s="30">
        <v>12.6</v>
      </c>
      <c r="S14" s="29">
        <v>330234</v>
      </c>
      <c r="T14" s="30">
        <v>13.8</v>
      </c>
      <c r="U14" s="29">
        <v>295012</v>
      </c>
      <c r="V14" s="30">
        <v>12.3</v>
      </c>
      <c r="W14" s="29">
        <v>179828</v>
      </c>
      <c r="X14" s="30">
        <v>7.5</v>
      </c>
      <c r="Y14" s="29">
        <v>103872</v>
      </c>
      <c r="Z14" s="30">
        <v>4.3</v>
      </c>
      <c r="AA14" s="29">
        <v>541317</v>
      </c>
      <c r="AB14" s="30">
        <v>22.6</v>
      </c>
    </row>
    <row r="15" spans="1:28" x14ac:dyDescent="0.2">
      <c r="A15" t="s">
        <v>732</v>
      </c>
      <c r="E15" s="52"/>
      <c r="F15" s="25" t="s">
        <v>1078</v>
      </c>
      <c r="G15" s="29">
        <v>604728</v>
      </c>
      <c r="H15" s="30">
        <v>5.3</v>
      </c>
      <c r="I15" s="29">
        <v>640751</v>
      </c>
      <c r="J15" s="30">
        <v>5.6</v>
      </c>
      <c r="K15" s="29">
        <v>1454784</v>
      </c>
      <c r="L15" s="30">
        <v>12.8</v>
      </c>
      <c r="M15" s="29">
        <v>1442397</v>
      </c>
      <c r="N15" s="30">
        <v>12.7</v>
      </c>
      <c r="O15" s="29">
        <v>1393651</v>
      </c>
      <c r="P15" s="30">
        <v>12.3</v>
      </c>
      <c r="Q15" s="29">
        <v>1343897</v>
      </c>
      <c r="R15" s="30">
        <v>11.8</v>
      </c>
      <c r="S15" s="29">
        <v>1566110</v>
      </c>
      <c r="T15" s="30">
        <v>13.8</v>
      </c>
      <c r="U15" s="29">
        <v>1485429</v>
      </c>
      <c r="V15" s="30">
        <v>13.1</v>
      </c>
      <c r="W15" s="29">
        <v>919800</v>
      </c>
      <c r="X15" s="30">
        <v>8.1</v>
      </c>
      <c r="Y15" s="29">
        <v>504570</v>
      </c>
      <c r="Z15" s="30">
        <v>4.4000000000000004</v>
      </c>
      <c r="AA15" s="29">
        <v>2369080</v>
      </c>
      <c r="AB15" s="30">
        <v>20.9</v>
      </c>
    </row>
    <row r="16" spans="1:28" x14ac:dyDescent="0.2">
      <c r="E16" s="52"/>
      <c r="F16" s="25" t="s">
        <v>717</v>
      </c>
      <c r="G16" s="29">
        <v>1102961</v>
      </c>
      <c r="H16" s="30">
        <v>5.6</v>
      </c>
      <c r="I16" s="29">
        <v>1102946</v>
      </c>
      <c r="J16" s="30">
        <v>5.6</v>
      </c>
      <c r="K16" s="29">
        <v>2413200</v>
      </c>
      <c r="L16" s="30">
        <v>12.1</v>
      </c>
      <c r="M16" s="29">
        <v>2658703</v>
      </c>
      <c r="N16" s="30">
        <v>13.4</v>
      </c>
      <c r="O16" s="29">
        <v>2751639</v>
      </c>
      <c r="P16" s="30">
        <v>13.8</v>
      </c>
      <c r="Q16" s="29">
        <v>2422399</v>
      </c>
      <c r="R16" s="30">
        <v>12.2</v>
      </c>
      <c r="S16" s="29">
        <v>2638363</v>
      </c>
      <c r="T16" s="30">
        <v>13.3</v>
      </c>
      <c r="U16" s="29">
        <v>2425309</v>
      </c>
      <c r="V16" s="30">
        <v>12.2</v>
      </c>
      <c r="W16" s="29">
        <v>1511287</v>
      </c>
      <c r="X16" s="30">
        <v>7.6</v>
      </c>
      <c r="Y16" s="29">
        <v>845512</v>
      </c>
      <c r="Z16" s="30">
        <v>4.3</v>
      </c>
      <c r="AA16" s="29">
        <v>4109277</v>
      </c>
      <c r="AB16" s="30">
        <v>20.7</v>
      </c>
    </row>
    <row r="17" spans="1:6" x14ac:dyDescent="0.2">
      <c r="E17" s="52"/>
    </row>
    <row r="18" spans="1:6" ht="19" x14ac:dyDescent="0.2">
      <c r="A18" s="54" t="s">
        <v>735</v>
      </c>
      <c r="B18" s="52"/>
      <c r="E18" s="52"/>
      <c r="F18" s="27"/>
    </row>
    <row r="19" spans="1:6" x14ac:dyDescent="0.2">
      <c r="A19" t="s">
        <v>736</v>
      </c>
      <c r="E19" s="52"/>
    </row>
    <row r="20" spans="1:6" x14ac:dyDescent="0.2">
      <c r="A20" t="s">
        <v>738</v>
      </c>
      <c r="E20" s="52"/>
    </row>
    <row r="21" spans="1:6" x14ac:dyDescent="0.2">
      <c r="A21" t="s">
        <v>740</v>
      </c>
      <c r="E21" s="52"/>
    </row>
    <row r="22" spans="1:6" x14ac:dyDescent="0.2">
      <c r="A22" t="s">
        <v>741</v>
      </c>
      <c r="E22" s="52"/>
    </row>
    <row r="23" spans="1:6" x14ac:dyDescent="0.2">
      <c r="A23" t="s">
        <v>743</v>
      </c>
      <c r="E23" s="52"/>
    </row>
    <row r="24" spans="1:6" x14ac:dyDescent="0.2">
      <c r="A24" t="s">
        <v>745</v>
      </c>
      <c r="E24" s="52"/>
    </row>
    <row r="25" spans="1:6" x14ac:dyDescent="0.2">
      <c r="A25" t="s">
        <v>746</v>
      </c>
      <c r="E25" s="52"/>
    </row>
    <row r="26" spans="1:6" x14ac:dyDescent="0.2">
      <c r="E26" s="52"/>
    </row>
    <row r="27" spans="1:6" x14ac:dyDescent="0.2">
      <c r="A27" s="55" t="s">
        <v>747</v>
      </c>
      <c r="B27" s="52"/>
      <c r="E27" s="52"/>
    </row>
    <row r="28" spans="1:6" x14ac:dyDescent="0.2">
      <c r="E28" s="52"/>
    </row>
    <row r="29" spans="1:6" x14ac:dyDescent="0.2">
      <c r="E29" s="52"/>
    </row>
    <row r="30" spans="1:6" x14ac:dyDescent="0.2">
      <c r="E30" s="52"/>
    </row>
    <row r="31" spans="1:6" x14ac:dyDescent="0.2">
      <c r="E31" s="52"/>
    </row>
    <row r="32" spans="1:6"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17">
    <mergeCell ref="AA5:AB5"/>
    <mergeCell ref="O5:P5"/>
    <mergeCell ref="Q5:R5"/>
    <mergeCell ref="S5:T5"/>
    <mergeCell ref="U5:V5"/>
    <mergeCell ref="W5:X5"/>
    <mergeCell ref="Y5:Z5"/>
    <mergeCell ref="B1:O1"/>
    <mergeCell ref="A5:B5"/>
    <mergeCell ref="E5:E57"/>
    <mergeCell ref="A9:B9"/>
    <mergeCell ref="A18:B18"/>
    <mergeCell ref="A27:B27"/>
    <mergeCell ref="G5:H5"/>
    <mergeCell ref="I5:J5"/>
    <mergeCell ref="K5:L5"/>
    <mergeCell ref="M5:N5"/>
  </mergeCells>
  <dataValidations count="4">
    <dataValidation type="list" allowBlank="1" showInputMessage="1" showErrorMessage="1" sqref="G4:AB4" xr:uid="{EBD0AE74-230F-9449-B218-E5B8496E6DF9}">
      <formula1>"integer, number, percent1"</formula1>
    </dataValidation>
    <dataValidation type="list" allowBlank="1" showInputMessage="1" showErrorMessage="1" sqref="B10" xr:uid="{5911470F-5A07-4440-8727-163E5D807F5F}">
      <formula1>"Line,Clustered Bar,Stacked Bar"</formula1>
    </dataValidation>
    <dataValidation type="list" allowBlank="1" showInputMessage="1" showErrorMessage="1" sqref="B2" xr:uid="{845F8F91-A81D-CC4E-BC69-9A9040409300}">
      <formula1>"Table,Figure,Both"</formula1>
    </dataValidation>
    <dataValidation type="list" allowBlank="1" showInputMessage="1" showErrorMessage="1" sqref="B6 B15" xr:uid="{AD709835-4095-9F44-897F-105D8F155AE7}">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52AB8276-2492-D944-83F8-B85F488325A7}">
          <x14:formula1>
            <xm:f>Master!$E$2:$E$290</xm:f>
          </x14:formula1>
          <xm:sqref>B1:O1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999D5-4900-A44F-A0E9-AB6F8E25BB1E}">
  <dimension ref="A1:O57"/>
  <sheetViews>
    <sheetView workbookViewId="0">
      <selection activeCell="B4" sqref="B4"/>
    </sheetView>
  </sheetViews>
  <sheetFormatPr baseColWidth="10" defaultColWidth="8.83203125" defaultRowHeight="15" x14ac:dyDescent="0.2"/>
  <cols>
    <col min="1" max="1" width="20" bestFit="1" customWidth="1"/>
    <col min="2" max="2" width="16.83203125" customWidth="1"/>
    <col min="5" max="5" width="6.83203125" customWidth="1"/>
    <col min="6" max="6" width="11.1640625" bestFit="1" customWidth="1"/>
    <col min="7" max="7" width="9.5" customWidth="1"/>
    <col min="8" max="8" width="13.5" customWidth="1"/>
    <col min="9" max="9" width="11" customWidth="1"/>
    <col min="11" max="11" width="10.83203125" customWidth="1"/>
    <col min="12" max="12" width="12.33203125" bestFit="1" customWidth="1"/>
    <col min="14" max="14" width="12.33203125" bestFit="1" customWidth="1"/>
    <col min="15" max="15" width="11" bestFit="1" customWidth="1"/>
  </cols>
  <sheetData>
    <row r="1" spans="1:15" x14ac:dyDescent="0.2">
      <c r="A1" s="3" t="s">
        <v>710</v>
      </c>
      <c r="B1" s="51" t="s">
        <v>21</v>
      </c>
      <c r="C1" s="52"/>
      <c r="D1" s="52"/>
      <c r="E1" s="52"/>
      <c r="F1" s="52"/>
      <c r="G1" s="52"/>
      <c r="H1" s="52"/>
      <c r="I1" s="52"/>
      <c r="J1" s="52"/>
      <c r="K1" s="52"/>
      <c r="L1" s="52"/>
      <c r="M1" s="52"/>
      <c r="N1" s="52"/>
      <c r="O1" s="52"/>
    </row>
    <row r="2" spans="1:15" x14ac:dyDescent="0.2">
      <c r="A2" s="3" t="s">
        <v>711</v>
      </c>
      <c r="B2" t="s">
        <v>10</v>
      </c>
    </row>
    <row r="3" spans="1:15" ht="16" x14ac:dyDescent="0.2">
      <c r="A3" s="3" t="s">
        <v>713</v>
      </c>
      <c r="B3" s="37" t="str">
        <f>IF($B$1="","",_xlfn.XLOOKUP($B$1,Master!$E$2:$E$290,Master!$F$2:$F$290,""))</f>
        <v>tbl-ethnicity</v>
      </c>
    </row>
    <row r="4" spans="1:15" x14ac:dyDescent="0.2">
      <c r="E4" s="15"/>
      <c r="F4" s="15"/>
      <c r="G4" s="19" t="s">
        <v>1072</v>
      </c>
      <c r="H4" s="19" t="s">
        <v>1073</v>
      </c>
      <c r="I4" s="19" t="s">
        <v>1072</v>
      </c>
      <c r="J4" s="19" t="s">
        <v>1073</v>
      </c>
      <c r="K4" s="19"/>
      <c r="L4" s="19"/>
      <c r="M4" s="19"/>
      <c r="N4" s="19"/>
      <c r="O4" s="19"/>
    </row>
    <row r="5" spans="1:15" x14ac:dyDescent="0.2">
      <c r="A5" s="54" t="s">
        <v>714</v>
      </c>
      <c r="B5" s="52"/>
      <c r="E5" s="53" t="s">
        <v>715</v>
      </c>
      <c r="G5" s="61" t="s">
        <v>924</v>
      </c>
      <c r="H5" s="61"/>
      <c r="I5" s="61" t="s">
        <v>1091</v>
      </c>
      <c r="J5" s="61"/>
    </row>
    <row r="6" spans="1:15" ht="15" customHeight="1" x14ac:dyDescent="0.2">
      <c r="A6" t="s">
        <v>719</v>
      </c>
      <c r="B6" t="b">
        <v>1</v>
      </c>
      <c r="E6" s="52"/>
      <c r="F6" s="22"/>
      <c r="G6" s="22" t="s">
        <v>1066</v>
      </c>
      <c r="H6" s="22" t="s">
        <v>1077</v>
      </c>
      <c r="I6" s="22" t="s">
        <v>1066</v>
      </c>
      <c r="J6" s="22" t="s">
        <v>1077</v>
      </c>
    </row>
    <row r="7" spans="1:15" ht="15.75" customHeight="1" x14ac:dyDescent="0.2">
      <c r="A7" t="s">
        <v>721</v>
      </c>
      <c r="B7" t="s">
        <v>525</v>
      </c>
      <c r="E7" s="52"/>
      <c r="F7" s="21" t="s">
        <v>149</v>
      </c>
      <c r="G7" s="23">
        <v>44153</v>
      </c>
      <c r="H7" s="24">
        <v>14.9</v>
      </c>
      <c r="I7" s="23">
        <v>252991</v>
      </c>
      <c r="J7" s="24">
        <v>85.1</v>
      </c>
    </row>
    <row r="8" spans="1:15" x14ac:dyDescent="0.2">
      <c r="E8" s="52"/>
      <c r="F8" s="21" t="s">
        <v>15</v>
      </c>
      <c r="G8" s="23">
        <v>93608</v>
      </c>
      <c r="H8" s="24">
        <v>23.2</v>
      </c>
      <c r="I8" s="23">
        <v>310232</v>
      </c>
      <c r="J8" s="24">
        <v>76.8</v>
      </c>
    </row>
    <row r="9" spans="1:15" x14ac:dyDescent="0.2">
      <c r="A9" s="54" t="s">
        <v>724</v>
      </c>
      <c r="B9" s="52"/>
      <c r="E9" s="52"/>
      <c r="F9" s="21" t="s">
        <v>368</v>
      </c>
      <c r="G9" s="23">
        <v>18676</v>
      </c>
      <c r="H9" s="24">
        <v>19.100000000000001</v>
      </c>
      <c r="I9" s="23">
        <v>79312</v>
      </c>
      <c r="J9" s="24">
        <v>80.900000000000006</v>
      </c>
    </row>
    <row r="10" spans="1:15" x14ac:dyDescent="0.2">
      <c r="A10" t="s">
        <v>725</v>
      </c>
      <c r="E10" s="52"/>
      <c r="F10" s="21" t="s">
        <v>279</v>
      </c>
      <c r="G10" s="23">
        <v>67951</v>
      </c>
      <c r="H10" s="24">
        <v>20</v>
      </c>
      <c r="I10" s="23">
        <v>270985</v>
      </c>
      <c r="J10" s="24">
        <v>80</v>
      </c>
    </row>
    <row r="11" spans="1:15" x14ac:dyDescent="0.2">
      <c r="A11" t="s">
        <v>727</v>
      </c>
      <c r="E11" s="52"/>
      <c r="F11" s="21" t="s">
        <v>240</v>
      </c>
      <c r="G11" s="23">
        <v>14544</v>
      </c>
      <c r="H11" s="24">
        <v>18.399999999999999</v>
      </c>
      <c r="I11" s="23">
        <v>64603</v>
      </c>
      <c r="J11" s="24">
        <v>81.599999999999994</v>
      </c>
    </row>
    <row r="12" spans="1:15" x14ac:dyDescent="0.2">
      <c r="A12" t="s">
        <v>728</v>
      </c>
      <c r="E12" s="52"/>
      <c r="F12" s="21" t="s">
        <v>249</v>
      </c>
      <c r="G12" s="23">
        <v>21562</v>
      </c>
      <c r="H12" s="24">
        <v>11.8</v>
      </c>
      <c r="I12" s="23">
        <v>160547</v>
      </c>
      <c r="J12" s="24">
        <v>88.2</v>
      </c>
    </row>
    <row r="13" spans="1:15" x14ac:dyDescent="0.2">
      <c r="A13" t="s">
        <v>729</v>
      </c>
      <c r="E13" s="52"/>
      <c r="F13" s="21" t="s">
        <v>301</v>
      </c>
      <c r="G13" s="23">
        <v>269085</v>
      </c>
      <c r="H13" s="24">
        <v>27</v>
      </c>
      <c r="I13" s="23">
        <v>727803</v>
      </c>
      <c r="J13" s="24">
        <v>73</v>
      </c>
    </row>
    <row r="14" spans="1:15" x14ac:dyDescent="0.2">
      <c r="A14" t="s">
        <v>730</v>
      </c>
      <c r="E14" s="52"/>
      <c r="F14" s="21" t="s">
        <v>993</v>
      </c>
      <c r="G14" s="23">
        <v>529579</v>
      </c>
      <c r="H14" s="24">
        <v>22.1</v>
      </c>
      <c r="I14" s="23">
        <v>1866473</v>
      </c>
      <c r="J14" s="24">
        <v>77.900000000000006</v>
      </c>
    </row>
    <row r="15" spans="1:15" x14ac:dyDescent="0.2">
      <c r="A15" t="s">
        <v>732</v>
      </c>
      <c r="E15" s="52"/>
      <c r="F15" s="21" t="s">
        <v>1078</v>
      </c>
      <c r="G15" s="23">
        <v>1478113</v>
      </c>
      <c r="H15" s="24">
        <v>13</v>
      </c>
      <c r="I15" s="23">
        <v>9878004</v>
      </c>
      <c r="J15" s="24">
        <v>87</v>
      </c>
    </row>
    <row r="16" spans="1:15" x14ac:dyDescent="0.2">
      <c r="E16" s="52"/>
      <c r="F16" s="21" t="s">
        <v>717</v>
      </c>
      <c r="G16" s="23">
        <v>3898652</v>
      </c>
      <c r="H16" s="24">
        <v>19.600000000000001</v>
      </c>
      <c r="I16" s="23">
        <v>15973667</v>
      </c>
      <c r="J16" s="24">
        <v>80.400000000000006</v>
      </c>
    </row>
    <row r="17" spans="1:5" x14ac:dyDescent="0.2">
      <c r="E17" s="52"/>
    </row>
    <row r="18" spans="1:5" x14ac:dyDescent="0.2">
      <c r="A18" s="54" t="s">
        <v>735</v>
      </c>
      <c r="B18" s="52"/>
      <c r="E18" s="52"/>
    </row>
    <row r="19" spans="1:5" x14ac:dyDescent="0.2">
      <c r="A19" t="s">
        <v>736</v>
      </c>
      <c r="E19" s="52"/>
    </row>
    <row r="20" spans="1:5" x14ac:dyDescent="0.2">
      <c r="A20" t="s">
        <v>738</v>
      </c>
      <c r="E20" s="52"/>
    </row>
    <row r="21" spans="1:5" x14ac:dyDescent="0.2">
      <c r="A21" t="s">
        <v>740</v>
      </c>
      <c r="E21" s="52"/>
    </row>
    <row r="22" spans="1:5" x14ac:dyDescent="0.2">
      <c r="A22" t="s">
        <v>741</v>
      </c>
      <c r="E22" s="52"/>
    </row>
    <row r="23" spans="1:5" x14ac:dyDescent="0.2">
      <c r="A23" t="s">
        <v>743</v>
      </c>
      <c r="E23" s="52"/>
    </row>
    <row r="24" spans="1:5" x14ac:dyDescent="0.2">
      <c r="A24" t="s">
        <v>745</v>
      </c>
      <c r="E24" s="52"/>
    </row>
    <row r="25" spans="1:5" x14ac:dyDescent="0.2">
      <c r="A25" t="s">
        <v>746</v>
      </c>
      <c r="E25" s="52"/>
    </row>
    <row r="26" spans="1:5" x14ac:dyDescent="0.2">
      <c r="E26" s="52"/>
    </row>
    <row r="27" spans="1:5" x14ac:dyDescent="0.2">
      <c r="A27" s="55" t="s">
        <v>747</v>
      </c>
      <c r="B27" s="52"/>
      <c r="E27" s="52"/>
    </row>
    <row r="28" spans="1:5" x14ac:dyDescent="0.2">
      <c r="E28" s="52"/>
    </row>
    <row r="29" spans="1:5" x14ac:dyDescent="0.2">
      <c r="E29" s="52"/>
    </row>
    <row r="30" spans="1:5" x14ac:dyDescent="0.2">
      <c r="E30" s="52"/>
    </row>
    <row r="31" spans="1:5" x14ac:dyDescent="0.2">
      <c r="E31" s="52"/>
    </row>
    <row r="32" spans="1:5"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8">
    <mergeCell ref="B1:O1"/>
    <mergeCell ref="A5:B5"/>
    <mergeCell ref="E5:E57"/>
    <mergeCell ref="A9:B9"/>
    <mergeCell ref="A18:B18"/>
    <mergeCell ref="A27:B27"/>
    <mergeCell ref="G5:H5"/>
    <mergeCell ref="I5:J5"/>
  </mergeCells>
  <dataValidations count="4">
    <dataValidation type="list" allowBlank="1" showInputMessage="1" showErrorMessage="1" sqref="G4:O4" xr:uid="{CD5B1DBE-72D0-B14C-A8BD-13CCEC57DE23}">
      <formula1>"integer, number, percent1"</formula1>
    </dataValidation>
    <dataValidation type="list" allowBlank="1" showInputMessage="1" showErrorMessage="1" sqref="B10" xr:uid="{4F9C0ABE-FC24-464B-AF30-1260D73B1AEF}">
      <formula1>"Line,Clustered Bar,Stacked Bar"</formula1>
    </dataValidation>
    <dataValidation type="list" allowBlank="1" showInputMessage="1" showErrorMessage="1" sqref="B2" xr:uid="{E7B861C2-6BDC-6342-856B-70B19A8984FB}">
      <formula1>"Table,Figure,Both"</formula1>
    </dataValidation>
    <dataValidation type="list" allowBlank="1" showInputMessage="1" showErrorMessage="1" sqref="B6 B15" xr:uid="{9505056F-95AA-924D-9DF2-CA9F83C08CF3}">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71E2603C-8198-424D-9377-A0105EA0C1F4}">
          <x14:formula1>
            <xm:f>Master!$E$2:$E$290</xm:f>
          </x14:formula1>
          <xm:sqref>B1:O1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2D099-0327-FA4C-8D28-3FD9E86BFE35}">
  <dimension ref="A1:V57"/>
  <sheetViews>
    <sheetView workbookViewId="0">
      <selection activeCell="B4" sqref="B4"/>
    </sheetView>
  </sheetViews>
  <sheetFormatPr baseColWidth="10" defaultColWidth="8.83203125" defaultRowHeight="15" x14ac:dyDescent="0.2"/>
  <cols>
    <col min="1" max="1" width="20" bestFit="1" customWidth="1"/>
    <col min="2" max="2" width="16.83203125" customWidth="1"/>
    <col min="5" max="5" width="6.83203125" customWidth="1"/>
    <col min="6" max="6" width="13.6640625" customWidth="1"/>
    <col min="7" max="7" width="9.5" customWidth="1"/>
    <col min="8" max="8" width="13.5" customWidth="1"/>
    <col min="9" max="9" width="11" customWidth="1"/>
    <col min="11" max="11" width="10.83203125" customWidth="1"/>
    <col min="12" max="12" width="12.33203125" bestFit="1" customWidth="1"/>
    <col min="14" max="14" width="12.33203125" bestFit="1" customWidth="1"/>
    <col min="15" max="15" width="11" bestFit="1" customWidth="1"/>
  </cols>
  <sheetData>
    <row r="1" spans="1:22" x14ac:dyDescent="0.2">
      <c r="A1" s="3" t="s">
        <v>710</v>
      </c>
      <c r="B1" s="51" t="s">
        <v>24</v>
      </c>
      <c r="C1" s="52"/>
      <c r="D1" s="52"/>
      <c r="E1" s="52"/>
      <c r="F1" s="52"/>
      <c r="G1" s="52"/>
      <c r="H1" s="52"/>
      <c r="I1" s="52"/>
      <c r="J1" s="52"/>
      <c r="K1" s="52"/>
      <c r="L1" s="52"/>
      <c r="M1" s="52"/>
      <c r="N1" s="52"/>
      <c r="O1" s="52"/>
    </row>
    <row r="2" spans="1:22" x14ac:dyDescent="0.2">
      <c r="A2" s="3" t="s">
        <v>711</v>
      </c>
      <c r="B2" t="s">
        <v>10</v>
      </c>
    </row>
    <row r="3" spans="1:22" ht="16" x14ac:dyDescent="0.2">
      <c r="A3" s="3" t="s">
        <v>713</v>
      </c>
      <c r="B3" s="16" t="str">
        <f>IF($B$1="","",_xlfn.XLOOKUP($B$1,Master!$E$2:$E$290,Master!$F$2:$F$290,""))</f>
        <v>tbl-race</v>
      </c>
    </row>
    <row r="4" spans="1:22" x14ac:dyDescent="0.2">
      <c r="E4" s="15"/>
      <c r="F4" s="15"/>
      <c r="G4" s="19" t="s">
        <v>1072</v>
      </c>
      <c r="H4" s="19" t="s">
        <v>1073</v>
      </c>
      <c r="I4" s="19" t="s">
        <v>1072</v>
      </c>
      <c r="J4" s="19" t="s">
        <v>1073</v>
      </c>
      <c r="K4" s="19" t="s">
        <v>1072</v>
      </c>
      <c r="L4" s="19" t="s">
        <v>1073</v>
      </c>
      <c r="M4" s="19" t="s">
        <v>1072</v>
      </c>
      <c r="N4" s="19" t="s">
        <v>1073</v>
      </c>
      <c r="O4" s="19" t="s">
        <v>1072</v>
      </c>
      <c r="P4" s="19" t="s">
        <v>1073</v>
      </c>
      <c r="Q4" s="19" t="s">
        <v>1072</v>
      </c>
      <c r="R4" s="19" t="s">
        <v>1073</v>
      </c>
      <c r="S4" s="19" t="s">
        <v>1072</v>
      </c>
      <c r="T4" s="19" t="s">
        <v>1073</v>
      </c>
      <c r="U4" s="19"/>
      <c r="V4" s="19"/>
    </row>
    <row r="5" spans="1:22" x14ac:dyDescent="0.2">
      <c r="A5" s="54" t="s">
        <v>714</v>
      </c>
      <c r="B5" s="52"/>
      <c r="E5" s="53" t="s">
        <v>715</v>
      </c>
      <c r="F5" s="38"/>
      <c r="G5" s="63" t="s">
        <v>1093</v>
      </c>
      <c r="H5" s="63"/>
      <c r="I5" s="63" t="s">
        <v>1094</v>
      </c>
      <c r="J5" s="63"/>
      <c r="K5" s="63" t="s">
        <v>1095</v>
      </c>
      <c r="L5" s="63"/>
      <c r="M5" s="63" t="s">
        <v>1096</v>
      </c>
      <c r="N5" s="63"/>
      <c r="O5" s="63" t="s">
        <v>1097</v>
      </c>
      <c r="P5" s="63"/>
      <c r="Q5" s="63" t="s">
        <v>1098</v>
      </c>
      <c r="R5" s="63"/>
      <c r="S5" s="63" t="s">
        <v>1099</v>
      </c>
      <c r="T5" s="63"/>
    </row>
    <row r="6" spans="1:22" ht="15" customHeight="1" x14ac:dyDescent="0.2">
      <c r="A6" t="s">
        <v>719</v>
      </c>
      <c r="B6" t="b">
        <v>1</v>
      </c>
      <c r="E6" s="52"/>
      <c r="F6" s="40"/>
      <c r="G6" s="40" t="s">
        <v>1066</v>
      </c>
      <c r="H6" s="40" t="s">
        <v>1077</v>
      </c>
      <c r="I6" s="40" t="s">
        <v>1066</v>
      </c>
      <c r="J6" s="40" t="s">
        <v>1077</v>
      </c>
      <c r="K6" s="40" t="s">
        <v>1066</v>
      </c>
      <c r="L6" s="40" t="s">
        <v>1077</v>
      </c>
      <c r="M6" s="40" t="s">
        <v>1066</v>
      </c>
      <c r="N6" s="40" t="s">
        <v>1077</v>
      </c>
      <c r="O6" s="40" t="s">
        <v>1066</v>
      </c>
      <c r="P6" s="40" t="s">
        <v>1077</v>
      </c>
      <c r="Q6" s="40" t="s">
        <v>1066</v>
      </c>
      <c r="R6" s="40" t="s">
        <v>1077</v>
      </c>
      <c r="S6" s="40" t="s">
        <v>1066</v>
      </c>
      <c r="T6" s="40" t="s">
        <v>1077</v>
      </c>
    </row>
    <row r="7" spans="1:22" ht="15.75" customHeight="1" x14ac:dyDescent="0.2">
      <c r="E7" s="52"/>
      <c r="F7" s="39" t="s">
        <v>149</v>
      </c>
      <c r="G7" s="41">
        <v>199670</v>
      </c>
      <c r="H7" s="42">
        <v>67.2</v>
      </c>
      <c r="I7" s="41">
        <v>28024</v>
      </c>
      <c r="J7" s="42">
        <v>9.4</v>
      </c>
      <c r="K7" s="42">
        <v>222</v>
      </c>
      <c r="L7" s="42">
        <v>7.0000000000000007E-2</v>
      </c>
      <c r="M7" s="41">
        <v>10044</v>
      </c>
      <c r="N7" s="42">
        <v>3.4</v>
      </c>
      <c r="O7" s="42">
        <v>117</v>
      </c>
      <c r="P7" s="42">
        <v>0.04</v>
      </c>
      <c r="Q7" s="41">
        <v>2206</v>
      </c>
      <c r="R7" s="42">
        <v>0.7</v>
      </c>
      <c r="S7" s="41">
        <v>12708</v>
      </c>
      <c r="T7" s="42">
        <v>4.3</v>
      </c>
    </row>
    <row r="8" spans="1:22" x14ac:dyDescent="0.2">
      <c r="E8" s="52"/>
      <c r="F8" s="39" t="s">
        <v>15</v>
      </c>
      <c r="G8" s="41">
        <v>239186</v>
      </c>
      <c r="H8" s="42">
        <v>59.2</v>
      </c>
      <c r="I8" s="41">
        <v>42478</v>
      </c>
      <c r="J8" s="42">
        <v>10.5</v>
      </c>
      <c r="K8" s="42">
        <v>438</v>
      </c>
      <c r="L8" s="42">
        <v>0.11</v>
      </c>
      <c r="M8" s="41">
        <v>11223</v>
      </c>
      <c r="N8" s="42">
        <v>2.8</v>
      </c>
      <c r="O8" s="42">
        <v>26</v>
      </c>
      <c r="P8" s="42">
        <v>0.01</v>
      </c>
      <c r="Q8" s="41">
        <v>2563</v>
      </c>
      <c r="R8" s="42">
        <v>0.6</v>
      </c>
      <c r="S8" s="41">
        <v>14318</v>
      </c>
      <c r="T8" s="42">
        <v>3.5</v>
      </c>
    </row>
    <row r="9" spans="1:22" x14ac:dyDescent="0.2">
      <c r="A9" s="54" t="s">
        <v>724</v>
      </c>
      <c r="B9" s="52"/>
      <c r="E9" s="52"/>
      <c r="F9" s="39" t="s">
        <v>368</v>
      </c>
      <c r="G9" s="41">
        <v>70948</v>
      </c>
      <c r="H9" s="42">
        <v>72.400000000000006</v>
      </c>
      <c r="I9" s="41">
        <v>2894</v>
      </c>
      <c r="J9" s="42">
        <v>3</v>
      </c>
      <c r="K9" s="42">
        <v>81</v>
      </c>
      <c r="L9" s="42">
        <v>0.08</v>
      </c>
      <c r="M9" s="41">
        <v>2255</v>
      </c>
      <c r="N9" s="42">
        <v>2.2999999999999998</v>
      </c>
      <c r="O9" s="42">
        <v>24</v>
      </c>
      <c r="P9" s="42">
        <v>0.02</v>
      </c>
      <c r="Q9" s="42">
        <v>788</v>
      </c>
      <c r="R9" s="42">
        <v>0.8</v>
      </c>
      <c r="S9" s="41">
        <v>2322</v>
      </c>
      <c r="T9" s="42">
        <v>2.4</v>
      </c>
    </row>
    <row r="10" spans="1:22" x14ac:dyDescent="0.2">
      <c r="A10" t="s">
        <v>725</v>
      </c>
      <c r="E10" s="52"/>
      <c r="F10" s="39" t="s">
        <v>279</v>
      </c>
      <c r="G10" s="41">
        <v>205539</v>
      </c>
      <c r="H10" s="42">
        <v>60.6</v>
      </c>
      <c r="I10" s="41">
        <v>35626</v>
      </c>
      <c r="J10" s="42">
        <v>10.5</v>
      </c>
      <c r="K10" s="42">
        <v>181</v>
      </c>
      <c r="L10" s="42">
        <v>0.05</v>
      </c>
      <c r="M10" s="41">
        <v>19772</v>
      </c>
      <c r="N10" s="42">
        <v>5.8</v>
      </c>
      <c r="O10" s="42">
        <v>38</v>
      </c>
      <c r="P10" s="42">
        <v>0.01</v>
      </c>
      <c r="Q10" s="41">
        <v>1921</v>
      </c>
      <c r="R10" s="42">
        <v>0.6</v>
      </c>
      <c r="S10" s="41">
        <v>7908</v>
      </c>
      <c r="T10" s="42">
        <v>2.2999999999999998</v>
      </c>
    </row>
    <row r="11" spans="1:22" x14ac:dyDescent="0.2">
      <c r="A11" t="s">
        <v>727</v>
      </c>
      <c r="E11" s="52"/>
      <c r="F11" s="39" t="s">
        <v>240</v>
      </c>
      <c r="G11" s="41">
        <v>53145</v>
      </c>
      <c r="H11" s="42">
        <v>67.099999999999994</v>
      </c>
      <c r="I11" s="41">
        <v>6263</v>
      </c>
      <c r="J11" s="42">
        <v>7.9</v>
      </c>
      <c r="K11" s="42">
        <v>120</v>
      </c>
      <c r="L11" s="42">
        <v>0.15</v>
      </c>
      <c r="M11" s="41">
        <v>1584</v>
      </c>
      <c r="N11" s="42">
        <v>2</v>
      </c>
      <c r="O11" s="42">
        <v>11</v>
      </c>
      <c r="P11" s="42">
        <v>0.01</v>
      </c>
      <c r="Q11" s="42">
        <v>533</v>
      </c>
      <c r="R11" s="42">
        <v>0.7</v>
      </c>
      <c r="S11" s="41">
        <v>2947</v>
      </c>
      <c r="T11" s="42">
        <v>3.7</v>
      </c>
    </row>
    <row r="12" spans="1:22" x14ac:dyDescent="0.2">
      <c r="A12" t="s">
        <v>728</v>
      </c>
      <c r="E12" s="52"/>
      <c r="F12" s="39" t="s">
        <v>249</v>
      </c>
      <c r="G12" s="41">
        <v>133874</v>
      </c>
      <c r="H12" s="42">
        <v>73.5</v>
      </c>
      <c r="I12" s="41">
        <v>10347</v>
      </c>
      <c r="J12" s="42">
        <v>5.7</v>
      </c>
      <c r="K12" s="42">
        <v>66</v>
      </c>
      <c r="L12" s="42">
        <v>0.04</v>
      </c>
      <c r="M12" s="41">
        <v>3675</v>
      </c>
      <c r="N12" s="42">
        <v>2</v>
      </c>
      <c r="O12" s="42">
        <v>40</v>
      </c>
      <c r="P12" s="42">
        <v>0.02</v>
      </c>
      <c r="Q12" s="41">
        <v>2242</v>
      </c>
      <c r="R12" s="42">
        <v>1.2</v>
      </c>
      <c r="S12" s="41">
        <v>10303</v>
      </c>
      <c r="T12" s="42">
        <v>5.7</v>
      </c>
    </row>
    <row r="13" spans="1:22" x14ac:dyDescent="0.2">
      <c r="A13" t="s">
        <v>729</v>
      </c>
      <c r="E13" s="52"/>
      <c r="F13" s="39" t="s">
        <v>301</v>
      </c>
      <c r="G13" s="41">
        <v>498855</v>
      </c>
      <c r="H13" s="42">
        <v>50</v>
      </c>
      <c r="I13" s="41">
        <v>128199</v>
      </c>
      <c r="J13" s="42">
        <v>12.9</v>
      </c>
      <c r="K13" s="41">
        <v>1197</v>
      </c>
      <c r="L13" s="42">
        <v>0.12</v>
      </c>
      <c r="M13" s="41">
        <v>59912</v>
      </c>
      <c r="N13" s="42">
        <v>6</v>
      </c>
      <c r="O13" s="42">
        <v>96</v>
      </c>
      <c r="P13" s="42">
        <v>0.01</v>
      </c>
      <c r="Q13" s="41">
        <v>10638</v>
      </c>
      <c r="R13" s="42">
        <v>1.1000000000000001</v>
      </c>
      <c r="S13" s="41">
        <v>28906</v>
      </c>
      <c r="T13" s="42">
        <v>2.9</v>
      </c>
    </row>
    <row r="14" spans="1:22" x14ac:dyDescent="0.2">
      <c r="A14" t="s">
        <v>730</v>
      </c>
      <c r="E14" s="52"/>
      <c r="F14" s="39" t="s">
        <v>993</v>
      </c>
      <c r="G14" s="41">
        <v>1401217</v>
      </c>
      <c r="H14" s="42">
        <v>58.5</v>
      </c>
      <c r="I14" s="41">
        <v>253831</v>
      </c>
      <c r="J14" s="42">
        <v>10.6</v>
      </c>
      <c r="K14" s="41">
        <v>2305</v>
      </c>
      <c r="L14" s="42">
        <v>0.1</v>
      </c>
      <c r="M14" s="41">
        <v>108465</v>
      </c>
      <c r="N14" s="42">
        <v>4.5</v>
      </c>
      <c r="O14" s="42">
        <v>352</v>
      </c>
      <c r="P14" s="42">
        <v>0.01</v>
      </c>
      <c r="Q14" s="41">
        <v>20891</v>
      </c>
      <c r="R14" s="42">
        <v>0.9</v>
      </c>
      <c r="S14" s="41">
        <v>79412</v>
      </c>
      <c r="T14" s="42">
        <v>3.3</v>
      </c>
    </row>
    <row r="15" spans="1:22" x14ac:dyDescent="0.2">
      <c r="A15" t="s">
        <v>732</v>
      </c>
      <c r="E15" s="52"/>
      <c r="F15" s="39" t="s">
        <v>1078</v>
      </c>
      <c r="G15" s="41">
        <v>7942876</v>
      </c>
      <c r="H15" s="42">
        <v>69.900000000000006</v>
      </c>
      <c r="I15" s="41">
        <v>934322</v>
      </c>
      <c r="J15" s="42">
        <v>8.1999999999999993</v>
      </c>
      <c r="K15" s="41">
        <v>21069</v>
      </c>
      <c r="L15" s="42">
        <v>0.19</v>
      </c>
      <c r="M15" s="41">
        <v>518716</v>
      </c>
      <c r="N15" s="42">
        <v>4.5999999999999996</v>
      </c>
      <c r="O15" s="41">
        <v>2610</v>
      </c>
      <c r="P15" s="42">
        <v>0.02</v>
      </c>
      <c r="Q15" s="41">
        <v>70553</v>
      </c>
      <c r="R15" s="42">
        <v>0.6</v>
      </c>
      <c r="S15" s="41">
        <v>387858</v>
      </c>
      <c r="T15" s="42">
        <v>3.4</v>
      </c>
    </row>
    <row r="16" spans="1:22" x14ac:dyDescent="0.2">
      <c r="E16" s="52"/>
      <c r="F16" s="39" t="s">
        <v>717</v>
      </c>
      <c r="G16" s="41">
        <v>10608842</v>
      </c>
      <c r="H16" s="42">
        <v>53.4</v>
      </c>
      <c r="I16" s="41">
        <v>2708094</v>
      </c>
      <c r="J16" s="42">
        <v>13.6</v>
      </c>
      <c r="K16" s="41">
        <v>37212</v>
      </c>
      <c r="L16" s="42">
        <v>0.19</v>
      </c>
      <c r="M16" s="41">
        <v>1754957</v>
      </c>
      <c r="N16" s="42">
        <v>8.8000000000000007</v>
      </c>
      <c r="O16" s="41">
        <v>6220</v>
      </c>
      <c r="P16" s="42">
        <v>0.03</v>
      </c>
      <c r="Q16" s="41">
        <v>178956</v>
      </c>
      <c r="R16" s="42">
        <v>0.9</v>
      </c>
      <c r="S16" s="41">
        <v>679386</v>
      </c>
      <c r="T16" s="42">
        <v>3.4</v>
      </c>
    </row>
    <row r="17" spans="1:5" x14ac:dyDescent="0.2">
      <c r="E17" s="52"/>
    </row>
    <row r="18" spans="1:5" x14ac:dyDescent="0.2">
      <c r="A18" s="54" t="s">
        <v>735</v>
      </c>
      <c r="B18" s="52"/>
      <c r="E18" s="52"/>
    </row>
    <row r="19" spans="1:5" x14ac:dyDescent="0.2">
      <c r="A19" t="s">
        <v>736</v>
      </c>
      <c r="E19" s="52"/>
    </row>
    <row r="20" spans="1:5" x14ac:dyDescent="0.2">
      <c r="A20" t="s">
        <v>738</v>
      </c>
      <c r="E20" s="52"/>
    </row>
    <row r="21" spans="1:5" x14ac:dyDescent="0.2">
      <c r="A21" t="s">
        <v>740</v>
      </c>
      <c r="E21" s="52"/>
    </row>
    <row r="22" spans="1:5" x14ac:dyDescent="0.2">
      <c r="A22" t="s">
        <v>741</v>
      </c>
      <c r="E22" s="52"/>
    </row>
    <row r="23" spans="1:5" x14ac:dyDescent="0.2">
      <c r="A23" t="s">
        <v>743</v>
      </c>
      <c r="E23" s="52"/>
    </row>
    <row r="24" spans="1:5" x14ac:dyDescent="0.2">
      <c r="A24" t="s">
        <v>745</v>
      </c>
      <c r="E24" s="52"/>
    </row>
    <row r="25" spans="1:5" x14ac:dyDescent="0.2">
      <c r="A25" t="s">
        <v>746</v>
      </c>
      <c r="E25" s="52"/>
    </row>
    <row r="26" spans="1:5" x14ac:dyDescent="0.2">
      <c r="E26" s="52"/>
    </row>
    <row r="27" spans="1:5" x14ac:dyDescent="0.2">
      <c r="A27" s="55" t="s">
        <v>747</v>
      </c>
      <c r="B27" s="52"/>
      <c r="E27" s="52"/>
    </row>
    <row r="28" spans="1:5" x14ac:dyDescent="0.2">
      <c r="E28" s="52"/>
    </row>
    <row r="29" spans="1:5" x14ac:dyDescent="0.2">
      <c r="E29" s="52"/>
    </row>
    <row r="30" spans="1:5" x14ac:dyDescent="0.2">
      <c r="E30" s="52"/>
    </row>
    <row r="31" spans="1:5" x14ac:dyDescent="0.2">
      <c r="E31" s="52"/>
    </row>
    <row r="32" spans="1:5"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13">
    <mergeCell ref="O5:P5"/>
    <mergeCell ref="Q5:R5"/>
    <mergeCell ref="S5:T5"/>
    <mergeCell ref="B1:O1"/>
    <mergeCell ref="A5:B5"/>
    <mergeCell ref="E5:E57"/>
    <mergeCell ref="A9:B9"/>
    <mergeCell ref="A18:B18"/>
    <mergeCell ref="A27:B27"/>
    <mergeCell ref="G5:H5"/>
    <mergeCell ref="I5:J5"/>
    <mergeCell ref="K5:L5"/>
    <mergeCell ref="M5:N5"/>
  </mergeCells>
  <dataValidations count="4">
    <dataValidation type="list" allowBlank="1" showInputMessage="1" showErrorMessage="1" sqref="G4:V4" xr:uid="{FE58F644-82A2-7540-B13C-49237D0DA83A}">
      <formula1>"integer, number, percent1"</formula1>
    </dataValidation>
    <dataValidation type="list" allowBlank="1" showInputMessage="1" showErrorMessage="1" sqref="B10" xr:uid="{6211C42E-AE15-F54D-830C-E803262770BF}">
      <formula1>"Line,Clustered Bar,Stacked Bar"</formula1>
    </dataValidation>
    <dataValidation type="list" allowBlank="1" showInputMessage="1" showErrorMessage="1" sqref="B2" xr:uid="{33F5725C-7C21-014E-82B3-3DD95623D095}">
      <formula1>"Table,Figure,Both"</formula1>
    </dataValidation>
    <dataValidation type="list" allowBlank="1" showInputMessage="1" showErrorMessage="1" sqref="B6 B15" xr:uid="{42F6489D-A6E8-3F40-AD10-72AAEF37BE92}">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3DEA483-5F0E-B148-BE6C-C623E4E97A14}">
          <x14:formula1>
            <xm:f>Master!$E$2:$E$290</xm:f>
          </x14:formula1>
          <xm:sqref>B1:O1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7A698-FD3A-454F-8A8B-068C666B0962}">
  <dimension ref="A1:R57"/>
  <sheetViews>
    <sheetView workbookViewId="0">
      <selection activeCell="B4" sqref="B4"/>
    </sheetView>
  </sheetViews>
  <sheetFormatPr baseColWidth="10" defaultColWidth="8.83203125" defaultRowHeight="15" x14ac:dyDescent="0.2"/>
  <cols>
    <col min="1" max="1" width="20" bestFit="1" customWidth="1"/>
    <col min="2" max="2" width="16.83203125" customWidth="1"/>
    <col min="5" max="5" width="6.83203125" customWidth="1"/>
    <col min="6" max="6" width="11.1640625" bestFit="1" customWidth="1"/>
    <col min="7" max="7" width="12" bestFit="1" customWidth="1"/>
    <col min="8" max="8" width="13.5" customWidth="1"/>
    <col min="9" max="9" width="12" bestFit="1" customWidth="1"/>
    <col min="11" max="11" width="10.83203125" customWidth="1"/>
    <col min="12" max="12" width="6.83203125" customWidth="1"/>
    <col min="13" max="13" width="13.1640625" customWidth="1"/>
    <col min="14" max="14" width="12.33203125" bestFit="1" customWidth="1"/>
    <col min="15" max="15" width="20.33203125" customWidth="1"/>
    <col min="17" max="17" width="14" customWidth="1"/>
  </cols>
  <sheetData>
    <row r="1" spans="1:18" x14ac:dyDescent="0.2">
      <c r="A1" s="3" t="s">
        <v>710</v>
      </c>
      <c r="B1" s="51" t="s">
        <v>26</v>
      </c>
      <c r="C1" s="52"/>
      <c r="D1" s="52"/>
      <c r="E1" s="52"/>
      <c r="F1" s="52"/>
      <c r="G1" s="52"/>
      <c r="H1" s="52"/>
      <c r="I1" s="52"/>
      <c r="J1" s="52"/>
      <c r="K1" s="52"/>
      <c r="L1" s="52"/>
      <c r="M1" s="52"/>
      <c r="N1" s="52"/>
      <c r="O1" s="52"/>
    </row>
    <row r="2" spans="1:18" x14ac:dyDescent="0.2">
      <c r="A2" s="3" t="s">
        <v>711</v>
      </c>
      <c r="B2" t="s">
        <v>10</v>
      </c>
    </row>
    <row r="3" spans="1:18" ht="16" x14ac:dyDescent="0.2">
      <c r="A3" s="3" t="s">
        <v>713</v>
      </c>
      <c r="B3" s="16" t="str">
        <f>IF($B$1="","",_xlfn.XLOOKUP($B$1,Master!$E$2:$E$290,Master!$F$2:$F$290,""))</f>
        <v>tbl-language</v>
      </c>
    </row>
    <row r="4" spans="1:18" x14ac:dyDescent="0.2">
      <c r="E4" s="15"/>
      <c r="F4" s="15"/>
      <c r="G4" s="19" t="s">
        <v>1072</v>
      </c>
      <c r="H4" s="19" t="s">
        <v>1073</v>
      </c>
      <c r="I4" s="19" t="s">
        <v>1072</v>
      </c>
      <c r="J4" s="19" t="s">
        <v>1073</v>
      </c>
      <c r="K4" s="19" t="s">
        <v>1072</v>
      </c>
      <c r="L4" s="19" t="s">
        <v>1073</v>
      </c>
      <c r="M4" s="19" t="s">
        <v>1072</v>
      </c>
      <c r="N4" s="19" t="s">
        <v>1073</v>
      </c>
      <c r="O4" s="19" t="s">
        <v>1072</v>
      </c>
      <c r="P4" s="19" t="s">
        <v>1073</v>
      </c>
      <c r="Q4" s="19" t="s">
        <v>1072</v>
      </c>
      <c r="R4" s="19" t="s">
        <v>1073</v>
      </c>
    </row>
    <row r="5" spans="1:18" x14ac:dyDescent="0.2">
      <c r="A5" s="54" t="s">
        <v>714</v>
      </c>
      <c r="B5" s="52"/>
      <c r="E5" s="53" t="s">
        <v>715</v>
      </c>
      <c r="G5" s="64" t="s">
        <v>1101</v>
      </c>
      <c r="H5" s="64"/>
      <c r="I5" s="64" t="s">
        <v>1102</v>
      </c>
      <c r="J5" s="64"/>
      <c r="K5" s="64" t="s">
        <v>1103</v>
      </c>
      <c r="L5" s="64"/>
      <c r="M5" s="64" t="s">
        <v>1104</v>
      </c>
      <c r="N5" s="64"/>
      <c r="O5" s="64" t="s">
        <v>1105</v>
      </c>
      <c r="P5" s="64"/>
      <c r="Q5" s="64" t="s">
        <v>1106</v>
      </c>
      <c r="R5" s="64"/>
    </row>
    <row r="6" spans="1:18" ht="15" customHeight="1" x14ac:dyDescent="0.2">
      <c r="A6" t="s">
        <v>719</v>
      </c>
      <c r="B6" t="b">
        <v>1</v>
      </c>
      <c r="E6" s="52"/>
      <c r="F6" s="44"/>
      <c r="G6" s="47" t="s">
        <v>1066</v>
      </c>
      <c r="H6" s="47" t="s">
        <v>1077</v>
      </c>
      <c r="I6" s="47" t="s">
        <v>1066</v>
      </c>
      <c r="J6" s="47" t="s">
        <v>1077</v>
      </c>
      <c r="K6" s="47" t="s">
        <v>1066</v>
      </c>
      <c r="L6" s="47" t="s">
        <v>1077</v>
      </c>
      <c r="M6" s="47" t="s">
        <v>1066</v>
      </c>
      <c r="N6" s="47" t="s">
        <v>1077</v>
      </c>
      <c r="O6" s="47" t="s">
        <v>1066</v>
      </c>
      <c r="P6" s="47" t="s">
        <v>1077</v>
      </c>
      <c r="Q6" s="47" t="s">
        <v>1066</v>
      </c>
      <c r="R6" s="47" t="s">
        <v>1077</v>
      </c>
    </row>
    <row r="7" spans="1:18" ht="15.75" customHeight="1" x14ac:dyDescent="0.2">
      <c r="E7" s="52"/>
      <c r="F7" s="43" t="s">
        <v>149</v>
      </c>
      <c r="G7" s="48">
        <v>238585</v>
      </c>
      <c r="H7" s="49">
        <v>84.1</v>
      </c>
      <c r="I7" s="48">
        <v>44946</v>
      </c>
      <c r="J7" s="49">
        <v>15.9</v>
      </c>
      <c r="K7" s="48">
        <v>26003</v>
      </c>
      <c r="L7" s="49">
        <v>9.1999999999999993</v>
      </c>
      <c r="M7" s="48">
        <v>10769</v>
      </c>
      <c r="N7" s="49">
        <v>3.8</v>
      </c>
      <c r="O7" s="48">
        <v>5267</v>
      </c>
      <c r="P7" s="49">
        <v>1.9</v>
      </c>
      <c r="Q7" s="48">
        <v>2907</v>
      </c>
      <c r="R7" s="49">
        <v>1</v>
      </c>
    </row>
    <row r="8" spans="1:18" x14ac:dyDescent="0.2">
      <c r="E8" s="52"/>
      <c r="F8" s="43" t="s">
        <v>15</v>
      </c>
      <c r="G8" s="48">
        <v>266545</v>
      </c>
      <c r="H8" s="49">
        <v>70.8</v>
      </c>
      <c r="I8" s="48">
        <v>110152</v>
      </c>
      <c r="J8" s="49">
        <v>29.2</v>
      </c>
      <c r="K8" s="48">
        <v>55418</v>
      </c>
      <c r="L8" s="49">
        <v>15</v>
      </c>
      <c r="M8" s="48">
        <v>45346</v>
      </c>
      <c r="N8" s="49">
        <v>12</v>
      </c>
      <c r="O8" s="48">
        <v>6298</v>
      </c>
      <c r="P8" s="49">
        <v>1.7</v>
      </c>
      <c r="Q8" s="48">
        <v>3090</v>
      </c>
      <c r="R8" s="49">
        <v>0.8</v>
      </c>
    </row>
    <row r="9" spans="1:18" x14ac:dyDescent="0.2">
      <c r="A9" s="54" t="s">
        <v>724</v>
      </c>
      <c r="B9" s="52"/>
      <c r="E9" s="52"/>
      <c r="F9" s="43" t="s">
        <v>368</v>
      </c>
      <c r="G9" s="48">
        <v>73860</v>
      </c>
      <c r="H9" s="49">
        <v>79</v>
      </c>
      <c r="I9" s="48">
        <v>19607</v>
      </c>
      <c r="J9" s="49">
        <v>21</v>
      </c>
      <c r="K9" s="48">
        <v>11733</v>
      </c>
      <c r="L9" s="49">
        <v>13</v>
      </c>
      <c r="M9" s="48">
        <v>5687</v>
      </c>
      <c r="N9" s="49">
        <v>6.1</v>
      </c>
      <c r="O9" s="48">
        <v>1504</v>
      </c>
      <c r="P9" s="49">
        <v>1.6</v>
      </c>
      <c r="Q9" s="49">
        <v>683</v>
      </c>
      <c r="R9" s="49">
        <v>0.7</v>
      </c>
    </row>
    <row r="10" spans="1:18" x14ac:dyDescent="0.2">
      <c r="A10" t="s">
        <v>725</v>
      </c>
      <c r="E10" s="52"/>
      <c r="F10" s="43" t="s">
        <v>279</v>
      </c>
      <c r="G10" s="48">
        <v>174907</v>
      </c>
      <c r="H10" s="49">
        <v>56.4</v>
      </c>
      <c r="I10" s="48">
        <v>135072</v>
      </c>
      <c r="J10" s="49">
        <v>43.6</v>
      </c>
      <c r="K10" s="48">
        <v>46360</v>
      </c>
      <c r="L10" s="49">
        <v>15</v>
      </c>
      <c r="M10" s="48">
        <v>69600</v>
      </c>
      <c r="N10" s="49">
        <v>22.5</v>
      </c>
      <c r="O10" s="48">
        <v>12024</v>
      </c>
      <c r="P10" s="49">
        <v>3.9</v>
      </c>
      <c r="Q10" s="48">
        <v>7088</v>
      </c>
      <c r="R10" s="49">
        <v>2.2999999999999998</v>
      </c>
    </row>
    <row r="11" spans="1:18" x14ac:dyDescent="0.2">
      <c r="A11" t="s">
        <v>727</v>
      </c>
      <c r="E11" s="52"/>
      <c r="F11" s="43" t="s">
        <v>240</v>
      </c>
      <c r="G11" s="48">
        <v>59484</v>
      </c>
      <c r="H11" s="49">
        <v>79.900000000000006</v>
      </c>
      <c r="I11" s="48">
        <v>15007</v>
      </c>
      <c r="J11" s="49">
        <v>20.100000000000001</v>
      </c>
      <c r="K11" s="48">
        <v>8639</v>
      </c>
      <c r="L11" s="49">
        <v>12</v>
      </c>
      <c r="M11" s="48">
        <v>4877</v>
      </c>
      <c r="N11" s="49">
        <v>6.5</v>
      </c>
      <c r="O11" s="49">
        <v>819</v>
      </c>
      <c r="P11" s="49">
        <v>1.1000000000000001</v>
      </c>
      <c r="Q11" s="49">
        <v>672</v>
      </c>
      <c r="R11" s="49">
        <v>0.9</v>
      </c>
    </row>
    <row r="12" spans="1:18" x14ac:dyDescent="0.2">
      <c r="A12" t="s">
        <v>728</v>
      </c>
      <c r="E12" s="52"/>
      <c r="F12" s="43" t="s">
        <v>249</v>
      </c>
      <c r="G12" s="48">
        <v>152966</v>
      </c>
      <c r="H12" s="49">
        <v>87.8</v>
      </c>
      <c r="I12" s="48">
        <v>21217</v>
      </c>
      <c r="J12" s="49">
        <v>12.2</v>
      </c>
      <c r="K12" s="48">
        <v>11924</v>
      </c>
      <c r="L12" s="49">
        <v>6.8</v>
      </c>
      <c r="M12" s="48">
        <v>5602</v>
      </c>
      <c r="N12" s="49">
        <v>3.2</v>
      </c>
      <c r="O12" s="48">
        <v>2679</v>
      </c>
      <c r="P12" s="49">
        <v>1.5</v>
      </c>
      <c r="Q12" s="48">
        <v>1012</v>
      </c>
      <c r="R12" s="49">
        <v>0.6</v>
      </c>
    </row>
    <row r="13" spans="1:18" x14ac:dyDescent="0.2">
      <c r="A13" t="s">
        <v>729</v>
      </c>
      <c r="E13" s="52"/>
      <c r="F13" s="43" t="s">
        <v>301</v>
      </c>
      <c r="G13" s="48">
        <v>619503</v>
      </c>
      <c r="H13" s="49">
        <v>65.7</v>
      </c>
      <c r="I13" s="48">
        <v>324103</v>
      </c>
      <c r="J13" s="49">
        <v>34.299999999999997</v>
      </c>
      <c r="K13" s="48">
        <v>196271</v>
      </c>
      <c r="L13" s="49">
        <v>21</v>
      </c>
      <c r="M13" s="48">
        <v>78915</v>
      </c>
      <c r="N13" s="49">
        <v>8.4</v>
      </c>
      <c r="O13" s="48">
        <v>32889</v>
      </c>
      <c r="P13" s="49">
        <v>3.5</v>
      </c>
      <c r="Q13" s="48">
        <v>16028</v>
      </c>
      <c r="R13" s="49">
        <v>1.7</v>
      </c>
    </row>
    <row r="14" spans="1:18" x14ac:dyDescent="0.2">
      <c r="A14" t="s">
        <v>730</v>
      </c>
      <c r="E14" s="52"/>
      <c r="F14" s="43" t="s">
        <v>993</v>
      </c>
      <c r="G14" s="48">
        <v>1585850</v>
      </c>
      <c r="H14" s="49">
        <v>54.2</v>
      </c>
      <c r="I14" s="48">
        <v>670104</v>
      </c>
      <c r="J14" s="49">
        <v>22.9</v>
      </c>
      <c r="K14" s="48">
        <v>356348</v>
      </c>
      <c r="L14" s="49">
        <v>12.2</v>
      </c>
      <c r="M14" s="48">
        <v>220796</v>
      </c>
      <c r="N14" s="49">
        <v>7.5</v>
      </c>
      <c r="O14" s="48">
        <v>61480</v>
      </c>
      <c r="P14" s="49">
        <v>2.1</v>
      </c>
      <c r="Q14" s="48">
        <v>31480</v>
      </c>
      <c r="R14" s="49">
        <v>1.1000000000000001</v>
      </c>
    </row>
    <row r="15" spans="1:18" x14ac:dyDescent="0.2">
      <c r="A15" t="s">
        <v>732</v>
      </c>
      <c r="E15" s="52"/>
      <c r="F15" s="43" t="s">
        <v>1078</v>
      </c>
      <c r="G15" s="48">
        <v>8808643</v>
      </c>
      <c r="H15" s="49">
        <v>69.400000000000006</v>
      </c>
      <c r="I15" s="48">
        <v>1942746</v>
      </c>
      <c r="J15" s="49">
        <v>15.3</v>
      </c>
      <c r="K15" s="48">
        <v>940527</v>
      </c>
      <c r="L15" s="49">
        <v>12.2</v>
      </c>
      <c r="M15" s="48">
        <v>632717</v>
      </c>
      <c r="N15" s="49">
        <v>5</v>
      </c>
      <c r="O15" s="48">
        <v>258104</v>
      </c>
      <c r="P15" s="49">
        <v>2</v>
      </c>
      <c r="Q15" s="48">
        <v>111398</v>
      </c>
      <c r="R15" s="49">
        <v>0.9</v>
      </c>
    </row>
    <row r="16" spans="1:18" x14ac:dyDescent="0.2">
      <c r="E16" s="52"/>
      <c r="F16" s="43" t="s">
        <v>717</v>
      </c>
      <c r="G16" s="48">
        <v>13017480</v>
      </c>
      <c r="H16" s="49">
        <v>69.400000000000006</v>
      </c>
      <c r="I16" s="48">
        <v>5751878</v>
      </c>
      <c r="J16" s="49">
        <v>30.6</v>
      </c>
      <c r="K16" s="48">
        <v>2762664</v>
      </c>
      <c r="L16" s="49">
        <v>15</v>
      </c>
      <c r="M16" s="48">
        <v>1679571</v>
      </c>
      <c r="N16" s="49">
        <v>8.9</v>
      </c>
      <c r="O16" s="48">
        <v>958133</v>
      </c>
      <c r="P16" s="49">
        <v>5.0999999999999996</v>
      </c>
      <c r="Q16" s="48">
        <v>351510</v>
      </c>
      <c r="R16" s="49">
        <v>1.9</v>
      </c>
    </row>
    <row r="17" spans="1:6" x14ac:dyDescent="0.2">
      <c r="E17" s="52"/>
    </row>
    <row r="18" spans="1:6" ht="21" x14ac:dyDescent="0.25">
      <c r="A18" s="54" t="s">
        <v>735</v>
      </c>
      <c r="B18" s="52"/>
      <c r="E18" s="52"/>
      <c r="F18" s="46"/>
    </row>
    <row r="19" spans="1:6" x14ac:dyDescent="0.2">
      <c r="A19" t="s">
        <v>736</v>
      </c>
      <c r="E19" s="52"/>
    </row>
    <row r="20" spans="1:6" x14ac:dyDescent="0.2">
      <c r="A20" t="s">
        <v>738</v>
      </c>
      <c r="E20" s="52"/>
    </row>
    <row r="21" spans="1:6" x14ac:dyDescent="0.2">
      <c r="A21" t="s">
        <v>740</v>
      </c>
      <c r="E21" s="52"/>
    </row>
    <row r="22" spans="1:6" x14ac:dyDescent="0.2">
      <c r="A22" t="s">
        <v>741</v>
      </c>
      <c r="E22" s="52"/>
    </row>
    <row r="23" spans="1:6" x14ac:dyDescent="0.2">
      <c r="A23" t="s">
        <v>743</v>
      </c>
      <c r="E23" s="52"/>
    </row>
    <row r="24" spans="1:6" x14ac:dyDescent="0.2">
      <c r="A24" t="s">
        <v>745</v>
      </c>
      <c r="E24" s="52"/>
    </row>
    <row r="25" spans="1:6" x14ac:dyDescent="0.2">
      <c r="A25" t="s">
        <v>746</v>
      </c>
      <c r="E25" s="52"/>
    </row>
    <row r="26" spans="1:6" x14ac:dyDescent="0.2">
      <c r="E26" s="52"/>
    </row>
    <row r="27" spans="1:6" x14ac:dyDescent="0.2">
      <c r="A27" s="55" t="s">
        <v>747</v>
      </c>
      <c r="B27" s="52"/>
      <c r="E27" s="52"/>
    </row>
    <row r="28" spans="1:6" x14ac:dyDescent="0.2">
      <c r="E28" s="52"/>
    </row>
    <row r="29" spans="1:6" x14ac:dyDescent="0.2">
      <c r="E29" s="52"/>
    </row>
    <row r="30" spans="1:6" x14ac:dyDescent="0.2">
      <c r="E30" s="52"/>
    </row>
    <row r="31" spans="1:6" x14ac:dyDescent="0.2">
      <c r="E31" s="52"/>
    </row>
    <row r="32" spans="1:6"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12">
    <mergeCell ref="O5:P5"/>
    <mergeCell ref="Q5:R5"/>
    <mergeCell ref="B1:O1"/>
    <mergeCell ref="A5:B5"/>
    <mergeCell ref="E5:E57"/>
    <mergeCell ref="A9:B9"/>
    <mergeCell ref="A18:B18"/>
    <mergeCell ref="A27:B27"/>
    <mergeCell ref="G5:H5"/>
    <mergeCell ref="I5:J5"/>
    <mergeCell ref="K5:L5"/>
    <mergeCell ref="M5:N5"/>
  </mergeCells>
  <dataValidations count="4">
    <dataValidation type="list" allowBlank="1" showInputMessage="1" showErrorMessage="1" sqref="B6 B15" xr:uid="{B5C5F871-DA5A-9F43-9C0A-04B0479F0292}">
      <formula1>"True,False"</formula1>
    </dataValidation>
    <dataValidation type="list" allowBlank="1" showInputMessage="1" showErrorMessage="1" sqref="B2" xr:uid="{A895BE0A-3E6B-D545-B563-F371C103D906}">
      <formula1>"Table,Figure,Both"</formula1>
    </dataValidation>
    <dataValidation type="list" allowBlank="1" showInputMessage="1" showErrorMessage="1" sqref="B10" xr:uid="{109B620B-6DA2-2541-ABED-3AA9FBFDFC03}">
      <formula1>"Line,Clustered Bar,Stacked Bar"</formula1>
    </dataValidation>
    <dataValidation type="list" allowBlank="1" showInputMessage="1" showErrorMessage="1" sqref="G4:R4" xr:uid="{2280486F-52E7-6749-8D2B-D6CA6A7DB5B3}">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48BD237-2D60-6445-8590-522FE6B68971}">
          <x14:formula1>
            <xm:f>Master!$E$2:$E$290</xm:f>
          </x14:formula1>
          <xm:sqref>B1:O1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371D-5FE8-AA49-8E19-672324146399}">
  <dimension ref="A1:O57"/>
  <sheetViews>
    <sheetView workbookViewId="0">
      <selection activeCell="B4" sqref="B4"/>
    </sheetView>
  </sheetViews>
  <sheetFormatPr baseColWidth="10" defaultColWidth="8.83203125" defaultRowHeight="15" x14ac:dyDescent="0.2"/>
  <cols>
    <col min="1" max="1" width="20" bestFit="1" customWidth="1"/>
    <col min="2" max="2" width="16.83203125" customWidth="1"/>
    <col min="5" max="5" width="6.83203125" customWidth="1"/>
    <col min="6" max="6" width="11.1640625" bestFit="1" customWidth="1"/>
    <col min="7" max="7" width="9.5" customWidth="1"/>
    <col min="8" max="8" width="13.5" customWidth="1"/>
    <col min="9" max="9" width="11" customWidth="1"/>
    <col min="11" max="11" width="10.83203125" customWidth="1"/>
    <col min="12" max="12" width="12.33203125" bestFit="1" customWidth="1"/>
    <col min="14" max="14" width="12.33203125" bestFit="1" customWidth="1"/>
    <col min="15" max="15" width="11" bestFit="1" customWidth="1"/>
  </cols>
  <sheetData>
    <row r="1" spans="1:15" x14ac:dyDescent="0.2">
      <c r="A1" s="3" t="s">
        <v>710</v>
      </c>
      <c r="B1" s="51" t="s">
        <v>29</v>
      </c>
      <c r="C1" s="52"/>
      <c r="D1" s="52"/>
      <c r="E1" s="52"/>
      <c r="F1" s="52"/>
      <c r="G1" s="52"/>
      <c r="H1" s="52"/>
      <c r="I1" s="52"/>
      <c r="J1" s="52"/>
      <c r="K1" s="52"/>
      <c r="L1" s="52"/>
      <c r="M1" s="52"/>
      <c r="N1" s="52"/>
      <c r="O1" s="52"/>
    </row>
    <row r="2" spans="1:15" x14ac:dyDescent="0.2">
      <c r="A2" s="3" t="s">
        <v>711</v>
      </c>
      <c r="B2" t="s">
        <v>10</v>
      </c>
    </row>
    <row r="3" spans="1:15" x14ac:dyDescent="0.2">
      <c r="A3" s="3" t="s">
        <v>713</v>
      </c>
      <c r="B3" t="str">
        <f>IF($B$1="","",_xlfn.XLOOKUP($B$1,Master!$E$2:$E$290,Master!$F$2:$F$290,""))</f>
        <v>tbl-pop-25</v>
      </c>
    </row>
    <row r="4" spans="1:15" x14ac:dyDescent="0.2">
      <c r="E4" s="15"/>
      <c r="F4" s="15"/>
      <c r="G4" s="19" t="s">
        <v>1072</v>
      </c>
      <c r="H4" s="19"/>
      <c r="I4" s="19"/>
      <c r="J4" s="19"/>
      <c r="K4" s="19"/>
      <c r="L4" s="19"/>
      <c r="M4" s="19"/>
      <c r="N4" s="19"/>
      <c r="O4" s="19"/>
    </row>
    <row r="5" spans="1:15" x14ac:dyDescent="0.2">
      <c r="A5" s="54" t="s">
        <v>714</v>
      </c>
      <c r="B5" s="52"/>
      <c r="E5" s="53" t="s">
        <v>715</v>
      </c>
      <c r="G5" s="43" t="s">
        <v>1066</v>
      </c>
    </row>
    <row r="6" spans="1:15" ht="15" customHeight="1" x14ac:dyDescent="0.2">
      <c r="A6" t="s">
        <v>719</v>
      </c>
      <c r="B6" t="b">
        <v>0</v>
      </c>
      <c r="E6" s="52"/>
      <c r="F6" s="43" t="s">
        <v>149</v>
      </c>
      <c r="G6" s="45">
        <v>211380</v>
      </c>
    </row>
    <row r="7" spans="1:15" ht="15.75" customHeight="1" x14ac:dyDescent="0.2">
      <c r="E7" s="52"/>
      <c r="F7" s="43" t="s">
        <v>15</v>
      </c>
      <c r="G7" s="45">
        <v>258632</v>
      </c>
    </row>
    <row r="8" spans="1:15" x14ac:dyDescent="0.2">
      <c r="E8" s="52"/>
      <c r="F8" s="43" t="s">
        <v>368</v>
      </c>
      <c r="G8" s="45">
        <v>71149</v>
      </c>
    </row>
    <row r="9" spans="1:15" x14ac:dyDescent="0.2">
      <c r="A9" s="54" t="s">
        <v>724</v>
      </c>
      <c r="B9" s="52"/>
      <c r="E9" s="52"/>
      <c r="F9" s="43" t="s">
        <v>279</v>
      </c>
      <c r="G9" s="45">
        <v>208594</v>
      </c>
    </row>
    <row r="10" spans="1:15" x14ac:dyDescent="0.2">
      <c r="A10" t="s">
        <v>725</v>
      </c>
      <c r="E10" s="52"/>
      <c r="F10" s="43" t="s">
        <v>240</v>
      </c>
      <c r="G10" s="45">
        <v>55761</v>
      </c>
    </row>
    <row r="11" spans="1:15" x14ac:dyDescent="0.2">
      <c r="A11" t="s">
        <v>727</v>
      </c>
      <c r="E11" s="52"/>
      <c r="F11" s="43" t="s">
        <v>249</v>
      </c>
      <c r="G11" s="45">
        <v>134325</v>
      </c>
    </row>
    <row r="12" spans="1:15" x14ac:dyDescent="0.2">
      <c r="A12" t="s">
        <v>728</v>
      </c>
      <c r="E12" s="52"/>
      <c r="F12" s="43" t="s">
        <v>301</v>
      </c>
      <c r="G12" s="45">
        <v>697202</v>
      </c>
    </row>
    <row r="13" spans="1:15" x14ac:dyDescent="0.2">
      <c r="A13" t="s">
        <v>729</v>
      </c>
      <c r="E13" s="52"/>
      <c r="F13" s="43" t="s">
        <v>993</v>
      </c>
      <c r="G13" s="45">
        <v>1637043</v>
      </c>
    </row>
    <row r="14" spans="1:15" x14ac:dyDescent="0.2">
      <c r="A14" t="s">
        <v>730</v>
      </c>
      <c r="E14" s="52"/>
      <c r="F14" s="43" t="s">
        <v>1078</v>
      </c>
      <c r="G14" s="45">
        <v>7905485</v>
      </c>
    </row>
    <row r="15" spans="1:15" x14ac:dyDescent="0.2">
      <c r="A15" t="s">
        <v>732</v>
      </c>
      <c r="E15" s="52"/>
      <c r="F15" s="43" t="s">
        <v>717</v>
      </c>
      <c r="G15" s="45">
        <v>13996138</v>
      </c>
    </row>
    <row r="16" spans="1:15" x14ac:dyDescent="0.2">
      <c r="E16" s="52"/>
    </row>
    <row r="17" spans="1:6" ht="21" x14ac:dyDescent="0.25">
      <c r="E17" s="52"/>
      <c r="F17" s="46"/>
    </row>
    <row r="18" spans="1:6" x14ac:dyDescent="0.2">
      <c r="A18" s="54" t="s">
        <v>735</v>
      </c>
      <c r="B18" s="52"/>
      <c r="E18" s="52"/>
    </row>
    <row r="19" spans="1:6" x14ac:dyDescent="0.2">
      <c r="A19" t="s">
        <v>736</v>
      </c>
      <c r="E19" s="52"/>
    </row>
    <row r="20" spans="1:6" x14ac:dyDescent="0.2">
      <c r="A20" t="s">
        <v>738</v>
      </c>
      <c r="E20" s="52"/>
    </row>
    <row r="21" spans="1:6" x14ac:dyDescent="0.2">
      <c r="A21" t="s">
        <v>740</v>
      </c>
      <c r="E21" s="52"/>
    </row>
    <row r="22" spans="1:6" x14ac:dyDescent="0.2">
      <c r="A22" t="s">
        <v>741</v>
      </c>
      <c r="E22" s="52"/>
    </row>
    <row r="23" spans="1:6" x14ac:dyDescent="0.2">
      <c r="A23" t="s">
        <v>743</v>
      </c>
      <c r="E23" s="52"/>
    </row>
    <row r="24" spans="1:6" x14ac:dyDescent="0.2">
      <c r="A24" t="s">
        <v>745</v>
      </c>
      <c r="E24" s="52"/>
    </row>
    <row r="25" spans="1:6" x14ac:dyDescent="0.2">
      <c r="A25" t="s">
        <v>746</v>
      </c>
      <c r="E25" s="52"/>
    </row>
    <row r="26" spans="1:6" x14ac:dyDescent="0.2">
      <c r="E26" s="52"/>
    </row>
    <row r="27" spans="1:6" x14ac:dyDescent="0.2">
      <c r="A27" s="55" t="s">
        <v>747</v>
      </c>
      <c r="B27" s="52"/>
      <c r="E27" s="52"/>
    </row>
    <row r="28" spans="1:6" x14ac:dyDescent="0.2">
      <c r="E28" s="52"/>
    </row>
    <row r="29" spans="1:6" x14ac:dyDescent="0.2">
      <c r="E29" s="52"/>
    </row>
    <row r="30" spans="1:6" x14ac:dyDescent="0.2">
      <c r="E30" s="52"/>
    </row>
    <row r="31" spans="1:6" x14ac:dyDescent="0.2">
      <c r="E31" s="52"/>
    </row>
    <row r="32" spans="1:6"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6">
    <mergeCell ref="B1:O1"/>
    <mergeCell ref="A5:B5"/>
    <mergeCell ref="E5:E57"/>
    <mergeCell ref="A9:B9"/>
    <mergeCell ref="A18:B18"/>
    <mergeCell ref="A27:B27"/>
  </mergeCells>
  <dataValidations count="4">
    <dataValidation type="list" allowBlank="1" showInputMessage="1" showErrorMessage="1" sqref="B6 B15" xr:uid="{FFE02896-B328-2043-B25C-3776310B771D}">
      <formula1>"True,False"</formula1>
    </dataValidation>
    <dataValidation type="list" allowBlank="1" showInputMessage="1" showErrorMessage="1" sqref="B2" xr:uid="{AFE82897-F9C2-5C43-8DEA-9E24988D7218}">
      <formula1>"Table,Figure,Both"</formula1>
    </dataValidation>
    <dataValidation type="list" allowBlank="1" showInputMessage="1" showErrorMessage="1" sqref="B10" xr:uid="{47CB4697-ADF1-3747-94AF-D6CB99136F95}">
      <formula1>"Line,Clustered Bar,Stacked Bar"</formula1>
    </dataValidation>
    <dataValidation type="list" allowBlank="1" showInputMessage="1" showErrorMessage="1" sqref="G4:O4" xr:uid="{19AF4275-6645-A94B-ADCD-390FC21AE257}">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58DF00A3-A65A-BE4A-A1D9-C3530940559B}">
          <x14:formula1>
            <xm:f>Master!$E$2:$E$290</xm:f>
          </x14:formula1>
          <xm:sqref>B1:O1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3D518-DF56-E641-99B2-BF74A3D7CB95}">
  <dimension ref="A1:T57"/>
  <sheetViews>
    <sheetView zoomScale="110" workbookViewId="0">
      <selection activeCell="B4" sqref="B4"/>
    </sheetView>
  </sheetViews>
  <sheetFormatPr baseColWidth="10" defaultColWidth="8.83203125" defaultRowHeight="15" x14ac:dyDescent="0.2"/>
  <cols>
    <col min="1" max="1" width="20" bestFit="1" customWidth="1"/>
    <col min="2" max="2" width="16.83203125" customWidth="1"/>
    <col min="5" max="5" width="6.83203125" customWidth="1"/>
    <col min="6" max="6" width="14.6640625" customWidth="1"/>
    <col min="7" max="7" width="9.5" customWidth="1"/>
    <col min="8" max="8" width="13.5" customWidth="1"/>
    <col min="9" max="9" width="15.6640625" customWidth="1"/>
    <col min="11" max="11" width="10.83203125" customWidth="1"/>
    <col min="12" max="12" width="12.33203125" bestFit="1" customWidth="1"/>
    <col min="14" max="14" width="12.33203125" bestFit="1" customWidth="1"/>
    <col min="15" max="15" width="11" bestFit="1" customWidth="1"/>
    <col min="18" max="18" width="11.5" customWidth="1"/>
    <col min="19" max="19" width="14" customWidth="1"/>
    <col min="20" max="20" width="13.83203125" customWidth="1"/>
  </cols>
  <sheetData>
    <row r="1" spans="1:20" x14ac:dyDescent="0.2">
      <c r="A1" s="3" t="s">
        <v>710</v>
      </c>
      <c r="B1" s="51" t="s">
        <v>32</v>
      </c>
      <c r="C1" s="52"/>
      <c r="D1" s="52"/>
      <c r="E1" s="52"/>
      <c r="F1" s="52"/>
      <c r="G1" s="52"/>
      <c r="H1" s="52"/>
      <c r="I1" s="52"/>
      <c r="J1" s="52"/>
      <c r="K1" s="52"/>
      <c r="L1" s="52"/>
      <c r="M1" s="52"/>
      <c r="N1" s="52"/>
      <c r="O1" s="52"/>
    </row>
    <row r="2" spans="1:20" x14ac:dyDescent="0.2">
      <c r="A2" s="3" t="s">
        <v>711</v>
      </c>
      <c r="B2" t="s">
        <v>10</v>
      </c>
    </row>
    <row r="3" spans="1:20" ht="16" x14ac:dyDescent="0.2">
      <c r="A3" s="3" t="s">
        <v>713</v>
      </c>
      <c r="B3" s="16" t="str">
        <f>IF($B$1="","",_xlfn.XLOOKUP($B$1,Master!$E$2:$E$290,Master!$F$2:$F$290,""))</f>
        <v>tbl-education</v>
      </c>
    </row>
    <row r="4" spans="1:20" x14ac:dyDescent="0.2">
      <c r="E4" s="15"/>
      <c r="F4" s="15"/>
      <c r="G4" s="19" t="s">
        <v>1072</v>
      </c>
      <c r="H4" s="19" t="s">
        <v>1073</v>
      </c>
      <c r="I4" s="19" t="s">
        <v>1072</v>
      </c>
      <c r="J4" s="19" t="s">
        <v>1073</v>
      </c>
      <c r="K4" s="19" t="s">
        <v>1072</v>
      </c>
      <c r="L4" s="19" t="s">
        <v>1073</v>
      </c>
      <c r="M4" s="19" t="s">
        <v>1072</v>
      </c>
      <c r="N4" s="19" t="s">
        <v>1073</v>
      </c>
      <c r="O4" s="19" t="s">
        <v>1072</v>
      </c>
      <c r="P4" s="19" t="s">
        <v>1073</v>
      </c>
      <c r="Q4" s="19" t="s">
        <v>1072</v>
      </c>
      <c r="R4" s="19" t="s">
        <v>1073</v>
      </c>
      <c r="S4" s="19" t="s">
        <v>1072</v>
      </c>
      <c r="T4" s="19" t="s">
        <v>1073</v>
      </c>
    </row>
    <row r="5" spans="1:20" x14ac:dyDescent="0.2">
      <c r="A5" s="54" t="s">
        <v>714</v>
      </c>
      <c r="B5" s="52"/>
      <c r="E5" s="53" t="s">
        <v>715</v>
      </c>
      <c r="G5" s="63" t="s">
        <v>1109</v>
      </c>
      <c r="H5" s="63"/>
      <c r="I5" s="63" t="s">
        <v>1110</v>
      </c>
      <c r="J5" s="63"/>
      <c r="K5" s="63" t="s">
        <v>1111</v>
      </c>
      <c r="L5" s="63"/>
      <c r="M5" s="63" t="s">
        <v>928</v>
      </c>
      <c r="N5" s="63"/>
      <c r="O5" s="63" t="s">
        <v>1112</v>
      </c>
      <c r="P5" s="63"/>
      <c r="Q5" s="63" t="s">
        <v>930</v>
      </c>
      <c r="R5" s="63"/>
      <c r="S5" s="63" t="s">
        <v>931</v>
      </c>
      <c r="T5" s="63"/>
    </row>
    <row r="6" spans="1:20" ht="15" customHeight="1" x14ac:dyDescent="0.2">
      <c r="A6" t="s">
        <v>719</v>
      </c>
      <c r="B6" t="b">
        <v>1</v>
      </c>
      <c r="E6" s="52"/>
      <c r="F6" s="22"/>
      <c r="G6" s="40" t="s">
        <v>1113</v>
      </c>
      <c r="H6" s="40" t="s">
        <v>1077</v>
      </c>
      <c r="I6" s="40" t="s">
        <v>1113</v>
      </c>
      <c r="J6" s="40" t="s">
        <v>1077</v>
      </c>
      <c r="K6" s="40" t="s">
        <v>1113</v>
      </c>
      <c r="L6" s="40" t="s">
        <v>1077</v>
      </c>
      <c r="M6" s="40" t="s">
        <v>1113</v>
      </c>
      <c r="N6" s="40" t="s">
        <v>1077</v>
      </c>
      <c r="O6" s="40" t="s">
        <v>1113</v>
      </c>
      <c r="P6" s="40" t="s">
        <v>1077</v>
      </c>
      <c r="Q6" s="40" t="s">
        <v>1113</v>
      </c>
      <c r="R6" s="40" t="s">
        <v>1077</v>
      </c>
      <c r="S6" s="40" t="s">
        <v>1113</v>
      </c>
      <c r="T6" s="40" t="s">
        <v>1077</v>
      </c>
    </row>
    <row r="7" spans="1:20" ht="15.75" customHeight="1" x14ac:dyDescent="0.2">
      <c r="E7" s="52"/>
      <c r="F7" s="21" t="s">
        <v>149</v>
      </c>
      <c r="G7" s="41">
        <v>6262</v>
      </c>
      <c r="H7" s="42">
        <v>3</v>
      </c>
      <c r="I7" s="41">
        <v>11055</v>
      </c>
      <c r="J7" s="42">
        <v>5.2</v>
      </c>
      <c r="K7" s="41">
        <v>52992</v>
      </c>
      <c r="L7" s="42">
        <v>25.1</v>
      </c>
      <c r="M7" s="41">
        <v>35689</v>
      </c>
      <c r="N7" s="42">
        <v>16.899999999999999</v>
      </c>
      <c r="O7" s="41">
        <v>21410</v>
      </c>
      <c r="P7" s="42">
        <v>10.1</v>
      </c>
      <c r="Q7" s="41">
        <v>44414</v>
      </c>
      <c r="R7" s="42">
        <v>21</v>
      </c>
      <c r="S7" s="41">
        <v>39558</v>
      </c>
      <c r="T7" s="42">
        <v>18.7</v>
      </c>
    </row>
    <row r="8" spans="1:20" x14ac:dyDescent="0.2">
      <c r="E8" s="52"/>
      <c r="F8" s="21" t="s">
        <v>15</v>
      </c>
      <c r="G8" s="41">
        <v>10091</v>
      </c>
      <c r="H8" s="42">
        <v>3.9</v>
      </c>
      <c r="I8" s="41">
        <v>16609</v>
      </c>
      <c r="J8" s="42">
        <v>6.4</v>
      </c>
      <c r="K8" s="41">
        <v>72466</v>
      </c>
      <c r="L8" s="42">
        <v>28</v>
      </c>
      <c r="M8" s="41">
        <v>49355</v>
      </c>
      <c r="N8" s="42">
        <v>19.100000000000001</v>
      </c>
      <c r="O8" s="41">
        <v>26722</v>
      </c>
      <c r="P8" s="42">
        <v>10.3</v>
      </c>
      <c r="Q8" s="41">
        <v>46977</v>
      </c>
      <c r="R8" s="42">
        <v>18.2</v>
      </c>
      <c r="S8" s="41">
        <v>36412</v>
      </c>
      <c r="T8" s="42">
        <v>14.1</v>
      </c>
    </row>
    <row r="9" spans="1:20" x14ac:dyDescent="0.2">
      <c r="A9" s="54" t="s">
        <v>724</v>
      </c>
      <c r="B9" s="52"/>
      <c r="E9" s="52"/>
      <c r="F9" s="21" t="s">
        <v>368</v>
      </c>
      <c r="G9" s="41">
        <v>2255</v>
      </c>
      <c r="H9" s="42">
        <v>3.2</v>
      </c>
      <c r="I9" s="41">
        <v>2536</v>
      </c>
      <c r="J9" s="42">
        <v>3.6</v>
      </c>
      <c r="K9" s="41">
        <v>17647</v>
      </c>
      <c r="L9" s="42">
        <v>24.8</v>
      </c>
      <c r="M9" s="41">
        <v>11728</v>
      </c>
      <c r="N9" s="42">
        <v>16.5</v>
      </c>
      <c r="O9" s="41">
        <v>6002</v>
      </c>
      <c r="P9" s="42">
        <v>8.4</v>
      </c>
      <c r="Q9" s="41">
        <v>17222</v>
      </c>
      <c r="R9" s="42">
        <v>24.2</v>
      </c>
      <c r="S9" s="41">
        <v>13759</v>
      </c>
      <c r="T9" s="42">
        <v>19.3</v>
      </c>
    </row>
    <row r="10" spans="1:20" x14ac:dyDescent="0.2">
      <c r="A10" t="s">
        <v>725</v>
      </c>
      <c r="E10" s="52"/>
      <c r="F10" s="21" t="s">
        <v>279</v>
      </c>
      <c r="G10" s="41">
        <v>11800</v>
      </c>
      <c r="H10" s="42">
        <v>5.7</v>
      </c>
      <c r="I10" s="41">
        <v>13858</v>
      </c>
      <c r="J10" s="42">
        <v>6.6</v>
      </c>
      <c r="K10" s="41">
        <v>45118</v>
      </c>
      <c r="L10" s="42">
        <v>21.6</v>
      </c>
      <c r="M10" s="41">
        <v>33790</v>
      </c>
      <c r="N10" s="42">
        <v>16.2</v>
      </c>
      <c r="O10" s="41">
        <v>16169</v>
      </c>
      <c r="P10" s="42">
        <v>7.8</v>
      </c>
      <c r="Q10" s="41">
        <v>48405</v>
      </c>
      <c r="R10" s="42">
        <v>23.2</v>
      </c>
      <c r="S10" s="41">
        <v>39454</v>
      </c>
      <c r="T10" s="42">
        <v>18.899999999999999</v>
      </c>
    </row>
    <row r="11" spans="1:20" x14ac:dyDescent="0.2">
      <c r="A11" t="s">
        <v>727</v>
      </c>
      <c r="E11" s="52"/>
      <c r="F11" s="21" t="s">
        <v>240</v>
      </c>
      <c r="G11" s="41">
        <v>2755</v>
      </c>
      <c r="H11" s="42">
        <v>4.9000000000000004</v>
      </c>
      <c r="I11" s="41">
        <v>4129</v>
      </c>
      <c r="J11" s="42">
        <v>7.4</v>
      </c>
      <c r="K11" s="41">
        <v>16623</v>
      </c>
      <c r="L11" s="42">
        <v>29.8</v>
      </c>
      <c r="M11" s="41">
        <v>9973</v>
      </c>
      <c r="N11" s="42">
        <v>17.899999999999999</v>
      </c>
      <c r="O11" s="41">
        <v>5728</v>
      </c>
      <c r="P11" s="42">
        <v>10.3</v>
      </c>
      <c r="Q11" s="41">
        <v>9476</v>
      </c>
      <c r="R11" s="42">
        <v>17</v>
      </c>
      <c r="S11" s="41">
        <v>7077</v>
      </c>
      <c r="T11" s="42">
        <v>12.7</v>
      </c>
    </row>
    <row r="12" spans="1:20" x14ac:dyDescent="0.2">
      <c r="A12" t="s">
        <v>728</v>
      </c>
      <c r="E12" s="52"/>
      <c r="F12" s="21" t="s">
        <v>249</v>
      </c>
      <c r="G12" s="41">
        <v>3463</v>
      </c>
      <c r="H12" s="42">
        <v>2.6</v>
      </c>
      <c r="I12" s="41">
        <v>7622</v>
      </c>
      <c r="J12" s="42">
        <v>5.7</v>
      </c>
      <c r="K12" s="41">
        <v>37570</v>
      </c>
      <c r="L12" s="42">
        <v>28</v>
      </c>
      <c r="M12" s="41">
        <v>22968</v>
      </c>
      <c r="N12" s="42">
        <v>17.100000000000001</v>
      </c>
      <c r="O12" s="41">
        <v>12934</v>
      </c>
      <c r="P12" s="42">
        <v>9.6</v>
      </c>
      <c r="Q12" s="41">
        <v>27094</v>
      </c>
      <c r="R12" s="42">
        <v>20.2</v>
      </c>
      <c r="S12" s="41">
        <v>22674</v>
      </c>
      <c r="T12" s="42">
        <v>16.899999999999999</v>
      </c>
    </row>
    <row r="13" spans="1:20" x14ac:dyDescent="0.2">
      <c r="A13" t="s">
        <v>729</v>
      </c>
      <c r="E13" s="52"/>
      <c r="F13" s="21" t="s">
        <v>301</v>
      </c>
      <c r="G13" s="41">
        <v>37761</v>
      </c>
      <c r="H13" s="42">
        <v>5.4</v>
      </c>
      <c r="I13" s="41">
        <v>36459</v>
      </c>
      <c r="J13" s="42">
        <v>5.2</v>
      </c>
      <c r="K13" s="41">
        <v>124954</v>
      </c>
      <c r="L13" s="42">
        <v>17.899999999999999</v>
      </c>
      <c r="M13" s="41">
        <v>87534</v>
      </c>
      <c r="N13" s="42">
        <v>12.6</v>
      </c>
      <c r="O13" s="41">
        <v>44393</v>
      </c>
      <c r="P13" s="42">
        <v>6.4</v>
      </c>
      <c r="Q13" s="41">
        <v>181482</v>
      </c>
      <c r="R13" s="42">
        <v>26</v>
      </c>
      <c r="S13" s="41">
        <v>184619</v>
      </c>
      <c r="T13" s="42">
        <v>26.5</v>
      </c>
    </row>
    <row r="14" spans="1:20" x14ac:dyDescent="0.2">
      <c r="A14" t="s">
        <v>730</v>
      </c>
      <c r="E14" s="52"/>
      <c r="F14" s="21" t="s">
        <v>993</v>
      </c>
      <c r="G14" s="41">
        <v>74387</v>
      </c>
      <c r="H14" s="42">
        <v>4.5</v>
      </c>
      <c r="I14" s="41">
        <v>92268</v>
      </c>
      <c r="J14" s="42">
        <v>5.6</v>
      </c>
      <c r="K14" s="41">
        <v>367370</v>
      </c>
      <c r="L14" s="42">
        <v>22.4</v>
      </c>
      <c r="M14" s="41">
        <v>251037</v>
      </c>
      <c r="N14" s="42">
        <v>15.3</v>
      </c>
      <c r="O14" s="41">
        <v>133358</v>
      </c>
      <c r="P14" s="42">
        <v>8.1</v>
      </c>
      <c r="Q14" s="41">
        <v>375070</v>
      </c>
      <c r="R14" s="42">
        <v>22.9</v>
      </c>
      <c r="S14" s="41">
        <v>343553</v>
      </c>
      <c r="T14" s="42">
        <v>21</v>
      </c>
    </row>
    <row r="15" spans="1:20" x14ac:dyDescent="0.2">
      <c r="A15" t="s">
        <v>732</v>
      </c>
      <c r="E15" s="52"/>
      <c r="F15" s="21" t="s">
        <v>1078</v>
      </c>
      <c r="G15" s="41">
        <v>300738</v>
      </c>
      <c r="H15" s="42">
        <v>3.8</v>
      </c>
      <c r="I15" s="41">
        <v>403754</v>
      </c>
      <c r="J15" s="42">
        <v>5.0999999999999996</v>
      </c>
      <c r="K15" s="41">
        <v>2039454</v>
      </c>
      <c r="L15" s="42">
        <v>25.8</v>
      </c>
      <c r="M15" s="41">
        <v>1277348</v>
      </c>
      <c r="N15" s="42">
        <v>16.2</v>
      </c>
      <c r="O15" s="41">
        <v>847708</v>
      </c>
      <c r="P15" s="42">
        <v>10.7</v>
      </c>
      <c r="Q15" s="41">
        <v>1643943</v>
      </c>
      <c r="R15" s="42">
        <v>20.8</v>
      </c>
      <c r="S15" s="41">
        <v>1392540</v>
      </c>
      <c r="T15" s="42">
        <v>17.600000000000001</v>
      </c>
    </row>
    <row r="16" spans="1:20" x14ac:dyDescent="0.2">
      <c r="E16" s="52"/>
      <c r="F16" s="21" t="s">
        <v>717</v>
      </c>
      <c r="G16" s="41">
        <v>836124</v>
      </c>
      <c r="H16" s="42">
        <v>6</v>
      </c>
      <c r="I16" s="41">
        <v>862413</v>
      </c>
      <c r="J16" s="42">
        <v>6.2</v>
      </c>
      <c r="K16" s="41">
        <v>3437438</v>
      </c>
      <c r="L16" s="42">
        <v>24.6</v>
      </c>
      <c r="M16" s="41">
        <v>2081783</v>
      </c>
      <c r="N16" s="42">
        <v>14.9</v>
      </c>
      <c r="O16" s="41">
        <v>1242877</v>
      </c>
      <c r="P16" s="42">
        <v>8.9</v>
      </c>
      <c r="Q16" s="41">
        <v>3083769</v>
      </c>
      <c r="R16" s="42">
        <v>22</v>
      </c>
      <c r="S16" s="41">
        <v>2451734</v>
      </c>
      <c r="T16" s="42">
        <v>17.5</v>
      </c>
    </row>
    <row r="17" spans="1:5" x14ac:dyDescent="0.2">
      <c r="E17" s="52"/>
    </row>
    <row r="18" spans="1:5" x14ac:dyDescent="0.2">
      <c r="A18" s="54" t="s">
        <v>735</v>
      </c>
      <c r="B18" s="52"/>
      <c r="E18" s="52"/>
    </row>
    <row r="19" spans="1:5" x14ac:dyDescent="0.2">
      <c r="A19" t="s">
        <v>736</v>
      </c>
      <c r="E19" s="52"/>
    </row>
    <row r="20" spans="1:5" x14ac:dyDescent="0.2">
      <c r="A20" t="s">
        <v>738</v>
      </c>
      <c r="E20" s="52"/>
    </row>
    <row r="21" spans="1:5" x14ac:dyDescent="0.2">
      <c r="A21" t="s">
        <v>740</v>
      </c>
      <c r="E21" s="52"/>
    </row>
    <row r="22" spans="1:5" x14ac:dyDescent="0.2">
      <c r="A22" t="s">
        <v>741</v>
      </c>
      <c r="E22" s="52"/>
    </row>
    <row r="23" spans="1:5" x14ac:dyDescent="0.2">
      <c r="A23" t="s">
        <v>743</v>
      </c>
      <c r="E23" s="52"/>
    </row>
    <row r="24" spans="1:5" x14ac:dyDescent="0.2">
      <c r="A24" t="s">
        <v>745</v>
      </c>
      <c r="E24" s="52"/>
    </row>
    <row r="25" spans="1:5" x14ac:dyDescent="0.2">
      <c r="A25" t="s">
        <v>746</v>
      </c>
      <c r="E25" s="52"/>
    </row>
    <row r="26" spans="1:5" x14ac:dyDescent="0.2">
      <c r="E26" s="52"/>
    </row>
    <row r="27" spans="1:5" x14ac:dyDescent="0.2">
      <c r="A27" s="55" t="s">
        <v>747</v>
      </c>
      <c r="B27" s="52"/>
      <c r="E27" s="52"/>
    </row>
    <row r="28" spans="1:5" x14ac:dyDescent="0.2">
      <c r="E28" s="52"/>
    </row>
    <row r="29" spans="1:5" x14ac:dyDescent="0.2">
      <c r="E29" s="52"/>
    </row>
    <row r="30" spans="1:5" x14ac:dyDescent="0.2">
      <c r="E30" s="52"/>
    </row>
    <row r="31" spans="1:5" x14ac:dyDescent="0.2">
      <c r="E31" s="52"/>
    </row>
    <row r="32" spans="1:5"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13">
    <mergeCell ref="B1:O1"/>
    <mergeCell ref="A5:B5"/>
    <mergeCell ref="E5:E57"/>
    <mergeCell ref="A9:B9"/>
    <mergeCell ref="A18:B18"/>
    <mergeCell ref="A27:B27"/>
    <mergeCell ref="G5:H5"/>
    <mergeCell ref="I5:J5"/>
    <mergeCell ref="S5:T5"/>
    <mergeCell ref="Q5:R5"/>
    <mergeCell ref="O5:P5"/>
    <mergeCell ref="M5:N5"/>
    <mergeCell ref="K5:L5"/>
  </mergeCells>
  <dataValidations count="4">
    <dataValidation type="list" allowBlank="1" showInputMessage="1" showErrorMessage="1" sqref="G4:T4" xr:uid="{967E048F-6479-B348-8EF8-7097BAB310F8}">
      <formula1>"integer, number, percent1"</formula1>
    </dataValidation>
    <dataValidation type="list" allowBlank="1" showInputMessage="1" showErrorMessage="1" sqref="B10" xr:uid="{0632C8A3-0579-1849-B29D-F1DD7296AC45}">
      <formula1>"Line,Clustered Bar,Stacked Bar"</formula1>
    </dataValidation>
    <dataValidation type="list" allowBlank="1" showInputMessage="1" showErrorMessage="1" sqref="B2" xr:uid="{1F0F5C09-84EA-CE41-A8D6-7229BA3556A1}">
      <formula1>"Table,Figure,Both"</formula1>
    </dataValidation>
    <dataValidation type="list" allowBlank="1" showInputMessage="1" showErrorMessage="1" sqref="B6 B15" xr:uid="{0F29D217-7F4D-E646-97AB-6A170B8C7D0D}">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DBB3CE8B-BF84-6746-950C-257E551055F4}">
          <x14:formula1>
            <xm:f>Master!$E$2:$E$290</xm:f>
          </x14:formula1>
          <xm:sqref>B1:O1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9DCF3-8D6A-F243-8A03-B7BD8D5F94F6}">
  <dimension ref="A1:O57"/>
  <sheetViews>
    <sheetView workbookViewId="0">
      <selection activeCell="B4" sqref="B4"/>
    </sheetView>
  </sheetViews>
  <sheetFormatPr baseColWidth="10" defaultColWidth="8.83203125" defaultRowHeight="15" x14ac:dyDescent="0.2"/>
  <cols>
    <col min="1" max="1" width="20" bestFit="1" customWidth="1"/>
    <col min="2" max="2" width="16.83203125" customWidth="1"/>
    <col min="5" max="5" width="6.83203125" customWidth="1"/>
    <col min="6" max="6" width="11.1640625" bestFit="1" customWidth="1"/>
    <col min="7" max="7" width="9.5" customWidth="1"/>
    <col min="8" max="8" width="13.5" customWidth="1"/>
    <col min="9" max="9" width="11" customWidth="1"/>
    <col min="11" max="11" width="10.83203125" customWidth="1"/>
    <col min="12" max="12" width="12.33203125" bestFit="1" customWidth="1"/>
    <col min="14" max="14" width="12.33203125" bestFit="1" customWidth="1"/>
    <col min="15" max="15" width="11" bestFit="1" customWidth="1"/>
  </cols>
  <sheetData>
    <row r="1" spans="1:15" x14ac:dyDescent="0.2">
      <c r="A1" s="3" t="s">
        <v>710</v>
      </c>
      <c r="B1" s="51" t="s">
        <v>34</v>
      </c>
      <c r="C1" s="52"/>
      <c r="D1" s="52"/>
      <c r="E1" s="52"/>
      <c r="F1" s="52"/>
      <c r="G1" s="52"/>
      <c r="H1" s="52"/>
      <c r="I1" s="52"/>
      <c r="J1" s="52"/>
      <c r="K1" s="52"/>
      <c r="L1" s="52"/>
      <c r="M1" s="52"/>
      <c r="N1" s="52"/>
      <c r="O1" s="52"/>
    </row>
    <row r="2" spans="1:15" x14ac:dyDescent="0.2">
      <c r="A2" s="3" t="s">
        <v>711</v>
      </c>
      <c r="B2" t="s">
        <v>10</v>
      </c>
    </row>
    <row r="3" spans="1:15" ht="16" x14ac:dyDescent="0.2">
      <c r="A3" s="3" t="s">
        <v>713</v>
      </c>
      <c r="B3" s="16" t="str">
        <f>IF($B$1="","",_xlfn.XLOOKUP($B$1,Master!$E$2:$E$290,Master!$F$2:$F$290,""))</f>
        <v>tbl-households</v>
      </c>
    </row>
    <row r="4" spans="1:15" x14ac:dyDescent="0.2">
      <c r="E4" s="15"/>
      <c r="F4" s="15"/>
      <c r="G4" s="19" t="s">
        <v>1072</v>
      </c>
      <c r="H4" s="19"/>
      <c r="I4" s="19"/>
      <c r="J4" s="19"/>
      <c r="K4" s="19"/>
      <c r="L4" s="19"/>
      <c r="M4" s="19"/>
      <c r="N4" s="19"/>
      <c r="O4" s="19"/>
    </row>
    <row r="5" spans="1:15" x14ac:dyDescent="0.2">
      <c r="A5" s="54" t="s">
        <v>714</v>
      </c>
      <c r="B5" s="52"/>
      <c r="E5" s="53" t="s">
        <v>715</v>
      </c>
      <c r="G5" s="21" t="s">
        <v>1115</v>
      </c>
    </row>
    <row r="6" spans="1:15" ht="15" customHeight="1" x14ac:dyDescent="0.2">
      <c r="A6" t="s">
        <v>719</v>
      </c>
      <c r="B6" t="b">
        <v>0</v>
      </c>
      <c r="E6" s="52"/>
      <c r="F6" s="21" t="s">
        <v>149</v>
      </c>
      <c r="G6" s="23">
        <v>115184</v>
      </c>
    </row>
    <row r="7" spans="1:15" ht="15.75" customHeight="1" x14ac:dyDescent="0.2">
      <c r="E7" s="52"/>
      <c r="F7" s="21" t="s">
        <v>15</v>
      </c>
      <c r="G7" s="23">
        <v>137311</v>
      </c>
    </row>
    <row r="8" spans="1:15" x14ac:dyDescent="0.2">
      <c r="E8" s="52"/>
      <c r="F8" s="21" t="s">
        <v>368</v>
      </c>
      <c r="G8" s="23">
        <v>35054</v>
      </c>
    </row>
    <row r="9" spans="1:15" x14ac:dyDescent="0.2">
      <c r="A9" s="54" t="s">
        <v>724</v>
      </c>
      <c r="B9" s="52"/>
      <c r="E9" s="52"/>
      <c r="F9" s="21" t="s">
        <v>279</v>
      </c>
      <c r="G9" s="23">
        <v>103284</v>
      </c>
    </row>
    <row r="10" spans="1:15" x14ac:dyDescent="0.2">
      <c r="A10" t="s">
        <v>725</v>
      </c>
      <c r="E10" s="52"/>
      <c r="F10" s="21" t="s">
        <v>240</v>
      </c>
      <c r="G10" s="23">
        <v>30215</v>
      </c>
    </row>
    <row r="11" spans="1:15" x14ac:dyDescent="0.2">
      <c r="A11" t="s">
        <v>727</v>
      </c>
      <c r="E11" s="52"/>
      <c r="F11" s="21" t="s">
        <v>249</v>
      </c>
      <c r="G11" s="23">
        <v>73105</v>
      </c>
    </row>
    <row r="12" spans="1:15" x14ac:dyDescent="0.2">
      <c r="A12" t="s">
        <v>728</v>
      </c>
      <c r="E12" s="52"/>
      <c r="F12" s="21" t="s">
        <v>301</v>
      </c>
      <c r="G12" s="23">
        <v>370256</v>
      </c>
    </row>
    <row r="13" spans="1:15" x14ac:dyDescent="0.2">
      <c r="A13" t="s">
        <v>729</v>
      </c>
      <c r="E13" s="52"/>
      <c r="F13" s="21" t="s">
        <v>993</v>
      </c>
      <c r="G13" s="23">
        <v>864409</v>
      </c>
    </row>
    <row r="14" spans="1:15" x14ac:dyDescent="0.2">
      <c r="A14" t="s">
        <v>730</v>
      </c>
      <c r="E14" s="52"/>
      <c r="F14" s="21" t="s">
        <v>1078</v>
      </c>
      <c r="G14" s="23">
        <v>4355640</v>
      </c>
    </row>
    <row r="15" spans="1:15" x14ac:dyDescent="0.2">
      <c r="A15" t="s">
        <v>732</v>
      </c>
      <c r="E15" s="52"/>
      <c r="F15" s="21" t="s">
        <v>717</v>
      </c>
      <c r="G15" s="23">
        <v>7668956</v>
      </c>
    </row>
    <row r="16" spans="1:15" x14ac:dyDescent="0.2">
      <c r="E16" s="52"/>
    </row>
    <row r="17" spans="1:5" x14ac:dyDescent="0.2">
      <c r="E17" s="52"/>
    </row>
    <row r="18" spans="1:5" x14ac:dyDescent="0.2">
      <c r="A18" s="54" t="s">
        <v>735</v>
      </c>
      <c r="B18" s="52"/>
      <c r="E18" s="52"/>
    </row>
    <row r="19" spans="1:5" x14ac:dyDescent="0.2">
      <c r="A19" t="s">
        <v>736</v>
      </c>
      <c r="E19" s="52"/>
    </row>
    <row r="20" spans="1:5" x14ac:dyDescent="0.2">
      <c r="A20" t="s">
        <v>738</v>
      </c>
      <c r="E20" s="52"/>
    </row>
    <row r="21" spans="1:5" x14ac:dyDescent="0.2">
      <c r="A21" t="s">
        <v>740</v>
      </c>
      <c r="E21" s="52"/>
    </row>
    <row r="22" spans="1:5" x14ac:dyDescent="0.2">
      <c r="A22" t="s">
        <v>741</v>
      </c>
      <c r="E22" s="52"/>
    </row>
    <row r="23" spans="1:5" x14ac:dyDescent="0.2">
      <c r="A23" t="s">
        <v>743</v>
      </c>
      <c r="E23" s="52"/>
    </row>
    <row r="24" spans="1:5" x14ac:dyDescent="0.2">
      <c r="A24" t="s">
        <v>745</v>
      </c>
      <c r="E24" s="52"/>
    </row>
    <row r="25" spans="1:5" x14ac:dyDescent="0.2">
      <c r="A25" t="s">
        <v>746</v>
      </c>
      <c r="E25" s="52"/>
    </row>
    <row r="26" spans="1:5" x14ac:dyDescent="0.2">
      <c r="E26" s="52"/>
    </row>
    <row r="27" spans="1:5" x14ac:dyDescent="0.2">
      <c r="A27" s="55" t="s">
        <v>747</v>
      </c>
      <c r="B27" s="52"/>
      <c r="E27" s="52"/>
    </row>
    <row r="28" spans="1:5" x14ac:dyDescent="0.2">
      <c r="E28" s="52"/>
    </row>
    <row r="29" spans="1:5" x14ac:dyDescent="0.2">
      <c r="E29" s="52"/>
    </row>
    <row r="30" spans="1:5" x14ac:dyDescent="0.2">
      <c r="E30" s="52"/>
    </row>
    <row r="31" spans="1:5" x14ac:dyDescent="0.2">
      <c r="E31" s="52"/>
    </row>
    <row r="32" spans="1:5"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6">
    <mergeCell ref="B1:O1"/>
    <mergeCell ref="A5:B5"/>
    <mergeCell ref="E5:E57"/>
    <mergeCell ref="A9:B9"/>
    <mergeCell ref="A18:B18"/>
    <mergeCell ref="A27:B27"/>
  </mergeCells>
  <dataValidations count="4">
    <dataValidation type="list" allowBlank="1" showInputMessage="1" showErrorMessage="1" sqref="B6 B15" xr:uid="{1DB85C37-0438-F64D-BCA7-90852BCDBC6B}">
      <formula1>"True,False"</formula1>
    </dataValidation>
    <dataValidation type="list" allowBlank="1" showInputMessage="1" showErrorMessage="1" sqref="B2" xr:uid="{C04F3986-6448-B14B-A689-6C2572134EE2}">
      <formula1>"Table,Figure,Both"</formula1>
    </dataValidation>
    <dataValidation type="list" allowBlank="1" showInputMessage="1" showErrorMessage="1" sqref="B10" xr:uid="{E2479B8E-9E18-4242-994F-B4A5A9B6EDCE}">
      <formula1>"Line,Clustered Bar,Stacked Bar"</formula1>
    </dataValidation>
    <dataValidation type="list" allowBlank="1" showInputMessage="1" showErrorMessage="1" sqref="G4:O4" xr:uid="{3CABE316-A6C0-BC4F-91D0-B31D8FAE72B3}">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87A6E75-1583-B54A-A81C-6A3A1F669FA8}">
          <x14:formula1>
            <xm:f>Master!$E$2:$E$290</xm:f>
          </x14:formula1>
          <xm:sqref>B1:O1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F2B6A-C9E1-884A-8C55-BAF64A09121C}">
  <dimension ref="A1:Z57"/>
  <sheetViews>
    <sheetView workbookViewId="0">
      <selection activeCell="B4" sqref="B4"/>
    </sheetView>
  </sheetViews>
  <sheetFormatPr baseColWidth="10" defaultColWidth="8.83203125" defaultRowHeight="15" x14ac:dyDescent="0.2"/>
  <cols>
    <col min="1" max="1" width="20" bestFit="1" customWidth="1"/>
    <col min="2" max="2" width="16.83203125" customWidth="1"/>
    <col min="5" max="5" width="6.83203125" customWidth="1"/>
    <col min="6" max="6" width="11.1640625" bestFit="1" customWidth="1"/>
    <col min="7" max="7" width="12" bestFit="1" customWidth="1"/>
    <col min="8" max="8" width="13.5" customWidth="1"/>
    <col min="9" max="9" width="12" bestFit="1" customWidth="1"/>
    <col min="11" max="11" width="12" bestFit="1" customWidth="1"/>
    <col min="12" max="12" width="12.33203125" bestFit="1" customWidth="1"/>
    <col min="13" max="13" width="12" bestFit="1" customWidth="1"/>
    <col min="14" max="14" width="12.33203125" bestFit="1" customWidth="1"/>
    <col min="15" max="15" width="12" bestFit="1" customWidth="1"/>
    <col min="17" max="17" width="12" bestFit="1" customWidth="1"/>
    <col min="19" max="19" width="12" bestFit="1" customWidth="1"/>
    <col min="21" max="21" width="12" bestFit="1" customWidth="1"/>
    <col min="22" max="22" width="5.1640625" bestFit="1" customWidth="1"/>
    <col min="23" max="23" width="12" bestFit="1" customWidth="1"/>
    <col min="25" max="25" width="12" bestFit="1" customWidth="1"/>
  </cols>
  <sheetData>
    <row r="1" spans="1:26" x14ac:dyDescent="0.2">
      <c r="A1" s="3" t="s">
        <v>710</v>
      </c>
      <c r="B1" s="51" t="s">
        <v>37</v>
      </c>
      <c r="C1" s="52"/>
      <c r="D1" s="52"/>
      <c r="E1" s="52"/>
      <c r="F1" s="52"/>
      <c r="G1" s="52"/>
      <c r="H1" s="52"/>
      <c r="I1" s="52"/>
      <c r="J1" s="52"/>
      <c r="K1" s="52"/>
      <c r="L1" s="52"/>
      <c r="M1" s="52"/>
      <c r="N1" s="52"/>
      <c r="O1" s="52"/>
    </row>
    <row r="2" spans="1:26" x14ac:dyDescent="0.2">
      <c r="A2" s="3" t="s">
        <v>711</v>
      </c>
      <c r="B2" t="s">
        <v>10</v>
      </c>
    </row>
    <row r="3" spans="1:26" ht="16" x14ac:dyDescent="0.2">
      <c r="A3" s="3" t="s">
        <v>713</v>
      </c>
      <c r="B3" s="16" t="str">
        <f>IF($B$1="","",_xlfn.XLOOKUP($B$1,Master!$E$2:$E$290,Master!$F$2:$F$290,""))</f>
        <v>tbl-income</v>
      </c>
    </row>
    <row r="4" spans="1:26" x14ac:dyDescent="0.2">
      <c r="E4" s="15"/>
      <c r="F4" s="15"/>
      <c r="G4" s="19" t="s">
        <v>1072</v>
      </c>
      <c r="H4" s="19" t="s">
        <v>1073</v>
      </c>
      <c r="I4" s="19" t="s">
        <v>1072</v>
      </c>
      <c r="J4" s="19" t="s">
        <v>1073</v>
      </c>
      <c r="K4" s="19" t="s">
        <v>1072</v>
      </c>
      <c r="L4" s="19" t="s">
        <v>1073</v>
      </c>
      <c r="M4" s="19" t="s">
        <v>1072</v>
      </c>
      <c r="N4" s="19" t="s">
        <v>1073</v>
      </c>
      <c r="O4" s="19" t="s">
        <v>1072</v>
      </c>
      <c r="P4" s="19" t="s">
        <v>1073</v>
      </c>
      <c r="Q4" s="19" t="s">
        <v>1072</v>
      </c>
      <c r="R4" s="19" t="s">
        <v>1073</v>
      </c>
      <c r="S4" s="19" t="s">
        <v>1072</v>
      </c>
      <c r="T4" s="19" t="s">
        <v>1073</v>
      </c>
      <c r="U4" s="19" t="s">
        <v>1072</v>
      </c>
      <c r="V4" s="19" t="s">
        <v>1073</v>
      </c>
      <c r="W4" s="19" t="s">
        <v>1072</v>
      </c>
      <c r="X4" s="19" t="s">
        <v>1073</v>
      </c>
      <c r="Y4" s="19" t="s">
        <v>1072</v>
      </c>
      <c r="Z4" s="19" t="s">
        <v>1073</v>
      </c>
    </row>
    <row r="5" spans="1:26" x14ac:dyDescent="0.2">
      <c r="A5" s="54" t="s">
        <v>714</v>
      </c>
      <c r="B5" s="52"/>
      <c r="E5" s="53" t="s">
        <v>715</v>
      </c>
      <c r="G5" s="61" t="s">
        <v>1117</v>
      </c>
      <c r="H5" s="61"/>
      <c r="I5" s="61" t="s">
        <v>1118</v>
      </c>
      <c r="J5" s="61"/>
      <c r="K5" s="61" t="s">
        <v>1119</v>
      </c>
      <c r="L5" s="61"/>
      <c r="M5" s="61" t="s">
        <v>1120</v>
      </c>
      <c r="N5" s="61"/>
      <c r="O5" s="61" t="s">
        <v>1121</v>
      </c>
      <c r="P5" s="61"/>
      <c r="Q5" s="61" t="s">
        <v>1122</v>
      </c>
      <c r="R5" s="61"/>
      <c r="S5" s="61" t="s">
        <v>1123</v>
      </c>
      <c r="T5" s="61"/>
      <c r="U5" s="61" t="s">
        <v>1124</v>
      </c>
      <c r="V5" s="61"/>
      <c r="W5" s="61" t="s">
        <v>1125</v>
      </c>
      <c r="X5" s="61"/>
      <c r="Y5" s="61" t="s">
        <v>1126</v>
      </c>
      <c r="Z5" s="61"/>
    </row>
    <row r="6" spans="1:26" ht="15" customHeight="1" x14ac:dyDescent="0.2">
      <c r="A6" t="s">
        <v>719</v>
      </c>
      <c r="B6" t="b">
        <v>1</v>
      </c>
      <c r="E6" s="52"/>
      <c r="F6" s="22"/>
      <c r="G6" s="22" t="s">
        <v>1066</v>
      </c>
      <c r="H6" s="22" t="s">
        <v>1077</v>
      </c>
      <c r="I6" s="22" t="s">
        <v>1066</v>
      </c>
      <c r="J6" s="22" t="s">
        <v>1077</v>
      </c>
      <c r="K6" s="22" t="s">
        <v>1066</v>
      </c>
      <c r="L6" s="22" t="s">
        <v>1077</v>
      </c>
      <c r="M6" s="22" t="s">
        <v>1066</v>
      </c>
      <c r="N6" s="22" t="s">
        <v>1077</v>
      </c>
      <c r="O6" s="22" t="s">
        <v>1066</v>
      </c>
      <c r="P6" s="22" t="s">
        <v>1077</v>
      </c>
      <c r="Q6" s="22" t="s">
        <v>1066</v>
      </c>
      <c r="R6" s="22" t="s">
        <v>1077</v>
      </c>
      <c r="S6" s="22" t="s">
        <v>1066</v>
      </c>
      <c r="T6" s="22" t="s">
        <v>1077</v>
      </c>
      <c r="U6" s="22" t="s">
        <v>1066</v>
      </c>
      <c r="V6" s="22" t="s">
        <v>1077</v>
      </c>
      <c r="W6" s="22" t="s">
        <v>1066</v>
      </c>
      <c r="X6" s="22" t="s">
        <v>1077</v>
      </c>
      <c r="Y6" s="22" t="s">
        <v>1066</v>
      </c>
      <c r="Z6" s="22" t="s">
        <v>1077</v>
      </c>
    </row>
    <row r="7" spans="1:26" ht="15.75" customHeight="1" x14ac:dyDescent="0.2">
      <c r="E7" s="52"/>
      <c r="F7" s="21" t="s">
        <v>149</v>
      </c>
      <c r="G7" s="23">
        <v>4723</v>
      </c>
      <c r="H7" s="24">
        <v>4.0999999999999996</v>
      </c>
      <c r="I7" s="23">
        <v>2649</v>
      </c>
      <c r="J7" s="24">
        <v>2.2999999999999998</v>
      </c>
      <c r="K7" s="23">
        <v>5298</v>
      </c>
      <c r="L7" s="24">
        <v>4.5999999999999996</v>
      </c>
      <c r="M7" s="23">
        <v>6105</v>
      </c>
      <c r="N7" s="24">
        <v>5.3</v>
      </c>
      <c r="O7" s="23">
        <v>9906</v>
      </c>
      <c r="P7" s="24">
        <v>8.6</v>
      </c>
      <c r="Q7" s="23">
        <v>15780</v>
      </c>
      <c r="R7" s="24">
        <v>13.7</v>
      </c>
      <c r="S7" s="23">
        <v>14513</v>
      </c>
      <c r="T7" s="24">
        <v>12.6</v>
      </c>
      <c r="U7" s="23">
        <v>22346</v>
      </c>
      <c r="V7" s="24">
        <v>19.399999999999999</v>
      </c>
      <c r="W7" s="23">
        <v>13822</v>
      </c>
      <c r="X7" s="24">
        <v>12</v>
      </c>
      <c r="Y7" s="23">
        <v>20042</v>
      </c>
      <c r="Z7" s="24">
        <v>17.399999999999999</v>
      </c>
    </row>
    <row r="8" spans="1:26" x14ac:dyDescent="0.2">
      <c r="E8" s="52"/>
      <c r="F8" s="21" t="s">
        <v>15</v>
      </c>
      <c r="G8" s="23">
        <v>5492</v>
      </c>
      <c r="H8" s="24">
        <v>4</v>
      </c>
      <c r="I8" s="23">
        <v>4119</v>
      </c>
      <c r="J8" s="24">
        <v>3</v>
      </c>
      <c r="K8" s="23">
        <v>8651</v>
      </c>
      <c r="L8" s="24">
        <v>6.3</v>
      </c>
      <c r="M8" s="23">
        <v>7003</v>
      </c>
      <c r="N8" s="24">
        <v>5.0999999999999996</v>
      </c>
      <c r="O8" s="23">
        <v>10985</v>
      </c>
      <c r="P8" s="24">
        <v>8</v>
      </c>
      <c r="Q8" s="23">
        <v>18125</v>
      </c>
      <c r="R8" s="24">
        <v>13.2</v>
      </c>
      <c r="S8" s="23">
        <v>16340</v>
      </c>
      <c r="T8" s="24">
        <v>11.9</v>
      </c>
      <c r="U8" s="23">
        <v>27188</v>
      </c>
      <c r="V8" s="24">
        <v>19.8</v>
      </c>
      <c r="W8" s="23">
        <v>18125</v>
      </c>
      <c r="X8" s="24">
        <v>13.2</v>
      </c>
      <c r="Y8" s="23">
        <v>21421</v>
      </c>
      <c r="Z8" s="24">
        <v>15.6</v>
      </c>
    </row>
    <row r="9" spans="1:26" x14ac:dyDescent="0.2">
      <c r="A9" s="54" t="s">
        <v>724</v>
      </c>
      <c r="B9" s="52"/>
      <c r="E9" s="52"/>
      <c r="F9" s="21" t="s">
        <v>368</v>
      </c>
      <c r="G9" s="24">
        <v>841</v>
      </c>
      <c r="H9" s="24">
        <v>2.4</v>
      </c>
      <c r="I9" s="24">
        <v>631</v>
      </c>
      <c r="J9" s="24">
        <v>1.8</v>
      </c>
      <c r="K9" s="23">
        <v>1472</v>
      </c>
      <c r="L9" s="24">
        <v>4.2</v>
      </c>
      <c r="M9" s="23">
        <v>1402</v>
      </c>
      <c r="N9" s="24">
        <v>4</v>
      </c>
      <c r="O9" s="23">
        <v>2033</v>
      </c>
      <c r="P9" s="24">
        <v>5.8</v>
      </c>
      <c r="Q9" s="23">
        <v>3926</v>
      </c>
      <c r="R9" s="24">
        <v>11.2</v>
      </c>
      <c r="S9" s="23">
        <v>3365</v>
      </c>
      <c r="T9" s="24">
        <v>9.6</v>
      </c>
      <c r="U9" s="23">
        <v>7326</v>
      </c>
      <c r="V9" s="24">
        <v>20.9</v>
      </c>
      <c r="W9" s="23">
        <v>5503</v>
      </c>
      <c r="X9" s="24">
        <v>15.7</v>
      </c>
      <c r="Y9" s="23">
        <v>8553</v>
      </c>
      <c r="Z9" s="24">
        <v>24.4</v>
      </c>
    </row>
    <row r="10" spans="1:26" x14ac:dyDescent="0.2">
      <c r="A10" t="s">
        <v>725</v>
      </c>
      <c r="E10" s="52"/>
      <c r="F10" s="21" t="s">
        <v>279</v>
      </c>
      <c r="G10" s="23">
        <v>3822</v>
      </c>
      <c r="H10" s="24">
        <v>3.7</v>
      </c>
      <c r="I10" s="23">
        <v>2169</v>
      </c>
      <c r="J10" s="24">
        <v>2.1</v>
      </c>
      <c r="K10" s="23">
        <v>5784</v>
      </c>
      <c r="L10" s="24">
        <v>5.6</v>
      </c>
      <c r="M10" s="23">
        <v>5474</v>
      </c>
      <c r="N10" s="24">
        <v>5.3</v>
      </c>
      <c r="O10" s="23">
        <v>7746</v>
      </c>
      <c r="P10" s="24">
        <v>7.5</v>
      </c>
      <c r="Q10" s="23">
        <v>11878</v>
      </c>
      <c r="R10" s="24">
        <v>11.5</v>
      </c>
      <c r="S10" s="23">
        <v>10328</v>
      </c>
      <c r="T10" s="24">
        <v>10</v>
      </c>
      <c r="U10" s="23">
        <v>18281</v>
      </c>
      <c r="V10" s="24">
        <v>17.7</v>
      </c>
      <c r="W10" s="23">
        <v>12394</v>
      </c>
      <c r="X10" s="24">
        <v>12</v>
      </c>
      <c r="Y10" s="23">
        <v>25408</v>
      </c>
      <c r="Z10" s="24">
        <v>24.6</v>
      </c>
    </row>
    <row r="11" spans="1:26" x14ac:dyDescent="0.2">
      <c r="A11" t="s">
        <v>727</v>
      </c>
      <c r="E11" s="52"/>
      <c r="F11" s="21" t="s">
        <v>240</v>
      </c>
      <c r="G11" s="23">
        <v>1420</v>
      </c>
      <c r="H11" s="24">
        <v>4.7</v>
      </c>
      <c r="I11" s="23">
        <v>1481</v>
      </c>
      <c r="J11" s="24">
        <v>4.9000000000000004</v>
      </c>
      <c r="K11" s="23">
        <v>2327</v>
      </c>
      <c r="L11" s="24">
        <v>7.7</v>
      </c>
      <c r="M11" s="23">
        <v>2447</v>
      </c>
      <c r="N11" s="24">
        <v>8.1</v>
      </c>
      <c r="O11" s="23">
        <v>3384</v>
      </c>
      <c r="P11" s="24">
        <v>11.2</v>
      </c>
      <c r="Q11" s="23">
        <v>5137</v>
      </c>
      <c r="R11" s="24">
        <v>17</v>
      </c>
      <c r="S11" s="23">
        <v>3807</v>
      </c>
      <c r="T11" s="24">
        <v>12.6</v>
      </c>
      <c r="U11" s="23">
        <v>4442</v>
      </c>
      <c r="V11" s="24">
        <v>14.7</v>
      </c>
      <c r="W11" s="23">
        <v>2478</v>
      </c>
      <c r="X11" s="24">
        <v>8.1999999999999993</v>
      </c>
      <c r="Y11" s="23">
        <v>3293</v>
      </c>
      <c r="Z11" s="24">
        <v>10.9</v>
      </c>
    </row>
    <row r="12" spans="1:26" x14ac:dyDescent="0.2">
      <c r="A12" t="s">
        <v>728</v>
      </c>
      <c r="E12" s="52"/>
      <c r="F12" s="21" t="s">
        <v>249</v>
      </c>
      <c r="G12" s="23">
        <v>4021</v>
      </c>
      <c r="H12" s="24">
        <v>5.5</v>
      </c>
      <c r="I12" s="23">
        <v>2778</v>
      </c>
      <c r="J12" s="24">
        <v>3.8</v>
      </c>
      <c r="K12" s="23">
        <v>4606</v>
      </c>
      <c r="L12" s="24">
        <v>6.3</v>
      </c>
      <c r="M12" s="23">
        <v>4752</v>
      </c>
      <c r="N12" s="24">
        <v>6.5</v>
      </c>
      <c r="O12" s="23">
        <v>7384</v>
      </c>
      <c r="P12" s="24">
        <v>10.1</v>
      </c>
      <c r="Q12" s="23">
        <v>10527</v>
      </c>
      <c r="R12" s="24">
        <v>14.4</v>
      </c>
      <c r="S12" s="23">
        <v>8334</v>
      </c>
      <c r="T12" s="24">
        <v>11.4</v>
      </c>
      <c r="U12" s="23">
        <v>13378</v>
      </c>
      <c r="V12" s="24">
        <v>18.3</v>
      </c>
      <c r="W12" s="23">
        <v>7384</v>
      </c>
      <c r="X12" s="24">
        <v>10.1</v>
      </c>
      <c r="Y12" s="23">
        <v>9942</v>
      </c>
      <c r="Z12" s="24">
        <v>13.6</v>
      </c>
    </row>
    <row r="13" spans="1:26" x14ac:dyDescent="0.2">
      <c r="A13" t="s">
        <v>729</v>
      </c>
      <c r="E13" s="52"/>
      <c r="F13" s="21" t="s">
        <v>301</v>
      </c>
      <c r="G13" s="23">
        <v>17402</v>
      </c>
      <c r="H13" s="24">
        <v>4.7</v>
      </c>
      <c r="I13" s="23">
        <v>9997</v>
      </c>
      <c r="J13" s="24">
        <v>2.7</v>
      </c>
      <c r="K13" s="23">
        <v>17032</v>
      </c>
      <c r="L13" s="24">
        <v>4.5999999999999996</v>
      </c>
      <c r="M13" s="23">
        <v>15180</v>
      </c>
      <c r="N13" s="24">
        <v>4.0999999999999996</v>
      </c>
      <c r="O13" s="23">
        <v>27029</v>
      </c>
      <c r="P13" s="24">
        <v>7.3</v>
      </c>
      <c r="Q13" s="23">
        <v>37766</v>
      </c>
      <c r="R13" s="24">
        <v>10.199999999999999</v>
      </c>
      <c r="S13" s="23">
        <v>36285</v>
      </c>
      <c r="T13" s="24">
        <v>9.8000000000000007</v>
      </c>
      <c r="U13" s="23">
        <v>59241</v>
      </c>
      <c r="V13" s="24">
        <v>16</v>
      </c>
      <c r="W13" s="23">
        <v>39988</v>
      </c>
      <c r="X13" s="24">
        <v>10.8</v>
      </c>
      <c r="Y13" s="23">
        <v>110336</v>
      </c>
      <c r="Z13" s="24">
        <v>29.8</v>
      </c>
    </row>
    <row r="14" spans="1:26" x14ac:dyDescent="0.2">
      <c r="A14" t="s">
        <v>730</v>
      </c>
      <c r="E14" s="52"/>
      <c r="F14" s="21" t="s">
        <v>993</v>
      </c>
      <c r="G14" s="23">
        <v>37721</v>
      </c>
      <c r="H14" s="24">
        <v>4.4000000000000004</v>
      </c>
      <c r="I14" s="23">
        <v>23824</v>
      </c>
      <c r="J14" s="24">
        <v>2.8</v>
      </c>
      <c r="K14" s="23">
        <v>45169</v>
      </c>
      <c r="L14" s="24">
        <v>5.2</v>
      </c>
      <c r="M14" s="23">
        <v>42364</v>
      </c>
      <c r="N14" s="24">
        <v>4.9000000000000004</v>
      </c>
      <c r="O14" s="23">
        <v>68467</v>
      </c>
      <c r="P14" s="24">
        <v>7.9</v>
      </c>
      <c r="Q14" s="23">
        <v>103139</v>
      </c>
      <c r="R14" s="24">
        <v>11.9</v>
      </c>
      <c r="S14" s="23">
        <v>92973</v>
      </c>
      <c r="T14" s="24">
        <v>10.8</v>
      </c>
      <c r="U14" s="23">
        <v>152202</v>
      </c>
      <c r="V14" s="24">
        <v>17.600000000000001</v>
      </c>
      <c r="W14" s="23">
        <v>99694</v>
      </c>
      <c r="X14" s="24">
        <v>11.5</v>
      </c>
      <c r="Y14" s="23">
        <v>198996</v>
      </c>
      <c r="Z14" s="24">
        <v>23</v>
      </c>
    </row>
    <row r="15" spans="1:26" x14ac:dyDescent="0.2">
      <c r="A15" t="s">
        <v>732</v>
      </c>
      <c r="E15" s="52"/>
      <c r="F15" s="21" t="s">
        <v>1078</v>
      </c>
      <c r="G15" s="23">
        <v>201885</v>
      </c>
      <c r="H15" s="24">
        <v>4.5999999999999996</v>
      </c>
      <c r="I15" s="23">
        <v>142135</v>
      </c>
      <c r="J15" s="24">
        <v>3.3</v>
      </c>
      <c r="K15" s="23">
        <v>266550</v>
      </c>
      <c r="L15" s="24">
        <v>6.1</v>
      </c>
      <c r="M15" s="23">
        <v>266736</v>
      </c>
      <c r="N15" s="24">
        <v>6.1</v>
      </c>
      <c r="O15" s="23">
        <v>402990</v>
      </c>
      <c r="P15" s="24">
        <v>9.3000000000000007</v>
      </c>
      <c r="Q15" s="23">
        <v>617645</v>
      </c>
      <c r="R15" s="24">
        <v>14.2</v>
      </c>
      <c r="S15" s="23">
        <v>516423</v>
      </c>
      <c r="T15" s="24">
        <v>11.9</v>
      </c>
      <c r="U15" s="23">
        <v>781447</v>
      </c>
      <c r="V15" s="24">
        <v>17.899999999999999</v>
      </c>
      <c r="W15" s="23">
        <v>466426</v>
      </c>
      <c r="X15" s="24">
        <v>10.7</v>
      </c>
      <c r="Y15" s="23">
        <v>701072</v>
      </c>
      <c r="Z15" s="24">
        <v>16.100000000000001</v>
      </c>
    </row>
    <row r="16" spans="1:26" x14ac:dyDescent="0.2">
      <c r="E16" s="52"/>
      <c r="F16" s="21" t="s">
        <v>717</v>
      </c>
      <c r="G16" s="23">
        <v>437130</v>
      </c>
      <c r="H16" s="24">
        <v>5.7</v>
      </c>
      <c r="I16" s="23">
        <v>314427</v>
      </c>
      <c r="J16" s="24">
        <v>4.0999999999999996</v>
      </c>
      <c r="K16" s="23">
        <v>498482</v>
      </c>
      <c r="L16" s="24">
        <v>6.5</v>
      </c>
      <c r="M16" s="23">
        <v>475475</v>
      </c>
      <c r="N16" s="24">
        <v>6.2</v>
      </c>
      <c r="O16" s="23">
        <v>697875</v>
      </c>
      <c r="P16" s="24">
        <v>9.1</v>
      </c>
      <c r="Q16" s="23">
        <v>1058316</v>
      </c>
      <c r="R16" s="24">
        <v>13.8</v>
      </c>
      <c r="S16" s="23">
        <v>874261</v>
      </c>
      <c r="T16" s="24">
        <v>11.4</v>
      </c>
      <c r="U16" s="23">
        <v>1288385</v>
      </c>
      <c r="V16" s="24">
        <v>16.8</v>
      </c>
      <c r="W16" s="23">
        <v>774565</v>
      </c>
      <c r="X16" s="24">
        <v>10.1</v>
      </c>
      <c r="Y16" s="23">
        <v>1257709</v>
      </c>
      <c r="Z16" s="24">
        <v>16.399999999999999</v>
      </c>
    </row>
    <row r="17" spans="1:5" x14ac:dyDescent="0.2">
      <c r="E17" s="52"/>
    </row>
    <row r="18" spans="1:5" x14ac:dyDescent="0.2">
      <c r="A18" s="54" t="s">
        <v>735</v>
      </c>
      <c r="B18" s="52"/>
      <c r="E18" s="52"/>
    </row>
    <row r="19" spans="1:5" x14ac:dyDescent="0.2">
      <c r="A19" t="s">
        <v>736</v>
      </c>
      <c r="E19" s="52"/>
    </row>
    <row r="20" spans="1:5" x14ac:dyDescent="0.2">
      <c r="A20" t="s">
        <v>738</v>
      </c>
      <c r="E20" s="52"/>
    </row>
    <row r="21" spans="1:5" x14ac:dyDescent="0.2">
      <c r="A21" t="s">
        <v>740</v>
      </c>
      <c r="E21" s="52"/>
    </row>
    <row r="22" spans="1:5" x14ac:dyDescent="0.2">
      <c r="A22" t="s">
        <v>741</v>
      </c>
      <c r="E22" s="52"/>
    </row>
    <row r="23" spans="1:5" x14ac:dyDescent="0.2">
      <c r="A23" t="s">
        <v>743</v>
      </c>
      <c r="E23" s="52"/>
    </row>
    <row r="24" spans="1:5" x14ac:dyDescent="0.2">
      <c r="A24" t="s">
        <v>745</v>
      </c>
      <c r="E24" s="52"/>
    </row>
    <row r="25" spans="1:5" x14ac:dyDescent="0.2">
      <c r="A25" t="s">
        <v>746</v>
      </c>
      <c r="E25" s="52"/>
    </row>
    <row r="26" spans="1:5" x14ac:dyDescent="0.2">
      <c r="E26" s="52"/>
    </row>
    <row r="27" spans="1:5" x14ac:dyDescent="0.2">
      <c r="A27" s="55" t="s">
        <v>747</v>
      </c>
      <c r="B27" s="52"/>
      <c r="E27" s="52"/>
    </row>
    <row r="28" spans="1:5" x14ac:dyDescent="0.2">
      <c r="E28" s="52"/>
    </row>
    <row r="29" spans="1:5" x14ac:dyDescent="0.2">
      <c r="E29" s="52"/>
    </row>
    <row r="30" spans="1:5" x14ac:dyDescent="0.2">
      <c r="E30" s="52"/>
    </row>
    <row r="31" spans="1:5" x14ac:dyDescent="0.2">
      <c r="E31" s="52"/>
    </row>
    <row r="32" spans="1:5"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16">
    <mergeCell ref="B1:O1"/>
    <mergeCell ref="A5:B5"/>
    <mergeCell ref="E5:E57"/>
    <mergeCell ref="A9:B9"/>
    <mergeCell ref="A18:B18"/>
    <mergeCell ref="A27:B27"/>
    <mergeCell ref="O5:P5"/>
    <mergeCell ref="M5:N5"/>
    <mergeCell ref="K5:L5"/>
    <mergeCell ref="I5:J5"/>
    <mergeCell ref="G5:H5"/>
    <mergeCell ref="Y5:Z5"/>
    <mergeCell ref="W5:X5"/>
    <mergeCell ref="U5:V5"/>
    <mergeCell ref="S5:T5"/>
    <mergeCell ref="Q5:R5"/>
  </mergeCells>
  <dataValidations count="4">
    <dataValidation type="list" allowBlank="1" showInputMessage="1" showErrorMessage="1" sqref="G4:Z4" xr:uid="{DF32BE45-90F9-1B4E-922C-2DAA3D4841A6}">
      <formula1>"integer, number, percent1"</formula1>
    </dataValidation>
    <dataValidation type="list" allowBlank="1" showInputMessage="1" showErrorMessage="1" sqref="B10" xr:uid="{6827E013-AA27-424A-9C57-2DD7B957560A}">
      <formula1>"Line,Clustered Bar,Stacked Bar"</formula1>
    </dataValidation>
    <dataValidation type="list" allowBlank="1" showInputMessage="1" showErrorMessage="1" sqref="B2" xr:uid="{17E903ED-6FDF-464A-BDC4-3ADA8C0A6994}">
      <formula1>"Table,Figure,Both"</formula1>
    </dataValidation>
    <dataValidation type="list" allowBlank="1" showInputMessage="1" showErrorMessage="1" sqref="B6 B15" xr:uid="{143A1F64-A331-2746-A7E4-2A3FC7237A9B}">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6927233-97D0-1E4E-9438-D364F55246BF}">
          <x14:formula1>
            <xm:f>Master!$E$2:$E$290</xm:f>
          </x14:formula1>
          <xm:sqref>B1:O1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26B7B-0B42-FD42-AD57-0D88DB84F65C}">
  <dimension ref="A1:O57"/>
  <sheetViews>
    <sheetView workbookViewId="0">
      <selection activeCell="B4" sqref="B4"/>
    </sheetView>
  </sheetViews>
  <sheetFormatPr baseColWidth="10" defaultColWidth="8.83203125" defaultRowHeight="15" x14ac:dyDescent="0.2"/>
  <cols>
    <col min="1" max="1" width="20" bestFit="1" customWidth="1"/>
    <col min="2" max="2" width="16.83203125" customWidth="1"/>
    <col min="5" max="5" width="6.83203125" customWidth="1"/>
    <col min="6" max="6" width="11.1640625" bestFit="1" customWidth="1"/>
    <col min="7" max="7" width="28.83203125" bestFit="1" customWidth="1"/>
    <col min="8" max="8" width="13.5" customWidth="1"/>
    <col min="9" max="9" width="11" customWidth="1"/>
    <col min="11" max="11" width="10.83203125" customWidth="1"/>
    <col min="12" max="12" width="12.33203125" bestFit="1" customWidth="1"/>
    <col min="14" max="14" width="12.33203125" bestFit="1" customWidth="1"/>
    <col min="15" max="15" width="11" bestFit="1" customWidth="1"/>
  </cols>
  <sheetData>
    <row r="1" spans="1:15" x14ac:dyDescent="0.2">
      <c r="A1" s="3" t="s">
        <v>710</v>
      </c>
      <c r="B1" s="51" t="s">
        <v>39</v>
      </c>
      <c r="C1" s="52"/>
      <c r="D1" s="52"/>
      <c r="E1" s="52"/>
      <c r="F1" s="52"/>
      <c r="G1" s="52"/>
      <c r="H1" s="52"/>
      <c r="I1" s="52"/>
      <c r="J1" s="52"/>
      <c r="K1" s="52"/>
      <c r="L1" s="52"/>
      <c r="M1" s="52"/>
      <c r="N1" s="52"/>
      <c r="O1" s="52"/>
    </row>
    <row r="2" spans="1:15" x14ac:dyDescent="0.2">
      <c r="A2" s="3" t="s">
        <v>711</v>
      </c>
      <c r="B2" t="s">
        <v>10</v>
      </c>
    </row>
    <row r="3" spans="1:15" ht="16" x14ac:dyDescent="0.2">
      <c r="A3" s="3" t="s">
        <v>713</v>
      </c>
      <c r="B3" s="16" t="str">
        <f>IF($B$1="","",_xlfn.XLOOKUP($B$1,Master!$E$2:$E$290,Master!$F$2:$F$290,""))</f>
        <v>tbl-veteran</v>
      </c>
    </row>
    <row r="4" spans="1:15" x14ac:dyDescent="0.2">
      <c r="E4" s="15"/>
      <c r="F4" s="15"/>
      <c r="G4" s="19" t="s">
        <v>1072</v>
      </c>
      <c r="H4" s="19" t="s">
        <v>1072</v>
      </c>
      <c r="I4" s="19" t="s">
        <v>1073</v>
      </c>
      <c r="J4" s="19"/>
      <c r="K4" s="19"/>
      <c r="L4" s="19"/>
      <c r="M4" s="19"/>
      <c r="N4" s="19"/>
      <c r="O4" s="19"/>
    </row>
    <row r="5" spans="1:15" x14ac:dyDescent="0.2">
      <c r="A5" s="54" t="s">
        <v>714</v>
      </c>
      <c r="B5" s="52"/>
      <c r="E5" s="53" t="s">
        <v>715</v>
      </c>
      <c r="G5" s="39" t="s">
        <v>1128</v>
      </c>
      <c r="H5" s="63" t="s">
        <v>1129</v>
      </c>
      <c r="I5" s="63"/>
    </row>
    <row r="6" spans="1:15" ht="15" customHeight="1" x14ac:dyDescent="0.2">
      <c r="A6" t="s">
        <v>719</v>
      </c>
      <c r="B6" t="b">
        <v>1</v>
      </c>
      <c r="E6" s="52"/>
      <c r="F6" s="22"/>
      <c r="G6" s="40" t="s">
        <v>1066</v>
      </c>
      <c r="H6" s="40" t="s">
        <v>1066</v>
      </c>
      <c r="I6" s="40" t="s">
        <v>1077</v>
      </c>
    </row>
    <row r="7" spans="1:15" ht="15.75" customHeight="1" x14ac:dyDescent="0.2">
      <c r="E7" s="52"/>
      <c r="F7" s="21" t="s">
        <v>149</v>
      </c>
      <c r="G7" s="41">
        <v>241517</v>
      </c>
      <c r="H7" s="41">
        <v>11694</v>
      </c>
      <c r="I7" s="42">
        <v>4.8</v>
      </c>
    </row>
    <row r="8" spans="1:15" x14ac:dyDescent="0.2">
      <c r="E8" s="52"/>
      <c r="F8" s="21" t="s">
        <v>15</v>
      </c>
      <c r="G8" s="41">
        <v>296319</v>
      </c>
      <c r="H8" s="41">
        <v>16695</v>
      </c>
      <c r="I8" s="42">
        <v>5.6</v>
      </c>
    </row>
    <row r="9" spans="1:15" x14ac:dyDescent="0.2">
      <c r="A9" s="54" t="s">
        <v>724</v>
      </c>
      <c r="B9" s="52"/>
      <c r="E9" s="52"/>
      <c r="F9" s="21" t="s">
        <v>368</v>
      </c>
      <c r="G9" s="41">
        <v>78712</v>
      </c>
      <c r="H9" s="41">
        <v>3320</v>
      </c>
      <c r="I9" s="42">
        <v>4.2</v>
      </c>
    </row>
    <row r="10" spans="1:15" x14ac:dyDescent="0.2">
      <c r="A10" t="s">
        <v>725</v>
      </c>
      <c r="E10" s="52"/>
      <c r="F10" s="21" t="s">
        <v>279</v>
      </c>
      <c r="G10" s="41">
        <v>239088</v>
      </c>
      <c r="H10" s="41">
        <v>7130</v>
      </c>
      <c r="I10" s="42">
        <v>3</v>
      </c>
    </row>
    <row r="11" spans="1:15" x14ac:dyDescent="0.2">
      <c r="A11" t="s">
        <v>727</v>
      </c>
      <c r="E11" s="52"/>
      <c r="F11" s="21" t="s">
        <v>240</v>
      </c>
      <c r="G11" s="41">
        <v>62181</v>
      </c>
      <c r="H11" s="41">
        <v>3713</v>
      </c>
      <c r="I11" s="42">
        <v>6</v>
      </c>
    </row>
    <row r="12" spans="1:15" x14ac:dyDescent="0.2">
      <c r="A12" t="s">
        <v>728</v>
      </c>
      <c r="E12" s="52"/>
      <c r="F12" s="21" t="s">
        <v>249</v>
      </c>
      <c r="G12" s="41">
        <v>150409</v>
      </c>
      <c r="H12" s="41">
        <v>6711</v>
      </c>
      <c r="I12" s="42">
        <v>4.5</v>
      </c>
    </row>
    <row r="13" spans="1:15" x14ac:dyDescent="0.2">
      <c r="A13" t="s">
        <v>729</v>
      </c>
      <c r="E13" s="52"/>
      <c r="F13" s="21" t="s">
        <v>301</v>
      </c>
      <c r="G13" s="41">
        <v>781837</v>
      </c>
      <c r="H13" s="41">
        <v>23744</v>
      </c>
      <c r="I13" s="42">
        <v>3</v>
      </c>
    </row>
    <row r="14" spans="1:15" x14ac:dyDescent="0.2">
      <c r="A14" t="s">
        <v>730</v>
      </c>
      <c r="E14" s="52"/>
      <c r="F14" s="21" t="s">
        <v>993</v>
      </c>
      <c r="G14" s="41">
        <v>1850063</v>
      </c>
      <c r="H14" s="41">
        <v>73007</v>
      </c>
      <c r="I14" s="42">
        <v>3.9</v>
      </c>
    </row>
    <row r="15" spans="1:15" x14ac:dyDescent="0.2">
      <c r="A15" t="s">
        <v>732</v>
      </c>
      <c r="E15" s="52"/>
      <c r="F15" s="21" t="s">
        <v>1078</v>
      </c>
      <c r="G15" s="41">
        <v>8964773</v>
      </c>
      <c r="H15" s="41">
        <v>478417</v>
      </c>
      <c r="I15" s="42">
        <v>5.3</v>
      </c>
    </row>
    <row r="16" spans="1:15" x14ac:dyDescent="0.2">
      <c r="E16" s="52"/>
      <c r="F16" s="21" t="s">
        <v>717</v>
      </c>
      <c r="G16" s="41">
        <v>15737168</v>
      </c>
      <c r="H16" s="41">
        <v>607728</v>
      </c>
      <c r="I16" s="42">
        <v>3.9</v>
      </c>
    </row>
    <row r="17" spans="1:5" x14ac:dyDescent="0.2">
      <c r="E17" s="52"/>
    </row>
    <row r="18" spans="1:5" x14ac:dyDescent="0.2">
      <c r="A18" s="54" t="s">
        <v>735</v>
      </c>
      <c r="B18" s="52"/>
      <c r="E18" s="52"/>
    </row>
    <row r="19" spans="1:5" x14ac:dyDescent="0.2">
      <c r="A19" t="s">
        <v>736</v>
      </c>
      <c r="E19" s="52"/>
    </row>
    <row r="20" spans="1:5" x14ac:dyDescent="0.2">
      <c r="A20" t="s">
        <v>738</v>
      </c>
      <c r="E20" s="52"/>
    </row>
    <row r="21" spans="1:5" x14ac:dyDescent="0.2">
      <c r="A21" t="s">
        <v>740</v>
      </c>
      <c r="E21" s="52"/>
    </row>
    <row r="22" spans="1:5" x14ac:dyDescent="0.2">
      <c r="A22" t="s">
        <v>741</v>
      </c>
      <c r="E22" s="52"/>
    </row>
    <row r="23" spans="1:5" x14ac:dyDescent="0.2">
      <c r="A23" t="s">
        <v>743</v>
      </c>
      <c r="E23" s="52"/>
    </row>
    <row r="24" spans="1:5" x14ac:dyDescent="0.2">
      <c r="A24" t="s">
        <v>745</v>
      </c>
      <c r="E24" s="52"/>
    </row>
    <row r="25" spans="1:5" x14ac:dyDescent="0.2">
      <c r="A25" t="s">
        <v>746</v>
      </c>
      <c r="E25" s="52"/>
    </row>
    <row r="26" spans="1:5" x14ac:dyDescent="0.2">
      <c r="E26" s="52"/>
    </row>
    <row r="27" spans="1:5" x14ac:dyDescent="0.2">
      <c r="A27" s="55" t="s">
        <v>747</v>
      </c>
      <c r="B27" s="52"/>
      <c r="E27" s="52"/>
    </row>
    <row r="28" spans="1:5" x14ac:dyDescent="0.2">
      <c r="E28" s="52"/>
    </row>
    <row r="29" spans="1:5" x14ac:dyDescent="0.2">
      <c r="E29" s="52"/>
    </row>
    <row r="30" spans="1:5" x14ac:dyDescent="0.2">
      <c r="E30" s="52"/>
    </row>
    <row r="31" spans="1:5" x14ac:dyDescent="0.2">
      <c r="E31" s="52"/>
    </row>
    <row r="32" spans="1:5"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7">
    <mergeCell ref="B1:O1"/>
    <mergeCell ref="A5:B5"/>
    <mergeCell ref="E5:E57"/>
    <mergeCell ref="A9:B9"/>
    <mergeCell ref="A18:B18"/>
    <mergeCell ref="A27:B27"/>
    <mergeCell ref="H5:I5"/>
  </mergeCells>
  <dataValidations count="4">
    <dataValidation type="list" allowBlank="1" showInputMessage="1" showErrorMessage="1" sqref="G4:O4" xr:uid="{6D0EA40B-E917-EB4C-B4F3-C8749B4639BB}">
      <formula1>"integer, number, percent1"</formula1>
    </dataValidation>
    <dataValidation type="list" allowBlank="1" showInputMessage="1" showErrorMessage="1" sqref="B10" xr:uid="{AC798627-9AF8-5A4E-B13F-B3C7076B1677}">
      <formula1>"Line,Clustered Bar,Stacked Bar"</formula1>
    </dataValidation>
    <dataValidation type="list" allowBlank="1" showInputMessage="1" showErrorMessage="1" sqref="B2" xr:uid="{E2D62C64-7AE9-AD44-B6CD-D791F0AC169F}">
      <formula1>"Table,Figure,Both"</formula1>
    </dataValidation>
    <dataValidation type="list" allowBlank="1" showInputMessage="1" showErrorMessage="1" sqref="B6 B15" xr:uid="{75C420FD-7B47-1644-B140-7C8FA38B4B2E}">
      <formula1>"True,False"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8DD9DF85-E7B4-B749-814A-F3449E4B17EB}">
          <x14:formula1>
            <xm:f>Master!$E$2:$E$290</xm:f>
          </x14:formula1>
          <xm:sqref>B1:O1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3C13-4CD1-494C-8004-8393FF46CEB1}">
  <dimension ref="A1:O57"/>
  <sheetViews>
    <sheetView workbookViewId="0">
      <selection activeCell="B4" sqref="B4"/>
    </sheetView>
  </sheetViews>
  <sheetFormatPr baseColWidth="10" defaultColWidth="8.83203125" defaultRowHeight="15" x14ac:dyDescent="0.2"/>
  <cols>
    <col min="1" max="1" width="20" bestFit="1" customWidth="1"/>
    <col min="2" max="2" width="16.83203125" customWidth="1"/>
    <col min="5" max="5" width="6.83203125" customWidth="1"/>
    <col min="7" max="7" width="19" bestFit="1" customWidth="1"/>
    <col min="8" max="8" width="13.33203125" bestFit="1" customWidth="1"/>
    <col min="9" max="9" width="12.33203125" bestFit="1" customWidth="1"/>
    <col min="10" max="10" width="14.6640625" bestFit="1" customWidth="1"/>
    <col min="11" max="11" width="16.33203125" bestFit="1" customWidth="1"/>
    <col min="12" max="12" width="14" bestFit="1" customWidth="1"/>
    <col min="13" max="13" width="21.5" bestFit="1" customWidth="1"/>
    <col min="14" max="14" width="12.33203125" bestFit="1" customWidth="1"/>
    <col min="15" max="15" width="11" bestFit="1" customWidth="1"/>
  </cols>
  <sheetData>
    <row r="1" spans="1:15" x14ac:dyDescent="0.2">
      <c r="A1" s="3" t="s">
        <v>710</v>
      </c>
      <c r="B1" s="51" t="s">
        <v>42</v>
      </c>
      <c r="C1" s="52"/>
      <c r="D1" s="52"/>
      <c r="E1" s="52"/>
      <c r="F1" s="52"/>
      <c r="G1" s="52"/>
      <c r="H1" s="52"/>
      <c r="I1" s="52"/>
      <c r="J1" s="52"/>
      <c r="K1" s="52"/>
      <c r="L1" s="52"/>
      <c r="M1" s="52"/>
      <c r="N1" s="52"/>
      <c r="O1" s="52"/>
    </row>
    <row r="2" spans="1:15" x14ac:dyDescent="0.2">
      <c r="A2" s="3" t="s">
        <v>711</v>
      </c>
      <c r="B2" t="s">
        <v>10</v>
      </c>
    </row>
    <row r="3" spans="1:15" ht="16" x14ac:dyDescent="0.2">
      <c r="A3" s="3" t="s">
        <v>713</v>
      </c>
      <c r="B3" s="16" t="str">
        <f>IF($B$1="","",_xlfn.XLOOKUP($B$1,Master!$E$2:$E$290,Master!$F$2:$F$290,""))</f>
        <v>tbl-disability</v>
      </c>
    </row>
    <row r="4" spans="1:15" x14ac:dyDescent="0.2">
      <c r="E4" s="15"/>
      <c r="F4" s="15"/>
      <c r="G4" s="19" t="s">
        <v>1073</v>
      </c>
      <c r="H4" s="19" t="s">
        <v>1073</v>
      </c>
      <c r="I4" s="19" t="s">
        <v>1073</v>
      </c>
      <c r="J4" s="19" t="s">
        <v>1073</v>
      </c>
      <c r="K4" s="19" t="s">
        <v>1073</v>
      </c>
      <c r="L4" s="19" t="s">
        <v>1073</v>
      </c>
      <c r="M4" s="19" t="s">
        <v>1073</v>
      </c>
      <c r="N4" s="19"/>
      <c r="O4" s="19"/>
    </row>
    <row r="5" spans="1:15" x14ac:dyDescent="0.2">
      <c r="A5" s="54" t="s">
        <v>714</v>
      </c>
      <c r="B5" s="52"/>
      <c r="E5" s="53" t="s">
        <v>715</v>
      </c>
      <c r="G5" s="21" t="s">
        <v>1130</v>
      </c>
      <c r="H5" s="21" t="s">
        <v>1131</v>
      </c>
      <c r="I5" s="21" t="s">
        <v>1132</v>
      </c>
      <c r="J5" s="21" t="s">
        <v>1133</v>
      </c>
      <c r="K5" s="21" t="s">
        <v>1134</v>
      </c>
      <c r="L5" s="21" t="s">
        <v>1135</v>
      </c>
      <c r="M5" s="21" t="s">
        <v>1136</v>
      </c>
    </row>
    <row r="6" spans="1:15" ht="15" customHeight="1" x14ac:dyDescent="0.2">
      <c r="A6" t="s">
        <v>719</v>
      </c>
      <c r="B6" t="b">
        <v>0</v>
      </c>
      <c r="E6" s="52"/>
      <c r="F6" s="21" t="s">
        <v>149</v>
      </c>
      <c r="G6" s="24">
        <v>12.2</v>
      </c>
      <c r="H6" s="24">
        <v>3.5</v>
      </c>
      <c r="I6" s="24">
        <v>2</v>
      </c>
      <c r="J6" s="24">
        <v>4.7</v>
      </c>
      <c r="K6" s="24">
        <v>6.3</v>
      </c>
      <c r="L6" s="24">
        <v>2.6</v>
      </c>
      <c r="M6" s="24">
        <v>5.9</v>
      </c>
    </row>
    <row r="7" spans="1:15" ht="15.75" customHeight="1" x14ac:dyDescent="0.2">
      <c r="E7" s="52"/>
      <c r="F7" s="21" t="s">
        <v>15</v>
      </c>
      <c r="G7" s="24">
        <v>11.7</v>
      </c>
      <c r="H7" s="24">
        <v>3.2</v>
      </c>
      <c r="I7" s="24">
        <v>2.1</v>
      </c>
      <c r="J7" s="24">
        <v>5.4</v>
      </c>
      <c r="K7" s="24">
        <v>6.3</v>
      </c>
      <c r="L7" s="24">
        <v>2.9</v>
      </c>
      <c r="M7" s="24">
        <v>6.2</v>
      </c>
    </row>
    <row r="8" spans="1:15" x14ac:dyDescent="0.2">
      <c r="E8" s="52"/>
      <c r="F8" s="21" t="s">
        <v>368</v>
      </c>
      <c r="G8" s="24">
        <v>9.6</v>
      </c>
      <c r="H8" s="24">
        <v>2.8</v>
      </c>
      <c r="I8" s="24">
        <v>1.4</v>
      </c>
      <c r="J8" s="24">
        <v>3.5</v>
      </c>
      <c r="K8" s="24">
        <v>5.4</v>
      </c>
      <c r="L8" s="24">
        <v>2.4</v>
      </c>
      <c r="M8" s="24">
        <v>4.5999999999999996</v>
      </c>
    </row>
    <row r="9" spans="1:15" x14ac:dyDescent="0.2">
      <c r="A9" s="54" t="s">
        <v>724</v>
      </c>
      <c r="B9" s="52"/>
      <c r="E9" s="52"/>
      <c r="F9" s="21" t="s">
        <v>279</v>
      </c>
      <c r="G9" s="24">
        <v>8.6999999999999993</v>
      </c>
      <c r="H9" s="24">
        <v>2.7</v>
      </c>
      <c r="I9" s="24">
        <v>1.4</v>
      </c>
      <c r="J9" s="24">
        <v>3.4</v>
      </c>
      <c r="K9" s="24">
        <v>4.4000000000000004</v>
      </c>
      <c r="L9" s="24">
        <v>2.2000000000000002</v>
      </c>
      <c r="M9" s="24">
        <v>4.5</v>
      </c>
    </row>
    <row r="10" spans="1:15" x14ac:dyDescent="0.2">
      <c r="A10" t="s">
        <v>725</v>
      </c>
      <c r="E10" s="52"/>
      <c r="F10" s="21" t="s">
        <v>240</v>
      </c>
      <c r="G10" s="24">
        <v>15.9</v>
      </c>
      <c r="H10" s="24">
        <v>4.4000000000000004</v>
      </c>
      <c r="I10" s="24">
        <v>3</v>
      </c>
      <c r="J10" s="24">
        <v>6.4</v>
      </c>
      <c r="K10" s="24">
        <v>9.1</v>
      </c>
      <c r="L10" s="24">
        <v>3.7</v>
      </c>
      <c r="M10" s="24">
        <v>7.2</v>
      </c>
    </row>
    <row r="11" spans="1:15" x14ac:dyDescent="0.2">
      <c r="A11" t="s">
        <v>727</v>
      </c>
      <c r="E11" s="52"/>
      <c r="F11" s="21" t="s">
        <v>249</v>
      </c>
      <c r="G11" s="24">
        <v>14.4</v>
      </c>
      <c r="H11" s="24">
        <v>4.2</v>
      </c>
      <c r="I11" s="24">
        <v>2.2999999999999998</v>
      </c>
      <c r="J11" s="24">
        <v>5.0999999999999996</v>
      </c>
      <c r="K11" s="24">
        <v>7.4</v>
      </c>
      <c r="L11" s="24">
        <v>3</v>
      </c>
      <c r="M11" s="24">
        <v>6</v>
      </c>
    </row>
    <row r="12" spans="1:15" x14ac:dyDescent="0.2">
      <c r="A12" t="s">
        <v>728</v>
      </c>
      <c r="E12" s="52"/>
      <c r="F12" s="21" t="s">
        <v>301</v>
      </c>
      <c r="G12" s="24">
        <v>9.5</v>
      </c>
      <c r="H12" s="24">
        <v>2.5</v>
      </c>
      <c r="I12" s="24">
        <v>1.6</v>
      </c>
      <c r="J12" s="24">
        <v>3.7</v>
      </c>
      <c r="K12" s="24">
        <v>5.3</v>
      </c>
      <c r="L12" s="24">
        <v>2.2999999999999998</v>
      </c>
      <c r="M12" s="24">
        <v>4.8</v>
      </c>
    </row>
    <row r="13" spans="1:15" x14ac:dyDescent="0.2">
      <c r="A13" t="s">
        <v>729</v>
      </c>
      <c r="E13" s="52"/>
      <c r="F13" s="21" t="s">
        <v>993</v>
      </c>
      <c r="G13" s="24">
        <v>10.199999999999999</v>
      </c>
      <c r="H13" s="24">
        <v>2.8</v>
      </c>
      <c r="I13" s="24">
        <v>1.7</v>
      </c>
      <c r="J13" s="24">
        <v>3.8</v>
      </c>
      <c r="K13" s="24">
        <v>5.2</v>
      </c>
      <c r="L13" s="24">
        <v>2.2999999999999998</v>
      </c>
      <c r="M13" s="24">
        <v>3.9</v>
      </c>
    </row>
    <row r="14" spans="1:15" x14ac:dyDescent="0.2">
      <c r="A14" t="s">
        <v>730</v>
      </c>
      <c r="E14" s="52"/>
      <c r="F14" s="21" t="s">
        <v>717</v>
      </c>
      <c r="G14" s="24">
        <v>11.6</v>
      </c>
      <c r="H14" s="24">
        <v>2.8</v>
      </c>
      <c r="I14" s="24">
        <v>2.1</v>
      </c>
      <c r="J14" s="24">
        <v>4.5</v>
      </c>
      <c r="K14" s="24">
        <v>6.6</v>
      </c>
      <c r="L14" s="24">
        <v>2.7</v>
      </c>
      <c r="M14" s="24">
        <v>5.7</v>
      </c>
    </row>
    <row r="15" spans="1:15" x14ac:dyDescent="0.2">
      <c r="A15" t="s">
        <v>732</v>
      </c>
      <c r="E15" s="52"/>
    </row>
    <row r="16" spans="1:15" x14ac:dyDescent="0.2">
      <c r="E16" s="52"/>
    </row>
    <row r="17" spans="1:5" x14ac:dyDescent="0.2">
      <c r="E17" s="52"/>
    </row>
    <row r="18" spans="1:5" x14ac:dyDescent="0.2">
      <c r="A18" s="54" t="s">
        <v>735</v>
      </c>
      <c r="B18" s="52"/>
      <c r="E18" s="52"/>
    </row>
    <row r="19" spans="1:5" x14ac:dyDescent="0.2">
      <c r="A19" t="s">
        <v>736</v>
      </c>
      <c r="E19" s="52"/>
    </row>
    <row r="20" spans="1:5" x14ac:dyDescent="0.2">
      <c r="A20" t="s">
        <v>738</v>
      </c>
      <c r="E20" s="52"/>
    </row>
    <row r="21" spans="1:5" x14ac:dyDescent="0.2">
      <c r="A21" t="s">
        <v>740</v>
      </c>
      <c r="E21" s="52"/>
    </row>
    <row r="22" spans="1:5" x14ac:dyDescent="0.2">
      <c r="A22" t="s">
        <v>741</v>
      </c>
      <c r="E22" s="52"/>
    </row>
    <row r="23" spans="1:5" x14ac:dyDescent="0.2">
      <c r="A23" t="s">
        <v>743</v>
      </c>
      <c r="E23" s="52"/>
    </row>
    <row r="24" spans="1:5" x14ac:dyDescent="0.2">
      <c r="A24" t="s">
        <v>745</v>
      </c>
      <c r="E24" s="52"/>
    </row>
    <row r="25" spans="1:5" x14ac:dyDescent="0.2">
      <c r="A25" t="s">
        <v>746</v>
      </c>
      <c r="E25" s="52"/>
    </row>
    <row r="26" spans="1:5" x14ac:dyDescent="0.2">
      <c r="E26" s="52"/>
    </row>
    <row r="27" spans="1:5" x14ac:dyDescent="0.2">
      <c r="A27" s="55" t="s">
        <v>747</v>
      </c>
      <c r="B27" s="52"/>
      <c r="E27" s="52"/>
    </row>
    <row r="28" spans="1:5" x14ac:dyDescent="0.2">
      <c r="E28" s="52"/>
    </row>
    <row r="29" spans="1:5" x14ac:dyDescent="0.2">
      <c r="E29" s="52"/>
    </row>
    <row r="30" spans="1:5" x14ac:dyDescent="0.2">
      <c r="E30" s="52"/>
    </row>
    <row r="31" spans="1:5" x14ac:dyDescent="0.2">
      <c r="E31" s="52"/>
    </row>
    <row r="32" spans="1:5"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6">
    <mergeCell ref="B1:O1"/>
    <mergeCell ref="A5:B5"/>
    <mergeCell ref="E5:E57"/>
    <mergeCell ref="A9:B9"/>
    <mergeCell ref="A18:B18"/>
    <mergeCell ref="A27:B27"/>
  </mergeCells>
  <dataValidations count="4">
    <dataValidation type="list" allowBlank="1" showInputMessage="1" showErrorMessage="1" sqref="B6 B15" xr:uid="{F5D1FCA0-37F6-6540-BC45-C0FAA776F593}">
      <formula1>"True,False"</formula1>
    </dataValidation>
    <dataValidation type="list" allowBlank="1" showInputMessage="1" showErrorMessage="1" sqref="B2" xr:uid="{1B1C0C6A-1DBC-0A4F-A062-D8E4D659A2C9}">
      <formula1>"Table,Figure,Both"</formula1>
    </dataValidation>
    <dataValidation type="list" allowBlank="1" showInputMessage="1" showErrorMessage="1" sqref="B10" xr:uid="{1DD50B02-1D97-A944-92A1-E83E643F4959}">
      <formula1>"Line,Clustered Bar,Stacked Bar"</formula1>
    </dataValidation>
    <dataValidation type="list" allowBlank="1" showInputMessage="1" showErrorMessage="1" sqref="G4:O4" xr:uid="{9260ECE6-5CF1-0E4F-AB0B-219432DB1D1A}">
      <formula1>"integer, number, percent1"</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092E70B-A70E-5D48-AD9C-C5EA022762C3}">
          <x14:formula1>
            <xm:f>Master!$E$2:$E$290</xm:f>
          </x14:formula1>
          <xm:sqref>B1:O1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BCA83-04F3-CE4F-922B-EA4594D55C3E}">
  <sheetPr>
    <tabColor rgb="FF0070C0"/>
  </sheetPr>
  <dimension ref="A1"/>
  <sheetViews>
    <sheetView workbookViewId="0">
      <selection activeCell="H42" sqref="H42"/>
    </sheetView>
  </sheetViews>
  <sheetFormatPr baseColWidth="10" defaultRowHeight="15" x14ac:dyDescent="0.2"/>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7"/>
  <sheetViews>
    <sheetView workbookViewId="0">
      <selection activeCell="O29" sqref="O29"/>
    </sheetView>
  </sheetViews>
  <sheetFormatPr baseColWidth="10" defaultColWidth="8.83203125" defaultRowHeight="15" x14ac:dyDescent="0.2"/>
  <cols>
    <col min="1" max="1" width="20" bestFit="1" customWidth="1"/>
    <col min="2" max="2" width="16.83203125" customWidth="1"/>
    <col min="5" max="5" width="6.83203125" customWidth="1"/>
    <col min="7" max="7" width="9.5" customWidth="1"/>
    <col min="8" max="8" width="13.5" customWidth="1"/>
    <col min="9" max="9" width="11" customWidth="1"/>
    <col min="11" max="11" width="10.83203125" customWidth="1"/>
    <col min="12" max="12" width="12.33203125" bestFit="1" customWidth="1"/>
    <col min="14" max="14" width="12.33203125" bestFit="1" customWidth="1"/>
    <col min="15" max="15" width="11" bestFit="1" customWidth="1"/>
  </cols>
  <sheetData>
    <row r="1" spans="1:15" x14ac:dyDescent="0.2">
      <c r="A1" s="3" t="s">
        <v>710</v>
      </c>
      <c r="B1" s="51" t="s">
        <v>46</v>
      </c>
      <c r="C1" s="52"/>
      <c r="D1" s="52"/>
      <c r="E1" s="52"/>
      <c r="F1" s="52"/>
      <c r="G1" s="52"/>
      <c r="H1" s="52"/>
      <c r="I1" s="52"/>
      <c r="J1" s="52"/>
      <c r="K1" s="52"/>
      <c r="L1" s="52"/>
      <c r="M1" s="52"/>
      <c r="N1" s="52"/>
      <c r="O1" s="52"/>
    </row>
    <row r="2" spans="1:15" x14ac:dyDescent="0.2">
      <c r="A2" s="3" t="s">
        <v>711</v>
      </c>
      <c r="B2" t="s">
        <v>712</v>
      </c>
    </row>
    <row r="3" spans="1:15" x14ac:dyDescent="0.2">
      <c r="A3" s="3" t="s">
        <v>713</v>
      </c>
      <c r="B3">
        <f>IF($B$1="","",_xlfn.XLOOKUP($B$1,Master!$E$2:$E$290,Master!$F$2:$F$290,""))</f>
        <v>0</v>
      </c>
    </row>
    <row r="4" spans="1:15" x14ac:dyDescent="0.2">
      <c r="E4" s="15"/>
      <c r="F4" s="15"/>
      <c r="G4" s="15"/>
      <c r="H4" s="15"/>
      <c r="I4" s="15"/>
      <c r="J4" s="15"/>
      <c r="K4" s="15"/>
      <c r="L4" s="15"/>
      <c r="M4" s="15"/>
      <c r="N4" s="15"/>
      <c r="O4" s="15"/>
    </row>
    <row r="5" spans="1:15" x14ac:dyDescent="0.2">
      <c r="A5" s="54" t="s">
        <v>714</v>
      </c>
      <c r="B5" s="52"/>
      <c r="E5" s="53" t="s">
        <v>715</v>
      </c>
      <c r="F5" s="1" t="s">
        <v>716</v>
      </c>
      <c r="G5" s="1" t="s">
        <v>149</v>
      </c>
      <c r="H5" s="1" t="s">
        <v>15</v>
      </c>
      <c r="I5" s="1" t="s">
        <v>368</v>
      </c>
      <c r="J5" s="1" t="s">
        <v>279</v>
      </c>
      <c r="K5" s="1" t="s">
        <v>240</v>
      </c>
      <c r="L5" s="1" t="s">
        <v>249</v>
      </c>
      <c r="M5" s="1" t="s">
        <v>301</v>
      </c>
      <c r="N5" s="1" t="s">
        <v>717</v>
      </c>
      <c r="O5" s="1" t="s">
        <v>718</v>
      </c>
    </row>
    <row r="6" spans="1:15" ht="15" customHeight="1" x14ac:dyDescent="0.2">
      <c r="A6" t="s">
        <v>719</v>
      </c>
      <c r="E6" s="52"/>
      <c r="F6" t="s">
        <v>720</v>
      </c>
      <c r="G6">
        <v>63</v>
      </c>
      <c r="H6">
        <v>63.9</v>
      </c>
      <c r="I6">
        <v>65.2</v>
      </c>
      <c r="J6">
        <v>63.9</v>
      </c>
      <c r="K6">
        <v>56.1</v>
      </c>
      <c r="L6">
        <v>60.1</v>
      </c>
      <c r="M6">
        <v>65.5</v>
      </c>
      <c r="N6">
        <v>63.1</v>
      </c>
      <c r="O6">
        <v>63.6</v>
      </c>
    </row>
    <row r="7" spans="1:15" ht="15.75" customHeight="1" x14ac:dyDescent="0.2">
      <c r="A7" t="s">
        <v>721</v>
      </c>
      <c r="B7" t="s">
        <v>525</v>
      </c>
      <c r="E7" s="52"/>
      <c r="F7" t="s">
        <v>722</v>
      </c>
      <c r="G7">
        <v>62.8</v>
      </c>
      <c r="H7">
        <v>63.4</v>
      </c>
      <c r="I7">
        <v>64.7</v>
      </c>
      <c r="J7">
        <v>63.2</v>
      </c>
      <c r="K7">
        <v>58.1</v>
      </c>
      <c r="L7">
        <v>58.9</v>
      </c>
      <c r="M7">
        <v>65.2</v>
      </c>
      <c r="N7">
        <v>62.9</v>
      </c>
      <c r="O7">
        <v>63.5</v>
      </c>
    </row>
    <row r="8" spans="1:15" x14ac:dyDescent="0.2">
      <c r="E8" s="52"/>
      <c r="F8" t="s">
        <v>723</v>
      </c>
      <c r="G8">
        <v>63.3</v>
      </c>
      <c r="H8">
        <v>63.5</v>
      </c>
      <c r="I8">
        <v>64.7</v>
      </c>
      <c r="J8">
        <v>63.2</v>
      </c>
      <c r="K8">
        <v>59.1</v>
      </c>
      <c r="L8">
        <v>58.7</v>
      </c>
      <c r="M8">
        <v>65.400000000000006</v>
      </c>
      <c r="N8">
        <v>63</v>
      </c>
      <c r="O8">
        <v>63.5</v>
      </c>
    </row>
    <row r="9" spans="1:15" x14ac:dyDescent="0.2">
      <c r="A9" s="54" t="s">
        <v>724</v>
      </c>
      <c r="B9" s="52"/>
      <c r="E9" s="52"/>
    </row>
    <row r="10" spans="1:15" x14ac:dyDescent="0.2">
      <c r="A10" t="s">
        <v>725</v>
      </c>
      <c r="B10" t="s">
        <v>726</v>
      </c>
      <c r="E10" s="52"/>
    </row>
    <row r="11" spans="1:15" x14ac:dyDescent="0.2">
      <c r="A11" t="s">
        <v>727</v>
      </c>
      <c r="B11" t="s">
        <v>716</v>
      </c>
      <c r="E11" s="52"/>
    </row>
    <row r="12" spans="1:15" x14ac:dyDescent="0.2">
      <c r="A12" t="s">
        <v>728</v>
      </c>
      <c r="E12" s="52"/>
    </row>
    <row r="13" spans="1:15" x14ac:dyDescent="0.2">
      <c r="A13" t="s">
        <v>729</v>
      </c>
      <c r="E13" s="52"/>
    </row>
    <row r="14" spans="1:15" x14ac:dyDescent="0.2">
      <c r="A14" t="s">
        <v>730</v>
      </c>
      <c r="B14" t="s">
        <v>731</v>
      </c>
      <c r="E14" s="52"/>
    </row>
    <row r="15" spans="1:15" x14ac:dyDescent="0.2">
      <c r="A15" t="s">
        <v>732</v>
      </c>
      <c r="E15" s="52"/>
    </row>
    <row r="16" spans="1:15" x14ac:dyDescent="0.2">
      <c r="A16" t="s">
        <v>733</v>
      </c>
      <c r="B16" t="s">
        <v>734</v>
      </c>
      <c r="E16" s="52"/>
    </row>
    <row r="17" spans="1:5" x14ac:dyDescent="0.2">
      <c r="E17" s="52"/>
    </row>
    <row r="18" spans="1:5" x14ac:dyDescent="0.2">
      <c r="A18" s="54" t="s">
        <v>735</v>
      </c>
      <c r="B18" s="52"/>
      <c r="E18" s="52"/>
    </row>
    <row r="19" spans="1:5" x14ac:dyDescent="0.2">
      <c r="A19" t="s">
        <v>736</v>
      </c>
      <c r="B19" t="s">
        <v>737</v>
      </c>
      <c r="E19" s="52"/>
    </row>
    <row r="20" spans="1:5" x14ac:dyDescent="0.2">
      <c r="A20" t="s">
        <v>738</v>
      </c>
      <c r="B20" t="s">
        <v>739</v>
      </c>
      <c r="E20" s="52"/>
    </row>
    <row r="21" spans="1:5" x14ac:dyDescent="0.2">
      <c r="A21" t="s">
        <v>740</v>
      </c>
      <c r="B21">
        <v>2023</v>
      </c>
      <c r="E21" s="52"/>
    </row>
    <row r="22" spans="1:5" x14ac:dyDescent="0.2">
      <c r="A22" t="s">
        <v>741</v>
      </c>
      <c r="B22" t="s">
        <v>742</v>
      </c>
      <c r="E22" s="52"/>
    </row>
    <row r="23" spans="1:5" x14ac:dyDescent="0.2">
      <c r="A23" t="s">
        <v>743</v>
      </c>
      <c r="B23" t="s">
        <v>744</v>
      </c>
      <c r="E23" s="52"/>
    </row>
    <row r="24" spans="1:5" x14ac:dyDescent="0.2">
      <c r="A24" t="s">
        <v>745</v>
      </c>
      <c r="B24">
        <v>2025</v>
      </c>
      <c r="E24" s="52"/>
    </row>
    <row r="25" spans="1:5" x14ac:dyDescent="0.2">
      <c r="A25" t="s">
        <v>746</v>
      </c>
      <c r="E25" s="52"/>
    </row>
    <row r="26" spans="1:5" x14ac:dyDescent="0.2">
      <c r="E26" s="52"/>
    </row>
    <row r="27" spans="1:5" x14ac:dyDescent="0.2">
      <c r="A27" t="s">
        <v>747</v>
      </c>
      <c r="E27" s="52"/>
    </row>
    <row r="28" spans="1:5" x14ac:dyDescent="0.2">
      <c r="E28" s="52"/>
    </row>
    <row r="29" spans="1:5" x14ac:dyDescent="0.2">
      <c r="E29" s="52"/>
    </row>
    <row r="30" spans="1:5" x14ac:dyDescent="0.2">
      <c r="E30" s="52"/>
    </row>
    <row r="31" spans="1:5" x14ac:dyDescent="0.2">
      <c r="E31" s="52"/>
    </row>
    <row r="32" spans="1:5"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5">
    <mergeCell ref="B1:O1"/>
    <mergeCell ref="A9:B9"/>
    <mergeCell ref="A5:B5"/>
    <mergeCell ref="A18:B18"/>
    <mergeCell ref="E5:E57"/>
  </mergeCells>
  <dataValidations count="3">
    <dataValidation type="list" allowBlank="1" showInputMessage="1" showErrorMessage="1" sqref="B6 B15" xr:uid="{00000000-0002-0000-0200-000000000000}">
      <formula1>"True,False"</formula1>
    </dataValidation>
    <dataValidation type="list" allowBlank="1" showInputMessage="1" showErrorMessage="1" sqref="B2" xr:uid="{00000000-0002-0000-0200-000001000000}">
      <formula1>"Table,Figure,Both"</formula1>
    </dataValidation>
    <dataValidation type="list" allowBlank="1" showInputMessage="1" showErrorMessage="1" sqref="B10" xr:uid="{00000000-0002-0000-0200-000002000000}">
      <formula1>"Line,Clustered Bar,Stacked Bar"</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7"/>
  <sheetViews>
    <sheetView workbookViewId="0">
      <selection activeCell="B2" sqref="B2"/>
    </sheetView>
  </sheetViews>
  <sheetFormatPr baseColWidth="10" defaultColWidth="8.83203125" defaultRowHeight="15" x14ac:dyDescent="0.2"/>
  <cols>
    <col min="1" max="1" width="20" bestFit="1" customWidth="1"/>
    <col min="2" max="2" width="16.83203125" customWidth="1"/>
    <col min="5" max="5" width="6.83203125" customWidth="1"/>
    <col min="7" max="7" width="9.5" customWidth="1"/>
    <col min="8" max="8" width="13.5" customWidth="1"/>
    <col min="9" max="9" width="11" customWidth="1"/>
    <col min="11" max="11" width="10.83203125" customWidth="1"/>
    <col min="12" max="12" width="12.33203125" bestFit="1" customWidth="1"/>
    <col min="13" max="13" width="11" bestFit="1" customWidth="1"/>
    <col min="14" max="14" width="12.33203125" bestFit="1" customWidth="1"/>
    <col min="15" max="15" width="11" bestFit="1" customWidth="1"/>
  </cols>
  <sheetData>
    <row r="1" spans="1:15" x14ac:dyDescent="0.2">
      <c r="A1" s="3" t="s">
        <v>710</v>
      </c>
      <c r="B1" s="51" t="s">
        <v>49</v>
      </c>
      <c r="C1" s="52"/>
      <c r="D1" s="52"/>
      <c r="E1" s="52"/>
      <c r="F1" s="52"/>
      <c r="G1" s="52"/>
      <c r="H1" s="52"/>
      <c r="I1" s="52"/>
      <c r="J1" s="52"/>
      <c r="K1" s="52"/>
      <c r="L1" s="52"/>
      <c r="M1" s="52"/>
      <c r="N1" s="52"/>
      <c r="O1" s="52"/>
    </row>
    <row r="2" spans="1:15" x14ac:dyDescent="0.2">
      <c r="A2" s="3" t="s">
        <v>711</v>
      </c>
      <c r="B2" t="s">
        <v>712</v>
      </c>
    </row>
    <row r="3" spans="1:15" ht="16" customHeight="1" x14ac:dyDescent="0.2">
      <c r="A3" s="3" t="s">
        <v>713</v>
      </c>
      <c r="B3" s="16" t="s">
        <v>748</v>
      </c>
    </row>
    <row r="4" spans="1:15" x14ac:dyDescent="0.2">
      <c r="E4" s="15"/>
      <c r="F4" s="15"/>
      <c r="G4" s="15"/>
      <c r="H4" s="15"/>
      <c r="I4" s="15"/>
      <c r="J4" s="15"/>
      <c r="K4" s="15"/>
      <c r="L4" s="15"/>
      <c r="M4" s="15"/>
      <c r="N4" s="15"/>
      <c r="O4" s="15"/>
    </row>
    <row r="5" spans="1:15" x14ac:dyDescent="0.2">
      <c r="A5" s="54" t="s">
        <v>714</v>
      </c>
      <c r="B5" s="52"/>
      <c r="E5" s="53" t="s">
        <v>715</v>
      </c>
      <c r="F5" s="1" t="s">
        <v>749</v>
      </c>
      <c r="G5" s="1" t="s">
        <v>149</v>
      </c>
      <c r="H5" s="1" t="s">
        <v>15</v>
      </c>
      <c r="I5" s="1" t="s">
        <v>368</v>
      </c>
      <c r="J5" s="1" t="s">
        <v>279</v>
      </c>
      <c r="K5" s="1" t="s">
        <v>240</v>
      </c>
      <c r="L5" s="1" t="s">
        <v>249</v>
      </c>
      <c r="M5" s="1" t="s">
        <v>301</v>
      </c>
      <c r="N5" s="1" t="s">
        <v>717</v>
      </c>
      <c r="O5" s="1" t="s">
        <v>718</v>
      </c>
    </row>
    <row r="6" spans="1:15" ht="15" customHeight="1" x14ac:dyDescent="0.2">
      <c r="A6" t="s">
        <v>719</v>
      </c>
      <c r="E6" s="52"/>
      <c r="F6">
        <v>2021</v>
      </c>
      <c r="G6">
        <v>5.2</v>
      </c>
      <c r="H6">
        <v>5.4</v>
      </c>
      <c r="I6">
        <v>4.8</v>
      </c>
      <c r="J6" s="17">
        <v>6</v>
      </c>
      <c r="K6">
        <v>8</v>
      </c>
      <c r="L6">
        <v>5.0999999999999996</v>
      </c>
      <c r="M6">
        <v>6.1</v>
      </c>
      <c r="N6">
        <v>6.2</v>
      </c>
      <c r="O6">
        <v>5.5</v>
      </c>
    </row>
    <row r="7" spans="1:15" ht="15.75" customHeight="1" x14ac:dyDescent="0.2">
      <c r="A7" t="s">
        <v>721</v>
      </c>
      <c r="B7" t="s">
        <v>525</v>
      </c>
      <c r="E7" s="52"/>
      <c r="F7">
        <v>2022</v>
      </c>
      <c r="G7" s="17">
        <v>5</v>
      </c>
      <c r="H7">
        <v>5.3</v>
      </c>
      <c r="I7">
        <v>4.4000000000000004</v>
      </c>
      <c r="J7">
        <v>6.2</v>
      </c>
      <c r="K7">
        <v>7.2</v>
      </c>
      <c r="L7">
        <v>5.0999999999999996</v>
      </c>
      <c r="M7">
        <v>6</v>
      </c>
      <c r="N7">
        <v>6.2</v>
      </c>
      <c r="O7">
        <v>5.3</v>
      </c>
    </row>
    <row r="8" spans="1:15" x14ac:dyDescent="0.2">
      <c r="E8" s="52"/>
      <c r="F8">
        <v>2023</v>
      </c>
      <c r="G8">
        <v>4.8</v>
      </c>
      <c r="H8">
        <v>5.4</v>
      </c>
      <c r="I8">
        <v>4.0999999999999996</v>
      </c>
      <c r="J8">
        <v>5.9</v>
      </c>
      <c r="K8">
        <v>6.1</v>
      </c>
      <c r="L8">
        <v>5.0999999999999996</v>
      </c>
      <c r="M8">
        <v>6</v>
      </c>
      <c r="N8">
        <v>6.2</v>
      </c>
      <c r="O8">
        <v>5.2</v>
      </c>
    </row>
    <row r="9" spans="1:15" x14ac:dyDescent="0.2">
      <c r="A9" s="54" t="s">
        <v>724</v>
      </c>
      <c r="B9" s="52"/>
      <c r="E9" s="52"/>
    </row>
    <row r="10" spans="1:15" x14ac:dyDescent="0.2">
      <c r="A10" t="s">
        <v>725</v>
      </c>
      <c r="B10" t="s">
        <v>726</v>
      </c>
      <c r="E10" s="52"/>
    </row>
    <row r="11" spans="1:15" x14ac:dyDescent="0.2">
      <c r="A11" t="s">
        <v>727</v>
      </c>
      <c r="B11" t="s">
        <v>750</v>
      </c>
      <c r="E11" s="52"/>
    </row>
    <row r="12" spans="1:15" x14ac:dyDescent="0.2">
      <c r="A12" t="s">
        <v>728</v>
      </c>
      <c r="B12" t="s">
        <v>525</v>
      </c>
      <c r="E12" s="52"/>
    </row>
    <row r="13" spans="1:15" x14ac:dyDescent="0.2">
      <c r="A13" t="s">
        <v>729</v>
      </c>
      <c r="E13" s="52"/>
    </row>
    <row r="14" spans="1:15" x14ac:dyDescent="0.2">
      <c r="A14" t="s">
        <v>730</v>
      </c>
      <c r="E14" s="52"/>
    </row>
    <row r="15" spans="1:15" x14ac:dyDescent="0.2">
      <c r="A15" t="s">
        <v>732</v>
      </c>
      <c r="E15" s="52"/>
    </row>
    <row r="16" spans="1:15" x14ac:dyDescent="0.2">
      <c r="E16" s="52"/>
    </row>
    <row r="17" spans="1:5" x14ac:dyDescent="0.2">
      <c r="E17" s="52"/>
    </row>
    <row r="18" spans="1:5" x14ac:dyDescent="0.2">
      <c r="A18" s="54" t="s">
        <v>735</v>
      </c>
      <c r="B18" s="52"/>
      <c r="E18" s="52"/>
    </row>
    <row r="19" spans="1:5" x14ac:dyDescent="0.2">
      <c r="A19" t="s">
        <v>736</v>
      </c>
      <c r="B19" t="s">
        <v>737</v>
      </c>
      <c r="E19" s="52"/>
    </row>
    <row r="20" spans="1:5" x14ac:dyDescent="0.2">
      <c r="A20" t="s">
        <v>738</v>
      </c>
      <c r="B20" t="s">
        <v>739</v>
      </c>
      <c r="E20" s="52"/>
    </row>
    <row r="21" spans="1:5" x14ac:dyDescent="0.2">
      <c r="A21" t="s">
        <v>740</v>
      </c>
      <c r="B21">
        <v>2023</v>
      </c>
      <c r="E21" s="52"/>
    </row>
    <row r="22" spans="1:5" x14ac:dyDescent="0.2">
      <c r="A22" t="s">
        <v>741</v>
      </c>
      <c r="B22" t="s">
        <v>742</v>
      </c>
      <c r="E22" s="52"/>
    </row>
    <row r="23" spans="1:5" x14ac:dyDescent="0.2">
      <c r="A23" t="s">
        <v>743</v>
      </c>
      <c r="B23" t="s">
        <v>744</v>
      </c>
      <c r="E23" s="52"/>
    </row>
    <row r="24" spans="1:5" x14ac:dyDescent="0.2">
      <c r="A24" t="s">
        <v>745</v>
      </c>
      <c r="B24">
        <v>2025</v>
      </c>
      <c r="E24" s="52"/>
    </row>
    <row r="25" spans="1:5" x14ac:dyDescent="0.2">
      <c r="A25" t="s">
        <v>746</v>
      </c>
      <c r="E25" s="52"/>
    </row>
    <row r="26" spans="1:5" x14ac:dyDescent="0.2">
      <c r="E26" s="52"/>
    </row>
    <row r="27" spans="1:5" x14ac:dyDescent="0.2">
      <c r="A27" t="s">
        <v>747</v>
      </c>
      <c r="E27" s="52"/>
    </row>
    <row r="28" spans="1:5" x14ac:dyDescent="0.2">
      <c r="E28" s="52"/>
    </row>
    <row r="29" spans="1:5" x14ac:dyDescent="0.2">
      <c r="E29" s="52"/>
    </row>
    <row r="30" spans="1:5" x14ac:dyDescent="0.2">
      <c r="E30" s="52"/>
    </row>
    <row r="31" spans="1:5" x14ac:dyDescent="0.2">
      <c r="E31" s="52"/>
    </row>
    <row r="32" spans="1:5" x14ac:dyDescent="0.2">
      <c r="E32" s="52"/>
    </row>
    <row r="33" spans="5:5" x14ac:dyDescent="0.2">
      <c r="E33" s="52"/>
    </row>
    <row r="34" spans="5:5" x14ac:dyDescent="0.2">
      <c r="E34" s="52"/>
    </row>
    <row r="35" spans="5:5" x14ac:dyDescent="0.2">
      <c r="E35" s="52"/>
    </row>
    <row r="36" spans="5:5" x14ac:dyDescent="0.2">
      <c r="E36" s="52"/>
    </row>
    <row r="37" spans="5:5" x14ac:dyDescent="0.2">
      <c r="E37" s="52"/>
    </row>
    <row r="38" spans="5:5" x14ac:dyDescent="0.2">
      <c r="E38" s="52"/>
    </row>
    <row r="39" spans="5:5" x14ac:dyDescent="0.2">
      <c r="E39" s="52"/>
    </row>
    <row r="40" spans="5:5" x14ac:dyDescent="0.2">
      <c r="E40" s="52"/>
    </row>
    <row r="41" spans="5:5" x14ac:dyDescent="0.2">
      <c r="E41" s="52"/>
    </row>
    <row r="42" spans="5:5" x14ac:dyDescent="0.2">
      <c r="E42" s="52"/>
    </row>
    <row r="43" spans="5:5" x14ac:dyDescent="0.2">
      <c r="E43" s="52"/>
    </row>
    <row r="44" spans="5:5" x14ac:dyDescent="0.2">
      <c r="E44" s="52"/>
    </row>
    <row r="45" spans="5:5" x14ac:dyDescent="0.2">
      <c r="E45" s="52"/>
    </row>
    <row r="46" spans="5:5" x14ac:dyDescent="0.2">
      <c r="E46" s="52"/>
    </row>
    <row r="47" spans="5:5" x14ac:dyDescent="0.2">
      <c r="E47" s="52"/>
    </row>
    <row r="48" spans="5:5" x14ac:dyDescent="0.2">
      <c r="E48" s="52"/>
    </row>
    <row r="49" spans="5:5" x14ac:dyDescent="0.2">
      <c r="E49" s="52"/>
    </row>
    <row r="50" spans="5:5" x14ac:dyDescent="0.2">
      <c r="E50" s="52"/>
    </row>
    <row r="51" spans="5:5" x14ac:dyDescent="0.2">
      <c r="E51" s="52"/>
    </row>
    <row r="52" spans="5:5" x14ac:dyDescent="0.2">
      <c r="E52" s="52"/>
    </row>
    <row r="53" spans="5:5" x14ac:dyDescent="0.2">
      <c r="E53" s="52"/>
    </row>
    <row r="54" spans="5:5" x14ac:dyDescent="0.2">
      <c r="E54" s="52"/>
    </row>
    <row r="55" spans="5:5" x14ac:dyDescent="0.2">
      <c r="E55" s="52"/>
    </row>
    <row r="56" spans="5:5" x14ac:dyDescent="0.2">
      <c r="E56" s="52"/>
    </row>
    <row r="57" spans="5:5" x14ac:dyDescent="0.2">
      <c r="E57" s="52"/>
    </row>
  </sheetData>
  <mergeCells count="5">
    <mergeCell ref="B1:O1"/>
    <mergeCell ref="A9:B9"/>
    <mergeCell ref="A5:B5"/>
    <mergeCell ref="A18:B18"/>
    <mergeCell ref="E5:E57"/>
  </mergeCells>
  <dataValidations count="4">
    <dataValidation type="list" allowBlank="1" showInputMessage="1" showErrorMessage="1" sqref="B10" xr:uid="{00000000-0002-0000-0300-000000000000}">
      <formula1>"Line,Clustered Bar,Stacked Bar"</formula1>
    </dataValidation>
    <dataValidation type="list" allowBlank="1" showInputMessage="1" showErrorMessage="1" sqref="B2" xr:uid="{00000000-0002-0000-0300-000001000000}">
      <formula1>"Table,Figure,Both"</formula1>
    </dataValidation>
    <dataValidation type="list" allowBlank="1" showInputMessage="1" showErrorMessage="1" sqref="B6 B15" xr:uid="{00000000-0002-0000-0300-000002000000}">
      <formula1>"True,False"</formula1>
    </dataValidation>
    <dataValidation type="list" allowBlank="1" showInputMessage="1" showErrorMessage="1" sqref="B11" xr:uid="{00000000-0002-0000-0300-000003000000}">
      <formula1>"County"</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5"/>
  <sheetViews>
    <sheetView workbookViewId="0"/>
  </sheetViews>
  <sheetFormatPr baseColWidth="10" defaultColWidth="8.83203125" defaultRowHeight="15" x14ac:dyDescent="0.2"/>
  <sheetData>
    <row r="1" spans="1:14" x14ac:dyDescent="0.2">
      <c r="A1" t="s">
        <v>710</v>
      </c>
      <c r="B1" t="s">
        <v>751</v>
      </c>
    </row>
    <row r="2" spans="1:14" x14ac:dyDescent="0.2">
      <c r="A2" t="s">
        <v>711</v>
      </c>
      <c r="B2" t="s">
        <v>712</v>
      </c>
    </row>
    <row r="3" spans="1:14" x14ac:dyDescent="0.2">
      <c r="A3" t="s">
        <v>752</v>
      </c>
      <c r="B3" t="s">
        <v>753</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2020</v>
      </c>
      <c r="G6">
        <v>8.6999999999999993</v>
      </c>
      <c r="H6">
        <v>9.4</v>
      </c>
      <c r="I6">
        <v>6.3</v>
      </c>
      <c r="J6">
        <v>9.6999999999999993</v>
      </c>
      <c r="K6">
        <v>11.5</v>
      </c>
      <c r="L6">
        <v>11.3</v>
      </c>
      <c r="M6">
        <v>7.9</v>
      </c>
      <c r="N6">
        <v>9.6</v>
      </c>
    </row>
    <row r="7" spans="1:14" x14ac:dyDescent="0.2">
      <c r="A7" t="s">
        <v>721</v>
      </c>
      <c r="B7" t="s">
        <v>525</v>
      </c>
      <c r="F7">
        <v>2021</v>
      </c>
      <c r="G7">
        <v>7.2</v>
      </c>
      <c r="H7">
        <v>7.8</v>
      </c>
      <c r="I7">
        <v>5.3</v>
      </c>
      <c r="J7">
        <v>8.1999999999999993</v>
      </c>
      <c r="K7">
        <v>9.9</v>
      </c>
      <c r="L7">
        <v>9.5</v>
      </c>
      <c r="M7">
        <v>6.6</v>
      </c>
      <c r="N7">
        <v>11.4</v>
      </c>
    </row>
    <row r="8" spans="1:14" x14ac:dyDescent="0.2">
      <c r="F8">
        <v>2022</v>
      </c>
      <c r="G8">
        <v>10</v>
      </c>
      <c r="H8">
        <v>11.3</v>
      </c>
      <c r="I8">
        <v>8.4</v>
      </c>
      <c r="J8">
        <v>11</v>
      </c>
      <c r="K8">
        <v>13.1</v>
      </c>
      <c r="L8">
        <v>12.8</v>
      </c>
      <c r="M8">
        <v>9.4</v>
      </c>
      <c r="N8">
        <v>13.4</v>
      </c>
    </row>
    <row r="9" spans="1:14" x14ac:dyDescent="0.2">
      <c r="F9">
        <v>2023</v>
      </c>
      <c r="G9">
        <v>10.8</v>
      </c>
      <c r="H9">
        <v>12.1</v>
      </c>
      <c r="I9">
        <v>8.9</v>
      </c>
      <c r="J9">
        <v>12</v>
      </c>
      <c r="K9">
        <v>14</v>
      </c>
      <c r="L9">
        <v>13.2</v>
      </c>
      <c r="M9">
        <v>10.7</v>
      </c>
      <c r="N9">
        <v>14.5</v>
      </c>
    </row>
    <row r="10" spans="1:14" x14ac:dyDescent="0.2">
      <c r="A10" t="s">
        <v>724</v>
      </c>
    </row>
    <row r="11" spans="1:14" x14ac:dyDescent="0.2">
      <c r="A11" t="s">
        <v>725</v>
      </c>
      <c r="B11" t="s">
        <v>756</v>
      </c>
    </row>
    <row r="12" spans="1:14" x14ac:dyDescent="0.2">
      <c r="A12" t="s">
        <v>727</v>
      </c>
      <c r="B12" t="s">
        <v>716</v>
      </c>
    </row>
    <row r="13" spans="1:14" x14ac:dyDescent="0.2">
      <c r="A13" t="s">
        <v>728</v>
      </c>
    </row>
    <row r="14" spans="1:14" x14ac:dyDescent="0.2">
      <c r="A14" t="s">
        <v>730</v>
      </c>
      <c r="B14" t="s">
        <v>757</v>
      </c>
    </row>
    <row r="15" spans="1:14" x14ac:dyDescent="0.2">
      <c r="A15" t="s">
        <v>732</v>
      </c>
      <c r="B15" t="s">
        <v>755</v>
      </c>
    </row>
    <row r="16" spans="1:14" x14ac:dyDescent="0.2">
      <c r="A16" t="s">
        <v>733</v>
      </c>
      <c r="B16" t="s">
        <v>755</v>
      </c>
    </row>
    <row r="18" spans="1:2" x14ac:dyDescent="0.2">
      <c r="A18" t="s">
        <v>735</v>
      </c>
    </row>
    <row r="19" spans="1:2" x14ac:dyDescent="0.2">
      <c r="A19" t="s">
        <v>736</v>
      </c>
    </row>
    <row r="20" spans="1:2" x14ac:dyDescent="0.2">
      <c r="A20" t="s">
        <v>738</v>
      </c>
      <c r="B20" t="s">
        <v>758</v>
      </c>
    </row>
    <row r="21" spans="1:2" x14ac:dyDescent="0.2">
      <c r="A21" t="s">
        <v>740</v>
      </c>
      <c r="B21">
        <v>2023</v>
      </c>
    </row>
    <row r="22" spans="1:2" x14ac:dyDescent="0.2">
      <c r="A22" t="s">
        <v>741</v>
      </c>
    </row>
    <row r="23" spans="1:2" x14ac:dyDescent="0.2">
      <c r="A23" t="s">
        <v>743</v>
      </c>
      <c r="B23" t="s">
        <v>759</v>
      </c>
    </row>
    <row r="24" spans="1:2" x14ac:dyDescent="0.2">
      <c r="A24" t="s">
        <v>745</v>
      </c>
      <c r="B24">
        <v>2025</v>
      </c>
    </row>
    <row r="25" spans="1:2" x14ac:dyDescent="0.2">
      <c r="A25" t="s">
        <v>746</v>
      </c>
      <c r="B25" t="s">
        <v>760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5"/>
  <sheetViews>
    <sheetView workbookViewId="0">
      <selection activeCell="C12" sqref="C12"/>
    </sheetView>
  </sheetViews>
  <sheetFormatPr baseColWidth="10" defaultColWidth="8.83203125" defaultRowHeight="15" x14ac:dyDescent="0.2"/>
  <cols>
    <col min="1" max="1" width="17.33203125" bestFit="1" customWidth="1"/>
  </cols>
  <sheetData>
    <row r="1" spans="1:14" x14ac:dyDescent="0.2">
      <c r="A1" t="s">
        <v>710</v>
      </c>
      <c r="B1" t="s">
        <v>761</v>
      </c>
    </row>
    <row r="2" spans="1:14" x14ac:dyDescent="0.2">
      <c r="A2" t="s">
        <v>711</v>
      </c>
      <c r="B2" t="s">
        <v>712</v>
      </c>
    </row>
    <row r="3" spans="1:14" x14ac:dyDescent="0.2">
      <c r="A3" t="s">
        <v>752</v>
      </c>
      <c r="B3" t="s">
        <v>762</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2020</v>
      </c>
      <c r="G6">
        <v>11.5</v>
      </c>
      <c r="H6">
        <v>13</v>
      </c>
      <c r="I6">
        <v>7.8</v>
      </c>
      <c r="J6">
        <v>13.5</v>
      </c>
      <c r="K6">
        <v>16.5</v>
      </c>
      <c r="L6">
        <v>15.8</v>
      </c>
      <c r="M6">
        <v>10.199999999999999</v>
      </c>
      <c r="N6">
        <v>14</v>
      </c>
    </row>
    <row r="7" spans="1:14" x14ac:dyDescent="0.2">
      <c r="A7" t="s">
        <v>721</v>
      </c>
      <c r="B7" t="s">
        <v>525</v>
      </c>
      <c r="F7">
        <v>2021</v>
      </c>
      <c r="G7">
        <v>9.8000000000000007</v>
      </c>
      <c r="H7">
        <v>11</v>
      </c>
      <c r="I7">
        <v>6.5</v>
      </c>
      <c r="J7">
        <v>11.5</v>
      </c>
      <c r="K7">
        <v>14.2</v>
      </c>
      <c r="L7">
        <v>13.5</v>
      </c>
      <c r="M7">
        <v>8.9</v>
      </c>
      <c r="N7">
        <v>16</v>
      </c>
    </row>
    <row r="8" spans="1:14" x14ac:dyDescent="0.2">
      <c r="F8">
        <v>2022</v>
      </c>
      <c r="G8">
        <v>13.5</v>
      </c>
      <c r="H8">
        <v>15.8</v>
      </c>
      <c r="I8">
        <v>9.8000000000000007</v>
      </c>
      <c r="J8">
        <v>15.5</v>
      </c>
      <c r="K8">
        <v>18.5</v>
      </c>
      <c r="L8">
        <v>17.8</v>
      </c>
      <c r="M8">
        <v>12.8</v>
      </c>
      <c r="N8">
        <v>19</v>
      </c>
    </row>
    <row r="9" spans="1:14" x14ac:dyDescent="0.2">
      <c r="F9">
        <v>2023</v>
      </c>
      <c r="G9">
        <v>14.8</v>
      </c>
      <c r="H9">
        <v>16.8</v>
      </c>
      <c r="I9">
        <v>6.6</v>
      </c>
      <c r="J9">
        <v>16.5</v>
      </c>
      <c r="K9">
        <v>19.899999999999999</v>
      </c>
      <c r="L9">
        <v>18.5</v>
      </c>
      <c r="M9">
        <v>14</v>
      </c>
      <c r="N9">
        <v>20.5</v>
      </c>
    </row>
    <row r="10" spans="1:14" x14ac:dyDescent="0.2">
      <c r="A10" t="s">
        <v>724</v>
      </c>
    </row>
    <row r="11" spans="1:14" x14ac:dyDescent="0.2">
      <c r="A11" t="s">
        <v>725</v>
      </c>
      <c r="B11" t="s">
        <v>756</v>
      </c>
    </row>
    <row r="12" spans="1:14" x14ac:dyDescent="0.2">
      <c r="A12" t="s">
        <v>727</v>
      </c>
      <c r="B12" t="s">
        <v>716</v>
      </c>
    </row>
    <row r="13" spans="1:14" x14ac:dyDescent="0.2">
      <c r="A13" t="s">
        <v>728</v>
      </c>
    </row>
    <row r="14" spans="1:14" x14ac:dyDescent="0.2">
      <c r="A14" t="s">
        <v>730</v>
      </c>
      <c r="B14" t="s">
        <v>763</v>
      </c>
    </row>
    <row r="15" spans="1:14" x14ac:dyDescent="0.2">
      <c r="A15" t="s">
        <v>732</v>
      </c>
      <c r="B15" t="s">
        <v>755</v>
      </c>
    </row>
    <row r="16" spans="1:14" x14ac:dyDescent="0.2">
      <c r="A16" t="s">
        <v>733</v>
      </c>
      <c r="B16" t="s">
        <v>755</v>
      </c>
    </row>
    <row r="18" spans="1:2" x14ac:dyDescent="0.2">
      <c r="A18" t="s">
        <v>735</v>
      </c>
    </row>
    <row r="19" spans="1:2" x14ac:dyDescent="0.2">
      <c r="A19" t="s">
        <v>736</v>
      </c>
    </row>
    <row r="20" spans="1:2" x14ac:dyDescent="0.2">
      <c r="A20" t="s">
        <v>738</v>
      </c>
      <c r="B20" t="s">
        <v>758</v>
      </c>
    </row>
    <row r="21" spans="1:2" x14ac:dyDescent="0.2">
      <c r="A21" t="s">
        <v>740</v>
      </c>
      <c r="B21">
        <v>2023</v>
      </c>
    </row>
    <row r="22" spans="1:2" x14ac:dyDescent="0.2">
      <c r="A22" t="s">
        <v>741</v>
      </c>
    </row>
    <row r="23" spans="1:2" x14ac:dyDescent="0.2">
      <c r="A23" t="s">
        <v>743</v>
      </c>
      <c r="B23" t="s">
        <v>759</v>
      </c>
    </row>
    <row r="24" spans="1:2" x14ac:dyDescent="0.2">
      <c r="A24" t="s">
        <v>745</v>
      </c>
      <c r="B24">
        <v>2025</v>
      </c>
    </row>
    <row r="25" spans="1:2" x14ac:dyDescent="0.2">
      <c r="A25" t="s">
        <v>746</v>
      </c>
      <c r="B25" t="s">
        <v>760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4"/>
  <sheetViews>
    <sheetView workbookViewId="0"/>
  </sheetViews>
  <sheetFormatPr baseColWidth="10" defaultColWidth="8.83203125" defaultRowHeight="15" x14ac:dyDescent="0.2"/>
  <sheetData>
    <row r="1" spans="1:14" x14ac:dyDescent="0.2">
      <c r="A1" t="s">
        <v>710</v>
      </c>
      <c r="B1" t="s">
        <v>764</v>
      </c>
    </row>
    <row r="2" spans="1:14" x14ac:dyDescent="0.2">
      <c r="A2" t="s">
        <v>711</v>
      </c>
      <c r="B2" t="s">
        <v>712</v>
      </c>
    </row>
    <row r="3" spans="1:14" x14ac:dyDescent="0.2">
      <c r="A3" t="s">
        <v>752</v>
      </c>
      <c r="B3" t="s">
        <v>765</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2021</v>
      </c>
      <c r="G6">
        <v>52.3</v>
      </c>
      <c r="H6">
        <v>56.5</v>
      </c>
      <c r="I6">
        <v>52.7</v>
      </c>
      <c r="J6">
        <v>58.3</v>
      </c>
      <c r="K6">
        <v>48</v>
      </c>
      <c r="L6">
        <v>55.3</v>
      </c>
      <c r="M6">
        <v>53.2</v>
      </c>
      <c r="N6">
        <v>51.6</v>
      </c>
    </row>
    <row r="7" spans="1:14" x14ac:dyDescent="0.2">
      <c r="A7" t="s">
        <v>721</v>
      </c>
      <c r="B7" t="s">
        <v>525</v>
      </c>
      <c r="F7">
        <v>2022</v>
      </c>
      <c r="G7">
        <v>52.4</v>
      </c>
      <c r="H7">
        <v>56.1</v>
      </c>
      <c r="I7">
        <v>53.2</v>
      </c>
      <c r="J7">
        <v>58.9</v>
      </c>
      <c r="K7">
        <v>48.4</v>
      </c>
      <c r="L7">
        <v>55.3</v>
      </c>
      <c r="M7">
        <v>53.5</v>
      </c>
      <c r="N7">
        <v>51.7</v>
      </c>
    </row>
    <row r="8" spans="1:14" x14ac:dyDescent="0.2">
      <c r="F8">
        <v>2023</v>
      </c>
      <c r="G8">
        <v>52</v>
      </c>
      <c r="H8">
        <v>56.2</v>
      </c>
      <c r="I8">
        <v>56.5</v>
      </c>
      <c r="J8">
        <v>59.6</v>
      </c>
      <c r="K8">
        <v>48.7</v>
      </c>
      <c r="L8">
        <v>56.6</v>
      </c>
      <c r="M8">
        <v>53</v>
      </c>
      <c r="N8">
        <v>51.5</v>
      </c>
    </row>
    <row r="9" spans="1:14" x14ac:dyDescent="0.2">
      <c r="A9" t="s">
        <v>724</v>
      </c>
    </row>
    <row r="10" spans="1:14" x14ac:dyDescent="0.2">
      <c r="A10" t="s">
        <v>725</v>
      </c>
      <c r="B10" t="s">
        <v>726</v>
      </c>
    </row>
    <row r="11" spans="1:14" x14ac:dyDescent="0.2">
      <c r="A11" t="s">
        <v>727</v>
      </c>
      <c r="B11" t="s">
        <v>716</v>
      </c>
    </row>
    <row r="12" spans="1:14" x14ac:dyDescent="0.2">
      <c r="A12" t="s">
        <v>728</v>
      </c>
    </row>
    <row r="13" spans="1:14" x14ac:dyDescent="0.2">
      <c r="A13" t="s">
        <v>730</v>
      </c>
      <c r="B13" t="s">
        <v>766</v>
      </c>
    </row>
    <row r="14" spans="1:14" x14ac:dyDescent="0.2">
      <c r="A14" t="s">
        <v>732</v>
      </c>
      <c r="B14" t="s">
        <v>755</v>
      </c>
    </row>
    <row r="15" spans="1:14" x14ac:dyDescent="0.2">
      <c r="A15" t="s">
        <v>733</v>
      </c>
      <c r="B15" t="s">
        <v>734</v>
      </c>
    </row>
    <row r="17" spans="1:2" x14ac:dyDescent="0.2">
      <c r="A17" t="s">
        <v>735</v>
      </c>
    </row>
    <row r="18" spans="1:2" x14ac:dyDescent="0.2">
      <c r="A18" t="s">
        <v>736</v>
      </c>
      <c r="B18" t="s">
        <v>767</v>
      </c>
    </row>
    <row r="19" spans="1:2" x14ac:dyDescent="0.2">
      <c r="A19" t="s">
        <v>738</v>
      </c>
      <c r="B19" t="s">
        <v>768</v>
      </c>
    </row>
    <row r="20" spans="1:2" x14ac:dyDescent="0.2">
      <c r="A20" t="s">
        <v>740</v>
      </c>
      <c r="B20">
        <v>2023</v>
      </c>
    </row>
    <row r="21" spans="1:2" x14ac:dyDescent="0.2">
      <c r="A21" t="s">
        <v>741</v>
      </c>
      <c r="B21" t="s">
        <v>742</v>
      </c>
    </row>
    <row r="22" spans="1:2" x14ac:dyDescent="0.2">
      <c r="A22" t="s">
        <v>743</v>
      </c>
      <c r="B22" t="s">
        <v>744</v>
      </c>
    </row>
    <row r="23" spans="1:2" x14ac:dyDescent="0.2">
      <c r="A23" t="s">
        <v>745</v>
      </c>
      <c r="B23">
        <v>2025</v>
      </c>
    </row>
    <row r="24" spans="1:2" x14ac:dyDescent="0.2">
      <c r="A24" t="s">
        <v>746</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5"/>
  <sheetViews>
    <sheetView workbookViewId="0"/>
  </sheetViews>
  <sheetFormatPr baseColWidth="10" defaultColWidth="8.83203125" defaultRowHeight="15" x14ac:dyDescent="0.2"/>
  <sheetData>
    <row r="1" spans="1:14" x14ac:dyDescent="0.2">
      <c r="A1" t="s">
        <v>710</v>
      </c>
      <c r="B1" t="s">
        <v>769</v>
      </c>
    </row>
    <row r="2" spans="1:14" x14ac:dyDescent="0.2">
      <c r="A2" t="s">
        <v>711</v>
      </c>
      <c r="B2" t="s">
        <v>712</v>
      </c>
    </row>
    <row r="3" spans="1:14" x14ac:dyDescent="0.2">
      <c r="A3" t="s">
        <v>752</v>
      </c>
      <c r="B3" t="s">
        <v>770</v>
      </c>
    </row>
    <row r="5" spans="1:14" x14ac:dyDescent="0.2">
      <c r="A5" t="s">
        <v>714</v>
      </c>
      <c r="E5" t="s">
        <v>754</v>
      </c>
      <c r="F5" t="s">
        <v>771</v>
      </c>
      <c r="G5" t="s">
        <v>149</v>
      </c>
      <c r="H5" t="s">
        <v>15</v>
      </c>
      <c r="I5" t="s">
        <v>368</v>
      </c>
      <c r="J5" t="s">
        <v>279</v>
      </c>
      <c r="K5" t="s">
        <v>240</v>
      </c>
      <c r="L5" t="s">
        <v>249</v>
      </c>
      <c r="M5" t="s">
        <v>301</v>
      </c>
      <c r="N5" t="s">
        <v>717</v>
      </c>
    </row>
    <row r="6" spans="1:14" x14ac:dyDescent="0.2">
      <c r="A6" t="s">
        <v>719</v>
      </c>
      <c r="B6" t="s">
        <v>755</v>
      </c>
      <c r="F6" t="s">
        <v>772</v>
      </c>
      <c r="G6">
        <v>16</v>
      </c>
      <c r="H6">
        <v>19</v>
      </c>
      <c r="I6">
        <v>16</v>
      </c>
      <c r="J6">
        <v>22</v>
      </c>
      <c r="K6">
        <v>14</v>
      </c>
      <c r="L6">
        <v>18</v>
      </c>
      <c r="M6">
        <v>20</v>
      </c>
      <c r="N6">
        <v>19</v>
      </c>
    </row>
    <row r="7" spans="1:14" x14ac:dyDescent="0.2">
      <c r="A7" t="s">
        <v>721</v>
      </c>
      <c r="B7" t="s">
        <v>525</v>
      </c>
      <c r="F7" t="s">
        <v>773</v>
      </c>
      <c r="G7">
        <v>16</v>
      </c>
      <c r="H7">
        <v>19</v>
      </c>
      <c r="I7">
        <v>16</v>
      </c>
      <c r="J7">
        <v>22</v>
      </c>
      <c r="K7">
        <v>15</v>
      </c>
      <c r="L7">
        <v>18</v>
      </c>
      <c r="M7">
        <v>19</v>
      </c>
      <c r="N7">
        <v>19</v>
      </c>
    </row>
    <row r="8" spans="1:14" x14ac:dyDescent="0.2">
      <c r="F8" t="s">
        <v>774</v>
      </c>
      <c r="G8">
        <v>16</v>
      </c>
      <c r="H8">
        <v>20</v>
      </c>
      <c r="I8">
        <v>16</v>
      </c>
      <c r="J8">
        <v>22</v>
      </c>
      <c r="K8">
        <v>15</v>
      </c>
      <c r="L8">
        <v>18</v>
      </c>
      <c r="M8">
        <v>20</v>
      </c>
      <c r="N8">
        <v>19</v>
      </c>
    </row>
    <row r="9" spans="1:14" x14ac:dyDescent="0.2">
      <c r="F9" t="s">
        <v>775</v>
      </c>
      <c r="G9">
        <v>16</v>
      </c>
      <c r="H9">
        <v>20</v>
      </c>
      <c r="I9">
        <v>17</v>
      </c>
      <c r="J9">
        <v>22</v>
      </c>
      <c r="K9">
        <v>15</v>
      </c>
      <c r="L9">
        <v>18</v>
      </c>
      <c r="M9">
        <v>19</v>
      </c>
      <c r="N9">
        <v>19</v>
      </c>
    </row>
    <row r="10" spans="1:14" x14ac:dyDescent="0.2">
      <c r="A10" t="s">
        <v>724</v>
      </c>
    </row>
    <row r="11" spans="1:14" x14ac:dyDescent="0.2">
      <c r="A11" t="s">
        <v>725</v>
      </c>
      <c r="B11" t="s">
        <v>726</v>
      </c>
    </row>
    <row r="12" spans="1:14" x14ac:dyDescent="0.2">
      <c r="A12" t="s">
        <v>727</v>
      </c>
      <c r="B12" t="s">
        <v>771</v>
      </c>
    </row>
    <row r="13" spans="1:14" x14ac:dyDescent="0.2">
      <c r="A13" t="s">
        <v>728</v>
      </c>
    </row>
    <row r="14" spans="1:14" x14ac:dyDescent="0.2">
      <c r="A14" t="s">
        <v>730</v>
      </c>
      <c r="B14" t="s">
        <v>776</v>
      </c>
    </row>
    <row r="15" spans="1:14" x14ac:dyDescent="0.2">
      <c r="A15" t="s">
        <v>732</v>
      </c>
      <c r="B15" t="s">
        <v>755</v>
      </c>
    </row>
    <row r="16" spans="1:14" x14ac:dyDescent="0.2">
      <c r="A16" t="s">
        <v>733</v>
      </c>
      <c r="B16" t="s">
        <v>734</v>
      </c>
    </row>
    <row r="18" spans="1:2" x14ac:dyDescent="0.2">
      <c r="A18" t="s">
        <v>735</v>
      </c>
    </row>
    <row r="19" spans="1:2" x14ac:dyDescent="0.2">
      <c r="A19" t="s">
        <v>736</v>
      </c>
    </row>
    <row r="20" spans="1:2" x14ac:dyDescent="0.2">
      <c r="A20" t="s">
        <v>738</v>
      </c>
      <c r="B20" t="s">
        <v>777</v>
      </c>
    </row>
    <row r="21" spans="1:2" x14ac:dyDescent="0.2">
      <c r="A21" t="s">
        <v>740</v>
      </c>
      <c r="B21">
        <v>2023</v>
      </c>
    </row>
    <row r="22" spans="1:2" x14ac:dyDescent="0.2">
      <c r="A22" t="s">
        <v>741</v>
      </c>
    </row>
    <row r="23" spans="1:2" x14ac:dyDescent="0.2">
      <c r="A23" t="s">
        <v>743</v>
      </c>
      <c r="B23" t="s">
        <v>744</v>
      </c>
    </row>
    <row r="24" spans="1:2" x14ac:dyDescent="0.2">
      <c r="A24" t="s">
        <v>745</v>
      </c>
      <c r="B24">
        <v>2025</v>
      </c>
    </row>
    <row r="25" spans="1:2" x14ac:dyDescent="0.2">
      <c r="A25" t="s">
        <v>746</v>
      </c>
      <c r="B25" t="s">
        <v>778</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5"/>
  <sheetViews>
    <sheetView workbookViewId="0"/>
  </sheetViews>
  <sheetFormatPr baseColWidth="10" defaultColWidth="8.83203125" defaultRowHeight="15" x14ac:dyDescent="0.2"/>
  <sheetData>
    <row r="1" spans="1:14" x14ac:dyDescent="0.2">
      <c r="A1" t="s">
        <v>710</v>
      </c>
      <c r="B1" t="s">
        <v>779</v>
      </c>
    </row>
    <row r="2" spans="1:14" x14ac:dyDescent="0.2">
      <c r="A2" t="s">
        <v>711</v>
      </c>
      <c r="B2" t="s">
        <v>712</v>
      </c>
    </row>
    <row r="3" spans="1:14" x14ac:dyDescent="0.2">
      <c r="A3" t="s">
        <v>752</v>
      </c>
      <c r="B3" t="s">
        <v>780</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2021</v>
      </c>
      <c r="G6">
        <v>7442</v>
      </c>
      <c r="H6">
        <v>18258</v>
      </c>
      <c r="I6">
        <v>945</v>
      </c>
      <c r="J6">
        <v>21732</v>
      </c>
      <c r="K6">
        <v>5018</v>
      </c>
      <c r="L6">
        <v>5484</v>
      </c>
      <c r="M6">
        <v>40230</v>
      </c>
      <c r="N6">
        <v>1025652</v>
      </c>
    </row>
    <row r="7" spans="1:14" x14ac:dyDescent="0.2">
      <c r="A7" t="s">
        <v>721</v>
      </c>
      <c r="B7" t="s">
        <v>781</v>
      </c>
      <c r="F7">
        <v>2022</v>
      </c>
      <c r="G7">
        <v>7641</v>
      </c>
      <c r="H7">
        <v>18745</v>
      </c>
      <c r="I7">
        <v>929</v>
      </c>
      <c r="J7">
        <v>22170</v>
      </c>
      <c r="K7">
        <v>5228</v>
      </c>
      <c r="L7">
        <v>5479</v>
      </c>
      <c r="M7">
        <v>40412</v>
      </c>
      <c r="N7">
        <v>985104</v>
      </c>
    </row>
    <row r="8" spans="1:14" x14ac:dyDescent="0.2">
      <c r="F8">
        <v>2023</v>
      </c>
      <c r="G8">
        <v>7630</v>
      </c>
      <c r="H8">
        <v>19000</v>
      </c>
      <c r="I8">
        <v>992</v>
      </c>
      <c r="J8">
        <v>23411</v>
      </c>
      <c r="K8">
        <v>4846</v>
      </c>
      <c r="L8">
        <v>5418</v>
      </c>
      <c r="M8">
        <v>40415</v>
      </c>
      <c r="N8">
        <v>987957</v>
      </c>
    </row>
    <row r="9" spans="1:14" x14ac:dyDescent="0.2">
      <c r="F9">
        <v>2024</v>
      </c>
      <c r="G9">
        <v>7484</v>
      </c>
      <c r="H9">
        <v>19129</v>
      </c>
      <c r="I9">
        <v>1012</v>
      </c>
      <c r="J9">
        <v>23735</v>
      </c>
      <c r="K9">
        <v>4445</v>
      </c>
      <c r="L9">
        <v>4980</v>
      </c>
      <c r="M9">
        <v>40137</v>
      </c>
      <c r="N9">
        <v>1000730</v>
      </c>
    </row>
    <row r="10" spans="1:14" x14ac:dyDescent="0.2">
      <c r="A10" t="s">
        <v>724</v>
      </c>
    </row>
    <row r="11" spans="1:14" x14ac:dyDescent="0.2">
      <c r="A11" t="s">
        <v>725</v>
      </c>
      <c r="B11" t="s">
        <v>726</v>
      </c>
    </row>
    <row r="12" spans="1:14" x14ac:dyDescent="0.2">
      <c r="A12" t="s">
        <v>727</v>
      </c>
      <c r="B12" t="s">
        <v>716</v>
      </c>
    </row>
    <row r="13" spans="1:14" x14ac:dyDescent="0.2">
      <c r="A13" t="s">
        <v>728</v>
      </c>
    </row>
    <row r="14" spans="1:14" x14ac:dyDescent="0.2">
      <c r="A14" t="s">
        <v>730</v>
      </c>
      <c r="B14" t="s">
        <v>782</v>
      </c>
    </row>
    <row r="15" spans="1:14" x14ac:dyDescent="0.2">
      <c r="A15" t="s">
        <v>732</v>
      </c>
      <c r="B15" t="s">
        <v>734</v>
      </c>
    </row>
    <row r="16" spans="1:14" x14ac:dyDescent="0.2">
      <c r="A16" t="s">
        <v>733</v>
      </c>
      <c r="B16" t="s">
        <v>734</v>
      </c>
    </row>
    <row r="18" spans="1:2" x14ac:dyDescent="0.2">
      <c r="A18" t="s">
        <v>735</v>
      </c>
    </row>
    <row r="19" spans="1:2" x14ac:dyDescent="0.2">
      <c r="A19" t="s">
        <v>736</v>
      </c>
    </row>
    <row r="20" spans="1:2" x14ac:dyDescent="0.2">
      <c r="A20" t="s">
        <v>738</v>
      </c>
      <c r="B20" t="s">
        <v>783</v>
      </c>
    </row>
    <row r="21" spans="1:2" x14ac:dyDescent="0.2">
      <c r="A21" t="s">
        <v>740</v>
      </c>
      <c r="B21">
        <v>2024</v>
      </c>
    </row>
    <row r="22" spans="1:2" x14ac:dyDescent="0.2">
      <c r="A22" t="s">
        <v>741</v>
      </c>
    </row>
    <row r="23" spans="1:2" x14ac:dyDescent="0.2">
      <c r="A23" t="s">
        <v>743</v>
      </c>
      <c r="B23" t="s">
        <v>784</v>
      </c>
    </row>
    <row r="24" spans="1:2" x14ac:dyDescent="0.2">
      <c r="A24" t="s">
        <v>745</v>
      </c>
      <c r="B24">
        <v>2025</v>
      </c>
    </row>
    <row r="25" spans="1:2" x14ac:dyDescent="0.2">
      <c r="A25" t="s">
        <v>746</v>
      </c>
      <c r="B25" t="s">
        <v>785</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6"/>
  <sheetViews>
    <sheetView workbookViewId="0"/>
  </sheetViews>
  <sheetFormatPr baseColWidth="10" defaultColWidth="8.83203125" defaultRowHeight="15" x14ac:dyDescent="0.2"/>
  <sheetData>
    <row r="1" spans="1:16" x14ac:dyDescent="0.2">
      <c r="A1" t="s">
        <v>710</v>
      </c>
      <c r="B1" t="s">
        <v>65</v>
      </c>
    </row>
    <row r="2" spans="1:16" x14ac:dyDescent="0.2">
      <c r="A2" t="s">
        <v>711</v>
      </c>
      <c r="B2" t="s">
        <v>10</v>
      </c>
    </row>
    <row r="3" spans="1:16" x14ac:dyDescent="0.2">
      <c r="A3" t="s">
        <v>752</v>
      </c>
      <c r="B3" t="s">
        <v>786</v>
      </c>
    </row>
    <row r="5" spans="1:16" x14ac:dyDescent="0.2">
      <c r="A5" t="s">
        <v>714</v>
      </c>
      <c r="E5" t="s">
        <v>754</v>
      </c>
      <c r="F5" t="s">
        <v>787</v>
      </c>
      <c r="G5" t="s">
        <v>788</v>
      </c>
      <c r="H5" t="s">
        <v>789</v>
      </c>
      <c r="I5" t="s">
        <v>790</v>
      </c>
      <c r="J5" t="s">
        <v>791</v>
      </c>
      <c r="K5" t="s">
        <v>792</v>
      </c>
      <c r="L5" t="s">
        <v>793</v>
      </c>
      <c r="M5" t="s">
        <v>794</v>
      </c>
      <c r="N5" t="s">
        <v>795</v>
      </c>
      <c r="O5" t="s">
        <v>796</v>
      </c>
      <c r="P5" t="s">
        <v>797</v>
      </c>
    </row>
    <row r="6" spans="1:16" x14ac:dyDescent="0.2">
      <c r="A6" t="s">
        <v>719</v>
      </c>
      <c r="B6" t="s">
        <v>734</v>
      </c>
      <c r="F6" t="s">
        <v>798</v>
      </c>
      <c r="G6" t="s">
        <v>799</v>
      </c>
    </row>
    <row r="7" spans="1:16" x14ac:dyDescent="0.2">
      <c r="A7" t="s">
        <v>721</v>
      </c>
      <c r="B7" t="s">
        <v>781</v>
      </c>
      <c r="F7" t="s">
        <v>800</v>
      </c>
      <c r="G7" t="s">
        <v>801</v>
      </c>
    </row>
    <row r="8" spans="1:16" x14ac:dyDescent="0.2">
      <c r="F8" t="s">
        <v>802</v>
      </c>
      <c r="G8" t="s">
        <v>803</v>
      </c>
      <c r="H8" t="s">
        <v>804</v>
      </c>
    </row>
    <row r="9" spans="1:16" x14ac:dyDescent="0.2">
      <c r="F9" t="s">
        <v>805</v>
      </c>
      <c r="G9" t="s">
        <v>806</v>
      </c>
      <c r="H9" t="s">
        <v>807</v>
      </c>
    </row>
    <row r="10" spans="1:16" x14ac:dyDescent="0.2">
      <c r="F10" t="s">
        <v>808</v>
      </c>
      <c r="G10" t="s">
        <v>809</v>
      </c>
      <c r="H10" t="s">
        <v>810</v>
      </c>
      <c r="I10" t="s">
        <v>811</v>
      </c>
    </row>
    <row r="11" spans="1:16" x14ac:dyDescent="0.2">
      <c r="F11" t="s">
        <v>812</v>
      </c>
      <c r="G11" t="s">
        <v>813</v>
      </c>
      <c r="H11" t="s">
        <v>814</v>
      </c>
      <c r="I11" t="s">
        <v>815</v>
      </c>
      <c r="J11" t="s">
        <v>816</v>
      </c>
    </row>
    <row r="12" spans="1:16" x14ac:dyDescent="0.2">
      <c r="F12" t="s">
        <v>817</v>
      </c>
      <c r="G12" t="s">
        <v>818</v>
      </c>
      <c r="H12" t="s">
        <v>819</v>
      </c>
      <c r="I12" t="s">
        <v>820</v>
      </c>
      <c r="J12" t="s">
        <v>821</v>
      </c>
      <c r="K12" t="s">
        <v>822</v>
      </c>
    </row>
    <row r="13" spans="1:16" x14ac:dyDescent="0.2">
      <c r="F13" t="s">
        <v>823</v>
      </c>
      <c r="G13" t="s">
        <v>824</v>
      </c>
      <c r="H13" t="s">
        <v>825</v>
      </c>
      <c r="I13" t="s">
        <v>826</v>
      </c>
      <c r="J13" t="s">
        <v>827</v>
      </c>
      <c r="K13" t="s">
        <v>828</v>
      </c>
      <c r="L13" t="s">
        <v>829</v>
      </c>
    </row>
    <row r="14" spans="1:16" x14ac:dyDescent="0.2">
      <c r="F14" t="s">
        <v>830</v>
      </c>
      <c r="G14" t="s">
        <v>831</v>
      </c>
      <c r="H14" t="s">
        <v>832</v>
      </c>
      <c r="I14" t="s">
        <v>833</v>
      </c>
      <c r="J14" t="s">
        <v>834</v>
      </c>
      <c r="K14" t="s">
        <v>835</v>
      </c>
      <c r="L14" t="s">
        <v>836</v>
      </c>
      <c r="M14" t="s">
        <v>837</v>
      </c>
    </row>
    <row r="15" spans="1:16" x14ac:dyDescent="0.2">
      <c r="F15" t="s">
        <v>838</v>
      </c>
      <c r="G15" t="s">
        <v>839</v>
      </c>
      <c r="H15" t="s">
        <v>840</v>
      </c>
      <c r="I15" t="s">
        <v>841</v>
      </c>
      <c r="J15" t="s">
        <v>842</v>
      </c>
      <c r="K15" t="s">
        <v>843</v>
      </c>
      <c r="L15" t="s">
        <v>844</v>
      </c>
      <c r="M15" t="s">
        <v>845</v>
      </c>
      <c r="N15" t="s">
        <v>846</v>
      </c>
    </row>
    <row r="16" spans="1:16" x14ac:dyDescent="0.2">
      <c r="F16" t="s">
        <v>847</v>
      </c>
      <c r="G16" t="s">
        <v>848</v>
      </c>
      <c r="H16" t="s">
        <v>849</v>
      </c>
      <c r="I16" t="s">
        <v>850</v>
      </c>
      <c r="J16" t="s">
        <v>851</v>
      </c>
      <c r="K16" t="s">
        <v>852</v>
      </c>
      <c r="L16" t="s">
        <v>853</v>
      </c>
      <c r="M16" t="s">
        <v>854</v>
      </c>
      <c r="N16" t="s">
        <v>855</v>
      </c>
      <c r="O16" t="s">
        <v>856</v>
      </c>
      <c r="P16" t="s">
        <v>856</v>
      </c>
    </row>
    <row r="17" spans="1:2" x14ac:dyDescent="0.2">
      <c r="A17" t="s">
        <v>724</v>
      </c>
    </row>
    <row r="19" spans="1:2" x14ac:dyDescent="0.2">
      <c r="A19" t="s">
        <v>735</v>
      </c>
    </row>
    <row r="20" spans="1:2" x14ac:dyDescent="0.2">
      <c r="A20" t="s">
        <v>736</v>
      </c>
    </row>
    <row r="21" spans="1:2" x14ac:dyDescent="0.2">
      <c r="A21" t="s">
        <v>738</v>
      </c>
      <c r="B21" t="s">
        <v>857</v>
      </c>
    </row>
    <row r="22" spans="1:2" x14ac:dyDescent="0.2">
      <c r="A22" t="s">
        <v>740</v>
      </c>
      <c r="B22">
        <v>2024</v>
      </c>
    </row>
    <row r="23" spans="1:2" x14ac:dyDescent="0.2">
      <c r="A23" t="s">
        <v>741</v>
      </c>
    </row>
    <row r="24" spans="1:2" x14ac:dyDescent="0.2">
      <c r="A24" t="s">
        <v>743</v>
      </c>
      <c r="B24" t="s">
        <v>744</v>
      </c>
    </row>
    <row r="25" spans="1:2" x14ac:dyDescent="0.2">
      <c r="A25" t="s">
        <v>745</v>
      </c>
      <c r="B25">
        <v>2025</v>
      </c>
    </row>
    <row r="26" spans="1:2" x14ac:dyDescent="0.2">
      <c r="A26" t="s">
        <v>746</v>
      </c>
      <c r="B26" t="s">
        <v>858</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4"/>
  <sheetViews>
    <sheetView workbookViewId="0"/>
  </sheetViews>
  <sheetFormatPr baseColWidth="10" defaultColWidth="8.83203125" defaultRowHeight="15" x14ac:dyDescent="0.2"/>
  <sheetData>
    <row r="1" spans="1:14" x14ac:dyDescent="0.2">
      <c r="A1" t="s">
        <v>710</v>
      </c>
      <c r="B1" t="s">
        <v>859</v>
      </c>
    </row>
    <row r="2" spans="1:14" x14ac:dyDescent="0.2">
      <c r="A2" t="s">
        <v>711</v>
      </c>
      <c r="B2" t="s">
        <v>712</v>
      </c>
    </row>
    <row r="3" spans="1:14" x14ac:dyDescent="0.2">
      <c r="A3" t="s">
        <v>752</v>
      </c>
      <c r="B3" t="s">
        <v>860</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2021</v>
      </c>
      <c r="G6">
        <v>8.8000000000000007</v>
      </c>
      <c r="H6">
        <v>11.7</v>
      </c>
      <c r="I6">
        <v>6</v>
      </c>
      <c r="J6">
        <v>14.9</v>
      </c>
      <c r="K6">
        <v>14.1</v>
      </c>
      <c r="L6">
        <v>13.2</v>
      </c>
      <c r="M6">
        <v>8.1999999999999993</v>
      </c>
      <c r="N6">
        <v>13.5</v>
      </c>
    </row>
    <row r="7" spans="1:14" x14ac:dyDescent="0.2">
      <c r="A7" t="s">
        <v>721</v>
      </c>
      <c r="B7" t="s">
        <v>525</v>
      </c>
      <c r="F7">
        <v>2022</v>
      </c>
      <c r="G7">
        <v>8.6</v>
      </c>
      <c r="H7">
        <v>13</v>
      </c>
      <c r="I7">
        <v>6.3</v>
      </c>
      <c r="J7">
        <v>15.1</v>
      </c>
      <c r="K7">
        <v>14.8</v>
      </c>
      <c r="L7">
        <v>14.7</v>
      </c>
      <c r="M7">
        <v>8.5</v>
      </c>
      <c r="N7">
        <v>13.6</v>
      </c>
    </row>
    <row r="8" spans="1:14" x14ac:dyDescent="0.2">
      <c r="F8">
        <v>2023</v>
      </c>
      <c r="G8">
        <v>8.3000000000000007</v>
      </c>
      <c r="H8">
        <v>13</v>
      </c>
      <c r="I8">
        <v>6.5</v>
      </c>
      <c r="J8">
        <v>15.6</v>
      </c>
      <c r="K8">
        <v>15.2</v>
      </c>
      <c r="L8">
        <v>14.3</v>
      </c>
      <c r="M8">
        <v>8.9</v>
      </c>
      <c r="N8">
        <v>13.7</v>
      </c>
    </row>
    <row r="9" spans="1:14" x14ac:dyDescent="0.2">
      <c r="A9" t="s">
        <v>724</v>
      </c>
    </row>
    <row r="10" spans="1:14" x14ac:dyDescent="0.2">
      <c r="A10" t="s">
        <v>725</v>
      </c>
      <c r="B10" t="s">
        <v>726</v>
      </c>
    </row>
    <row r="11" spans="1:14" x14ac:dyDescent="0.2">
      <c r="A11" t="s">
        <v>727</v>
      </c>
      <c r="B11" t="s">
        <v>716</v>
      </c>
    </row>
    <row r="12" spans="1:14" x14ac:dyDescent="0.2">
      <c r="A12" t="s">
        <v>728</v>
      </c>
    </row>
    <row r="13" spans="1:14" x14ac:dyDescent="0.2">
      <c r="A13" t="s">
        <v>730</v>
      </c>
      <c r="B13" t="s">
        <v>861</v>
      </c>
    </row>
    <row r="14" spans="1:14" x14ac:dyDescent="0.2">
      <c r="A14" t="s">
        <v>732</v>
      </c>
      <c r="B14" t="s">
        <v>734</v>
      </c>
    </row>
    <row r="15" spans="1:14" x14ac:dyDescent="0.2">
      <c r="A15" t="s">
        <v>733</v>
      </c>
      <c r="B15" t="s">
        <v>734</v>
      </c>
    </row>
    <row r="17" spans="1:2" x14ac:dyDescent="0.2">
      <c r="A17" t="s">
        <v>735</v>
      </c>
    </row>
    <row r="18" spans="1:2" x14ac:dyDescent="0.2">
      <c r="A18" t="s">
        <v>736</v>
      </c>
      <c r="B18" t="s">
        <v>862</v>
      </c>
    </row>
    <row r="19" spans="1:2" x14ac:dyDescent="0.2">
      <c r="A19" t="s">
        <v>738</v>
      </c>
      <c r="B19" t="s">
        <v>863</v>
      </c>
    </row>
    <row r="20" spans="1:2" x14ac:dyDescent="0.2">
      <c r="A20" t="s">
        <v>740</v>
      </c>
      <c r="B20">
        <v>2023</v>
      </c>
    </row>
    <row r="21" spans="1:2" x14ac:dyDescent="0.2">
      <c r="A21" t="s">
        <v>741</v>
      </c>
      <c r="B21" t="s">
        <v>742</v>
      </c>
    </row>
    <row r="22" spans="1:2" x14ac:dyDescent="0.2">
      <c r="A22" t="s">
        <v>743</v>
      </c>
      <c r="B22" t="s">
        <v>744</v>
      </c>
    </row>
    <row r="23" spans="1:2" x14ac:dyDescent="0.2">
      <c r="A23" t="s">
        <v>745</v>
      </c>
      <c r="B23">
        <v>2025</v>
      </c>
    </row>
    <row r="24" spans="1:2" x14ac:dyDescent="0.2">
      <c r="A24" t="s">
        <v>746</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26"/>
  <sheetViews>
    <sheetView workbookViewId="0"/>
  </sheetViews>
  <sheetFormatPr baseColWidth="10" defaultColWidth="8.83203125" defaultRowHeight="15" x14ac:dyDescent="0.2"/>
  <sheetData>
    <row r="1" spans="1:14" x14ac:dyDescent="0.2">
      <c r="A1" t="s">
        <v>710</v>
      </c>
      <c r="B1" t="s">
        <v>864</v>
      </c>
    </row>
    <row r="2" spans="1:14" x14ac:dyDescent="0.2">
      <c r="A2" t="s">
        <v>711</v>
      </c>
      <c r="B2" t="s">
        <v>712</v>
      </c>
    </row>
    <row r="3" spans="1:14" x14ac:dyDescent="0.2">
      <c r="A3" t="s">
        <v>752</v>
      </c>
      <c r="B3" t="s">
        <v>865</v>
      </c>
    </row>
    <row r="5" spans="1:14" x14ac:dyDescent="0.2">
      <c r="A5" t="s">
        <v>714</v>
      </c>
      <c r="E5" t="s">
        <v>754</v>
      </c>
      <c r="F5" t="s">
        <v>866</v>
      </c>
      <c r="G5" t="s">
        <v>149</v>
      </c>
      <c r="H5" t="s">
        <v>15</v>
      </c>
      <c r="I5" t="s">
        <v>368</v>
      </c>
      <c r="J5" t="s">
        <v>279</v>
      </c>
      <c r="K5" t="s">
        <v>240</v>
      </c>
      <c r="L5" t="s">
        <v>249</v>
      </c>
      <c r="M5" t="s">
        <v>301</v>
      </c>
      <c r="N5" t="s">
        <v>717</v>
      </c>
    </row>
    <row r="6" spans="1:14" x14ac:dyDescent="0.2">
      <c r="A6" t="s">
        <v>719</v>
      </c>
      <c r="B6" t="s">
        <v>755</v>
      </c>
      <c r="F6" t="s">
        <v>867</v>
      </c>
      <c r="G6">
        <v>3.3</v>
      </c>
      <c r="H6">
        <v>7.9</v>
      </c>
      <c r="I6">
        <v>2.8</v>
      </c>
      <c r="J6">
        <v>11.1</v>
      </c>
      <c r="K6">
        <v>8.1999999999999993</v>
      </c>
      <c r="L6">
        <v>4.9000000000000004</v>
      </c>
      <c r="M6">
        <v>2.6</v>
      </c>
      <c r="N6">
        <v>5.7</v>
      </c>
    </row>
    <row r="7" spans="1:14" x14ac:dyDescent="0.2">
      <c r="A7" t="s">
        <v>721</v>
      </c>
      <c r="B7" t="s">
        <v>525</v>
      </c>
      <c r="F7" t="s">
        <v>868</v>
      </c>
      <c r="G7">
        <v>14.2</v>
      </c>
      <c r="H7">
        <v>12.5</v>
      </c>
      <c r="I7">
        <v>0</v>
      </c>
      <c r="J7">
        <v>8.6</v>
      </c>
      <c r="K7">
        <v>30.5</v>
      </c>
      <c r="L7">
        <v>14.1</v>
      </c>
      <c r="M7">
        <v>10.8</v>
      </c>
      <c r="N7">
        <v>16.5</v>
      </c>
    </row>
    <row r="8" spans="1:14" x14ac:dyDescent="0.2">
      <c r="F8" t="s">
        <v>869</v>
      </c>
      <c r="G8">
        <v>7.5</v>
      </c>
      <c r="H8">
        <v>10.3</v>
      </c>
      <c r="I8">
        <v>23.4</v>
      </c>
      <c r="J8">
        <v>1.8</v>
      </c>
      <c r="K8">
        <v>13.3</v>
      </c>
      <c r="L8">
        <v>4.8</v>
      </c>
      <c r="M8">
        <v>5.4</v>
      </c>
      <c r="N8">
        <v>11.1</v>
      </c>
    </row>
    <row r="9" spans="1:14" x14ac:dyDescent="0.2">
      <c r="F9" t="s">
        <v>870</v>
      </c>
      <c r="G9">
        <v>11.2</v>
      </c>
      <c r="H9">
        <v>11.3</v>
      </c>
      <c r="I9">
        <v>6.6</v>
      </c>
      <c r="J9">
        <v>12.8</v>
      </c>
      <c r="K9">
        <v>14.3</v>
      </c>
      <c r="L9">
        <v>24.4</v>
      </c>
      <c r="M9">
        <v>10.4</v>
      </c>
      <c r="N9">
        <v>17.100000000000001</v>
      </c>
    </row>
    <row r="10" spans="1:14" x14ac:dyDescent="0.2">
      <c r="F10" t="s">
        <v>871</v>
      </c>
      <c r="G10">
        <v>5.3</v>
      </c>
      <c r="H10">
        <v>9.1999999999999993</v>
      </c>
      <c r="I10">
        <v>3.8</v>
      </c>
      <c r="J10">
        <v>10.3</v>
      </c>
      <c r="K10">
        <v>10.5</v>
      </c>
      <c r="L10">
        <v>7.1</v>
      </c>
      <c r="M10">
        <v>5.7</v>
      </c>
      <c r="N10">
        <v>9.6999999999999993</v>
      </c>
    </row>
    <row r="11" spans="1:14" x14ac:dyDescent="0.2">
      <c r="A11" t="s">
        <v>724</v>
      </c>
    </row>
    <row r="12" spans="1:14" x14ac:dyDescent="0.2">
      <c r="A12" t="s">
        <v>725</v>
      </c>
      <c r="B12" t="s">
        <v>726</v>
      </c>
    </row>
    <row r="13" spans="1:14" x14ac:dyDescent="0.2">
      <c r="A13" t="s">
        <v>727</v>
      </c>
      <c r="B13" t="s">
        <v>866</v>
      </c>
    </row>
    <row r="14" spans="1:14" x14ac:dyDescent="0.2">
      <c r="A14" t="s">
        <v>728</v>
      </c>
      <c r="B14" t="s">
        <v>872</v>
      </c>
    </row>
    <row r="15" spans="1:14" x14ac:dyDescent="0.2">
      <c r="A15" t="s">
        <v>730</v>
      </c>
      <c r="B15" t="s">
        <v>861</v>
      </c>
    </row>
    <row r="16" spans="1:14" x14ac:dyDescent="0.2">
      <c r="A16" t="s">
        <v>732</v>
      </c>
      <c r="B16" t="s">
        <v>734</v>
      </c>
    </row>
    <row r="17" spans="1:2" x14ac:dyDescent="0.2">
      <c r="A17" t="s">
        <v>733</v>
      </c>
      <c r="B17" t="s">
        <v>734</v>
      </c>
    </row>
    <row r="19" spans="1:2" x14ac:dyDescent="0.2">
      <c r="A19" t="s">
        <v>735</v>
      </c>
    </row>
    <row r="20" spans="1:2" x14ac:dyDescent="0.2">
      <c r="A20" t="s">
        <v>736</v>
      </c>
      <c r="B20" t="s">
        <v>873</v>
      </c>
    </row>
    <row r="21" spans="1:2" x14ac:dyDescent="0.2">
      <c r="A21" t="s">
        <v>738</v>
      </c>
      <c r="B21" t="s">
        <v>874</v>
      </c>
    </row>
    <row r="22" spans="1:2" x14ac:dyDescent="0.2">
      <c r="A22" t="s">
        <v>740</v>
      </c>
      <c r="B22">
        <v>2023</v>
      </c>
    </row>
    <row r="23" spans="1:2" x14ac:dyDescent="0.2">
      <c r="A23" t="s">
        <v>741</v>
      </c>
      <c r="B23" t="s">
        <v>742</v>
      </c>
    </row>
    <row r="24" spans="1:2" x14ac:dyDescent="0.2">
      <c r="A24" t="s">
        <v>743</v>
      </c>
      <c r="B24" t="s">
        <v>744</v>
      </c>
    </row>
    <row r="25" spans="1:2" x14ac:dyDescent="0.2">
      <c r="A25" t="s">
        <v>745</v>
      </c>
      <c r="B25">
        <v>2025</v>
      </c>
    </row>
    <row r="26" spans="1:2" x14ac:dyDescent="0.2">
      <c r="A26" t="s">
        <v>746</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24"/>
  <sheetViews>
    <sheetView workbookViewId="0"/>
  </sheetViews>
  <sheetFormatPr baseColWidth="10" defaultColWidth="8.83203125" defaultRowHeight="15" x14ac:dyDescent="0.2"/>
  <sheetData>
    <row r="1" spans="1:14" x14ac:dyDescent="0.2">
      <c r="A1" t="s">
        <v>710</v>
      </c>
      <c r="B1" t="s">
        <v>875</v>
      </c>
    </row>
    <row r="2" spans="1:14" x14ac:dyDescent="0.2">
      <c r="A2" t="s">
        <v>711</v>
      </c>
      <c r="B2" t="s">
        <v>712</v>
      </c>
    </row>
    <row r="3" spans="1:14" x14ac:dyDescent="0.2">
      <c r="A3" t="s">
        <v>752</v>
      </c>
      <c r="B3" t="s">
        <v>876</v>
      </c>
    </row>
    <row r="5" spans="1:14" x14ac:dyDescent="0.2">
      <c r="A5" t="s">
        <v>714</v>
      </c>
      <c r="E5" t="s">
        <v>754</v>
      </c>
      <c r="F5" t="s">
        <v>877</v>
      </c>
      <c r="G5" t="s">
        <v>149</v>
      </c>
      <c r="H5" t="s">
        <v>15</v>
      </c>
      <c r="I5" t="s">
        <v>368</v>
      </c>
      <c r="J5" t="s">
        <v>279</v>
      </c>
      <c r="K5" t="s">
        <v>240</v>
      </c>
      <c r="L5" t="s">
        <v>249</v>
      </c>
      <c r="M5" t="s">
        <v>301</v>
      </c>
      <c r="N5" t="s">
        <v>717</v>
      </c>
    </row>
    <row r="6" spans="1:14" x14ac:dyDescent="0.2">
      <c r="A6" t="s">
        <v>719</v>
      </c>
      <c r="B6" t="s">
        <v>755</v>
      </c>
      <c r="F6" t="s">
        <v>878</v>
      </c>
      <c r="G6">
        <v>39.200000000000003</v>
      </c>
      <c r="H6">
        <v>47</v>
      </c>
      <c r="I6">
        <v>28.5</v>
      </c>
      <c r="J6">
        <v>43.9</v>
      </c>
      <c r="K6">
        <v>60.4</v>
      </c>
      <c r="L6">
        <v>48.6</v>
      </c>
      <c r="M6">
        <v>38.9</v>
      </c>
      <c r="N6">
        <v>56.2</v>
      </c>
    </row>
    <row r="7" spans="1:14" x14ac:dyDescent="0.2">
      <c r="A7" t="s">
        <v>721</v>
      </c>
      <c r="B7" t="s">
        <v>525</v>
      </c>
      <c r="F7" t="s">
        <v>879</v>
      </c>
      <c r="G7">
        <v>43.1</v>
      </c>
      <c r="H7">
        <v>49</v>
      </c>
      <c r="I7">
        <v>32.1</v>
      </c>
      <c r="J7">
        <v>48.1</v>
      </c>
      <c r="K7">
        <v>62.7</v>
      </c>
      <c r="L7">
        <v>52.5</v>
      </c>
      <c r="M7">
        <v>39.6</v>
      </c>
      <c r="N7">
        <v>59.1</v>
      </c>
    </row>
    <row r="8" spans="1:14" x14ac:dyDescent="0.2">
      <c r="F8" t="s">
        <v>880</v>
      </c>
      <c r="G8">
        <v>43.3</v>
      </c>
      <c r="H8">
        <v>49.5</v>
      </c>
      <c r="I8">
        <v>32.5</v>
      </c>
      <c r="J8">
        <v>51</v>
      </c>
      <c r="K8">
        <v>61.4</v>
      </c>
      <c r="L8">
        <v>48.8</v>
      </c>
      <c r="M8">
        <v>39.700000000000003</v>
      </c>
      <c r="N8">
        <v>59.2</v>
      </c>
    </row>
    <row r="9" spans="1:14" x14ac:dyDescent="0.2">
      <c r="A9" t="s">
        <v>724</v>
      </c>
    </row>
    <row r="10" spans="1:14" x14ac:dyDescent="0.2">
      <c r="A10" t="s">
        <v>725</v>
      </c>
      <c r="B10" t="s">
        <v>756</v>
      </c>
    </row>
    <row r="11" spans="1:14" x14ac:dyDescent="0.2">
      <c r="A11" t="s">
        <v>727</v>
      </c>
      <c r="B11" t="s">
        <v>877</v>
      </c>
    </row>
    <row r="12" spans="1:14" x14ac:dyDescent="0.2">
      <c r="A12" t="s">
        <v>728</v>
      </c>
    </row>
    <row r="13" spans="1:14" x14ac:dyDescent="0.2">
      <c r="A13" t="s">
        <v>730</v>
      </c>
      <c r="B13" t="s">
        <v>881</v>
      </c>
    </row>
    <row r="14" spans="1:14" x14ac:dyDescent="0.2">
      <c r="A14" t="s">
        <v>732</v>
      </c>
      <c r="B14" t="s">
        <v>755</v>
      </c>
    </row>
    <row r="15" spans="1:14" x14ac:dyDescent="0.2">
      <c r="A15" t="s">
        <v>733</v>
      </c>
      <c r="B15" t="s">
        <v>755</v>
      </c>
    </row>
    <row r="17" spans="1:2" x14ac:dyDescent="0.2">
      <c r="A17" t="s">
        <v>735</v>
      </c>
    </row>
    <row r="18" spans="1:2" x14ac:dyDescent="0.2">
      <c r="A18" t="s">
        <v>736</v>
      </c>
    </row>
    <row r="19" spans="1:2" x14ac:dyDescent="0.2">
      <c r="A19" t="s">
        <v>738</v>
      </c>
      <c r="B19" t="s">
        <v>882</v>
      </c>
    </row>
    <row r="20" spans="1:2" x14ac:dyDescent="0.2">
      <c r="A20" t="s">
        <v>740</v>
      </c>
      <c r="B20">
        <v>2024</v>
      </c>
    </row>
    <row r="21" spans="1:2" x14ac:dyDescent="0.2">
      <c r="A21" t="s">
        <v>741</v>
      </c>
    </row>
    <row r="22" spans="1:2" x14ac:dyDescent="0.2">
      <c r="A22" t="s">
        <v>743</v>
      </c>
      <c r="B22" t="s">
        <v>744</v>
      </c>
    </row>
    <row r="23" spans="1:2" x14ac:dyDescent="0.2">
      <c r="A23" t="s">
        <v>745</v>
      </c>
      <c r="B23">
        <v>2025</v>
      </c>
    </row>
    <row r="24" spans="1:2" x14ac:dyDescent="0.2">
      <c r="A24" t="s">
        <v>746</v>
      </c>
      <c r="B24" t="s">
        <v>883</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workbookViewId="0"/>
  </sheetViews>
  <sheetFormatPr baseColWidth="10" defaultColWidth="8.83203125" defaultRowHeight="15" x14ac:dyDescent="0.2"/>
  <sheetData>
    <row r="1" spans="1:14" x14ac:dyDescent="0.2">
      <c r="A1" t="s">
        <v>710</v>
      </c>
      <c r="B1" t="s">
        <v>78</v>
      </c>
    </row>
    <row r="2" spans="1:14" x14ac:dyDescent="0.2">
      <c r="A2" t="s">
        <v>711</v>
      </c>
      <c r="B2" t="s">
        <v>10</v>
      </c>
    </row>
    <row r="3" spans="1:14" x14ac:dyDescent="0.2">
      <c r="A3" t="s">
        <v>752</v>
      </c>
      <c r="B3" t="s">
        <v>884</v>
      </c>
    </row>
    <row r="5" spans="1:14" x14ac:dyDescent="0.2">
      <c r="A5" t="s">
        <v>714</v>
      </c>
      <c r="E5" t="s">
        <v>754</v>
      </c>
      <c r="F5" t="s">
        <v>885</v>
      </c>
      <c r="G5" t="s">
        <v>886</v>
      </c>
      <c r="H5" t="s">
        <v>887</v>
      </c>
      <c r="I5" t="s">
        <v>888</v>
      </c>
      <c r="J5" t="s">
        <v>889</v>
      </c>
      <c r="K5" t="s">
        <v>890</v>
      </c>
      <c r="L5" t="s">
        <v>891</v>
      </c>
      <c r="M5" t="s">
        <v>892</v>
      </c>
      <c r="N5" t="s">
        <v>893</v>
      </c>
    </row>
    <row r="6" spans="1:14" x14ac:dyDescent="0.2">
      <c r="A6" t="s">
        <v>719</v>
      </c>
      <c r="B6" t="s">
        <v>755</v>
      </c>
      <c r="F6" t="s">
        <v>894</v>
      </c>
      <c r="G6">
        <v>1103</v>
      </c>
      <c r="H6">
        <v>1189</v>
      </c>
      <c r="I6">
        <v>1189</v>
      </c>
      <c r="J6">
        <v>1189</v>
      </c>
      <c r="K6">
        <v>1437</v>
      </c>
      <c r="L6">
        <v>1437</v>
      </c>
      <c r="M6">
        <v>1103</v>
      </c>
      <c r="N6">
        <v>1189</v>
      </c>
    </row>
    <row r="7" spans="1:14" x14ac:dyDescent="0.2">
      <c r="A7" t="s">
        <v>721</v>
      </c>
      <c r="B7" t="s">
        <v>781</v>
      </c>
      <c r="F7" t="s">
        <v>895</v>
      </c>
      <c r="G7">
        <v>0</v>
      </c>
      <c r="H7">
        <v>423</v>
      </c>
      <c r="I7">
        <v>1126</v>
      </c>
      <c r="J7">
        <v>0</v>
      </c>
      <c r="K7">
        <v>844</v>
      </c>
      <c r="L7">
        <v>2345</v>
      </c>
      <c r="M7">
        <v>0</v>
      </c>
      <c r="N7">
        <v>0</v>
      </c>
    </row>
    <row r="8" spans="1:14" x14ac:dyDescent="0.2">
      <c r="F8" t="s">
        <v>896</v>
      </c>
      <c r="G8">
        <v>516</v>
      </c>
      <c r="H8">
        <v>873</v>
      </c>
      <c r="I8">
        <v>783</v>
      </c>
      <c r="J8">
        <v>946</v>
      </c>
      <c r="K8">
        <v>1587</v>
      </c>
      <c r="L8">
        <v>1400</v>
      </c>
      <c r="M8">
        <v>475</v>
      </c>
      <c r="N8">
        <v>870</v>
      </c>
    </row>
    <row r="9" spans="1:14" x14ac:dyDescent="0.2">
      <c r="F9" t="s">
        <v>897</v>
      </c>
      <c r="G9">
        <v>401</v>
      </c>
      <c r="H9">
        <v>535</v>
      </c>
      <c r="I9">
        <v>506</v>
      </c>
      <c r="J9">
        <v>617</v>
      </c>
      <c r="K9">
        <v>957</v>
      </c>
      <c r="L9">
        <v>899</v>
      </c>
      <c r="M9">
        <v>346</v>
      </c>
      <c r="N9">
        <v>508</v>
      </c>
    </row>
    <row r="10" spans="1:14" x14ac:dyDescent="0.2">
      <c r="F10" t="s">
        <v>898</v>
      </c>
      <c r="G10">
        <v>196</v>
      </c>
      <c r="H10">
        <v>452</v>
      </c>
      <c r="I10">
        <v>452</v>
      </c>
      <c r="J10">
        <v>452</v>
      </c>
      <c r="K10">
        <v>775</v>
      </c>
      <c r="L10">
        <v>775</v>
      </c>
      <c r="M10">
        <v>543</v>
      </c>
      <c r="N10">
        <v>1086</v>
      </c>
    </row>
    <row r="11" spans="1:14" x14ac:dyDescent="0.2">
      <c r="F11" t="s">
        <v>899</v>
      </c>
      <c r="G11">
        <v>86</v>
      </c>
      <c r="H11">
        <v>86</v>
      </c>
      <c r="I11">
        <v>86</v>
      </c>
      <c r="J11">
        <v>116</v>
      </c>
      <c r="K11">
        <v>116</v>
      </c>
      <c r="L11">
        <v>116</v>
      </c>
      <c r="M11">
        <v>86</v>
      </c>
      <c r="N11">
        <v>116</v>
      </c>
    </row>
    <row r="12" spans="1:14" x14ac:dyDescent="0.2">
      <c r="F12" t="s">
        <v>900</v>
      </c>
      <c r="G12">
        <v>230</v>
      </c>
      <c r="H12">
        <v>356</v>
      </c>
      <c r="I12">
        <v>414</v>
      </c>
      <c r="J12">
        <v>332</v>
      </c>
      <c r="K12">
        <v>572</v>
      </c>
      <c r="L12">
        <v>697</v>
      </c>
      <c r="M12">
        <v>255</v>
      </c>
      <c r="N12">
        <v>377</v>
      </c>
    </row>
    <row r="13" spans="1:14" x14ac:dyDescent="0.2">
      <c r="F13" t="s">
        <v>901</v>
      </c>
      <c r="G13">
        <v>439</v>
      </c>
      <c r="H13">
        <v>461</v>
      </c>
      <c r="I13">
        <v>625</v>
      </c>
      <c r="J13">
        <v>529</v>
      </c>
      <c r="K13">
        <v>684</v>
      </c>
      <c r="L13">
        <v>1037</v>
      </c>
      <c r="M13">
        <v>510</v>
      </c>
      <c r="N13">
        <v>861</v>
      </c>
    </row>
    <row r="14" spans="1:14" x14ac:dyDescent="0.2">
      <c r="F14" t="s">
        <v>902</v>
      </c>
      <c r="G14">
        <v>2971</v>
      </c>
      <c r="H14">
        <v>4375</v>
      </c>
      <c r="I14">
        <v>5181</v>
      </c>
      <c r="J14">
        <v>4181</v>
      </c>
      <c r="K14">
        <v>6972</v>
      </c>
      <c r="L14">
        <v>8706</v>
      </c>
      <c r="M14">
        <v>3318</v>
      </c>
      <c r="N14">
        <v>5007</v>
      </c>
    </row>
    <row r="15" spans="1:14" x14ac:dyDescent="0.2">
      <c r="F15" t="s">
        <v>903</v>
      </c>
      <c r="G15">
        <v>35652</v>
      </c>
      <c r="H15">
        <v>52500</v>
      </c>
      <c r="I15">
        <v>62172</v>
      </c>
      <c r="J15">
        <v>50172</v>
      </c>
      <c r="K15">
        <v>83664</v>
      </c>
      <c r="L15">
        <v>104472</v>
      </c>
      <c r="M15">
        <v>39816</v>
      </c>
      <c r="N15">
        <v>60084</v>
      </c>
    </row>
    <row r="16" spans="1:14" x14ac:dyDescent="0.2">
      <c r="F16" t="s">
        <v>904</v>
      </c>
      <c r="G16">
        <v>17.829999999999998</v>
      </c>
      <c r="H16">
        <v>26.25</v>
      </c>
      <c r="I16">
        <v>31.09</v>
      </c>
      <c r="J16">
        <v>25.09</v>
      </c>
      <c r="K16">
        <v>41.83</v>
      </c>
      <c r="L16">
        <v>52.24</v>
      </c>
      <c r="M16">
        <v>19.91</v>
      </c>
      <c r="N16">
        <v>30.04</v>
      </c>
    </row>
    <row r="17" spans="1:2" x14ac:dyDescent="0.2">
      <c r="A17" t="s">
        <v>724</v>
      </c>
    </row>
    <row r="19" spans="1:2" x14ac:dyDescent="0.2">
      <c r="A19" t="s">
        <v>735</v>
      </c>
    </row>
    <row r="20" spans="1:2" x14ac:dyDescent="0.2">
      <c r="A20" t="s">
        <v>736</v>
      </c>
    </row>
    <row r="21" spans="1:2" x14ac:dyDescent="0.2">
      <c r="A21" t="s">
        <v>738</v>
      </c>
      <c r="B21" t="s">
        <v>905</v>
      </c>
    </row>
    <row r="22" spans="1:2" x14ac:dyDescent="0.2">
      <c r="A22" t="s">
        <v>740</v>
      </c>
      <c r="B22">
        <v>2023</v>
      </c>
    </row>
    <row r="23" spans="1:2" x14ac:dyDescent="0.2">
      <c r="A23" t="s">
        <v>741</v>
      </c>
    </row>
    <row r="24" spans="1:2" x14ac:dyDescent="0.2">
      <c r="A24" t="s">
        <v>743</v>
      </c>
      <c r="B24" t="s">
        <v>744</v>
      </c>
    </row>
    <row r="25" spans="1:2" x14ac:dyDescent="0.2">
      <c r="A25" t="s">
        <v>745</v>
      </c>
      <c r="B25">
        <v>2025</v>
      </c>
    </row>
    <row r="26" spans="1:2" x14ac:dyDescent="0.2">
      <c r="A26" t="s">
        <v>746</v>
      </c>
      <c r="B26" t="s">
        <v>906</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4"/>
  <sheetViews>
    <sheetView workbookViewId="0"/>
  </sheetViews>
  <sheetFormatPr baseColWidth="10" defaultColWidth="8.83203125" defaultRowHeight="15" x14ac:dyDescent="0.2"/>
  <sheetData>
    <row r="1" spans="1:14" x14ac:dyDescent="0.2">
      <c r="A1" t="s">
        <v>710</v>
      </c>
      <c r="B1" t="s">
        <v>81</v>
      </c>
    </row>
    <row r="2" spans="1:14" x14ac:dyDescent="0.2">
      <c r="A2" t="s">
        <v>711</v>
      </c>
      <c r="B2" t="s">
        <v>712</v>
      </c>
    </row>
    <row r="3" spans="1:14" x14ac:dyDescent="0.2">
      <c r="A3" t="s">
        <v>752</v>
      </c>
      <c r="B3" t="s">
        <v>907</v>
      </c>
    </row>
    <row r="5" spans="1:14" x14ac:dyDescent="0.2">
      <c r="A5" t="s">
        <v>714</v>
      </c>
      <c r="E5" t="s">
        <v>754</v>
      </c>
      <c r="F5" t="s">
        <v>908</v>
      </c>
      <c r="G5" t="s">
        <v>149</v>
      </c>
      <c r="H5" t="s">
        <v>15</v>
      </c>
      <c r="I5" t="s">
        <v>368</v>
      </c>
      <c r="J5" t="s">
        <v>279</v>
      </c>
      <c r="K5" t="s">
        <v>240</v>
      </c>
      <c r="L5" t="s">
        <v>249</v>
      </c>
      <c r="M5" t="s">
        <v>301</v>
      </c>
      <c r="N5" t="s">
        <v>717</v>
      </c>
    </row>
    <row r="6" spans="1:14" x14ac:dyDescent="0.2">
      <c r="A6" t="s">
        <v>719</v>
      </c>
      <c r="B6" t="s">
        <v>755</v>
      </c>
      <c r="F6" t="s">
        <v>909</v>
      </c>
      <c r="G6">
        <v>31</v>
      </c>
      <c r="H6">
        <v>33</v>
      </c>
      <c r="I6">
        <v>32</v>
      </c>
      <c r="J6">
        <v>38</v>
      </c>
      <c r="K6">
        <v>30</v>
      </c>
      <c r="L6">
        <v>32</v>
      </c>
      <c r="M6">
        <v>28</v>
      </c>
      <c r="N6">
        <v>33</v>
      </c>
    </row>
    <row r="7" spans="1:14" x14ac:dyDescent="0.2">
      <c r="A7" t="s">
        <v>721</v>
      </c>
      <c r="B7" t="s">
        <v>525</v>
      </c>
      <c r="F7" t="s">
        <v>910</v>
      </c>
      <c r="G7">
        <v>6</v>
      </c>
      <c r="H7">
        <v>10</v>
      </c>
      <c r="I7">
        <v>6</v>
      </c>
      <c r="J7">
        <v>12</v>
      </c>
      <c r="K7">
        <v>15</v>
      </c>
      <c r="L7">
        <v>10</v>
      </c>
      <c r="M7">
        <v>10</v>
      </c>
      <c r="N7">
        <v>14</v>
      </c>
    </row>
    <row r="8" spans="1:14" x14ac:dyDescent="0.2">
      <c r="F8" t="s">
        <v>911</v>
      </c>
      <c r="G8">
        <v>62</v>
      </c>
      <c r="H8">
        <v>57</v>
      </c>
      <c r="I8">
        <v>63</v>
      </c>
      <c r="J8">
        <v>50</v>
      </c>
      <c r="K8">
        <v>54</v>
      </c>
      <c r="L8">
        <v>58</v>
      </c>
      <c r="M8">
        <v>61</v>
      </c>
      <c r="N8">
        <v>52</v>
      </c>
    </row>
    <row r="9" spans="1:14" x14ac:dyDescent="0.2">
      <c r="A9" t="s">
        <v>724</v>
      </c>
    </row>
    <row r="10" spans="1:14" x14ac:dyDescent="0.2">
      <c r="A10" t="s">
        <v>725</v>
      </c>
      <c r="B10" t="s">
        <v>912</v>
      </c>
    </row>
    <row r="11" spans="1:14" x14ac:dyDescent="0.2">
      <c r="A11" t="s">
        <v>727</v>
      </c>
      <c r="B11" t="s">
        <v>908</v>
      </c>
    </row>
    <row r="12" spans="1:14" x14ac:dyDescent="0.2">
      <c r="A12" t="s">
        <v>728</v>
      </c>
      <c r="B12" t="s">
        <v>913</v>
      </c>
    </row>
    <row r="13" spans="1:14" x14ac:dyDescent="0.2">
      <c r="A13" t="s">
        <v>730</v>
      </c>
      <c r="B13" t="s">
        <v>914</v>
      </c>
    </row>
    <row r="14" spans="1:14" x14ac:dyDescent="0.2">
      <c r="A14" t="s">
        <v>732</v>
      </c>
      <c r="B14" t="s">
        <v>734</v>
      </c>
    </row>
    <row r="15" spans="1:14" x14ac:dyDescent="0.2">
      <c r="A15" t="s">
        <v>733</v>
      </c>
      <c r="B15" t="s">
        <v>734</v>
      </c>
    </row>
    <row r="17" spans="1:2" x14ac:dyDescent="0.2">
      <c r="A17" t="s">
        <v>735</v>
      </c>
    </row>
    <row r="18" spans="1:2" x14ac:dyDescent="0.2">
      <c r="A18" t="s">
        <v>736</v>
      </c>
    </row>
    <row r="19" spans="1:2" x14ac:dyDescent="0.2">
      <c r="A19" t="s">
        <v>738</v>
      </c>
      <c r="B19" t="s">
        <v>905</v>
      </c>
    </row>
    <row r="20" spans="1:2" x14ac:dyDescent="0.2">
      <c r="A20" t="s">
        <v>740</v>
      </c>
      <c r="B20">
        <v>2023</v>
      </c>
    </row>
    <row r="21" spans="1:2" x14ac:dyDescent="0.2">
      <c r="A21" t="s">
        <v>741</v>
      </c>
    </row>
    <row r="22" spans="1:2" x14ac:dyDescent="0.2">
      <c r="A22" t="s">
        <v>743</v>
      </c>
      <c r="B22" t="s">
        <v>744</v>
      </c>
    </row>
    <row r="23" spans="1:2" x14ac:dyDescent="0.2">
      <c r="A23" t="s">
        <v>745</v>
      </c>
      <c r="B23">
        <v>2025</v>
      </c>
    </row>
    <row r="24" spans="1:2" x14ac:dyDescent="0.2">
      <c r="A24" t="s">
        <v>746</v>
      </c>
      <c r="B24" t="s">
        <v>906</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24"/>
  <sheetViews>
    <sheetView workbookViewId="0"/>
  </sheetViews>
  <sheetFormatPr baseColWidth="10" defaultColWidth="8.83203125" defaultRowHeight="15" x14ac:dyDescent="0.2"/>
  <sheetData>
    <row r="1" spans="1:14" x14ac:dyDescent="0.2">
      <c r="A1" t="s">
        <v>710</v>
      </c>
      <c r="B1" t="s">
        <v>83</v>
      </c>
    </row>
    <row r="2" spans="1:14" x14ac:dyDescent="0.2">
      <c r="A2" t="s">
        <v>711</v>
      </c>
      <c r="B2" t="s">
        <v>712</v>
      </c>
    </row>
    <row r="3" spans="1:14" x14ac:dyDescent="0.2">
      <c r="A3" t="s">
        <v>752</v>
      </c>
      <c r="B3" t="s">
        <v>915</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2021</v>
      </c>
      <c r="G6">
        <v>87</v>
      </c>
      <c r="H6">
        <v>89</v>
      </c>
      <c r="I6">
        <v>94</v>
      </c>
      <c r="J6">
        <v>90</v>
      </c>
      <c r="K6">
        <v>82</v>
      </c>
      <c r="L6">
        <v>87</v>
      </c>
      <c r="M6">
        <v>91</v>
      </c>
      <c r="N6">
        <v>86</v>
      </c>
    </row>
    <row r="7" spans="1:14" x14ac:dyDescent="0.2">
      <c r="A7" t="s">
        <v>721</v>
      </c>
      <c r="B7" t="s">
        <v>525</v>
      </c>
      <c r="F7">
        <v>2022</v>
      </c>
      <c r="G7">
        <v>86</v>
      </c>
      <c r="H7">
        <v>89</v>
      </c>
      <c r="I7">
        <v>94</v>
      </c>
      <c r="J7">
        <v>88</v>
      </c>
      <c r="K7">
        <v>78</v>
      </c>
      <c r="L7">
        <v>87</v>
      </c>
      <c r="M7">
        <v>92</v>
      </c>
      <c r="N7">
        <v>87</v>
      </c>
    </row>
    <row r="8" spans="1:14" x14ac:dyDescent="0.2">
      <c r="F8">
        <v>2023</v>
      </c>
      <c r="G8">
        <v>87</v>
      </c>
      <c r="H8">
        <v>89</v>
      </c>
      <c r="I8">
        <v>91</v>
      </c>
      <c r="J8">
        <v>86</v>
      </c>
      <c r="K8">
        <v>76</v>
      </c>
      <c r="L8">
        <v>87</v>
      </c>
      <c r="M8">
        <v>91</v>
      </c>
      <c r="N8">
        <v>86</v>
      </c>
    </row>
    <row r="9" spans="1:14" x14ac:dyDescent="0.2">
      <c r="A9" t="s">
        <v>724</v>
      </c>
    </row>
    <row r="10" spans="1:14" x14ac:dyDescent="0.2">
      <c r="A10" t="s">
        <v>725</v>
      </c>
      <c r="B10" t="s">
        <v>726</v>
      </c>
    </row>
    <row r="11" spans="1:14" x14ac:dyDescent="0.2">
      <c r="A11" t="s">
        <v>727</v>
      </c>
      <c r="B11" t="s">
        <v>716</v>
      </c>
    </row>
    <row r="12" spans="1:14" x14ac:dyDescent="0.2">
      <c r="A12" t="s">
        <v>728</v>
      </c>
    </row>
    <row r="13" spans="1:14" x14ac:dyDescent="0.2">
      <c r="A13" t="s">
        <v>730</v>
      </c>
      <c r="B13" t="s">
        <v>916</v>
      </c>
    </row>
    <row r="14" spans="1:14" x14ac:dyDescent="0.2">
      <c r="A14" t="s">
        <v>732</v>
      </c>
      <c r="B14" t="s">
        <v>755</v>
      </c>
    </row>
    <row r="15" spans="1:14" x14ac:dyDescent="0.2">
      <c r="A15" t="s">
        <v>733</v>
      </c>
      <c r="B15" t="s">
        <v>734</v>
      </c>
    </row>
    <row r="17" spans="1:2" x14ac:dyDescent="0.2">
      <c r="A17" t="s">
        <v>735</v>
      </c>
    </row>
    <row r="18" spans="1:2" x14ac:dyDescent="0.2">
      <c r="A18" t="s">
        <v>736</v>
      </c>
    </row>
    <row r="19" spans="1:2" x14ac:dyDescent="0.2">
      <c r="A19" t="s">
        <v>738</v>
      </c>
      <c r="B19" t="s">
        <v>917</v>
      </c>
    </row>
    <row r="20" spans="1:2" x14ac:dyDescent="0.2">
      <c r="A20" t="s">
        <v>740</v>
      </c>
      <c r="B20">
        <v>2023</v>
      </c>
    </row>
    <row r="21" spans="1:2" x14ac:dyDescent="0.2">
      <c r="A21" t="s">
        <v>741</v>
      </c>
    </row>
    <row r="22" spans="1:2" x14ac:dyDescent="0.2">
      <c r="A22" t="s">
        <v>743</v>
      </c>
      <c r="B22" t="s">
        <v>744</v>
      </c>
    </row>
    <row r="23" spans="1:2" x14ac:dyDescent="0.2">
      <c r="A23" t="s">
        <v>745</v>
      </c>
      <c r="B23">
        <v>2025</v>
      </c>
    </row>
    <row r="24" spans="1:2" x14ac:dyDescent="0.2">
      <c r="A24" t="s">
        <v>746</v>
      </c>
      <c r="B24" t="s">
        <v>918</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26"/>
  <sheetViews>
    <sheetView workbookViewId="0"/>
  </sheetViews>
  <sheetFormatPr baseColWidth="10" defaultColWidth="8.83203125" defaultRowHeight="15" x14ac:dyDescent="0.2"/>
  <sheetData>
    <row r="1" spans="1:14" x14ac:dyDescent="0.2">
      <c r="A1" t="s">
        <v>710</v>
      </c>
      <c r="B1" t="s">
        <v>85</v>
      </c>
    </row>
    <row r="2" spans="1:14" x14ac:dyDescent="0.2">
      <c r="A2" t="s">
        <v>711</v>
      </c>
      <c r="B2" t="s">
        <v>712</v>
      </c>
    </row>
    <row r="3" spans="1:14" x14ac:dyDescent="0.2">
      <c r="A3" t="s">
        <v>752</v>
      </c>
      <c r="B3" t="s">
        <v>919</v>
      </c>
    </row>
    <row r="5" spans="1:14" x14ac:dyDescent="0.2">
      <c r="A5" t="s">
        <v>714</v>
      </c>
      <c r="E5" t="s">
        <v>754</v>
      </c>
      <c r="F5" t="s">
        <v>866</v>
      </c>
      <c r="G5" t="s">
        <v>149</v>
      </c>
      <c r="H5" t="s">
        <v>15</v>
      </c>
      <c r="I5" t="s">
        <v>368</v>
      </c>
      <c r="J5" t="s">
        <v>279</v>
      </c>
      <c r="K5" t="s">
        <v>240</v>
      </c>
      <c r="L5" t="s">
        <v>249</v>
      </c>
      <c r="M5" t="s">
        <v>301</v>
      </c>
      <c r="N5" t="s">
        <v>717</v>
      </c>
    </row>
    <row r="6" spans="1:14" x14ac:dyDescent="0.2">
      <c r="A6" t="s">
        <v>719</v>
      </c>
      <c r="B6" t="s">
        <v>755</v>
      </c>
      <c r="F6" t="s">
        <v>920</v>
      </c>
      <c r="G6">
        <v>91</v>
      </c>
      <c r="H6">
        <v>96</v>
      </c>
      <c r="I6">
        <v>100</v>
      </c>
      <c r="J6">
        <v>97</v>
      </c>
      <c r="K6" t="s">
        <v>582</v>
      </c>
      <c r="L6" t="s">
        <v>582</v>
      </c>
      <c r="M6">
        <v>97</v>
      </c>
      <c r="N6">
        <v>93</v>
      </c>
    </row>
    <row r="7" spans="1:14" x14ac:dyDescent="0.2">
      <c r="A7" t="s">
        <v>721</v>
      </c>
      <c r="B7" t="s">
        <v>525</v>
      </c>
      <c r="F7" t="s">
        <v>921</v>
      </c>
      <c r="G7">
        <v>78</v>
      </c>
      <c r="H7">
        <v>85</v>
      </c>
      <c r="I7">
        <v>97</v>
      </c>
      <c r="J7">
        <v>86</v>
      </c>
      <c r="K7">
        <v>66</v>
      </c>
      <c r="L7">
        <v>84</v>
      </c>
      <c r="M7">
        <v>83</v>
      </c>
      <c r="N7">
        <v>81</v>
      </c>
    </row>
    <row r="8" spans="1:14" x14ac:dyDescent="0.2">
      <c r="F8" t="s">
        <v>922</v>
      </c>
      <c r="G8">
        <v>92</v>
      </c>
      <c r="H8">
        <v>93</v>
      </c>
      <c r="I8">
        <v>95</v>
      </c>
      <c r="J8">
        <v>94</v>
      </c>
      <c r="K8">
        <v>84</v>
      </c>
      <c r="L8">
        <v>90</v>
      </c>
      <c r="M8">
        <v>96</v>
      </c>
      <c r="N8">
        <v>91</v>
      </c>
    </row>
    <row r="9" spans="1:14" x14ac:dyDescent="0.2">
      <c r="F9" t="s">
        <v>923</v>
      </c>
      <c r="G9">
        <v>80</v>
      </c>
      <c r="H9">
        <v>88</v>
      </c>
      <c r="I9" t="s">
        <v>582</v>
      </c>
      <c r="J9" t="s">
        <v>582</v>
      </c>
      <c r="K9">
        <v>68</v>
      </c>
      <c r="L9">
        <v>74</v>
      </c>
      <c r="M9">
        <v>94</v>
      </c>
      <c r="N9">
        <v>84</v>
      </c>
    </row>
    <row r="10" spans="1:14" x14ac:dyDescent="0.2">
      <c r="F10" t="s">
        <v>924</v>
      </c>
      <c r="G10">
        <v>79</v>
      </c>
      <c r="H10">
        <v>83</v>
      </c>
      <c r="I10">
        <v>80</v>
      </c>
      <c r="J10">
        <v>74</v>
      </c>
      <c r="K10">
        <v>63</v>
      </c>
      <c r="L10">
        <v>80</v>
      </c>
      <c r="M10">
        <v>85</v>
      </c>
      <c r="N10">
        <v>81</v>
      </c>
    </row>
    <row r="11" spans="1:14" x14ac:dyDescent="0.2">
      <c r="A11" t="s">
        <v>724</v>
      </c>
    </row>
    <row r="12" spans="1:14" x14ac:dyDescent="0.2">
      <c r="A12" t="s">
        <v>725</v>
      </c>
      <c r="B12" t="s">
        <v>726</v>
      </c>
    </row>
    <row r="13" spans="1:14" x14ac:dyDescent="0.2">
      <c r="A13" t="s">
        <v>727</v>
      </c>
      <c r="B13" t="s">
        <v>866</v>
      </c>
    </row>
    <row r="14" spans="1:14" x14ac:dyDescent="0.2">
      <c r="A14" t="s">
        <v>728</v>
      </c>
    </row>
    <row r="15" spans="1:14" x14ac:dyDescent="0.2">
      <c r="A15" t="s">
        <v>730</v>
      </c>
      <c r="B15" t="s">
        <v>916</v>
      </c>
    </row>
    <row r="16" spans="1:14" x14ac:dyDescent="0.2">
      <c r="A16" t="s">
        <v>732</v>
      </c>
      <c r="B16" t="s">
        <v>734</v>
      </c>
    </row>
    <row r="17" spans="1:2" x14ac:dyDescent="0.2">
      <c r="A17" t="s">
        <v>733</v>
      </c>
      <c r="B17" t="s">
        <v>755</v>
      </c>
    </row>
    <row r="19" spans="1:2" x14ac:dyDescent="0.2">
      <c r="A19" t="s">
        <v>735</v>
      </c>
    </row>
    <row r="20" spans="1:2" x14ac:dyDescent="0.2">
      <c r="A20" t="s">
        <v>736</v>
      </c>
    </row>
    <row r="21" spans="1:2" x14ac:dyDescent="0.2">
      <c r="A21" t="s">
        <v>738</v>
      </c>
      <c r="B21" t="s">
        <v>917</v>
      </c>
    </row>
    <row r="22" spans="1:2" x14ac:dyDescent="0.2">
      <c r="A22" t="s">
        <v>740</v>
      </c>
      <c r="B22">
        <v>2023</v>
      </c>
    </row>
    <row r="23" spans="1:2" x14ac:dyDescent="0.2">
      <c r="A23" t="s">
        <v>741</v>
      </c>
    </row>
    <row r="24" spans="1:2" x14ac:dyDescent="0.2">
      <c r="A24" t="s">
        <v>743</v>
      </c>
      <c r="B24" t="s">
        <v>744</v>
      </c>
    </row>
    <row r="25" spans="1:2" x14ac:dyDescent="0.2">
      <c r="A25" t="s">
        <v>745</v>
      </c>
      <c r="B25">
        <v>2025</v>
      </c>
    </row>
    <row r="26" spans="1:2" x14ac:dyDescent="0.2">
      <c r="A26" t="s">
        <v>746</v>
      </c>
      <c r="B26" t="s">
        <v>918</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25"/>
  <sheetViews>
    <sheetView workbookViewId="0"/>
  </sheetViews>
  <sheetFormatPr baseColWidth="10" defaultColWidth="8.83203125" defaultRowHeight="15" x14ac:dyDescent="0.2"/>
  <sheetData>
    <row r="1" spans="1:14" x14ac:dyDescent="0.2">
      <c r="A1" t="s">
        <v>710</v>
      </c>
      <c r="B1" t="s">
        <v>925</v>
      </c>
    </row>
    <row r="2" spans="1:14" x14ac:dyDescent="0.2">
      <c r="A2" t="s">
        <v>711</v>
      </c>
      <c r="B2" t="s">
        <v>712</v>
      </c>
    </row>
    <row r="3" spans="1:14" x14ac:dyDescent="0.2">
      <c r="A3" t="s">
        <v>752</v>
      </c>
      <c r="B3" t="s">
        <v>926</v>
      </c>
    </row>
    <row r="5" spans="1:14" x14ac:dyDescent="0.2">
      <c r="A5" t="s">
        <v>714</v>
      </c>
      <c r="E5" t="s">
        <v>754</v>
      </c>
      <c r="F5" t="s">
        <v>927</v>
      </c>
      <c r="G5" t="s">
        <v>149</v>
      </c>
      <c r="H5" t="s">
        <v>15</v>
      </c>
      <c r="I5" t="s">
        <v>368</v>
      </c>
      <c r="J5" t="s">
        <v>279</v>
      </c>
      <c r="K5" t="s">
        <v>240</v>
      </c>
      <c r="L5" t="s">
        <v>249</v>
      </c>
      <c r="M5" t="s">
        <v>301</v>
      </c>
      <c r="N5" t="s">
        <v>717</v>
      </c>
    </row>
    <row r="6" spans="1:14" x14ac:dyDescent="0.2">
      <c r="A6" t="s">
        <v>719</v>
      </c>
      <c r="B6" t="s">
        <v>755</v>
      </c>
      <c r="F6" t="s">
        <v>928</v>
      </c>
      <c r="G6">
        <v>16.899999999999999</v>
      </c>
      <c r="H6">
        <v>19.100000000000001</v>
      </c>
      <c r="I6">
        <v>16.5</v>
      </c>
      <c r="J6">
        <v>16.2</v>
      </c>
      <c r="K6">
        <v>17.899999999999999</v>
      </c>
      <c r="L6">
        <v>17.100000000000001</v>
      </c>
      <c r="M6">
        <v>12.6</v>
      </c>
      <c r="N6">
        <v>14.9</v>
      </c>
    </row>
    <row r="7" spans="1:14" x14ac:dyDescent="0.2">
      <c r="A7" t="s">
        <v>721</v>
      </c>
      <c r="B7" t="s">
        <v>525</v>
      </c>
      <c r="F7" t="s">
        <v>929</v>
      </c>
      <c r="G7">
        <v>10.1</v>
      </c>
      <c r="H7">
        <v>10.3</v>
      </c>
      <c r="I7">
        <v>8.4</v>
      </c>
      <c r="J7">
        <v>7.8</v>
      </c>
      <c r="K7">
        <v>10.3</v>
      </c>
      <c r="L7">
        <v>9.6</v>
      </c>
      <c r="M7">
        <v>6.4</v>
      </c>
      <c r="N7">
        <v>8.9</v>
      </c>
    </row>
    <row r="8" spans="1:14" x14ac:dyDescent="0.2">
      <c r="F8" t="s">
        <v>930</v>
      </c>
      <c r="G8">
        <v>21</v>
      </c>
      <c r="H8">
        <v>18.2</v>
      </c>
      <c r="I8">
        <v>24.2</v>
      </c>
      <c r="J8">
        <v>23.2</v>
      </c>
      <c r="K8">
        <v>17</v>
      </c>
      <c r="L8">
        <v>20.2</v>
      </c>
      <c r="M8">
        <v>26</v>
      </c>
      <c r="N8">
        <v>22</v>
      </c>
    </row>
    <row r="9" spans="1:14" x14ac:dyDescent="0.2">
      <c r="F9" t="s">
        <v>931</v>
      </c>
      <c r="G9">
        <v>18.7</v>
      </c>
      <c r="H9">
        <v>14.1</v>
      </c>
      <c r="I9">
        <v>19.3</v>
      </c>
      <c r="J9">
        <v>18.899999999999999</v>
      </c>
      <c r="K9">
        <v>12.7</v>
      </c>
      <c r="L9">
        <v>16.899999999999999</v>
      </c>
      <c r="M9">
        <v>26.5</v>
      </c>
      <c r="N9">
        <v>17.5</v>
      </c>
    </row>
    <row r="10" spans="1:14" x14ac:dyDescent="0.2">
      <c r="A10" t="s">
        <v>724</v>
      </c>
    </row>
    <row r="11" spans="1:14" x14ac:dyDescent="0.2">
      <c r="A11" t="s">
        <v>725</v>
      </c>
      <c r="B11" t="s">
        <v>912</v>
      </c>
    </row>
    <row r="12" spans="1:14" x14ac:dyDescent="0.2">
      <c r="A12" t="s">
        <v>727</v>
      </c>
      <c r="B12" t="s">
        <v>927</v>
      </c>
    </row>
    <row r="13" spans="1:14" x14ac:dyDescent="0.2">
      <c r="A13" t="s">
        <v>728</v>
      </c>
    </row>
    <row r="14" spans="1:14" x14ac:dyDescent="0.2">
      <c r="A14" t="s">
        <v>730</v>
      </c>
      <c r="B14" t="s">
        <v>914</v>
      </c>
    </row>
    <row r="15" spans="1:14" x14ac:dyDescent="0.2">
      <c r="A15" t="s">
        <v>732</v>
      </c>
      <c r="B15" t="s">
        <v>734</v>
      </c>
    </row>
    <row r="16" spans="1:14" x14ac:dyDescent="0.2">
      <c r="A16" t="s">
        <v>733</v>
      </c>
      <c r="B16" t="s">
        <v>755</v>
      </c>
    </row>
    <row r="18" spans="1:2" x14ac:dyDescent="0.2">
      <c r="A18" t="s">
        <v>735</v>
      </c>
    </row>
    <row r="19" spans="1:2" x14ac:dyDescent="0.2">
      <c r="A19" t="s">
        <v>736</v>
      </c>
      <c r="B19" t="s">
        <v>932</v>
      </c>
    </row>
    <row r="20" spans="1:2" x14ac:dyDescent="0.2">
      <c r="A20" t="s">
        <v>738</v>
      </c>
      <c r="B20" t="s">
        <v>933</v>
      </c>
    </row>
    <row r="21" spans="1:2" x14ac:dyDescent="0.2">
      <c r="A21" t="s">
        <v>740</v>
      </c>
      <c r="B21">
        <v>2023</v>
      </c>
    </row>
    <row r="22" spans="1:2" x14ac:dyDescent="0.2">
      <c r="A22" t="s">
        <v>741</v>
      </c>
      <c r="B22" t="s">
        <v>742</v>
      </c>
    </row>
    <row r="23" spans="1:2" x14ac:dyDescent="0.2">
      <c r="A23" t="s">
        <v>743</v>
      </c>
      <c r="B23" t="s">
        <v>744</v>
      </c>
    </row>
    <row r="24" spans="1:2" x14ac:dyDescent="0.2">
      <c r="A24" t="s">
        <v>745</v>
      </c>
      <c r="B24">
        <v>2025</v>
      </c>
    </row>
    <row r="25" spans="1:2" x14ac:dyDescent="0.2">
      <c r="A25" t="s">
        <v>746</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24"/>
  <sheetViews>
    <sheetView workbookViewId="0"/>
  </sheetViews>
  <sheetFormatPr baseColWidth="10" defaultColWidth="8.83203125" defaultRowHeight="15" x14ac:dyDescent="0.2"/>
  <sheetData>
    <row r="1" spans="1:14" x14ac:dyDescent="0.2">
      <c r="A1" t="s">
        <v>710</v>
      </c>
      <c r="B1" t="s">
        <v>934</v>
      </c>
    </row>
    <row r="2" spans="1:14" x14ac:dyDescent="0.2">
      <c r="A2" t="s">
        <v>711</v>
      </c>
      <c r="B2" t="s">
        <v>712</v>
      </c>
    </row>
    <row r="3" spans="1:14" x14ac:dyDescent="0.2">
      <c r="A3" t="s">
        <v>752</v>
      </c>
      <c r="B3" t="s">
        <v>935</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2021</v>
      </c>
      <c r="G6">
        <v>4.7</v>
      </c>
      <c r="H6">
        <v>10.6</v>
      </c>
      <c r="I6">
        <v>5.3</v>
      </c>
      <c r="J6">
        <v>18.600000000000001</v>
      </c>
      <c r="K6">
        <v>5.9</v>
      </c>
      <c r="L6">
        <v>2.9</v>
      </c>
      <c r="M6">
        <v>12.7</v>
      </c>
      <c r="N6">
        <v>13.1</v>
      </c>
    </row>
    <row r="7" spans="1:14" x14ac:dyDescent="0.2">
      <c r="A7" t="s">
        <v>721</v>
      </c>
      <c r="B7" t="s">
        <v>525</v>
      </c>
      <c r="F7">
        <v>2022</v>
      </c>
      <c r="G7">
        <v>4.8</v>
      </c>
      <c r="H7">
        <v>11.3</v>
      </c>
      <c r="I7">
        <v>5.6</v>
      </c>
      <c r="J7">
        <v>18.8</v>
      </c>
      <c r="K7">
        <v>7.3</v>
      </c>
      <c r="L7">
        <v>3</v>
      </c>
      <c r="M7">
        <v>12.2</v>
      </c>
      <c r="N7">
        <v>13.1</v>
      </c>
    </row>
    <row r="8" spans="1:14" x14ac:dyDescent="0.2">
      <c r="F8">
        <v>2023</v>
      </c>
      <c r="G8">
        <v>5.4</v>
      </c>
      <c r="H8">
        <v>12.2</v>
      </c>
      <c r="I8">
        <v>6</v>
      </c>
      <c r="J8">
        <v>20</v>
      </c>
      <c r="K8">
        <v>8</v>
      </c>
      <c r="L8">
        <v>3.4</v>
      </c>
      <c r="M8">
        <v>12.4</v>
      </c>
      <c r="N8">
        <v>13.3</v>
      </c>
    </row>
    <row r="9" spans="1:14" x14ac:dyDescent="0.2">
      <c r="A9" t="s">
        <v>724</v>
      </c>
    </row>
    <row r="10" spans="1:14" x14ac:dyDescent="0.2">
      <c r="A10" t="s">
        <v>725</v>
      </c>
      <c r="B10" t="s">
        <v>726</v>
      </c>
    </row>
    <row r="11" spans="1:14" x14ac:dyDescent="0.2">
      <c r="A11" t="s">
        <v>727</v>
      </c>
      <c r="B11" t="s">
        <v>716</v>
      </c>
    </row>
    <row r="12" spans="1:14" x14ac:dyDescent="0.2">
      <c r="A12" t="s">
        <v>728</v>
      </c>
    </row>
    <row r="13" spans="1:14" x14ac:dyDescent="0.2">
      <c r="A13" t="s">
        <v>730</v>
      </c>
      <c r="B13" t="s">
        <v>936</v>
      </c>
    </row>
    <row r="14" spans="1:14" x14ac:dyDescent="0.2">
      <c r="A14" t="s">
        <v>732</v>
      </c>
      <c r="B14" t="s">
        <v>755</v>
      </c>
    </row>
    <row r="15" spans="1:14" x14ac:dyDescent="0.2">
      <c r="A15" t="s">
        <v>733</v>
      </c>
      <c r="B15" t="s">
        <v>734</v>
      </c>
    </row>
    <row r="17" spans="1:2" x14ac:dyDescent="0.2">
      <c r="A17" t="s">
        <v>735</v>
      </c>
    </row>
    <row r="18" spans="1:2" x14ac:dyDescent="0.2">
      <c r="A18" t="s">
        <v>736</v>
      </c>
      <c r="B18" t="s">
        <v>937</v>
      </c>
    </row>
    <row r="19" spans="1:2" x14ac:dyDescent="0.2">
      <c r="A19" t="s">
        <v>738</v>
      </c>
      <c r="B19" t="s">
        <v>938</v>
      </c>
    </row>
    <row r="20" spans="1:2" x14ac:dyDescent="0.2">
      <c r="A20" t="s">
        <v>740</v>
      </c>
      <c r="B20">
        <v>2023</v>
      </c>
    </row>
    <row r="21" spans="1:2" x14ac:dyDescent="0.2">
      <c r="A21" t="s">
        <v>741</v>
      </c>
      <c r="B21" t="s">
        <v>742</v>
      </c>
    </row>
    <row r="22" spans="1:2" x14ac:dyDescent="0.2">
      <c r="A22" t="s">
        <v>743</v>
      </c>
      <c r="B22" t="s">
        <v>744</v>
      </c>
    </row>
    <row r="23" spans="1:2" x14ac:dyDescent="0.2">
      <c r="A23" t="s">
        <v>745</v>
      </c>
      <c r="B23">
        <v>2025</v>
      </c>
    </row>
    <row r="24" spans="1:2" x14ac:dyDescent="0.2">
      <c r="A24" t="s">
        <v>746</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27"/>
  <sheetViews>
    <sheetView workbookViewId="0"/>
  </sheetViews>
  <sheetFormatPr baseColWidth="10" defaultColWidth="8.83203125" defaultRowHeight="15" x14ac:dyDescent="0.2"/>
  <sheetData>
    <row r="1" spans="1:14" x14ac:dyDescent="0.2">
      <c r="A1" t="s">
        <v>710</v>
      </c>
      <c r="B1" t="s">
        <v>939</v>
      </c>
    </row>
    <row r="2" spans="1:14" x14ac:dyDescent="0.2">
      <c r="A2" t="s">
        <v>711</v>
      </c>
      <c r="B2" t="s">
        <v>712</v>
      </c>
    </row>
    <row r="3" spans="1:14" x14ac:dyDescent="0.2">
      <c r="A3" t="s">
        <v>752</v>
      </c>
      <c r="B3" t="s">
        <v>940</v>
      </c>
    </row>
    <row r="5" spans="1:14" x14ac:dyDescent="0.2">
      <c r="A5" t="s">
        <v>714</v>
      </c>
      <c r="E5" t="s">
        <v>754</v>
      </c>
      <c r="F5" t="s">
        <v>771</v>
      </c>
      <c r="G5" t="s">
        <v>149</v>
      </c>
      <c r="H5" t="s">
        <v>15</v>
      </c>
      <c r="I5" t="s">
        <v>368</v>
      </c>
      <c r="J5" t="s">
        <v>279</v>
      </c>
      <c r="K5" t="s">
        <v>240</v>
      </c>
      <c r="L5" t="s">
        <v>249</v>
      </c>
      <c r="M5" t="s">
        <v>301</v>
      </c>
      <c r="N5" t="s">
        <v>717</v>
      </c>
    </row>
    <row r="6" spans="1:14" x14ac:dyDescent="0.2">
      <c r="A6" t="s">
        <v>719</v>
      </c>
      <c r="B6" t="s">
        <v>755</v>
      </c>
      <c r="F6" t="s">
        <v>941</v>
      </c>
      <c r="G6">
        <v>4</v>
      </c>
      <c r="H6">
        <v>8</v>
      </c>
      <c r="I6">
        <v>4</v>
      </c>
      <c r="J6">
        <v>5</v>
      </c>
      <c r="K6">
        <v>12</v>
      </c>
      <c r="L6">
        <v>6</v>
      </c>
      <c r="M6">
        <v>6</v>
      </c>
      <c r="N6">
        <v>6</v>
      </c>
    </row>
    <row r="7" spans="1:14" x14ac:dyDescent="0.2">
      <c r="A7" t="s">
        <v>721</v>
      </c>
      <c r="B7" t="s">
        <v>525</v>
      </c>
      <c r="F7" t="s">
        <v>942</v>
      </c>
      <c r="G7">
        <v>5</v>
      </c>
      <c r="H7">
        <v>8</v>
      </c>
      <c r="I7" t="s">
        <v>582</v>
      </c>
      <c r="J7">
        <v>5</v>
      </c>
      <c r="K7">
        <v>12</v>
      </c>
      <c r="L7">
        <v>6</v>
      </c>
      <c r="M7">
        <v>6</v>
      </c>
      <c r="N7">
        <v>6</v>
      </c>
    </row>
    <row r="8" spans="1:14" x14ac:dyDescent="0.2">
      <c r="F8" t="s">
        <v>772</v>
      </c>
      <c r="G8">
        <v>5</v>
      </c>
      <c r="H8">
        <v>10</v>
      </c>
      <c r="I8" t="s">
        <v>582</v>
      </c>
      <c r="J8">
        <v>5</v>
      </c>
      <c r="K8">
        <v>17</v>
      </c>
      <c r="L8">
        <v>6</v>
      </c>
      <c r="M8">
        <v>4</v>
      </c>
      <c r="N8">
        <v>6</v>
      </c>
    </row>
    <row r="9" spans="1:14" x14ac:dyDescent="0.2">
      <c r="F9" t="s">
        <v>773</v>
      </c>
      <c r="G9">
        <v>6</v>
      </c>
      <c r="H9">
        <v>8</v>
      </c>
      <c r="I9" t="s">
        <v>582</v>
      </c>
      <c r="J9">
        <v>4</v>
      </c>
      <c r="K9">
        <v>17</v>
      </c>
      <c r="L9">
        <v>6</v>
      </c>
      <c r="M9">
        <v>4</v>
      </c>
      <c r="N9">
        <v>6</v>
      </c>
    </row>
    <row r="10" spans="1:14" x14ac:dyDescent="0.2">
      <c r="F10" t="s">
        <v>774</v>
      </c>
      <c r="G10">
        <v>7</v>
      </c>
      <c r="H10">
        <v>8</v>
      </c>
      <c r="I10" t="s">
        <v>582</v>
      </c>
      <c r="J10">
        <v>6</v>
      </c>
      <c r="K10">
        <v>25</v>
      </c>
      <c r="L10">
        <v>9</v>
      </c>
      <c r="M10">
        <v>5</v>
      </c>
      <c r="N10">
        <v>7</v>
      </c>
    </row>
    <row r="11" spans="1:14" x14ac:dyDescent="0.2">
      <c r="F11" t="s">
        <v>775</v>
      </c>
      <c r="G11">
        <v>6</v>
      </c>
      <c r="H11">
        <v>8</v>
      </c>
      <c r="I11" t="s">
        <v>582</v>
      </c>
      <c r="J11">
        <v>6</v>
      </c>
      <c r="K11">
        <v>24</v>
      </c>
      <c r="L11">
        <v>9</v>
      </c>
      <c r="M11">
        <v>5</v>
      </c>
      <c r="N11">
        <v>7</v>
      </c>
    </row>
    <row r="12" spans="1:14" x14ac:dyDescent="0.2">
      <c r="A12" t="s">
        <v>724</v>
      </c>
    </row>
    <row r="13" spans="1:14" x14ac:dyDescent="0.2">
      <c r="A13" t="s">
        <v>725</v>
      </c>
      <c r="B13" t="s">
        <v>726</v>
      </c>
    </row>
    <row r="14" spans="1:14" x14ac:dyDescent="0.2">
      <c r="A14" t="s">
        <v>727</v>
      </c>
      <c r="B14" t="s">
        <v>771</v>
      </c>
    </row>
    <row r="15" spans="1:14" x14ac:dyDescent="0.2">
      <c r="A15" t="s">
        <v>728</v>
      </c>
    </row>
    <row r="16" spans="1:14" x14ac:dyDescent="0.2">
      <c r="A16" t="s">
        <v>730</v>
      </c>
      <c r="B16" t="s">
        <v>943</v>
      </c>
    </row>
    <row r="17" spans="1:2" x14ac:dyDescent="0.2">
      <c r="A17" t="s">
        <v>732</v>
      </c>
      <c r="B17" t="s">
        <v>755</v>
      </c>
    </row>
    <row r="18" spans="1:2" x14ac:dyDescent="0.2">
      <c r="A18" t="s">
        <v>733</v>
      </c>
      <c r="B18" t="s">
        <v>734</v>
      </c>
    </row>
    <row r="20" spans="1:2" x14ac:dyDescent="0.2">
      <c r="A20" t="s">
        <v>735</v>
      </c>
    </row>
    <row r="21" spans="1:2" x14ac:dyDescent="0.2">
      <c r="A21" t="s">
        <v>736</v>
      </c>
      <c r="B21" t="s">
        <v>944</v>
      </c>
    </row>
    <row r="22" spans="1:2" x14ac:dyDescent="0.2">
      <c r="A22" t="s">
        <v>738</v>
      </c>
      <c r="B22" t="s">
        <v>945</v>
      </c>
    </row>
    <row r="23" spans="1:2" x14ac:dyDescent="0.2">
      <c r="A23" t="s">
        <v>740</v>
      </c>
      <c r="B23">
        <v>2023</v>
      </c>
    </row>
    <row r="24" spans="1:2" x14ac:dyDescent="0.2">
      <c r="A24" t="s">
        <v>741</v>
      </c>
      <c r="B24" t="s">
        <v>742</v>
      </c>
    </row>
    <row r="25" spans="1:2" x14ac:dyDescent="0.2">
      <c r="A25" t="s">
        <v>743</v>
      </c>
      <c r="B25" t="s">
        <v>744</v>
      </c>
    </row>
    <row r="26" spans="1:2" x14ac:dyDescent="0.2">
      <c r="A26" t="s">
        <v>745</v>
      </c>
      <c r="B26">
        <v>2025</v>
      </c>
    </row>
    <row r="27" spans="1:2" x14ac:dyDescent="0.2">
      <c r="A27" t="s">
        <v>746</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29"/>
  <sheetViews>
    <sheetView workbookViewId="0"/>
  </sheetViews>
  <sheetFormatPr baseColWidth="10" defaultColWidth="8.83203125" defaultRowHeight="15" x14ac:dyDescent="0.2"/>
  <sheetData>
    <row r="1" spans="1:7" x14ac:dyDescent="0.2">
      <c r="A1" t="s">
        <v>710</v>
      </c>
      <c r="B1" t="s">
        <v>946</v>
      </c>
    </row>
    <row r="2" spans="1:7" x14ac:dyDescent="0.2">
      <c r="A2" t="s">
        <v>711</v>
      </c>
      <c r="B2" t="s">
        <v>712</v>
      </c>
    </row>
    <row r="3" spans="1:7" x14ac:dyDescent="0.2">
      <c r="A3" t="s">
        <v>752</v>
      </c>
      <c r="B3" t="s">
        <v>947</v>
      </c>
    </row>
    <row r="5" spans="1:7" x14ac:dyDescent="0.2">
      <c r="A5" t="s">
        <v>714</v>
      </c>
      <c r="E5" t="s">
        <v>754</v>
      </c>
      <c r="F5" t="s">
        <v>750</v>
      </c>
      <c r="G5" t="s">
        <v>948</v>
      </c>
    </row>
    <row r="6" spans="1:7" x14ac:dyDescent="0.2">
      <c r="A6" t="s">
        <v>719</v>
      </c>
      <c r="B6" t="s">
        <v>755</v>
      </c>
      <c r="F6" t="s">
        <v>149</v>
      </c>
      <c r="G6">
        <v>8.4</v>
      </c>
    </row>
    <row r="7" spans="1:7" x14ac:dyDescent="0.2">
      <c r="A7" t="s">
        <v>721</v>
      </c>
      <c r="B7" t="s">
        <v>781</v>
      </c>
      <c r="F7" t="s">
        <v>15</v>
      </c>
      <c r="G7">
        <v>8.3000000000000007</v>
      </c>
    </row>
    <row r="8" spans="1:7" x14ac:dyDescent="0.2">
      <c r="F8" t="s">
        <v>368</v>
      </c>
      <c r="G8">
        <v>9</v>
      </c>
    </row>
    <row r="9" spans="1:7" x14ac:dyDescent="0.2">
      <c r="F9" t="s">
        <v>279</v>
      </c>
      <c r="G9">
        <v>8.5</v>
      </c>
    </row>
    <row r="10" spans="1:7" x14ac:dyDescent="0.2">
      <c r="F10" t="s">
        <v>240</v>
      </c>
      <c r="G10">
        <v>8.1999999999999993</v>
      </c>
    </row>
    <row r="11" spans="1:7" x14ac:dyDescent="0.2">
      <c r="F11" t="s">
        <v>249</v>
      </c>
      <c r="G11">
        <v>8.1</v>
      </c>
    </row>
    <row r="12" spans="1:7" x14ac:dyDescent="0.2">
      <c r="F12" t="s">
        <v>301</v>
      </c>
      <c r="G12">
        <v>9.3000000000000007</v>
      </c>
    </row>
    <row r="13" spans="1:7" x14ac:dyDescent="0.2">
      <c r="F13" t="s">
        <v>717</v>
      </c>
      <c r="G13">
        <v>8.6999999999999993</v>
      </c>
    </row>
    <row r="14" spans="1:7" x14ac:dyDescent="0.2">
      <c r="A14" t="s">
        <v>724</v>
      </c>
    </row>
    <row r="15" spans="1:7" x14ac:dyDescent="0.2">
      <c r="A15" t="s">
        <v>725</v>
      </c>
      <c r="B15" t="s">
        <v>726</v>
      </c>
    </row>
    <row r="16" spans="1:7" x14ac:dyDescent="0.2">
      <c r="A16" t="s">
        <v>727</v>
      </c>
      <c r="B16" t="s">
        <v>750</v>
      </c>
    </row>
    <row r="17" spans="1:2" x14ac:dyDescent="0.2">
      <c r="A17" t="s">
        <v>728</v>
      </c>
      <c r="B17" t="s">
        <v>948</v>
      </c>
    </row>
    <row r="18" spans="1:2" x14ac:dyDescent="0.2">
      <c r="A18" t="s">
        <v>730</v>
      </c>
      <c r="B18" t="s">
        <v>949</v>
      </c>
    </row>
    <row r="19" spans="1:2" x14ac:dyDescent="0.2">
      <c r="A19" t="s">
        <v>732</v>
      </c>
      <c r="B19" t="s">
        <v>755</v>
      </c>
    </row>
    <row r="20" spans="1:2" x14ac:dyDescent="0.2">
      <c r="A20" t="s">
        <v>733</v>
      </c>
      <c r="B20" t="s">
        <v>755</v>
      </c>
    </row>
    <row r="22" spans="1:2" x14ac:dyDescent="0.2">
      <c r="A22" t="s">
        <v>735</v>
      </c>
    </row>
    <row r="23" spans="1:2" x14ac:dyDescent="0.2">
      <c r="A23" t="s">
        <v>736</v>
      </c>
    </row>
    <row r="24" spans="1:2" x14ac:dyDescent="0.2">
      <c r="A24" t="s">
        <v>738</v>
      </c>
      <c r="B24" t="s">
        <v>777</v>
      </c>
    </row>
    <row r="25" spans="1:2" x14ac:dyDescent="0.2">
      <c r="A25" t="s">
        <v>740</v>
      </c>
      <c r="B25">
        <v>2025</v>
      </c>
    </row>
    <row r="26" spans="1:2" x14ac:dyDescent="0.2">
      <c r="A26" t="s">
        <v>741</v>
      </c>
    </row>
    <row r="27" spans="1:2" x14ac:dyDescent="0.2">
      <c r="A27" t="s">
        <v>743</v>
      </c>
      <c r="B27" t="s">
        <v>744</v>
      </c>
    </row>
    <row r="28" spans="1:2" x14ac:dyDescent="0.2">
      <c r="A28" t="s">
        <v>745</v>
      </c>
      <c r="B28">
        <v>2025</v>
      </c>
    </row>
    <row r="29" spans="1:2" x14ac:dyDescent="0.2">
      <c r="A29" t="s">
        <v>746</v>
      </c>
      <c r="B29" t="s">
        <v>778</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29"/>
  <sheetViews>
    <sheetView workbookViewId="0"/>
  </sheetViews>
  <sheetFormatPr baseColWidth="10" defaultColWidth="8.83203125" defaultRowHeight="15" x14ac:dyDescent="0.2"/>
  <sheetData>
    <row r="1" spans="1:7" x14ac:dyDescent="0.2">
      <c r="A1" t="s">
        <v>710</v>
      </c>
      <c r="B1" t="s">
        <v>950</v>
      </c>
    </row>
    <row r="2" spans="1:7" x14ac:dyDescent="0.2">
      <c r="A2" t="s">
        <v>711</v>
      </c>
      <c r="B2" t="s">
        <v>712</v>
      </c>
    </row>
    <row r="3" spans="1:7" x14ac:dyDescent="0.2">
      <c r="A3" t="s">
        <v>752</v>
      </c>
      <c r="B3" t="s">
        <v>951</v>
      </c>
    </row>
    <row r="5" spans="1:7" x14ac:dyDescent="0.2">
      <c r="A5" t="s">
        <v>714</v>
      </c>
      <c r="E5" t="s">
        <v>754</v>
      </c>
      <c r="F5" t="s">
        <v>750</v>
      </c>
      <c r="G5" t="s">
        <v>952</v>
      </c>
    </row>
    <row r="6" spans="1:7" x14ac:dyDescent="0.2">
      <c r="A6" t="s">
        <v>719</v>
      </c>
      <c r="B6" t="s">
        <v>755</v>
      </c>
      <c r="F6" t="s">
        <v>149</v>
      </c>
      <c r="G6">
        <v>2.1</v>
      </c>
    </row>
    <row r="7" spans="1:7" x14ac:dyDescent="0.2">
      <c r="A7" t="s">
        <v>721</v>
      </c>
      <c r="B7" t="s">
        <v>525</v>
      </c>
      <c r="F7" t="s">
        <v>15</v>
      </c>
      <c r="G7">
        <v>2.8</v>
      </c>
    </row>
    <row r="8" spans="1:7" x14ac:dyDescent="0.2">
      <c r="F8" t="s">
        <v>368</v>
      </c>
      <c r="G8">
        <v>6.7</v>
      </c>
    </row>
    <row r="9" spans="1:7" x14ac:dyDescent="0.2">
      <c r="F9" t="s">
        <v>279</v>
      </c>
      <c r="G9">
        <v>2.5</v>
      </c>
    </row>
    <row r="10" spans="1:7" x14ac:dyDescent="0.2">
      <c r="F10" t="s">
        <v>240</v>
      </c>
      <c r="G10">
        <v>3.2</v>
      </c>
    </row>
    <row r="11" spans="1:7" x14ac:dyDescent="0.2">
      <c r="F11" t="s">
        <v>249</v>
      </c>
      <c r="G11">
        <v>2.2999999999999998</v>
      </c>
    </row>
    <row r="12" spans="1:7" x14ac:dyDescent="0.2">
      <c r="F12" t="s">
        <v>301</v>
      </c>
      <c r="G12">
        <v>1.4</v>
      </c>
    </row>
    <row r="13" spans="1:7" x14ac:dyDescent="0.2">
      <c r="F13" t="s">
        <v>717</v>
      </c>
      <c r="G13">
        <v>2</v>
      </c>
    </row>
    <row r="14" spans="1:7" x14ac:dyDescent="0.2">
      <c r="A14" t="s">
        <v>724</v>
      </c>
    </row>
    <row r="15" spans="1:7" x14ac:dyDescent="0.2">
      <c r="A15" t="s">
        <v>725</v>
      </c>
      <c r="B15" t="s">
        <v>726</v>
      </c>
    </row>
    <row r="16" spans="1:7" x14ac:dyDescent="0.2">
      <c r="A16" t="s">
        <v>727</v>
      </c>
      <c r="B16" t="s">
        <v>750</v>
      </c>
    </row>
    <row r="17" spans="1:2" x14ac:dyDescent="0.2">
      <c r="A17" t="s">
        <v>728</v>
      </c>
      <c r="B17" t="s">
        <v>952</v>
      </c>
    </row>
    <row r="18" spans="1:2" x14ac:dyDescent="0.2">
      <c r="A18" t="s">
        <v>730</v>
      </c>
      <c r="B18" t="s">
        <v>953</v>
      </c>
    </row>
    <row r="19" spans="1:2" x14ac:dyDescent="0.2">
      <c r="A19" t="s">
        <v>732</v>
      </c>
      <c r="B19" t="s">
        <v>755</v>
      </c>
    </row>
    <row r="20" spans="1:2" x14ac:dyDescent="0.2">
      <c r="A20" t="s">
        <v>733</v>
      </c>
      <c r="B20" t="s">
        <v>755</v>
      </c>
    </row>
    <row r="22" spans="1:2" x14ac:dyDescent="0.2">
      <c r="A22" t="s">
        <v>735</v>
      </c>
    </row>
    <row r="23" spans="1:2" x14ac:dyDescent="0.2">
      <c r="A23" t="s">
        <v>736</v>
      </c>
    </row>
    <row r="24" spans="1:2" x14ac:dyDescent="0.2">
      <c r="A24" t="s">
        <v>738</v>
      </c>
      <c r="B24" t="s">
        <v>777</v>
      </c>
    </row>
    <row r="25" spans="1:2" x14ac:dyDescent="0.2">
      <c r="A25" t="s">
        <v>740</v>
      </c>
      <c r="B25">
        <v>2025</v>
      </c>
    </row>
    <row r="26" spans="1:2" x14ac:dyDescent="0.2">
      <c r="A26" t="s">
        <v>741</v>
      </c>
    </row>
    <row r="27" spans="1:2" x14ac:dyDescent="0.2">
      <c r="A27" t="s">
        <v>743</v>
      </c>
      <c r="B27" t="s">
        <v>744</v>
      </c>
    </row>
    <row r="28" spans="1:2" x14ac:dyDescent="0.2">
      <c r="A28" t="s">
        <v>745</v>
      </c>
      <c r="B28">
        <v>2025</v>
      </c>
    </row>
    <row r="29" spans="1:2" x14ac:dyDescent="0.2">
      <c r="A29" t="s">
        <v>746</v>
      </c>
      <c r="B29" t="s">
        <v>778</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5"/>
  <sheetViews>
    <sheetView workbookViewId="0"/>
  </sheetViews>
  <sheetFormatPr baseColWidth="10" defaultColWidth="8.83203125" defaultRowHeight="15" x14ac:dyDescent="0.2"/>
  <sheetData>
    <row r="1" spans="1:14" x14ac:dyDescent="0.2">
      <c r="A1" t="s">
        <v>710</v>
      </c>
      <c r="B1" t="s">
        <v>954</v>
      </c>
    </row>
    <row r="2" spans="1:14" x14ac:dyDescent="0.2">
      <c r="A2" t="s">
        <v>711</v>
      </c>
      <c r="B2" t="s">
        <v>712</v>
      </c>
    </row>
    <row r="3" spans="1:14" x14ac:dyDescent="0.2">
      <c r="A3" t="s">
        <v>752</v>
      </c>
      <c r="B3" t="s">
        <v>955</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2018</v>
      </c>
      <c r="G6">
        <v>118</v>
      </c>
      <c r="H6">
        <v>185</v>
      </c>
      <c r="I6">
        <v>45</v>
      </c>
      <c r="J6">
        <v>95</v>
      </c>
      <c r="K6">
        <v>165</v>
      </c>
      <c r="L6">
        <v>125</v>
      </c>
      <c r="M6">
        <v>110</v>
      </c>
      <c r="N6">
        <v>380</v>
      </c>
    </row>
    <row r="7" spans="1:14" x14ac:dyDescent="0.2">
      <c r="A7" t="s">
        <v>721</v>
      </c>
      <c r="B7" t="s">
        <v>781</v>
      </c>
      <c r="F7">
        <v>2019</v>
      </c>
      <c r="G7">
        <v>120</v>
      </c>
      <c r="H7">
        <v>190</v>
      </c>
      <c r="I7">
        <v>48</v>
      </c>
      <c r="J7">
        <v>98</v>
      </c>
      <c r="K7">
        <v>170</v>
      </c>
      <c r="L7">
        <v>128</v>
      </c>
      <c r="M7">
        <v>112</v>
      </c>
      <c r="N7">
        <v>375</v>
      </c>
    </row>
    <row r="8" spans="1:14" x14ac:dyDescent="0.2">
      <c r="F8">
        <v>2020</v>
      </c>
      <c r="G8">
        <v>115</v>
      </c>
      <c r="H8">
        <v>188</v>
      </c>
      <c r="I8">
        <v>42</v>
      </c>
      <c r="J8">
        <v>92</v>
      </c>
      <c r="K8">
        <v>155</v>
      </c>
      <c r="L8">
        <v>120</v>
      </c>
      <c r="M8">
        <v>108</v>
      </c>
      <c r="N8">
        <v>370</v>
      </c>
    </row>
    <row r="9" spans="1:14" x14ac:dyDescent="0.2">
      <c r="F9">
        <v>2021</v>
      </c>
      <c r="G9">
        <v>112</v>
      </c>
      <c r="H9">
        <v>192.4</v>
      </c>
      <c r="I9">
        <v>40</v>
      </c>
      <c r="J9">
        <v>88</v>
      </c>
      <c r="K9">
        <v>145</v>
      </c>
      <c r="L9">
        <v>118</v>
      </c>
      <c r="M9">
        <v>105</v>
      </c>
      <c r="N9">
        <v>365</v>
      </c>
    </row>
    <row r="10" spans="1:14" x14ac:dyDescent="0.2">
      <c r="A10" t="s">
        <v>724</v>
      </c>
    </row>
    <row r="11" spans="1:14" x14ac:dyDescent="0.2">
      <c r="A11" t="s">
        <v>725</v>
      </c>
      <c r="B11" t="s">
        <v>726</v>
      </c>
    </row>
    <row r="12" spans="1:14" x14ac:dyDescent="0.2">
      <c r="A12" t="s">
        <v>727</v>
      </c>
      <c r="B12" t="s">
        <v>716</v>
      </c>
    </row>
    <row r="13" spans="1:14" x14ac:dyDescent="0.2">
      <c r="A13" t="s">
        <v>728</v>
      </c>
    </row>
    <row r="14" spans="1:14" x14ac:dyDescent="0.2">
      <c r="A14" t="s">
        <v>730</v>
      </c>
      <c r="B14" t="s">
        <v>956</v>
      </c>
    </row>
    <row r="15" spans="1:14" x14ac:dyDescent="0.2">
      <c r="A15" t="s">
        <v>732</v>
      </c>
      <c r="B15" t="s">
        <v>755</v>
      </c>
    </row>
    <row r="16" spans="1:14" x14ac:dyDescent="0.2">
      <c r="A16" t="s">
        <v>733</v>
      </c>
      <c r="B16" t="s">
        <v>734</v>
      </c>
    </row>
    <row r="18" spans="1:2" x14ac:dyDescent="0.2">
      <c r="A18" t="s">
        <v>735</v>
      </c>
    </row>
    <row r="19" spans="1:2" x14ac:dyDescent="0.2">
      <c r="A19" t="s">
        <v>736</v>
      </c>
    </row>
    <row r="20" spans="1:2" x14ac:dyDescent="0.2">
      <c r="A20" t="s">
        <v>738</v>
      </c>
      <c r="B20" t="s">
        <v>546</v>
      </c>
    </row>
    <row r="21" spans="1:2" x14ac:dyDescent="0.2">
      <c r="A21" t="s">
        <v>740</v>
      </c>
      <c r="B21">
        <v>2021</v>
      </c>
    </row>
    <row r="22" spans="1:2" x14ac:dyDescent="0.2">
      <c r="A22" t="s">
        <v>741</v>
      </c>
    </row>
    <row r="23" spans="1:2" x14ac:dyDescent="0.2">
      <c r="A23" t="s">
        <v>743</v>
      </c>
      <c r="B23" t="s">
        <v>744</v>
      </c>
    </row>
    <row r="24" spans="1:2" x14ac:dyDescent="0.2">
      <c r="A24" t="s">
        <v>745</v>
      </c>
      <c r="B24">
        <v>2025</v>
      </c>
    </row>
    <row r="25" spans="1:2" x14ac:dyDescent="0.2">
      <c r="A25" t="s">
        <v>746</v>
      </c>
      <c r="B25" t="s">
        <v>957</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28"/>
  <sheetViews>
    <sheetView workbookViewId="0"/>
  </sheetViews>
  <sheetFormatPr baseColWidth="10" defaultColWidth="8.83203125" defaultRowHeight="15" x14ac:dyDescent="0.2"/>
  <sheetData>
    <row r="1" spans="1:14" x14ac:dyDescent="0.2">
      <c r="A1" t="s">
        <v>710</v>
      </c>
      <c r="B1" t="s">
        <v>958</v>
      </c>
    </row>
    <row r="2" spans="1:14" x14ac:dyDescent="0.2">
      <c r="A2" t="s">
        <v>711</v>
      </c>
      <c r="B2" t="s">
        <v>712</v>
      </c>
    </row>
    <row r="3" spans="1:14" x14ac:dyDescent="0.2">
      <c r="A3" t="s">
        <v>752</v>
      </c>
      <c r="B3" t="s">
        <v>959</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2014</v>
      </c>
      <c r="G6">
        <v>8.5</v>
      </c>
      <c r="H6">
        <v>7.8</v>
      </c>
      <c r="I6">
        <v>8.1999999999999993</v>
      </c>
      <c r="J6">
        <v>8.8000000000000007</v>
      </c>
      <c r="K6">
        <v>7.5</v>
      </c>
      <c r="L6">
        <v>8</v>
      </c>
      <c r="M6">
        <v>9.1999999999999993</v>
      </c>
      <c r="N6">
        <v>8.5</v>
      </c>
    </row>
    <row r="7" spans="1:14" x14ac:dyDescent="0.2">
      <c r="A7" t="s">
        <v>721</v>
      </c>
      <c r="B7" t="s">
        <v>781</v>
      </c>
      <c r="F7">
        <v>2015</v>
      </c>
      <c r="G7">
        <v>8.1999999999999993</v>
      </c>
      <c r="H7">
        <v>7.5</v>
      </c>
      <c r="I7">
        <v>8</v>
      </c>
      <c r="J7">
        <v>8.5</v>
      </c>
      <c r="K7">
        <v>7.2</v>
      </c>
      <c r="L7">
        <v>7.8</v>
      </c>
      <c r="M7">
        <v>9</v>
      </c>
      <c r="N7">
        <v>8.3000000000000007</v>
      </c>
    </row>
    <row r="8" spans="1:14" x14ac:dyDescent="0.2">
      <c r="F8">
        <v>2016</v>
      </c>
      <c r="G8">
        <v>7.9</v>
      </c>
      <c r="H8">
        <v>7.2</v>
      </c>
      <c r="I8">
        <v>7.8</v>
      </c>
      <c r="J8">
        <v>8.1999999999999993</v>
      </c>
      <c r="K8">
        <v>7</v>
      </c>
      <c r="L8">
        <v>7.5</v>
      </c>
      <c r="M8">
        <v>8.8000000000000007</v>
      </c>
      <c r="N8">
        <v>8.1</v>
      </c>
    </row>
    <row r="9" spans="1:14" x14ac:dyDescent="0.2">
      <c r="F9">
        <v>2017</v>
      </c>
      <c r="G9">
        <v>7.6</v>
      </c>
      <c r="H9">
        <v>7</v>
      </c>
      <c r="I9">
        <v>7.5</v>
      </c>
      <c r="J9">
        <v>8</v>
      </c>
      <c r="K9">
        <v>6.8</v>
      </c>
      <c r="L9">
        <v>7.3</v>
      </c>
      <c r="M9">
        <v>8.6</v>
      </c>
      <c r="N9">
        <v>7.9</v>
      </c>
    </row>
    <row r="10" spans="1:14" x14ac:dyDescent="0.2">
      <c r="F10">
        <v>2018</v>
      </c>
      <c r="G10">
        <v>7.4</v>
      </c>
      <c r="H10">
        <v>6.8</v>
      </c>
      <c r="I10">
        <v>7.3</v>
      </c>
      <c r="J10">
        <v>7.8</v>
      </c>
      <c r="K10">
        <v>6.6</v>
      </c>
      <c r="L10">
        <v>7.1</v>
      </c>
      <c r="M10">
        <v>8.4</v>
      </c>
      <c r="N10">
        <v>7.7</v>
      </c>
    </row>
    <row r="11" spans="1:14" x14ac:dyDescent="0.2">
      <c r="F11">
        <v>2019</v>
      </c>
      <c r="G11">
        <v>7.2</v>
      </c>
      <c r="H11">
        <v>6.6</v>
      </c>
      <c r="I11">
        <v>7.1</v>
      </c>
      <c r="J11">
        <v>7.6</v>
      </c>
      <c r="K11">
        <v>6.4</v>
      </c>
      <c r="L11">
        <v>6.9</v>
      </c>
      <c r="M11">
        <v>8.1999999999999993</v>
      </c>
      <c r="N11">
        <v>7.5</v>
      </c>
    </row>
    <row r="12" spans="1:14" x14ac:dyDescent="0.2">
      <c r="F12">
        <v>2020</v>
      </c>
      <c r="G12">
        <v>7</v>
      </c>
      <c r="H12">
        <v>6.4</v>
      </c>
      <c r="I12">
        <v>6.9</v>
      </c>
      <c r="J12">
        <v>7.4</v>
      </c>
      <c r="K12">
        <v>6.2</v>
      </c>
      <c r="L12">
        <v>6.7</v>
      </c>
      <c r="M12">
        <v>8</v>
      </c>
      <c r="N12">
        <v>7.3</v>
      </c>
    </row>
    <row r="13" spans="1:14" x14ac:dyDescent="0.2">
      <c r="A13" t="s">
        <v>724</v>
      </c>
    </row>
    <row r="14" spans="1:14" x14ac:dyDescent="0.2">
      <c r="A14" t="s">
        <v>725</v>
      </c>
      <c r="B14" t="s">
        <v>756</v>
      </c>
    </row>
    <row r="15" spans="1:14" x14ac:dyDescent="0.2">
      <c r="A15" t="s">
        <v>727</v>
      </c>
      <c r="B15" t="s">
        <v>716</v>
      </c>
    </row>
    <row r="16" spans="1:14" x14ac:dyDescent="0.2">
      <c r="A16" t="s">
        <v>728</v>
      </c>
    </row>
    <row r="17" spans="1:2" x14ac:dyDescent="0.2">
      <c r="A17" t="s">
        <v>730</v>
      </c>
      <c r="B17" t="s">
        <v>960</v>
      </c>
    </row>
    <row r="18" spans="1:2" x14ac:dyDescent="0.2">
      <c r="A18" t="s">
        <v>732</v>
      </c>
      <c r="B18" t="s">
        <v>755</v>
      </c>
    </row>
    <row r="19" spans="1:2" x14ac:dyDescent="0.2">
      <c r="A19" t="s">
        <v>733</v>
      </c>
      <c r="B19" t="s">
        <v>755</v>
      </c>
    </row>
    <row r="21" spans="1:2" x14ac:dyDescent="0.2">
      <c r="A21" t="s">
        <v>735</v>
      </c>
    </row>
    <row r="22" spans="1:2" x14ac:dyDescent="0.2">
      <c r="A22" t="s">
        <v>736</v>
      </c>
    </row>
    <row r="23" spans="1:2" x14ac:dyDescent="0.2">
      <c r="A23" t="s">
        <v>738</v>
      </c>
      <c r="B23" t="s">
        <v>777</v>
      </c>
    </row>
    <row r="24" spans="1:2" x14ac:dyDescent="0.2">
      <c r="A24" t="s">
        <v>740</v>
      </c>
      <c r="B24">
        <v>2020</v>
      </c>
    </row>
    <row r="25" spans="1:2" x14ac:dyDescent="0.2">
      <c r="A25" t="s">
        <v>741</v>
      </c>
    </row>
    <row r="26" spans="1:2" x14ac:dyDescent="0.2">
      <c r="A26" t="s">
        <v>743</v>
      </c>
      <c r="B26" t="s">
        <v>744</v>
      </c>
    </row>
    <row r="27" spans="1:2" x14ac:dyDescent="0.2">
      <c r="A27" t="s">
        <v>745</v>
      </c>
      <c r="B27">
        <v>2025</v>
      </c>
    </row>
    <row r="28" spans="1:2" x14ac:dyDescent="0.2">
      <c r="A28" t="s">
        <v>746</v>
      </c>
      <c r="B28" t="s">
        <v>778</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25"/>
  <sheetViews>
    <sheetView workbookViewId="0"/>
  </sheetViews>
  <sheetFormatPr baseColWidth="10" defaultColWidth="8.83203125" defaultRowHeight="15" x14ac:dyDescent="0.2"/>
  <sheetData>
    <row r="1" spans="1:14" x14ac:dyDescent="0.2">
      <c r="A1" t="s">
        <v>710</v>
      </c>
      <c r="B1" t="s">
        <v>961</v>
      </c>
    </row>
    <row r="2" spans="1:14" x14ac:dyDescent="0.2">
      <c r="A2" t="s">
        <v>711</v>
      </c>
      <c r="B2" t="s">
        <v>712</v>
      </c>
    </row>
    <row r="3" spans="1:14" x14ac:dyDescent="0.2">
      <c r="A3" t="s">
        <v>752</v>
      </c>
      <c r="B3" t="s">
        <v>962</v>
      </c>
    </row>
    <row r="5" spans="1:14" x14ac:dyDescent="0.2">
      <c r="A5" t="s">
        <v>714</v>
      </c>
      <c r="E5" t="s">
        <v>754</v>
      </c>
      <c r="F5" t="s">
        <v>963</v>
      </c>
      <c r="G5" t="s">
        <v>149</v>
      </c>
      <c r="H5" t="s">
        <v>15</v>
      </c>
      <c r="I5" t="s">
        <v>368</v>
      </c>
      <c r="J5" t="s">
        <v>279</v>
      </c>
      <c r="K5" t="s">
        <v>240</v>
      </c>
      <c r="L5" t="s">
        <v>249</v>
      </c>
      <c r="M5" t="s">
        <v>301</v>
      </c>
      <c r="N5" t="s">
        <v>717</v>
      </c>
    </row>
    <row r="6" spans="1:14" x14ac:dyDescent="0.2">
      <c r="A6" t="s">
        <v>719</v>
      </c>
      <c r="B6" t="s">
        <v>755</v>
      </c>
      <c r="F6">
        <v>2016</v>
      </c>
      <c r="G6">
        <v>45.2</v>
      </c>
      <c r="H6">
        <v>42.3</v>
      </c>
      <c r="I6">
        <v>48.5</v>
      </c>
      <c r="J6">
        <v>44.8</v>
      </c>
      <c r="K6">
        <v>32.5</v>
      </c>
      <c r="L6">
        <v>43.2</v>
      </c>
      <c r="M6">
        <v>56.8</v>
      </c>
      <c r="N6">
        <v>52.5</v>
      </c>
    </row>
    <row r="7" spans="1:14" x14ac:dyDescent="0.2">
      <c r="A7" t="s">
        <v>721</v>
      </c>
      <c r="B7" t="s">
        <v>525</v>
      </c>
      <c r="F7">
        <v>2017</v>
      </c>
      <c r="G7">
        <v>46.8</v>
      </c>
      <c r="H7">
        <v>43.7</v>
      </c>
      <c r="I7">
        <v>50.2</v>
      </c>
      <c r="J7">
        <v>46.2</v>
      </c>
      <c r="K7">
        <v>34.1</v>
      </c>
      <c r="L7">
        <v>44.6</v>
      </c>
      <c r="M7">
        <v>58.2</v>
      </c>
      <c r="N7">
        <v>53.8</v>
      </c>
    </row>
    <row r="8" spans="1:14" x14ac:dyDescent="0.2">
      <c r="F8">
        <v>2018</v>
      </c>
      <c r="G8">
        <v>48.1</v>
      </c>
      <c r="H8">
        <v>45.2</v>
      </c>
      <c r="I8">
        <v>51.8</v>
      </c>
      <c r="J8">
        <v>47.5</v>
      </c>
      <c r="K8">
        <v>35.200000000000003</v>
      </c>
      <c r="L8">
        <v>45.9</v>
      </c>
      <c r="M8">
        <v>59.5</v>
      </c>
      <c r="N8">
        <v>55.2</v>
      </c>
    </row>
    <row r="9" spans="1:14" x14ac:dyDescent="0.2">
      <c r="F9">
        <v>2019</v>
      </c>
      <c r="G9">
        <v>49.5</v>
      </c>
      <c r="H9">
        <v>46.8</v>
      </c>
      <c r="I9">
        <v>53.2</v>
      </c>
      <c r="J9">
        <v>48.9</v>
      </c>
      <c r="K9">
        <v>36.6</v>
      </c>
      <c r="L9">
        <v>47.2</v>
      </c>
      <c r="M9">
        <v>60.2</v>
      </c>
      <c r="N9">
        <v>56.5</v>
      </c>
    </row>
    <row r="10" spans="1:14" x14ac:dyDescent="0.2">
      <c r="A10" t="s">
        <v>724</v>
      </c>
    </row>
    <row r="11" spans="1:14" x14ac:dyDescent="0.2">
      <c r="A11" t="s">
        <v>725</v>
      </c>
      <c r="B11" t="s">
        <v>726</v>
      </c>
    </row>
    <row r="12" spans="1:14" x14ac:dyDescent="0.2">
      <c r="A12" t="s">
        <v>727</v>
      </c>
      <c r="B12" t="s">
        <v>963</v>
      </c>
    </row>
    <row r="13" spans="1:14" x14ac:dyDescent="0.2">
      <c r="A13" t="s">
        <v>728</v>
      </c>
    </row>
    <row r="14" spans="1:14" x14ac:dyDescent="0.2">
      <c r="A14" t="s">
        <v>730</v>
      </c>
      <c r="B14" t="s">
        <v>964</v>
      </c>
    </row>
    <row r="15" spans="1:14" x14ac:dyDescent="0.2">
      <c r="A15" t="s">
        <v>732</v>
      </c>
      <c r="B15" t="s">
        <v>755</v>
      </c>
    </row>
    <row r="16" spans="1:14" x14ac:dyDescent="0.2">
      <c r="A16" t="s">
        <v>733</v>
      </c>
      <c r="B16" t="s">
        <v>734</v>
      </c>
    </row>
    <row r="18" spans="1:2" x14ac:dyDescent="0.2">
      <c r="A18" t="s">
        <v>735</v>
      </c>
    </row>
    <row r="19" spans="1:2" x14ac:dyDescent="0.2">
      <c r="A19" t="s">
        <v>736</v>
      </c>
    </row>
    <row r="20" spans="1:2" x14ac:dyDescent="0.2">
      <c r="A20" t="s">
        <v>738</v>
      </c>
      <c r="B20" t="s">
        <v>522</v>
      </c>
    </row>
    <row r="21" spans="1:2" x14ac:dyDescent="0.2">
      <c r="A21" t="s">
        <v>740</v>
      </c>
      <c r="B21">
        <v>2019</v>
      </c>
    </row>
    <row r="22" spans="1:2" x14ac:dyDescent="0.2">
      <c r="A22" t="s">
        <v>741</v>
      </c>
    </row>
    <row r="23" spans="1:2" x14ac:dyDescent="0.2">
      <c r="A23" t="s">
        <v>743</v>
      </c>
      <c r="B23" t="s">
        <v>744</v>
      </c>
    </row>
    <row r="24" spans="1:2" x14ac:dyDescent="0.2">
      <c r="A24" t="s">
        <v>745</v>
      </c>
      <c r="B24">
        <v>2025</v>
      </c>
    </row>
    <row r="25" spans="1:2" x14ac:dyDescent="0.2">
      <c r="A25" t="s">
        <v>746</v>
      </c>
      <c r="B25" t="s">
        <v>965</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29"/>
  <sheetViews>
    <sheetView workbookViewId="0"/>
  </sheetViews>
  <sheetFormatPr baseColWidth="10" defaultColWidth="8.83203125" defaultRowHeight="15" x14ac:dyDescent="0.2"/>
  <sheetData>
    <row r="1" spans="1:7" x14ac:dyDescent="0.2">
      <c r="A1" t="s">
        <v>710</v>
      </c>
      <c r="B1" t="s">
        <v>966</v>
      </c>
    </row>
    <row r="2" spans="1:7" x14ac:dyDescent="0.2">
      <c r="A2" t="s">
        <v>711</v>
      </c>
      <c r="B2" t="s">
        <v>712</v>
      </c>
    </row>
    <row r="3" spans="1:7" x14ac:dyDescent="0.2">
      <c r="A3" t="s">
        <v>752</v>
      </c>
      <c r="B3" t="s">
        <v>967</v>
      </c>
    </row>
    <row r="5" spans="1:7" x14ac:dyDescent="0.2">
      <c r="A5" t="s">
        <v>714</v>
      </c>
      <c r="E5" t="s">
        <v>754</v>
      </c>
      <c r="F5" t="s">
        <v>750</v>
      </c>
      <c r="G5" t="s">
        <v>968</v>
      </c>
    </row>
    <row r="6" spans="1:7" x14ac:dyDescent="0.2">
      <c r="A6" t="s">
        <v>719</v>
      </c>
      <c r="B6" t="s">
        <v>755</v>
      </c>
      <c r="F6" t="s">
        <v>149</v>
      </c>
      <c r="G6">
        <v>20</v>
      </c>
    </row>
    <row r="7" spans="1:7" x14ac:dyDescent="0.2">
      <c r="A7" t="s">
        <v>721</v>
      </c>
      <c r="B7" t="s">
        <v>525</v>
      </c>
      <c r="F7" t="s">
        <v>15</v>
      </c>
      <c r="G7">
        <v>22</v>
      </c>
    </row>
    <row r="8" spans="1:7" x14ac:dyDescent="0.2">
      <c r="F8" t="s">
        <v>368</v>
      </c>
      <c r="G8">
        <v>17</v>
      </c>
    </row>
    <row r="9" spans="1:7" x14ac:dyDescent="0.2">
      <c r="F9" t="s">
        <v>279</v>
      </c>
      <c r="G9">
        <v>26</v>
      </c>
    </row>
    <row r="10" spans="1:7" x14ac:dyDescent="0.2">
      <c r="F10" t="s">
        <v>240</v>
      </c>
      <c r="G10">
        <v>16</v>
      </c>
    </row>
    <row r="11" spans="1:7" x14ac:dyDescent="0.2">
      <c r="F11" t="s">
        <v>249</v>
      </c>
      <c r="G11">
        <v>19</v>
      </c>
    </row>
    <row r="12" spans="1:7" x14ac:dyDescent="0.2">
      <c r="F12" t="s">
        <v>301</v>
      </c>
      <c r="G12">
        <v>21</v>
      </c>
    </row>
    <row r="13" spans="1:7" x14ac:dyDescent="0.2">
      <c r="F13" t="s">
        <v>717</v>
      </c>
      <c r="G13">
        <v>23</v>
      </c>
    </row>
    <row r="14" spans="1:7" x14ac:dyDescent="0.2">
      <c r="A14" t="s">
        <v>724</v>
      </c>
    </row>
    <row r="15" spans="1:7" x14ac:dyDescent="0.2">
      <c r="A15" t="s">
        <v>725</v>
      </c>
      <c r="B15" t="s">
        <v>726</v>
      </c>
    </row>
    <row r="16" spans="1:7" x14ac:dyDescent="0.2">
      <c r="A16" t="s">
        <v>727</v>
      </c>
      <c r="B16" t="s">
        <v>750</v>
      </c>
    </row>
    <row r="17" spans="1:2" x14ac:dyDescent="0.2">
      <c r="A17" t="s">
        <v>728</v>
      </c>
      <c r="B17" t="s">
        <v>968</v>
      </c>
    </row>
    <row r="18" spans="1:2" x14ac:dyDescent="0.2">
      <c r="A18" t="s">
        <v>730</v>
      </c>
      <c r="B18" t="s">
        <v>969</v>
      </c>
    </row>
    <row r="19" spans="1:2" x14ac:dyDescent="0.2">
      <c r="A19" t="s">
        <v>732</v>
      </c>
      <c r="B19" t="s">
        <v>755</v>
      </c>
    </row>
    <row r="20" spans="1:2" x14ac:dyDescent="0.2">
      <c r="A20" t="s">
        <v>733</v>
      </c>
      <c r="B20" t="s">
        <v>755</v>
      </c>
    </row>
    <row r="22" spans="1:2" x14ac:dyDescent="0.2">
      <c r="A22" t="s">
        <v>735</v>
      </c>
    </row>
    <row r="23" spans="1:2" x14ac:dyDescent="0.2">
      <c r="A23" t="s">
        <v>736</v>
      </c>
    </row>
    <row r="24" spans="1:2" x14ac:dyDescent="0.2">
      <c r="A24" t="s">
        <v>738</v>
      </c>
      <c r="B24" t="s">
        <v>777</v>
      </c>
    </row>
    <row r="25" spans="1:2" x14ac:dyDescent="0.2">
      <c r="A25" t="s">
        <v>740</v>
      </c>
      <c r="B25">
        <v>2025</v>
      </c>
    </row>
    <row r="26" spans="1:2" x14ac:dyDescent="0.2">
      <c r="A26" t="s">
        <v>741</v>
      </c>
    </row>
    <row r="27" spans="1:2" x14ac:dyDescent="0.2">
      <c r="A27" t="s">
        <v>743</v>
      </c>
      <c r="B27" t="s">
        <v>744</v>
      </c>
    </row>
    <row r="28" spans="1:2" x14ac:dyDescent="0.2">
      <c r="A28" t="s">
        <v>745</v>
      </c>
      <c r="B28">
        <v>2025</v>
      </c>
    </row>
    <row r="29" spans="1:2" x14ac:dyDescent="0.2">
      <c r="A29" t="s">
        <v>746</v>
      </c>
      <c r="B29" t="s">
        <v>778</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29"/>
  <sheetViews>
    <sheetView workbookViewId="0"/>
  </sheetViews>
  <sheetFormatPr baseColWidth="10" defaultColWidth="8.83203125" defaultRowHeight="15" x14ac:dyDescent="0.2"/>
  <sheetData>
    <row r="1" spans="1:7" x14ac:dyDescent="0.2">
      <c r="A1" t="s">
        <v>710</v>
      </c>
      <c r="B1" t="s">
        <v>970</v>
      </c>
    </row>
    <row r="2" spans="1:7" x14ac:dyDescent="0.2">
      <c r="A2" t="s">
        <v>711</v>
      </c>
      <c r="B2" t="s">
        <v>712</v>
      </c>
    </row>
    <row r="3" spans="1:7" x14ac:dyDescent="0.2">
      <c r="A3" t="s">
        <v>752</v>
      </c>
      <c r="B3" t="s">
        <v>971</v>
      </c>
    </row>
    <row r="5" spans="1:7" x14ac:dyDescent="0.2">
      <c r="A5" t="s">
        <v>714</v>
      </c>
      <c r="E5" t="s">
        <v>754</v>
      </c>
      <c r="F5" t="s">
        <v>750</v>
      </c>
      <c r="G5" t="s">
        <v>972</v>
      </c>
    </row>
    <row r="6" spans="1:7" x14ac:dyDescent="0.2">
      <c r="A6" t="s">
        <v>719</v>
      </c>
      <c r="B6" t="s">
        <v>755</v>
      </c>
      <c r="F6" t="s">
        <v>149</v>
      </c>
      <c r="G6">
        <v>6.8</v>
      </c>
    </row>
    <row r="7" spans="1:7" x14ac:dyDescent="0.2">
      <c r="A7" t="s">
        <v>721</v>
      </c>
      <c r="B7" t="s">
        <v>525</v>
      </c>
      <c r="F7" t="s">
        <v>15</v>
      </c>
      <c r="G7">
        <v>8.1999999999999993</v>
      </c>
    </row>
    <row r="8" spans="1:7" x14ac:dyDescent="0.2">
      <c r="F8" t="s">
        <v>368</v>
      </c>
      <c r="G8">
        <v>4.2</v>
      </c>
    </row>
    <row r="9" spans="1:7" x14ac:dyDescent="0.2">
      <c r="F9" t="s">
        <v>279</v>
      </c>
      <c r="G9">
        <v>9.5</v>
      </c>
    </row>
    <row r="10" spans="1:7" x14ac:dyDescent="0.2">
      <c r="F10" t="s">
        <v>240</v>
      </c>
      <c r="G10">
        <v>7.2</v>
      </c>
    </row>
    <row r="11" spans="1:7" x14ac:dyDescent="0.2">
      <c r="F11" t="s">
        <v>249</v>
      </c>
      <c r="G11">
        <v>6.5</v>
      </c>
    </row>
    <row r="12" spans="1:7" x14ac:dyDescent="0.2">
      <c r="F12" t="s">
        <v>301</v>
      </c>
      <c r="G12">
        <v>14.2</v>
      </c>
    </row>
    <row r="13" spans="1:7" x14ac:dyDescent="0.2">
      <c r="F13" t="s">
        <v>717</v>
      </c>
      <c r="G13">
        <v>10.5</v>
      </c>
    </row>
    <row r="14" spans="1:7" x14ac:dyDescent="0.2">
      <c r="A14" t="s">
        <v>724</v>
      </c>
    </row>
    <row r="15" spans="1:7" x14ac:dyDescent="0.2">
      <c r="A15" t="s">
        <v>725</v>
      </c>
      <c r="B15" t="s">
        <v>726</v>
      </c>
    </row>
    <row r="16" spans="1:7" x14ac:dyDescent="0.2">
      <c r="A16" t="s">
        <v>727</v>
      </c>
      <c r="B16" t="s">
        <v>750</v>
      </c>
    </row>
    <row r="17" spans="1:2" x14ac:dyDescent="0.2">
      <c r="A17" t="s">
        <v>728</v>
      </c>
      <c r="B17" t="s">
        <v>972</v>
      </c>
    </row>
    <row r="18" spans="1:2" x14ac:dyDescent="0.2">
      <c r="A18" t="s">
        <v>730</v>
      </c>
      <c r="B18" t="s">
        <v>973</v>
      </c>
    </row>
    <row r="19" spans="1:2" x14ac:dyDescent="0.2">
      <c r="A19" t="s">
        <v>732</v>
      </c>
      <c r="B19" t="s">
        <v>755</v>
      </c>
    </row>
    <row r="20" spans="1:2" x14ac:dyDescent="0.2">
      <c r="A20" t="s">
        <v>733</v>
      </c>
      <c r="B20" t="s">
        <v>755</v>
      </c>
    </row>
    <row r="22" spans="1:2" x14ac:dyDescent="0.2">
      <c r="A22" t="s">
        <v>735</v>
      </c>
    </row>
    <row r="23" spans="1:2" x14ac:dyDescent="0.2">
      <c r="A23" t="s">
        <v>736</v>
      </c>
      <c r="B23" t="s">
        <v>767</v>
      </c>
    </row>
    <row r="24" spans="1:2" x14ac:dyDescent="0.2">
      <c r="A24" t="s">
        <v>738</v>
      </c>
      <c r="B24" t="s">
        <v>768</v>
      </c>
    </row>
    <row r="25" spans="1:2" x14ac:dyDescent="0.2">
      <c r="A25" t="s">
        <v>740</v>
      </c>
      <c r="B25">
        <v>2023</v>
      </c>
    </row>
    <row r="26" spans="1:2" x14ac:dyDescent="0.2">
      <c r="A26" t="s">
        <v>741</v>
      </c>
      <c r="B26" t="s">
        <v>742</v>
      </c>
    </row>
    <row r="27" spans="1:2" x14ac:dyDescent="0.2">
      <c r="A27" t="s">
        <v>743</v>
      </c>
      <c r="B27" t="s">
        <v>744</v>
      </c>
    </row>
    <row r="28" spans="1:2" x14ac:dyDescent="0.2">
      <c r="A28" t="s">
        <v>745</v>
      </c>
      <c r="B28">
        <v>2025</v>
      </c>
    </row>
    <row r="29" spans="1:2" x14ac:dyDescent="0.2">
      <c r="A29" t="s">
        <v>746</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27"/>
  <sheetViews>
    <sheetView workbookViewId="0"/>
  </sheetViews>
  <sheetFormatPr baseColWidth="10" defaultColWidth="8.83203125" defaultRowHeight="15" x14ac:dyDescent="0.2"/>
  <sheetData>
    <row r="1" spans="1:14" x14ac:dyDescent="0.2">
      <c r="A1" t="s">
        <v>710</v>
      </c>
      <c r="B1" t="s">
        <v>974</v>
      </c>
    </row>
    <row r="2" spans="1:14" x14ac:dyDescent="0.2">
      <c r="A2" t="s">
        <v>711</v>
      </c>
      <c r="B2" t="s">
        <v>712</v>
      </c>
    </row>
    <row r="3" spans="1:14" x14ac:dyDescent="0.2">
      <c r="A3" t="s">
        <v>752</v>
      </c>
      <c r="B3" t="s">
        <v>975</v>
      </c>
    </row>
    <row r="5" spans="1:14" x14ac:dyDescent="0.2">
      <c r="A5" t="s">
        <v>714</v>
      </c>
      <c r="E5" t="s">
        <v>754</v>
      </c>
      <c r="F5" t="s">
        <v>976</v>
      </c>
      <c r="G5" t="s">
        <v>149</v>
      </c>
      <c r="H5" t="s">
        <v>15</v>
      </c>
      <c r="I5" t="s">
        <v>368</v>
      </c>
      <c r="J5" t="s">
        <v>279</v>
      </c>
      <c r="K5" t="s">
        <v>240</v>
      </c>
      <c r="L5" t="s">
        <v>249</v>
      </c>
      <c r="M5" t="s">
        <v>301</v>
      </c>
      <c r="N5" t="s">
        <v>717</v>
      </c>
    </row>
    <row r="6" spans="1:14" x14ac:dyDescent="0.2">
      <c r="A6" t="s">
        <v>719</v>
      </c>
      <c r="B6" t="s">
        <v>755</v>
      </c>
      <c r="F6" t="s">
        <v>977</v>
      </c>
      <c r="G6">
        <v>68.5</v>
      </c>
      <c r="H6">
        <v>70.2</v>
      </c>
      <c r="I6">
        <v>65.8</v>
      </c>
      <c r="J6">
        <v>66.5</v>
      </c>
      <c r="K6">
        <v>74.099999999999994</v>
      </c>
      <c r="L6">
        <v>63.2</v>
      </c>
      <c r="M6">
        <v>51.9</v>
      </c>
      <c r="N6">
        <v>58.5</v>
      </c>
    </row>
    <row r="7" spans="1:14" x14ac:dyDescent="0.2">
      <c r="A7" t="s">
        <v>721</v>
      </c>
      <c r="B7" t="s">
        <v>525</v>
      </c>
      <c r="F7" t="s">
        <v>978</v>
      </c>
      <c r="G7">
        <v>8.1999999999999993</v>
      </c>
      <c r="H7">
        <v>7.8</v>
      </c>
      <c r="I7">
        <v>9.5</v>
      </c>
      <c r="J7">
        <v>8.8000000000000007</v>
      </c>
      <c r="K7">
        <v>6.5</v>
      </c>
      <c r="L7">
        <v>7.5</v>
      </c>
      <c r="M7">
        <v>6.8</v>
      </c>
      <c r="N7">
        <v>7.2</v>
      </c>
    </row>
    <row r="8" spans="1:14" x14ac:dyDescent="0.2">
      <c r="F8" t="s">
        <v>979</v>
      </c>
      <c r="G8">
        <v>3.5</v>
      </c>
      <c r="H8">
        <v>2.5</v>
      </c>
      <c r="I8">
        <v>4.2</v>
      </c>
      <c r="J8">
        <v>8.5</v>
      </c>
      <c r="K8">
        <v>1.2</v>
      </c>
      <c r="L8">
        <v>2.8</v>
      </c>
      <c r="M8">
        <v>17.8</v>
      </c>
      <c r="N8">
        <v>12.5</v>
      </c>
    </row>
    <row r="9" spans="1:14" x14ac:dyDescent="0.2">
      <c r="F9" t="s">
        <v>980</v>
      </c>
      <c r="G9">
        <v>2.8</v>
      </c>
      <c r="H9">
        <v>2.2000000000000002</v>
      </c>
      <c r="I9">
        <v>2.5</v>
      </c>
      <c r="J9">
        <v>2.8</v>
      </c>
      <c r="K9">
        <v>1.8</v>
      </c>
      <c r="L9">
        <v>3.2</v>
      </c>
      <c r="M9">
        <v>3.5</v>
      </c>
      <c r="N9">
        <v>3.8</v>
      </c>
    </row>
    <row r="10" spans="1:14" x14ac:dyDescent="0.2">
      <c r="F10" t="s">
        <v>556</v>
      </c>
      <c r="G10">
        <v>1.2</v>
      </c>
      <c r="H10">
        <v>1.1000000000000001</v>
      </c>
      <c r="I10">
        <v>1.3</v>
      </c>
      <c r="J10">
        <v>1.2</v>
      </c>
      <c r="K10">
        <v>0.9</v>
      </c>
      <c r="L10">
        <v>1</v>
      </c>
      <c r="M10">
        <v>1.2</v>
      </c>
      <c r="N10">
        <v>1.5</v>
      </c>
    </row>
    <row r="11" spans="1:14" x14ac:dyDescent="0.2">
      <c r="F11" t="s">
        <v>981</v>
      </c>
      <c r="G11">
        <v>12.8</v>
      </c>
      <c r="H11">
        <v>11.2</v>
      </c>
      <c r="I11">
        <v>13.7</v>
      </c>
      <c r="J11">
        <v>8.1999999999999993</v>
      </c>
      <c r="K11">
        <v>8.5</v>
      </c>
      <c r="L11">
        <v>15.3</v>
      </c>
      <c r="M11">
        <v>17.3</v>
      </c>
      <c r="N11">
        <v>12.5</v>
      </c>
    </row>
    <row r="12" spans="1:14" x14ac:dyDescent="0.2">
      <c r="A12" t="s">
        <v>724</v>
      </c>
    </row>
    <row r="13" spans="1:14" x14ac:dyDescent="0.2">
      <c r="A13" t="s">
        <v>725</v>
      </c>
      <c r="B13" t="s">
        <v>912</v>
      </c>
    </row>
    <row r="14" spans="1:14" x14ac:dyDescent="0.2">
      <c r="A14" t="s">
        <v>727</v>
      </c>
      <c r="B14" t="s">
        <v>976</v>
      </c>
    </row>
    <row r="15" spans="1:14" x14ac:dyDescent="0.2">
      <c r="A15" t="s">
        <v>728</v>
      </c>
    </row>
    <row r="16" spans="1:14" x14ac:dyDescent="0.2">
      <c r="A16" t="s">
        <v>730</v>
      </c>
      <c r="B16" t="s">
        <v>914</v>
      </c>
    </row>
    <row r="17" spans="1:2" x14ac:dyDescent="0.2">
      <c r="A17" t="s">
        <v>732</v>
      </c>
      <c r="B17" t="s">
        <v>734</v>
      </c>
    </row>
    <row r="18" spans="1:2" x14ac:dyDescent="0.2">
      <c r="A18" t="s">
        <v>733</v>
      </c>
      <c r="B18" t="s">
        <v>755</v>
      </c>
    </row>
    <row r="20" spans="1:2" x14ac:dyDescent="0.2">
      <c r="A20" t="s">
        <v>735</v>
      </c>
    </row>
    <row r="21" spans="1:2" x14ac:dyDescent="0.2">
      <c r="A21" t="s">
        <v>736</v>
      </c>
      <c r="B21" t="s">
        <v>982</v>
      </c>
    </row>
    <row r="22" spans="1:2" x14ac:dyDescent="0.2">
      <c r="A22" t="s">
        <v>738</v>
      </c>
      <c r="B22" t="s">
        <v>983</v>
      </c>
    </row>
    <row r="23" spans="1:2" x14ac:dyDescent="0.2">
      <c r="A23" t="s">
        <v>740</v>
      </c>
      <c r="B23">
        <v>2023</v>
      </c>
    </row>
    <row r="24" spans="1:2" x14ac:dyDescent="0.2">
      <c r="A24" t="s">
        <v>741</v>
      </c>
      <c r="B24" t="s">
        <v>742</v>
      </c>
    </row>
    <row r="25" spans="1:2" x14ac:dyDescent="0.2">
      <c r="A25" t="s">
        <v>743</v>
      </c>
      <c r="B25" t="s">
        <v>744</v>
      </c>
    </row>
    <row r="26" spans="1:2" x14ac:dyDescent="0.2">
      <c r="A26" t="s">
        <v>745</v>
      </c>
      <c r="B26">
        <v>2025</v>
      </c>
    </row>
    <row r="27" spans="1:2" x14ac:dyDescent="0.2">
      <c r="A27" t="s">
        <v>746</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29"/>
  <sheetViews>
    <sheetView workbookViewId="0"/>
  </sheetViews>
  <sheetFormatPr baseColWidth="10" defaultColWidth="8.83203125" defaultRowHeight="15" x14ac:dyDescent="0.2"/>
  <sheetData>
    <row r="1" spans="1:7" x14ac:dyDescent="0.2">
      <c r="A1" t="s">
        <v>710</v>
      </c>
      <c r="B1" t="s">
        <v>984</v>
      </c>
    </row>
    <row r="2" spans="1:7" x14ac:dyDescent="0.2">
      <c r="A2" t="s">
        <v>711</v>
      </c>
      <c r="B2" t="s">
        <v>712</v>
      </c>
    </row>
    <row r="3" spans="1:7" x14ac:dyDescent="0.2">
      <c r="A3" t="s">
        <v>752</v>
      </c>
      <c r="B3" t="s">
        <v>985</v>
      </c>
    </row>
    <row r="5" spans="1:7" x14ac:dyDescent="0.2">
      <c r="A5" t="s">
        <v>714</v>
      </c>
      <c r="E5" t="s">
        <v>754</v>
      </c>
      <c r="F5" t="s">
        <v>750</v>
      </c>
      <c r="G5" t="s">
        <v>986</v>
      </c>
    </row>
    <row r="6" spans="1:7" x14ac:dyDescent="0.2">
      <c r="A6" t="s">
        <v>719</v>
      </c>
      <c r="B6" t="s">
        <v>755</v>
      </c>
      <c r="F6" t="s">
        <v>149</v>
      </c>
      <c r="G6">
        <v>28</v>
      </c>
    </row>
    <row r="7" spans="1:7" x14ac:dyDescent="0.2">
      <c r="A7" t="s">
        <v>721</v>
      </c>
      <c r="B7" t="s">
        <v>781</v>
      </c>
      <c r="F7" t="s">
        <v>15</v>
      </c>
      <c r="G7">
        <v>34</v>
      </c>
    </row>
    <row r="8" spans="1:7" x14ac:dyDescent="0.2">
      <c r="F8" t="s">
        <v>368</v>
      </c>
      <c r="G8">
        <v>39</v>
      </c>
    </row>
    <row r="9" spans="1:7" x14ac:dyDescent="0.2">
      <c r="F9" t="s">
        <v>279</v>
      </c>
      <c r="G9">
        <v>32</v>
      </c>
    </row>
    <row r="10" spans="1:7" x14ac:dyDescent="0.2">
      <c r="F10" t="s">
        <v>240</v>
      </c>
      <c r="G10">
        <v>25</v>
      </c>
    </row>
    <row r="11" spans="1:7" x14ac:dyDescent="0.2">
      <c r="F11" t="s">
        <v>249</v>
      </c>
      <c r="G11">
        <v>25</v>
      </c>
    </row>
    <row r="12" spans="1:7" x14ac:dyDescent="0.2">
      <c r="F12" t="s">
        <v>301</v>
      </c>
      <c r="G12">
        <v>35</v>
      </c>
    </row>
    <row r="13" spans="1:7" x14ac:dyDescent="0.2">
      <c r="F13" t="s">
        <v>717</v>
      </c>
      <c r="G13">
        <v>33</v>
      </c>
    </row>
    <row r="14" spans="1:7" x14ac:dyDescent="0.2">
      <c r="A14" t="s">
        <v>724</v>
      </c>
    </row>
    <row r="15" spans="1:7" x14ac:dyDescent="0.2">
      <c r="A15" t="s">
        <v>725</v>
      </c>
      <c r="B15" t="s">
        <v>726</v>
      </c>
    </row>
    <row r="16" spans="1:7" x14ac:dyDescent="0.2">
      <c r="A16" t="s">
        <v>727</v>
      </c>
      <c r="B16" t="s">
        <v>750</v>
      </c>
    </row>
    <row r="17" spans="1:2" x14ac:dyDescent="0.2">
      <c r="A17" t="s">
        <v>728</v>
      </c>
      <c r="B17" t="s">
        <v>986</v>
      </c>
    </row>
    <row r="18" spans="1:2" x14ac:dyDescent="0.2">
      <c r="A18" t="s">
        <v>730</v>
      </c>
      <c r="B18" t="s">
        <v>986</v>
      </c>
    </row>
    <row r="19" spans="1:2" x14ac:dyDescent="0.2">
      <c r="A19" t="s">
        <v>732</v>
      </c>
      <c r="B19" t="s">
        <v>755</v>
      </c>
    </row>
    <row r="20" spans="1:2" x14ac:dyDescent="0.2">
      <c r="A20" t="s">
        <v>733</v>
      </c>
      <c r="B20" t="s">
        <v>755</v>
      </c>
    </row>
    <row r="22" spans="1:2" x14ac:dyDescent="0.2">
      <c r="A22" t="s">
        <v>735</v>
      </c>
    </row>
    <row r="23" spans="1:2" x14ac:dyDescent="0.2">
      <c r="A23" t="s">
        <v>736</v>
      </c>
      <c r="B23" t="s">
        <v>982</v>
      </c>
    </row>
    <row r="24" spans="1:2" x14ac:dyDescent="0.2">
      <c r="A24" t="s">
        <v>738</v>
      </c>
      <c r="B24" t="s">
        <v>983</v>
      </c>
    </row>
    <row r="25" spans="1:2" x14ac:dyDescent="0.2">
      <c r="A25" t="s">
        <v>740</v>
      </c>
      <c r="B25">
        <v>2023</v>
      </c>
    </row>
    <row r="26" spans="1:2" x14ac:dyDescent="0.2">
      <c r="A26" t="s">
        <v>741</v>
      </c>
      <c r="B26" t="s">
        <v>742</v>
      </c>
    </row>
    <row r="27" spans="1:2" x14ac:dyDescent="0.2">
      <c r="A27" t="s">
        <v>743</v>
      </c>
      <c r="B27" t="s">
        <v>744</v>
      </c>
    </row>
    <row r="28" spans="1:2" x14ac:dyDescent="0.2">
      <c r="A28" t="s">
        <v>745</v>
      </c>
      <c r="B28">
        <v>2025</v>
      </c>
    </row>
    <row r="29" spans="1:2" x14ac:dyDescent="0.2">
      <c r="A29" t="s">
        <v>746</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26"/>
  <sheetViews>
    <sheetView workbookViewId="0"/>
  </sheetViews>
  <sheetFormatPr baseColWidth="10" defaultColWidth="8.83203125" defaultRowHeight="15" x14ac:dyDescent="0.2"/>
  <sheetData>
    <row r="1" spans="1:14" x14ac:dyDescent="0.2">
      <c r="A1" t="s">
        <v>710</v>
      </c>
      <c r="B1" t="s">
        <v>987</v>
      </c>
    </row>
    <row r="2" spans="1:14" x14ac:dyDescent="0.2">
      <c r="A2" t="s">
        <v>711</v>
      </c>
      <c r="B2" t="s">
        <v>712</v>
      </c>
    </row>
    <row r="3" spans="1:14" x14ac:dyDescent="0.2">
      <c r="A3" t="s">
        <v>752</v>
      </c>
      <c r="B3" t="s">
        <v>988</v>
      </c>
    </row>
    <row r="5" spans="1:14" x14ac:dyDescent="0.2">
      <c r="A5" t="s">
        <v>714</v>
      </c>
      <c r="E5" t="s">
        <v>754</v>
      </c>
      <c r="F5" t="s">
        <v>771</v>
      </c>
      <c r="G5" t="s">
        <v>149</v>
      </c>
      <c r="H5" t="s">
        <v>15</v>
      </c>
      <c r="I5" t="s">
        <v>368</v>
      </c>
      <c r="J5" t="s">
        <v>279</v>
      </c>
      <c r="K5" t="s">
        <v>240</v>
      </c>
      <c r="L5" t="s">
        <v>249</v>
      </c>
      <c r="M5" t="s">
        <v>301</v>
      </c>
      <c r="N5" t="s">
        <v>717</v>
      </c>
    </row>
    <row r="6" spans="1:14" x14ac:dyDescent="0.2">
      <c r="A6" t="s">
        <v>719</v>
      </c>
      <c r="B6" t="s">
        <v>755</v>
      </c>
      <c r="F6" t="s">
        <v>989</v>
      </c>
      <c r="G6">
        <v>52</v>
      </c>
      <c r="H6">
        <v>44</v>
      </c>
      <c r="I6">
        <v>39</v>
      </c>
      <c r="J6">
        <v>58</v>
      </c>
      <c r="K6">
        <v>46</v>
      </c>
      <c r="L6">
        <v>49</v>
      </c>
      <c r="M6">
        <v>62</v>
      </c>
      <c r="N6">
        <v>74</v>
      </c>
    </row>
    <row r="7" spans="1:14" x14ac:dyDescent="0.2">
      <c r="A7" t="s">
        <v>721</v>
      </c>
      <c r="B7" t="s">
        <v>781</v>
      </c>
      <c r="F7" t="s">
        <v>772</v>
      </c>
      <c r="G7">
        <v>50</v>
      </c>
      <c r="H7">
        <v>45</v>
      </c>
      <c r="I7">
        <v>44</v>
      </c>
      <c r="J7">
        <v>55</v>
      </c>
      <c r="K7">
        <v>50</v>
      </c>
      <c r="L7">
        <v>50</v>
      </c>
      <c r="M7">
        <v>59</v>
      </c>
      <c r="N7">
        <v>74</v>
      </c>
    </row>
    <row r="8" spans="1:14" x14ac:dyDescent="0.2">
      <c r="F8" t="s">
        <v>773</v>
      </c>
      <c r="G8">
        <v>47</v>
      </c>
      <c r="H8">
        <v>47</v>
      </c>
      <c r="I8">
        <v>38</v>
      </c>
      <c r="J8">
        <v>58</v>
      </c>
      <c r="K8">
        <v>55</v>
      </c>
      <c r="L8">
        <v>46</v>
      </c>
      <c r="M8">
        <v>59</v>
      </c>
      <c r="N8">
        <v>74</v>
      </c>
    </row>
    <row r="9" spans="1:14" x14ac:dyDescent="0.2">
      <c r="F9" t="s">
        <v>774</v>
      </c>
      <c r="G9">
        <v>46</v>
      </c>
      <c r="H9">
        <v>49</v>
      </c>
      <c r="I9">
        <v>45</v>
      </c>
      <c r="J9">
        <v>56</v>
      </c>
      <c r="K9">
        <v>51</v>
      </c>
      <c r="L9">
        <v>43</v>
      </c>
      <c r="M9">
        <v>60</v>
      </c>
      <c r="N9">
        <v>74</v>
      </c>
    </row>
    <row r="10" spans="1:14" x14ac:dyDescent="0.2">
      <c r="F10" t="s">
        <v>775</v>
      </c>
      <c r="G10">
        <v>49</v>
      </c>
      <c r="H10">
        <v>48</v>
      </c>
      <c r="I10">
        <v>49</v>
      </c>
      <c r="J10">
        <v>58</v>
      </c>
      <c r="K10">
        <v>43</v>
      </c>
      <c r="L10" t="s">
        <v>582</v>
      </c>
      <c r="M10">
        <v>63</v>
      </c>
      <c r="N10">
        <v>75</v>
      </c>
    </row>
    <row r="11" spans="1:14" x14ac:dyDescent="0.2">
      <c r="A11" t="s">
        <v>724</v>
      </c>
    </row>
    <row r="12" spans="1:14" x14ac:dyDescent="0.2">
      <c r="A12" t="s">
        <v>725</v>
      </c>
      <c r="B12" t="s">
        <v>756</v>
      </c>
    </row>
    <row r="13" spans="1:14" x14ac:dyDescent="0.2">
      <c r="A13" t="s">
        <v>727</v>
      </c>
      <c r="B13" t="s">
        <v>771</v>
      </c>
    </row>
    <row r="14" spans="1:14" x14ac:dyDescent="0.2">
      <c r="A14" t="s">
        <v>728</v>
      </c>
    </row>
    <row r="15" spans="1:14" x14ac:dyDescent="0.2">
      <c r="A15" t="s">
        <v>730</v>
      </c>
      <c r="B15" t="s">
        <v>990</v>
      </c>
    </row>
    <row r="16" spans="1:14" x14ac:dyDescent="0.2">
      <c r="A16" t="s">
        <v>732</v>
      </c>
      <c r="B16" t="s">
        <v>755</v>
      </c>
    </row>
    <row r="17" spans="1:2" x14ac:dyDescent="0.2">
      <c r="A17" t="s">
        <v>733</v>
      </c>
      <c r="B17" t="s">
        <v>755</v>
      </c>
    </row>
    <row r="19" spans="1:2" x14ac:dyDescent="0.2">
      <c r="A19" t="s">
        <v>735</v>
      </c>
    </row>
    <row r="20" spans="1:2" x14ac:dyDescent="0.2">
      <c r="A20" t="s">
        <v>736</v>
      </c>
    </row>
    <row r="21" spans="1:2" x14ac:dyDescent="0.2">
      <c r="A21" t="s">
        <v>738</v>
      </c>
      <c r="B21" t="s">
        <v>777</v>
      </c>
    </row>
    <row r="22" spans="1:2" x14ac:dyDescent="0.2">
      <c r="A22" t="s">
        <v>740</v>
      </c>
      <c r="B22">
        <v>2023</v>
      </c>
    </row>
    <row r="23" spans="1:2" x14ac:dyDescent="0.2">
      <c r="A23" t="s">
        <v>741</v>
      </c>
    </row>
    <row r="24" spans="1:2" x14ac:dyDescent="0.2">
      <c r="A24" t="s">
        <v>743</v>
      </c>
      <c r="B24" t="s">
        <v>744</v>
      </c>
    </row>
    <row r="25" spans="1:2" x14ac:dyDescent="0.2">
      <c r="A25" t="s">
        <v>745</v>
      </c>
      <c r="B25">
        <v>2025</v>
      </c>
    </row>
    <row r="26" spans="1:2" x14ac:dyDescent="0.2">
      <c r="A26" t="s">
        <v>746</v>
      </c>
      <c r="B26" t="s">
        <v>778</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24"/>
  <sheetViews>
    <sheetView workbookViewId="0"/>
  </sheetViews>
  <sheetFormatPr baseColWidth="10" defaultColWidth="8.83203125" defaultRowHeight="15" x14ac:dyDescent="0.2"/>
  <sheetData>
    <row r="1" spans="1:15" x14ac:dyDescent="0.2">
      <c r="A1" t="s">
        <v>710</v>
      </c>
      <c r="B1" t="s">
        <v>991</v>
      </c>
    </row>
    <row r="2" spans="1:15" x14ac:dyDescent="0.2">
      <c r="A2" t="s">
        <v>711</v>
      </c>
      <c r="B2" t="s">
        <v>712</v>
      </c>
    </row>
    <row r="3" spans="1:15" x14ac:dyDescent="0.2">
      <c r="A3" t="s">
        <v>752</v>
      </c>
      <c r="B3" t="s">
        <v>992</v>
      </c>
    </row>
    <row r="5" spans="1:15" x14ac:dyDescent="0.2">
      <c r="A5" t="s">
        <v>714</v>
      </c>
      <c r="E5" t="s">
        <v>754</v>
      </c>
      <c r="F5" t="s">
        <v>716</v>
      </c>
      <c r="G5" t="s">
        <v>149</v>
      </c>
      <c r="H5" t="s">
        <v>15</v>
      </c>
      <c r="I5" t="s">
        <v>368</v>
      </c>
      <c r="J5" t="s">
        <v>279</v>
      </c>
      <c r="K5" t="s">
        <v>240</v>
      </c>
      <c r="L5" t="s">
        <v>249</v>
      </c>
      <c r="M5" t="s">
        <v>301</v>
      </c>
      <c r="N5" t="s">
        <v>993</v>
      </c>
      <c r="O5" t="s">
        <v>717</v>
      </c>
    </row>
    <row r="6" spans="1:15" x14ac:dyDescent="0.2">
      <c r="A6" t="s">
        <v>719</v>
      </c>
      <c r="B6" t="s">
        <v>755</v>
      </c>
      <c r="F6">
        <v>2016</v>
      </c>
      <c r="G6">
        <v>8.6</v>
      </c>
      <c r="H6">
        <v>11.1</v>
      </c>
      <c r="I6">
        <v>13.5</v>
      </c>
      <c r="J6">
        <v>11.8</v>
      </c>
      <c r="K6">
        <v>20.9</v>
      </c>
      <c r="L6">
        <v>11.2</v>
      </c>
      <c r="M6">
        <v>12.4</v>
      </c>
      <c r="N6">
        <v>11.8</v>
      </c>
      <c r="O6">
        <v>11.5</v>
      </c>
    </row>
    <row r="7" spans="1:15" x14ac:dyDescent="0.2">
      <c r="A7" t="s">
        <v>721</v>
      </c>
      <c r="B7" t="s">
        <v>525</v>
      </c>
      <c r="F7">
        <v>2018</v>
      </c>
      <c r="G7">
        <v>7.7</v>
      </c>
      <c r="H7">
        <v>8.5</v>
      </c>
      <c r="I7">
        <v>11.4</v>
      </c>
      <c r="J7">
        <v>11.8</v>
      </c>
      <c r="K7">
        <v>11.3</v>
      </c>
      <c r="L7">
        <v>12.7</v>
      </c>
      <c r="M7">
        <v>7.5</v>
      </c>
      <c r="N7">
        <v>8.4</v>
      </c>
      <c r="O7">
        <v>11.3</v>
      </c>
    </row>
    <row r="8" spans="1:15" x14ac:dyDescent="0.2">
      <c r="F8">
        <v>2021</v>
      </c>
      <c r="G8">
        <v>8.6999999999999993</v>
      </c>
      <c r="H8" t="s">
        <v>994</v>
      </c>
      <c r="I8">
        <v>9.9</v>
      </c>
      <c r="J8">
        <v>8.4</v>
      </c>
      <c r="K8">
        <v>4.9000000000000004</v>
      </c>
      <c r="L8">
        <v>5.3</v>
      </c>
      <c r="M8">
        <v>8.3000000000000007</v>
      </c>
      <c r="N8">
        <v>7.4</v>
      </c>
      <c r="O8">
        <v>8.4</v>
      </c>
    </row>
    <row r="9" spans="1:15" x14ac:dyDescent="0.2">
      <c r="A9" t="s">
        <v>724</v>
      </c>
    </row>
    <row r="10" spans="1:15" x14ac:dyDescent="0.2">
      <c r="A10" t="s">
        <v>725</v>
      </c>
      <c r="B10" t="s">
        <v>756</v>
      </c>
    </row>
    <row r="11" spans="1:15" x14ac:dyDescent="0.2">
      <c r="A11" t="s">
        <v>727</v>
      </c>
      <c r="B11" t="s">
        <v>716</v>
      </c>
    </row>
    <row r="12" spans="1:15" x14ac:dyDescent="0.2">
      <c r="A12" t="s">
        <v>728</v>
      </c>
    </row>
    <row r="13" spans="1:15" x14ac:dyDescent="0.2">
      <c r="A13" t="s">
        <v>730</v>
      </c>
      <c r="B13" t="s">
        <v>995</v>
      </c>
    </row>
    <row r="14" spans="1:15" x14ac:dyDescent="0.2">
      <c r="A14" t="s">
        <v>732</v>
      </c>
      <c r="B14" t="s">
        <v>755</v>
      </c>
    </row>
    <row r="15" spans="1:15" x14ac:dyDescent="0.2">
      <c r="A15" t="s">
        <v>733</v>
      </c>
      <c r="B15" t="s">
        <v>755</v>
      </c>
    </row>
    <row r="17" spans="1:2" x14ac:dyDescent="0.2">
      <c r="A17" t="s">
        <v>735</v>
      </c>
    </row>
    <row r="18" spans="1:2" x14ac:dyDescent="0.2">
      <c r="A18" t="s">
        <v>736</v>
      </c>
    </row>
    <row r="19" spans="1:2" x14ac:dyDescent="0.2">
      <c r="A19" t="s">
        <v>738</v>
      </c>
      <c r="B19" t="s">
        <v>996</v>
      </c>
    </row>
    <row r="20" spans="1:2" x14ac:dyDescent="0.2">
      <c r="A20" t="s">
        <v>740</v>
      </c>
      <c r="B20">
        <v>2021</v>
      </c>
    </row>
    <row r="21" spans="1:2" x14ac:dyDescent="0.2">
      <c r="A21" t="s">
        <v>741</v>
      </c>
    </row>
    <row r="22" spans="1:2" x14ac:dyDescent="0.2">
      <c r="A22" t="s">
        <v>743</v>
      </c>
      <c r="B22" t="s">
        <v>744</v>
      </c>
    </row>
    <row r="23" spans="1:2" x14ac:dyDescent="0.2">
      <c r="A23" t="s">
        <v>745</v>
      </c>
      <c r="B23">
        <v>2025</v>
      </c>
    </row>
    <row r="24" spans="1:2" x14ac:dyDescent="0.2">
      <c r="A24" t="s">
        <v>746</v>
      </c>
      <c r="B24" t="s">
        <v>965</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25"/>
  <sheetViews>
    <sheetView workbookViewId="0"/>
  </sheetViews>
  <sheetFormatPr baseColWidth="10" defaultColWidth="8.83203125" defaultRowHeight="15" x14ac:dyDescent="0.2"/>
  <sheetData>
    <row r="1" spans="1:14" x14ac:dyDescent="0.2">
      <c r="A1" t="s">
        <v>710</v>
      </c>
      <c r="B1" t="s">
        <v>997</v>
      </c>
    </row>
    <row r="2" spans="1:14" x14ac:dyDescent="0.2">
      <c r="A2" t="s">
        <v>711</v>
      </c>
      <c r="B2" t="s">
        <v>712</v>
      </c>
    </row>
    <row r="3" spans="1:14" x14ac:dyDescent="0.2">
      <c r="A3" t="s">
        <v>752</v>
      </c>
      <c r="B3" t="s">
        <v>998</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2020</v>
      </c>
      <c r="G6">
        <v>2.4</v>
      </c>
      <c r="H6">
        <v>2.2999999999999998</v>
      </c>
      <c r="I6">
        <v>2.5</v>
      </c>
      <c r="J6">
        <v>2.4</v>
      </c>
      <c r="K6">
        <v>4.0999999999999996</v>
      </c>
      <c r="L6">
        <v>2.5</v>
      </c>
      <c r="M6">
        <v>2.7</v>
      </c>
      <c r="N6">
        <v>2.5</v>
      </c>
    </row>
    <row r="7" spans="1:14" x14ac:dyDescent="0.2">
      <c r="A7" t="s">
        <v>721</v>
      </c>
      <c r="B7" t="s">
        <v>525</v>
      </c>
      <c r="F7">
        <v>2021</v>
      </c>
      <c r="G7">
        <v>2.7</v>
      </c>
      <c r="H7">
        <v>2.8</v>
      </c>
      <c r="I7">
        <v>2.5</v>
      </c>
      <c r="J7">
        <v>2.2999999999999998</v>
      </c>
      <c r="K7">
        <v>3.2</v>
      </c>
      <c r="L7">
        <v>2.8</v>
      </c>
      <c r="M7">
        <v>3.2</v>
      </c>
      <c r="N7">
        <v>2.6</v>
      </c>
    </row>
    <row r="8" spans="1:14" x14ac:dyDescent="0.2">
      <c r="F8">
        <v>2022</v>
      </c>
      <c r="G8">
        <v>2.2999999999999998</v>
      </c>
      <c r="H8">
        <v>2.8</v>
      </c>
      <c r="I8">
        <v>2.5</v>
      </c>
      <c r="J8">
        <v>2.2999999999999998</v>
      </c>
      <c r="K8">
        <v>3.4</v>
      </c>
      <c r="L8">
        <v>2.7</v>
      </c>
      <c r="M8">
        <v>2.2999999999999998</v>
      </c>
      <c r="N8">
        <v>2.5</v>
      </c>
    </row>
    <row r="9" spans="1:14" x14ac:dyDescent="0.2">
      <c r="F9">
        <v>2023</v>
      </c>
      <c r="G9">
        <v>2.6</v>
      </c>
      <c r="H9">
        <v>2.7</v>
      </c>
      <c r="I9">
        <v>2.4</v>
      </c>
      <c r="J9">
        <v>2.8</v>
      </c>
      <c r="K9">
        <v>3.5</v>
      </c>
      <c r="L9">
        <v>3</v>
      </c>
      <c r="M9">
        <v>2.8</v>
      </c>
      <c r="N9">
        <v>2.8</v>
      </c>
    </row>
    <row r="10" spans="1:14" x14ac:dyDescent="0.2">
      <c r="A10" t="s">
        <v>724</v>
      </c>
    </row>
    <row r="11" spans="1:14" x14ac:dyDescent="0.2">
      <c r="A11" t="s">
        <v>725</v>
      </c>
      <c r="B11" t="s">
        <v>756</v>
      </c>
    </row>
    <row r="12" spans="1:14" x14ac:dyDescent="0.2">
      <c r="A12" t="s">
        <v>727</v>
      </c>
      <c r="B12" t="s">
        <v>716</v>
      </c>
    </row>
    <row r="13" spans="1:14" x14ac:dyDescent="0.2">
      <c r="A13" t="s">
        <v>728</v>
      </c>
    </row>
    <row r="14" spans="1:14" x14ac:dyDescent="0.2">
      <c r="A14" t="s">
        <v>730</v>
      </c>
      <c r="B14" t="s">
        <v>999</v>
      </c>
    </row>
    <row r="15" spans="1:14" x14ac:dyDescent="0.2">
      <c r="A15" t="s">
        <v>732</v>
      </c>
      <c r="B15" t="s">
        <v>755</v>
      </c>
    </row>
    <row r="16" spans="1:14" x14ac:dyDescent="0.2">
      <c r="A16" t="s">
        <v>733</v>
      </c>
      <c r="B16" t="s">
        <v>755</v>
      </c>
    </row>
    <row r="18" spans="1:2" x14ac:dyDescent="0.2">
      <c r="A18" t="s">
        <v>735</v>
      </c>
    </row>
    <row r="19" spans="1:2" x14ac:dyDescent="0.2">
      <c r="A19" t="s">
        <v>736</v>
      </c>
      <c r="B19" t="s">
        <v>1000</v>
      </c>
    </row>
    <row r="20" spans="1:2" x14ac:dyDescent="0.2">
      <c r="A20" t="s">
        <v>738</v>
      </c>
      <c r="B20" t="s">
        <v>1001</v>
      </c>
    </row>
    <row r="21" spans="1:2" x14ac:dyDescent="0.2">
      <c r="A21" t="s">
        <v>740</v>
      </c>
      <c r="B21">
        <v>2023</v>
      </c>
    </row>
    <row r="22" spans="1:2" x14ac:dyDescent="0.2">
      <c r="A22" t="s">
        <v>741</v>
      </c>
      <c r="B22" t="s">
        <v>742</v>
      </c>
    </row>
    <row r="23" spans="1:2" x14ac:dyDescent="0.2">
      <c r="A23" t="s">
        <v>743</v>
      </c>
      <c r="B23" t="s">
        <v>744</v>
      </c>
    </row>
    <row r="24" spans="1:2" x14ac:dyDescent="0.2">
      <c r="A24" t="s">
        <v>745</v>
      </c>
      <c r="B24">
        <v>2025</v>
      </c>
    </row>
    <row r="25" spans="1:2" x14ac:dyDescent="0.2">
      <c r="A25" t="s">
        <v>746</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N25"/>
  <sheetViews>
    <sheetView workbookViewId="0"/>
  </sheetViews>
  <sheetFormatPr baseColWidth="10" defaultColWidth="8.83203125" defaultRowHeight="15" x14ac:dyDescent="0.2"/>
  <sheetData>
    <row r="1" spans="1:14" x14ac:dyDescent="0.2">
      <c r="A1" t="s">
        <v>710</v>
      </c>
      <c r="B1" t="s">
        <v>1002</v>
      </c>
    </row>
    <row r="2" spans="1:14" x14ac:dyDescent="0.2">
      <c r="A2" t="s">
        <v>711</v>
      </c>
      <c r="B2" t="s">
        <v>712</v>
      </c>
    </row>
    <row r="3" spans="1:14" x14ac:dyDescent="0.2">
      <c r="A3" t="s">
        <v>752</v>
      </c>
      <c r="B3" t="s">
        <v>1003</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2020</v>
      </c>
      <c r="G6">
        <v>94.5</v>
      </c>
      <c r="H6">
        <v>93.2</v>
      </c>
      <c r="I6">
        <v>95.1</v>
      </c>
      <c r="J6">
        <v>93.3</v>
      </c>
      <c r="K6">
        <v>92.6</v>
      </c>
      <c r="L6">
        <v>92.6</v>
      </c>
      <c r="M6">
        <v>93.2</v>
      </c>
      <c r="N6">
        <v>92.7</v>
      </c>
    </row>
    <row r="7" spans="1:14" x14ac:dyDescent="0.2">
      <c r="A7" t="s">
        <v>721</v>
      </c>
      <c r="B7" t="s">
        <v>525</v>
      </c>
      <c r="F7">
        <v>2021</v>
      </c>
      <c r="G7">
        <v>94.2</v>
      </c>
      <c r="H7">
        <v>93.5</v>
      </c>
      <c r="I7">
        <v>94.6</v>
      </c>
      <c r="J7">
        <v>93.3</v>
      </c>
      <c r="K7">
        <v>92.4</v>
      </c>
      <c r="L7">
        <v>92.7</v>
      </c>
      <c r="M7">
        <v>93</v>
      </c>
      <c r="N7">
        <v>92.6</v>
      </c>
    </row>
    <row r="8" spans="1:14" x14ac:dyDescent="0.2">
      <c r="F8">
        <v>2022</v>
      </c>
      <c r="G8">
        <v>94.6</v>
      </c>
      <c r="H8">
        <v>93.3</v>
      </c>
      <c r="I8">
        <v>95</v>
      </c>
      <c r="J8">
        <v>93.6</v>
      </c>
      <c r="K8">
        <v>92.9</v>
      </c>
      <c r="L8">
        <v>91.8</v>
      </c>
      <c r="M8">
        <v>93.6</v>
      </c>
      <c r="N8">
        <v>93.2</v>
      </c>
    </row>
    <row r="9" spans="1:14" x14ac:dyDescent="0.2">
      <c r="F9">
        <v>2023</v>
      </c>
      <c r="G9">
        <v>94.4</v>
      </c>
      <c r="H9">
        <v>93</v>
      </c>
      <c r="I9">
        <v>94.9</v>
      </c>
      <c r="J9">
        <v>92.3</v>
      </c>
      <c r="K9">
        <v>92.5</v>
      </c>
      <c r="L9">
        <v>92</v>
      </c>
      <c r="M9">
        <v>93.6</v>
      </c>
      <c r="N9">
        <v>93.2</v>
      </c>
    </row>
    <row r="10" spans="1:14" x14ac:dyDescent="0.2">
      <c r="A10" t="s">
        <v>724</v>
      </c>
    </row>
    <row r="11" spans="1:14" x14ac:dyDescent="0.2">
      <c r="A11" t="s">
        <v>725</v>
      </c>
      <c r="B11" t="s">
        <v>756</v>
      </c>
    </row>
    <row r="12" spans="1:14" x14ac:dyDescent="0.2">
      <c r="A12" t="s">
        <v>727</v>
      </c>
      <c r="B12" t="s">
        <v>716</v>
      </c>
    </row>
    <row r="13" spans="1:14" x14ac:dyDescent="0.2">
      <c r="A13" t="s">
        <v>728</v>
      </c>
    </row>
    <row r="14" spans="1:14" x14ac:dyDescent="0.2">
      <c r="A14" t="s">
        <v>730</v>
      </c>
      <c r="B14" t="s">
        <v>1004</v>
      </c>
    </row>
    <row r="15" spans="1:14" x14ac:dyDescent="0.2">
      <c r="A15" t="s">
        <v>732</v>
      </c>
      <c r="B15" t="s">
        <v>755</v>
      </c>
    </row>
    <row r="16" spans="1:14" x14ac:dyDescent="0.2">
      <c r="A16" t="s">
        <v>733</v>
      </c>
      <c r="B16" t="s">
        <v>755</v>
      </c>
    </row>
    <row r="18" spans="1:2" x14ac:dyDescent="0.2">
      <c r="A18" t="s">
        <v>735</v>
      </c>
    </row>
    <row r="19" spans="1:2" x14ac:dyDescent="0.2">
      <c r="A19" t="s">
        <v>736</v>
      </c>
      <c r="B19" t="s">
        <v>1000</v>
      </c>
    </row>
    <row r="20" spans="1:2" x14ac:dyDescent="0.2">
      <c r="A20" t="s">
        <v>738</v>
      </c>
      <c r="B20" t="s">
        <v>1001</v>
      </c>
    </row>
    <row r="21" spans="1:2" x14ac:dyDescent="0.2">
      <c r="A21" t="s">
        <v>740</v>
      </c>
      <c r="B21">
        <v>2023</v>
      </c>
    </row>
    <row r="22" spans="1:2" x14ac:dyDescent="0.2">
      <c r="A22" t="s">
        <v>741</v>
      </c>
      <c r="B22" t="s">
        <v>742</v>
      </c>
    </row>
    <row r="23" spans="1:2" x14ac:dyDescent="0.2">
      <c r="A23" t="s">
        <v>743</v>
      </c>
      <c r="B23" t="s">
        <v>744</v>
      </c>
    </row>
    <row r="24" spans="1:2" x14ac:dyDescent="0.2">
      <c r="A24" t="s">
        <v>745</v>
      </c>
      <c r="B24">
        <v>2025</v>
      </c>
    </row>
    <row r="25" spans="1:2" x14ac:dyDescent="0.2">
      <c r="A25" t="s">
        <v>746</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34"/>
  <sheetViews>
    <sheetView workbookViewId="0"/>
  </sheetViews>
  <sheetFormatPr baseColWidth="10" defaultColWidth="8.83203125" defaultRowHeight="15" x14ac:dyDescent="0.2"/>
  <sheetData>
    <row r="1" spans="1:10" x14ac:dyDescent="0.2">
      <c r="A1" t="s">
        <v>710</v>
      </c>
      <c r="B1" t="s">
        <v>1005</v>
      </c>
    </row>
    <row r="2" spans="1:10" x14ac:dyDescent="0.2">
      <c r="A2" t="s">
        <v>711</v>
      </c>
      <c r="B2" t="s">
        <v>10</v>
      </c>
    </row>
    <row r="3" spans="1:10" x14ac:dyDescent="0.2">
      <c r="A3" t="s">
        <v>752</v>
      </c>
      <c r="B3" t="s">
        <v>1006</v>
      </c>
    </row>
    <row r="5" spans="1:10" x14ac:dyDescent="0.2">
      <c r="A5" t="s">
        <v>714</v>
      </c>
      <c r="E5" t="s">
        <v>754</v>
      </c>
      <c r="F5" t="s">
        <v>750</v>
      </c>
      <c r="G5" t="s">
        <v>1007</v>
      </c>
      <c r="H5" t="s">
        <v>1008</v>
      </c>
      <c r="I5" t="s">
        <v>1009</v>
      </c>
      <c r="J5" t="s">
        <v>1010</v>
      </c>
    </row>
    <row r="6" spans="1:10" x14ac:dyDescent="0.2">
      <c r="A6" t="s">
        <v>719</v>
      </c>
      <c r="B6" t="s">
        <v>755</v>
      </c>
      <c r="F6" t="s">
        <v>149</v>
      </c>
      <c r="G6" t="s">
        <v>1011</v>
      </c>
      <c r="H6" t="s">
        <v>1012</v>
      </c>
      <c r="I6">
        <v>59.2</v>
      </c>
      <c r="J6" t="s">
        <v>1013</v>
      </c>
    </row>
    <row r="7" spans="1:10" x14ac:dyDescent="0.2">
      <c r="A7" t="s">
        <v>721</v>
      </c>
      <c r="B7" t="s">
        <v>781</v>
      </c>
      <c r="F7" t="s">
        <v>149</v>
      </c>
      <c r="G7" t="s">
        <v>1014</v>
      </c>
      <c r="H7" t="s">
        <v>1012</v>
      </c>
      <c r="I7">
        <v>44.8</v>
      </c>
      <c r="J7" t="s">
        <v>1015</v>
      </c>
    </row>
    <row r="8" spans="1:10" x14ac:dyDescent="0.2">
      <c r="F8" t="s">
        <v>149</v>
      </c>
      <c r="G8" t="s">
        <v>1016</v>
      </c>
      <c r="H8" t="s">
        <v>1017</v>
      </c>
      <c r="I8" t="s">
        <v>582</v>
      </c>
      <c r="J8" t="s">
        <v>1018</v>
      </c>
    </row>
    <row r="9" spans="1:10" x14ac:dyDescent="0.2">
      <c r="F9" t="s">
        <v>15</v>
      </c>
      <c r="G9" t="s">
        <v>1019</v>
      </c>
      <c r="H9" t="s">
        <v>1020</v>
      </c>
      <c r="I9">
        <v>55.5</v>
      </c>
      <c r="J9" t="s">
        <v>1021</v>
      </c>
    </row>
    <row r="10" spans="1:10" x14ac:dyDescent="0.2">
      <c r="F10" t="s">
        <v>15</v>
      </c>
      <c r="G10" t="s">
        <v>1022</v>
      </c>
      <c r="H10" t="s">
        <v>1020</v>
      </c>
      <c r="I10">
        <v>60.8</v>
      </c>
      <c r="J10" t="s">
        <v>1023</v>
      </c>
    </row>
    <row r="11" spans="1:10" x14ac:dyDescent="0.2">
      <c r="F11" t="s">
        <v>15</v>
      </c>
      <c r="G11" t="s">
        <v>1024</v>
      </c>
      <c r="H11" t="s">
        <v>1020</v>
      </c>
      <c r="I11">
        <v>45</v>
      </c>
      <c r="J11" t="s">
        <v>1025</v>
      </c>
    </row>
    <row r="12" spans="1:10" x14ac:dyDescent="0.2">
      <c r="F12" t="s">
        <v>15</v>
      </c>
      <c r="G12" t="s">
        <v>1026</v>
      </c>
      <c r="H12" t="s">
        <v>1012</v>
      </c>
      <c r="I12">
        <v>58.2</v>
      </c>
      <c r="J12" t="s">
        <v>1027</v>
      </c>
    </row>
    <row r="13" spans="1:10" x14ac:dyDescent="0.2">
      <c r="F13" t="s">
        <v>279</v>
      </c>
      <c r="G13" t="s">
        <v>1028</v>
      </c>
      <c r="H13" t="s">
        <v>1020</v>
      </c>
      <c r="I13">
        <v>45.5</v>
      </c>
      <c r="J13" t="s">
        <v>1029</v>
      </c>
    </row>
    <row r="14" spans="1:10" x14ac:dyDescent="0.2">
      <c r="F14" t="s">
        <v>279</v>
      </c>
      <c r="G14" t="s">
        <v>1030</v>
      </c>
      <c r="H14" t="s">
        <v>1012</v>
      </c>
      <c r="I14">
        <v>61.6</v>
      </c>
      <c r="J14" t="s">
        <v>1031</v>
      </c>
    </row>
    <row r="15" spans="1:10" x14ac:dyDescent="0.2">
      <c r="F15" t="s">
        <v>240</v>
      </c>
      <c r="G15" t="s">
        <v>1032</v>
      </c>
      <c r="H15" t="s">
        <v>1012</v>
      </c>
      <c r="I15">
        <v>59.3</v>
      </c>
      <c r="J15" t="s">
        <v>1033</v>
      </c>
    </row>
    <row r="16" spans="1:10" x14ac:dyDescent="0.2">
      <c r="F16" t="s">
        <v>240</v>
      </c>
      <c r="G16" t="s">
        <v>1034</v>
      </c>
      <c r="H16" t="s">
        <v>1012</v>
      </c>
      <c r="I16">
        <v>61.4</v>
      </c>
      <c r="J16" t="s">
        <v>1035</v>
      </c>
    </row>
    <row r="17" spans="1:10" x14ac:dyDescent="0.2">
      <c r="F17" t="s">
        <v>1036</v>
      </c>
      <c r="G17" t="s">
        <v>1037</v>
      </c>
      <c r="H17" t="s">
        <v>1012</v>
      </c>
      <c r="I17">
        <v>61.8</v>
      </c>
      <c r="J17" t="s">
        <v>1038</v>
      </c>
    </row>
    <row r="18" spans="1:10" x14ac:dyDescent="0.2">
      <c r="F18" t="s">
        <v>249</v>
      </c>
      <c r="G18" t="s">
        <v>1039</v>
      </c>
      <c r="H18" t="s">
        <v>1020</v>
      </c>
      <c r="I18">
        <v>58.8</v>
      </c>
      <c r="J18" t="s">
        <v>1040</v>
      </c>
    </row>
    <row r="19" spans="1:10" x14ac:dyDescent="0.2">
      <c r="F19" t="s">
        <v>301</v>
      </c>
      <c r="G19" t="s">
        <v>1041</v>
      </c>
      <c r="H19" t="s">
        <v>1020</v>
      </c>
      <c r="I19">
        <v>61.6</v>
      </c>
      <c r="J19" t="s">
        <v>1042</v>
      </c>
    </row>
    <row r="20" spans="1:10" x14ac:dyDescent="0.2">
      <c r="F20" t="s">
        <v>301</v>
      </c>
      <c r="G20" t="s">
        <v>1043</v>
      </c>
      <c r="H20" t="s">
        <v>1020</v>
      </c>
      <c r="I20">
        <v>54</v>
      </c>
      <c r="J20" t="s">
        <v>1044</v>
      </c>
    </row>
    <row r="21" spans="1:10" x14ac:dyDescent="0.2">
      <c r="F21" t="s">
        <v>301</v>
      </c>
      <c r="G21" t="s">
        <v>1045</v>
      </c>
      <c r="H21" t="s">
        <v>1017</v>
      </c>
      <c r="I21" t="s">
        <v>582</v>
      </c>
      <c r="J21" t="s">
        <v>1046</v>
      </c>
    </row>
    <row r="22" spans="1:10" x14ac:dyDescent="0.2">
      <c r="F22" t="s">
        <v>301</v>
      </c>
      <c r="G22" t="s">
        <v>1047</v>
      </c>
      <c r="H22" t="s">
        <v>1020</v>
      </c>
      <c r="I22">
        <v>58.8</v>
      </c>
      <c r="J22" t="s">
        <v>1021</v>
      </c>
    </row>
    <row r="23" spans="1:10" x14ac:dyDescent="0.2">
      <c r="F23" t="s">
        <v>301</v>
      </c>
      <c r="G23" t="s">
        <v>1048</v>
      </c>
      <c r="H23" t="s">
        <v>1017</v>
      </c>
      <c r="I23" t="s">
        <v>582</v>
      </c>
      <c r="J23" t="s">
        <v>1049</v>
      </c>
    </row>
    <row r="24" spans="1:10" x14ac:dyDescent="0.2">
      <c r="F24" t="s">
        <v>301</v>
      </c>
      <c r="G24" t="s">
        <v>1050</v>
      </c>
      <c r="H24" t="s">
        <v>1020</v>
      </c>
      <c r="I24">
        <v>41.2</v>
      </c>
      <c r="J24" t="s">
        <v>1051</v>
      </c>
    </row>
    <row r="25" spans="1:10" x14ac:dyDescent="0.2">
      <c r="A25" t="s">
        <v>724</v>
      </c>
    </row>
    <row r="27" spans="1:10" x14ac:dyDescent="0.2">
      <c r="A27" t="s">
        <v>735</v>
      </c>
    </row>
    <row r="28" spans="1:10" x14ac:dyDescent="0.2">
      <c r="A28" t="s">
        <v>736</v>
      </c>
    </row>
    <row r="29" spans="1:10" x14ac:dyDescent="0.2">
      <c r="A29" t="s">
        <v>738</v>
      </c>
      <c r="B29" t="s">
        <v>1052</v>
      </c>
    </row>
    <row r="30" spans="1:10" x14ac:dyDescent="0.2">
      <c r="A30" t="s">
        <v>740</v>
      </c>
      <c r="B30">
        <v>2025</v>
      </c>
    </row>
    <row r="31" spans="1:10" x14ac:dyDescent="0.2">
      <c r="A31" t="s">
        <v>741</v>
      </c>
    </row>
    <row r="32" spans="1:10" x14ac:dyDescent="0.2">
      <c r="A32" t="s">
        <v>743</v>
      </c>
      <c r="B32" t="s">
        <v>744</v>
      </c>
    </row>
    <row r="33" spans="1:2" x14ac:dyDescent="0.2">
      <c r="A33" t="s">
        <v>745</v>
      </c>
      <c r="B33">
        <v>2025</v>
      </c>
    </row>
    <row r="34" spans="1:2" x14ac:dyDescent="0.2">
      <c r="A34" t="s">
        <v>746</v>
      </c>
      <c r="B34" t="s">
        <v>1053</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N24"/>
  <sheetViews>
    <sheetView workbookViewId="0"/>
  </sheetViews>
  <sheetFormatPr baseColWidth="10" defaultColWidth="8.83203125" defaultRowHeight="15" x14ac:dyDescent="0.2"/>
  <sheetData>
    <row r="1" spans="1:14" x14ac:dyDescent="0.2">
      <c r="A1" t="s">
        <v>710</v>
      </c>
      <c r="B1" t="s">
        <v>1054</v>
      </c>
    </row>
    <row r="2" spans="1:14" x14ac:dyDescent="0.2">
      <c r="A2" t="s">
        <v>711</v>
      </c>
      <c r="B2" t="s">
        <v>712</v>
      </c>
    </row>
    <row r="3" spans="1:14" x14ac:dyDescent="0.2">
      <c r="A3" t="s">
        <v>752</v>
      </c>
      <c r="B3" t="s">
        <v>1055</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2019</v>
      </c>
      <c r="G6">
        <v>1500</v>
      </c>
      <c r="H6">
        <v>1450</v>
      </c>
      <c r="I6">
        <v>2090</v>
      </c>
      <c r="J6">
        <v>1100</v>
      </c>
      <c r="K6">
        <v>2900</v>
      </c>
      <c r="L6">
        <v>1480</v>
      </c>
      <c r="M6">
        <v>720</v>
      </c>
      <c r="N6">
        <v>1180</v>
      </c>
    </row>
    <row r="7" spans="1:14" x14ac:dyDescent="0.2">
      <c r="A7" t="s">
        <v>721</v>
      </c>
      <c r="B7" t="s">
        <v>781</v>
      </c>
      <c r="F7">
        <v>2020</v>
      </c>
      <c r="G7">
        <v>1440</v>
      </c>
      <c r="H7">
        <v>1440</v>
      </c>
      <c r="I7">
        <v>1970</v>
      </c>
      <c r="J7">
        <v>1130</v>
      </c>
      <c r="K7">
        <v>2710</v>
      </c>
      <c r="L7">
        <v>840</v>
      </c>
      <c r="M7">
        <v>720</v>
      </c>
      <c r="N7">
        <v>1170</v>
      </c>
    </row>
    <row r="8" spans="1:14" x14ac:dyDescent="0.2">
      <c r="F8">
        <v>2021</v>
      </c>
      <c r="G8">
        <v>1410</v>
      </c>
      <c r="H8">
        <v>1430</v>
      </c>
      <c r="I8">
        <v>1880</v>
      </c>
      <c r="J8">
        <v>1180</v>
      </c>
      <c r="K8">
        <v>3070</v>
      </c>
      <c r="L8">
        <v>1680</v>
      </c>
      <c r="M8">
        <v>760</v>
      </c>
      <c r="N8">
        <v>1240</v>
      </c>
    </row>
    <row r="9" spans="1:14" x14ac:dyDescent="0.2">
      <c r="A9" t="s">
        <v>724</v>
      </c>
    </row>
    <row r="10" spans="1:14" x14ac:dyDescent="0.2">
      <c r="A10" t="s">
        <v>725</v>
      </c>
      <c r="B10" t="s">
        <v>756</v>
      </c>
    </row>
    <row r="11" spans="1:14" x14ac:dyDescent="0.2">
      <c r="A11" t="s">
        <v>727</v>
      </c>
      <c r="B11" t="s">
        <v>716</v>
      </c>
    </row>
    <row r="12" spans="1:14" x14ac:dyDescent="0.2">
      <c r="A12" t="s">
        <v>728</v>
      </c>
    </row>
    <row r="13" spans="1:14" x14ac:dyDescent="0.2">
      <c r="A13" t="s">
        <v>730</v>
      </c>
      <c r="B13" t="s">
        <v>1056</v>
      </c>
    </row>
    <row r="14" spans="1:14" x14ac:dyDescent="0.2">
      <c r="A14" t="s">
        <v>732</v>
      </c>
      <c r="B14" t="s">
        <v>755</v>
      </c>
    </row>
    <row r="15" spans="1:14" x14ac:dyDescent="0.2">
      <c r="A15" t="s">
        <v>733</v>
      </c>
      <c r="B15" t="s">
        <v>755</v>
      </c>
    </row>
    <row r="17" spans="1:2" x14ac:dyDescent="0.2">
      <c r="A17" t="s">
        <v>735</v>
      </c>
    </row>
    <row r="18" spans="1:2" x14ac:dyDescent="0.2">
      <c r="A18" t="s">
        <v>736</v>
      </c>
    </row>
    <row r="19" spans="1:2" x14ac:dyDescent="0.2">
      <c r="A19" t="s">
        <v>738</v>
      </c>
      <c r="B19" t="s">
        <v>777</v>
      </c>
    </row>
    <row r="20" spans="1:2" x14ac:dyDescent="0.2">
      <c r="A20" t="s">
        <v>740</v>
      </c>
      <c r="B20">
        <v>2021</v>
      </c>
    </row>
    <row r="21" spans="1:2" x14ac:dyDescent="0.2">
      <c r="A21" t="s">
        <v>741</v>
      </c>
    </row>
    <row r="22" spans="1:2" x14ac:dyDescent="0.2">
      <c r="A22" t="s">
        <v>743</v>
      </c>
      <c r="B22" t="s">
        <v>744</v>
      </c>
    </row>
    <row r="23" spans="1:2" x14ac:dyDescent="0.2">
      <c r="A23" t="s">
        <v>745</v>
      </c>
      <c r="B23">
        <v>2025</v>
      </c>
    </row>
    <row r="24" spans="1:2" x14ac:dyDescent="0.2">
      <c r="A24" t="s">
        <v>746</v>
      </c>
      <c r="B24" t="s">
        <v>778</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25"/>
  <sheetViews>
    <sheetView workbookViewId="0"/>
  </sheetViews>
  <sheetFormatPr baseColWidth="10" defaultColWidth="8.83203125" defaultRowHeight="15" x14ac:dyDescent="0.2"/>
  <sheetData>
    <row r="1" spans="1:14" x14ac:dyDescent="0.2">
      <c r="A1" t="s">
        <v>710</v>
      </c>
      <c r="B1" t="s">
        <v>1057</v>
      </c>
    </row>
    <row r="2" spans="1:14" x14ac:dyDescent="0.2">
      <c r="A2" t="s">
        <v>711</v>
      </c>
      <c r="B2" t="s">
        <v>712</v>
      </c>
    </row>
    <row r="3" spans="1:14" x14ac:dyDescent="0.2">
      <c r="A3" t="s">
        <v>752</v>
      </c>
      <c r="B3" t="s">
        <v>1058</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2019</v>
      </c>
      <c r="G6">
        <v>1370</v>
      </c>
      <c r="H6">
        <v>1420</v>
      </c>
      <c r="I6">
        <v>1670</v>
      </c>
      <c r="J6">
        <v>980</v>
      </c>
      <c r="K6">
        <v>2430</v>
      </c>
      <c r="L6">
        <v>1570</v>
      </c>
      <c r="M6">
        <v>890</v>
      </c>
      <c r="N6">
        <v>1170</v>
      </c>
    </row>
    <row r="7" spans="1:14" x14ac:dyDescent="0.2">
      <c r="A7" t="s">
        <v>721</v>
      </c>
      <c r="B7" t="s">
        <v>781</v>
      </c>
      <c r="F7">
        <v>2020</v>
      </c>
      <c r="G7">
        <v>1380</v>
      </c>
      <c r="H7">
        <v>1460</v>
      </c>
      <c r="I7">
        <v>1700</v>
      </c>
      <c r="J7">
        <v>1020</v>
      </c>
      <c r="K7">
        <v>2370</v>
      </c>
      <c r="L7">
        <v>1480</v>
      </c>
      <c r="M7">
        <v>900</v>
      </c>
      <c r="N7">
        <v>1190</v>
      </c>
    </row>
    <row r="8" spans="1:14" x14ac:dyDescent="0.2">
      <c r="F8">
        <v>2021</v>
      </c>
      <c r="G8">
        <v>1410</v>
      </c>
      <c r="H8">
        <v>1490</v>
      </c>
      <c r="I8">
        <v>1660</v>
      </c>
      <c r="J8">
        <v>1060</v>
      </c>
      <c r="K8">
        <v>2490</v>
      </c>
      <c r="L8">
        <v>1490</v>
      </c>
      <c r="M8">
        <v>930</v>
      </c>
      <c r="N8">
        <v>1220</v>
      </c>
    </row>
    <row r="9" spans="1:14" x14ac:dyDescent="0.2">
      <c r="F9">
        <v>2022</v>
      </c>
      <c r="G9">
        <v>1400</v>
      </c>
      <c r="H9">
        <v>1500</v>
      </c>
      <c r="I9">
        <v>1610</v>
      </c>
      <c r="J9">
        <v>1060</v>
      </c>
      <c r="K9">
        <v>2410</v>
      </c>
      <c r="L9">
        <v>1470</v>
      </c>
      <c r="M9">
        <v>910</v>
      </c>
      <c r="N9">
        <v>1200</v>
      </c>
    </row>
    <row r="10" spans="1:14" x14ac:dyDescent="0.2">
      <c r="A10" t="s">
        <v>724</v>
      </c>
    </row>
    <row r="11" spans="1:14" x14ac:dyDescent="0.2">
      <c r="A11" t="s">
        <v>725</v>
      </c>
      <c r="B11" t="s">
        <v>756</v>
      </c>
    </row>
    <row r="12" spans="1:14" x14ac:dyDescent="0.2">
      <c r="A12" t="s">
        <v>727</v>
      </c>
      <c r="B12" t="s">
        <v>716</v>
      </c>
    </row>
    <row r="13" spans="1:14" x14ac:dyDescent="0.2">
      <c r="A13" t="s">
        <v>728</v>
      </c>
    </row>
    <row r="14" spans="1:14" x14ac:dyDescent="0.2">
      <c r="A14" t="s">
        <v>730</v>
      </c>
      <c r="B14" t="s">
        <v>1059</v>
      </c>
    </row>
    <row r="15" spans="1:14" x14ac:dyDescent="0.2">
      <c r="A15" t="s">
        <v>732</v>
      </c>
      <c r="B15" t="s">
        <v>755</v>
      </c>
    </row>
    <row r="16" spans="1:14" x14ac:dyDescent="0.2">
      <c r="A16" t="s">
        <v>733</v>
      </c>
      <c r="B16" t="s">
        <v>755</v>
      </c>
    </row>
    <row r="18" spans="1:2" x14ac:dyDescent="0.2">
      <c r="A18" t="s">
        <v>735</v>
      </c>
    </row>
    <row r="19" spans="1:2" x14ac:dyDescent="0.2">
      <c r="A19" t="s">
        <v>736</v>
      </c>
    </row>
    <row r="20" spans="1:2" x14ac:dyDescent="0.2">
      <c r="A20" t="s">
        <v>738</v>
      </c>
      <c r="B20" t="s">
        <v>777</v>
      </c>
    </row>
    <row r="21" spans="1:2" x14ac:dyDescent="0.2">
      <c r="A21" t="s">
        <v>740</v>
      </c>
      <c r="B21">
        <v>2022</v>
      </c>
    </row>
    <row r="22" spans="1:2" x14ac:dyDescent="0.2">
      <c r="A22" t="s">
        <v>741</v>
      </c>
    </row>
    <row r="23" spans="1:2" x14ac:dyDescent="0.2">
      <c r="A23" t="s">
        <v>743</v>
      </c>
      <c r="B23" t="s">
        <v>744</v>
      </c>
    </row>
    <row r="24" spans="1:2" x14ac:dyDescent="0.2">
      <c r="A24" t="s">
        <v>745</v>
      </c>
      <c r="B24">
        <v>2025</v>
      </c>
    </row>
    <row r="25" spans="1:2" x14ac:dyDescent="0.2">
      <c r="A25" t="s">
        <v>746</v>
      </c>
      <c r="B25" t="s">
        <v>778</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N25"/>
  <sheetViews>
    <sheetView workbookViewId="0"/>
  </sheetViews>
  <sheetFormatPr baseColWidth="10" defaultColWidth="8.83203125" defaultRowHeight="15" x14ac:dyDescent="0.2"/>
  <sheetData>
    <row r="1" spans="1:14" x14ac:dyDescent="0.2">
      <c r="A1" t="s">
        <v>710</v>
      </c>
      <c r="B1" t="s">
        <v>1060</v>
      </c>
    </row>
    <row r="2" spans="1:14" x14ac:dyDescent="0.2">
      <c r="A2" t="s">
        <v>711</v>
      </c>
      <c r="B2" t="s">
        <v>712</v>
      </c>
    </row>
    <row r="3" spans="1:14" x14ac:dyDescent="0.2">
      <c r="A3" t="s">
        <v>752</v>
      </c>
      <c r="B3" t="s">
        <v>1061</v>
      </c>
    </row>
    <row r="5" spans="1:14" x14ac:dyDescent="0.2">
      <c r="A5" t="s">
        <v>714</v>
      </c>
      <c r="E5" t="s">
        <v>754</v>
      </c>
      <c r="F5" t="s">
        <v>716</v>
      </c>
      <c r="G5" t="s">
        <v>149</v>
      </c>
      <c r="H5" t="s">
        <v>15</v>
      </c>
      <c r="I5" t="s">
        <v>368</v>
      </c>
      <c r="J5" t="s">
        <v>279</v>
      </c>
      <c r="K5" t="s">
        <v>240</v>
      </c>
      <c r="L5" t="s">
        <v>249</v>
      </c>
      <c r="M5" t="s">
        <v>301</v>
      </c>
      <c r="N5" t="s">
        <v>717</v>
      </c>
    </row>
    <row r="6" spans="1:14" x14ac:dyDescent="0.2">
      <c r="A6" t="s">
        <v>719</v>
      </c>
      <c r="B6" t="s">
        <v>755</v>
      </c>
      <c r="F6">
        <v>2021</v>
      </c>
      <c r="G6">
        <v>320</v>
      </c>
      <c r="H6">
        <v>390</v>
      </c>
      <c r="I6">
        <v>260</v>
      </c>
      <c r="J6">
        <v>340</v>
      </c>
      <c r="K6">
        <v>510</v>
      </c>
      <c r="L6">
        <v>270</v>
      </c>
      <c r="M6">
        <v>230</v>
      </c>
      <c r="N6">
        <v>310</v>
      </c>
    </row>
    <row r="7" spans="1:14" x14ac:dyDescent="0.2">
      <c r="A7" t="s">
        <v>721</v>
      </c>
      <c r="B7" t="s">
        <v>781</v>
      </c>
      <c r="F7">
        <v>2022</v>
      </c>
      <c r="G7">
        <v>310</v>
      </c>
      <c r="H7">
        <v>390</v>
      </c>
      <c r="I7">
        <v>240</v>
      </c>
      <c r="J7">
        <v>330</v>
      </c>
      <c r="K7">
        <v>490</v>
      </c>
      <c r="L7">
        <v>260</v>
      </c>
      <c r="M7">
        <v>230</v>
      </c>
      <c r="N7">
        <v>300</v>
      </c>
    </row>
    <row r="8" spans="1:14" x14ac:dyDescent="0.2">
      <c r="F8">
        <v>2023</v>
      </c>
      <c r="G8">
        <v>300</v>
      </c>
      <c r="H8">
        <v>370</v>
      </c>
      <c r="I8">
        <v>230</v>
      </c>
      <c r="J8">
        <v>300</v>
      </c>
      <c r="K8">
        <v>450</v>
      </c>
      <c r="L8">
        <v>250</v>
      </c>
      <c r="M8">
        <v>220</v>
      </c>
      <c r="N8">
        <v>280</v>
      </c>
    </row>
    <row r="9" spans="1:14" x14ac:dyDescent="0.2">
      <c r="F9">
        <v>2024</v>
      </c>
      <c r="G9">
        <v>290</v>
      </c>
      <c r="H9">
        <v>350</v>
      </c>
      <c r="I9">
        <v>210</v>
      </c>
      <c r="J9">
        <v>290</v>
      </c>
      <c r="K9">
        <v>450</v>
      </c>
      <c r="L9">
        <v>240</v>
      </c>
      <c r="M9">
        <v>200</v>
      </c>
      <c r="N9">
        <v>260</v>
      </c>
    </row>
    <row r="10" spans="1:14" x14ac:dyDescent="0.2">
      <c r="A10" t="s">
        <v>724</v>
      </c>
    </row>
    <row r="11" spans="1:14" x14ac:dyDescent="0.2">
      <c r="A11" t="s">
        <v>725</v>
      </c>
      <c r="B11" t="s">
        <v>756</v>
      </c>
    </row>
    <row r="12" spans="1:14" x14ac:dyDescent="0.2">
      <c r="A12" t="s">
        <v>727</v>
      </c>
      <c r="B12" t="s">
        <v>716</v>
      </c>
    </row>
    <row r="13" spans="1:14" x14ac:dyDescent="0.2">
      <c r="A13" t="s">
        <v>728</v>
      </c>
    </row>
    <row r="14" spans="1:14" x14ac:dyDescent="0.2">
      <c r="A14" t="s">
        <v>730</v>
      </c>
      <c r="B14" t="s">
        <v>1062</v>
      </c>
    </row>
    <row r="15" spans="1:14" x14ac:dyDescent="0.2">
      <c r="A15" t="s">
        <v>732</v>
      </c>
      <c r="B15" t="s">
        <v>755</v>
      </c>
    </row>
    <row r="16" spans="1:14" x14ac:dyDescent="0.2">
      <c r="A16" t="s">
        <v>733</v>
      </c>
      <c r="B16" t="s">
        <v>755</v>
      </c>
    </row>
    <row r="18" spans="1:2" x14ac:dyDescent="0.2">
      <c r="A18" t="s">
        <v>735</v>
      </c>
    </row>
    <row r="19" spans="1:2" x14ac:dyDescent="0.2">
      <c r="A19" t="s">
        <v>736</v>
      </c>
    </row>
    <row r="20" spans="1:2" x14ac:dyDescent="0.2">
      <c r="A20" t="s">
        <v>738</v>
      </c>
      <c r="B20" t="s">
        <v>777</v>
      </c>
    </row>
    <row r="21" spans="1:2" x14ac:dyDescent="0.2">
      <c r="A21" t="s">
        <v>740</v>
      </c>
      <c r="B21">
        <v>2024</v>
      </c>
    </row>
    <row r="22" spans="1:2" x14ac:dyDescent="0.2">
      <c r="A22" t="s">
        <v>741</v>
      </c>
    </row>
    <row r="23" spans="1:2" x14ac:dyDescent="0.2">
      <c r="A23" t="s">
        <v>743</v>
      </c>
      <c r="B23" t="s">
        <v>744</v>
      </c>
    </row>
    <row r="24" spans="1:2" x14ac:dyDescent="0.2">
      <c r="A24" t="s">
        <v>745</v>
      </c>
      <c r="B24">
        <v>2025</v>
      </c>
    </row>
    <row r="25" spans="1:2" x14ac:dyDescent="0.2">
      <c r="A25" t="s">
        <v>746</v>
      </c>
      <c r="B25" t="s">
        <v>778</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O24"/>
  <sheetViews>
    <sheetView workbookViewId="0"/>
  </sheetViews>
  <sheetFormatPr baseColWidth="10" defaultColWidth="8.83203125" defaultRowHeight="15" x14ac:dyDescent="0.2"/>
  <sheetData>
    <row r="1" spans="1:15" x14ac:dyDescent="0.2">
      <c r="A1" t="s">
        <v>710</v>
      </c>
      <c r="B1" t="s">
        <v>1063</v>
      </c>
    </row>
    <row r="2" spans="1:15" x14ac:dyDescent="0.2">
      <c r="A2" t="s">
        <v>711</v>
      </c>
      <c r="B2" t="s">
        <v>712</v>
      </c>
    </row>
    <row r="3" spans="1:15" x14ac:dyDescent="0.2">
      <c r="A3" t="s">
        <v>752</v>
      </c>
      <c r="B3" t="s">
        <v>1064</v>
      </c>
    </row>
    <row r="5" spans="1:15" x14ac:dyDescent="0.2">
      <c r="A5" t="s">
        <v>714</v>
      </c>
      <c r="E5" t="s">
        <v>754</v>
      </c>
      <c r="F5" t="s">
        <v>716</v>
      </c>
      <c r="G5" t="s">
        <v>149</v>
      </c>
      <c r="H5" t="s">
        <v>15</v>
      </c>
      <c r="I5" t="s">
        <v>368</v>
      </c>
      <c r="J5" t="s">
        <v>279</v>
      </c>
      <c r="K5" t="s">
        <v>240</v>
      </c>
      <c r="L5" t="s">
        <v>249</v>
      </c>
      <c r="M5" t="s">
        <v>301</v>
      </c>
      <c r="N5" t="s">
        <v>993</v>
      </c>
      <c r="O5" t="s">
        <v>717</v>
      </c>
    </row>
    <row r="6" spans="1:15" x14ac:dyDescent="0.2">
      <c r="A6" t="s">
        <v>719</v>
      </c>
      <c r="B6" t="s">
        <v>755</v>
      </c>
      <c r="F6">
        <v>2016</v>
      </c>
      <c r="G6">
        <v>82.8</v>
      </c>
      <c r="H6">
        <v>81.8</v>
      </c>
      <c r="I6">
        <v>86.7</v>
      </c>
      <c r="J6">
        <v>84.1</v>
      </c>
      <c r="K6">
        <v>84.6</v>
      </c>
      <c r="L6">
        <v>82.5</v>
      </c>
      <c r="M6">
        <v>79.2</v>
      </c>
      <c r="N6" t="s">
        <v>582</v>
      </c>
      <c r="O6">
        <v>82.6</v>
      </c>
    </row>
    <row r="7" spans="1:15" x14ac:dyDescent="0.2">
      <c r="A7" t="s">
        <v>721</v>
      </c>
      <c r="B7" t="s">
        <v>525</v>
      </c>
      <c r="F7">
        <v>2018</v>
      </c>
      <c r="G7">
        <v>85.7</v>
      </c>
      <c r="H7">
        <v>80.7</v>
      </c>
      <c r="I7">
        <v>89</v>
      </c>
      <c r="J7">
        <v>83.8</v>
      </c>
      <c r="K7">
        <v>75</v>
      </c>
      <c r="L7">
        <v>78.3</v>
      </c>
      <c r="M7">
        <v>81.400000000000006</v>
      </c>
      <c r="N7" t="s">
        <v>582</v>
      </c>
      <c r="O7">
        <v>79.099999999999994</v>
      </c>
    </row>
    <row r="8" spans="1:15" x14ac:dyDescent="0.2">
      <c r="F8">
        <v>2021</v>
      </c>
      <c r="G8">
        <v>81.599999999999994</v>
      </c>
      <c r="H8">
        <v>88.9</v>
      </c>
      <c r="I8">
        <v>90.5</v>
      </c>
      <c r="J8">
        <v>84.1</v>
      </c>
      <c r="K8">
        <v>76.900000000000006</v>
      </c>
      <c r="L8">
        <v>89.5</v>
      </c>
      <c r="M8">
        <v>84.9</v>
      </c>
      <c r="N8">
        <v>86.5</v>
      </c>
      <c r="O8">
        <v>85</v>
      </c>
    </row>
    <row r="9" spans="1:15" x14ac:dyDescent="0.2">
      <c r="A9" t="s">
        <v>724</v>
      </c>
    </row>
    <row r="10" spans="1:15" x14ac:dyDescent="0.2">
      <c r="A10" t="s">
        <v>725</v>
      </c>
      <c r="B10" t="s">
        <v>726</v>
      </c>
    </row>
    <row r="11" spans="1:15" x14ac:dyDescent="0.2">
      <c r="A11" t="s">
        <v>727</v>
      </c>
      <c r="B11" t="s">
        <v>716</v>
      </c>
    </row>
    <row r="12" spans="1:15" x14ac:dyDescent="0.2">
      <c r="A12" t="s">
        <v>728</v>
      </c>
    </row>
    <row r="13" spans="1:15" x14ac:dyDescent="0.2">
      <c r="A13" t="s">
        <v>730</v>
      </c>
      <c r="B13" t="s">
        <v>1065</v>
      </c>
    </row>
    <row r="14" spans="1:15" x14ac:dyDescent="0.2">
      <c r="A14" t="s">
        <v>732</v>
      </c>
      <c r="B14" t="s">
        <v>755</v>
      </c>
    </row>
    <row r="15" spans="1:15" x14ac:dyDescent="0.2">
      <c r="A15" t="s">
        <v>733</v>
      </c>
      <c r="B15" t="s">
        <v>734</v>
      </c>
    </row>
    <row r="17" spans="1:2" x14ac:dyDescent="0.2">
      <c r="A17" t="s">
        <v>735</v>
      </c>
    </row>
    <row r="18" spans="1:2" x14ac:dyDescent="0.2">
      <c r="A18" t="s">
        <v>736</v>
      </c>
    </row>
    <row r="19" spans="1:2" x14ac:dyDescent="0.2">
      <c r="A19" t="s">
        <v>738</v>
      </c>
      <c r="B19" t="s">
        <v>996</v>
      </c>
    </row>
    <row r="20" spans="1:2" x14ac:dyDescent="0.2">
      <c r="A20" t="s">
        <v>740</v>
      </c>
      <c r="B20">
        <v>2021</v>
      </c>
    </row>
    <row r="21" spans="1:2" x14ac:dyDescent="0.2">
      <c r="A21" t="s">
        <v>741</v>
      </c>
    </row>
    <row r="22" spans="1:2" x14ac:dyDescent="0.2">
      <c r="A22" t="s">
        <v>743</v>
      </c>
      <c r="B22" t="s">
        <v>744</v>
      </c>
    </row>
    <row r="23" spans="1:2" x14ac:dyDescent="0.2">
      <c r="A23" t="s">
        <v>745</v>
      </c>
      <c r="B23">
        <v>2025</v>
      </c>
    </row>
    <row r="24" spans="1:2" x14ac:dyDescent="0.2">
      <c r="A24" t="s">
        <v>746</v>
      </c>
      <c r="B24" t="s">
        <v>965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53</vt:i4>
      </vt:variant>
    </vt:vector>
  </HeadingPairs>
  <TitlesOfParts>
    <vt:vector size="53" baseType="lpstr">
      <vt:lpstr>Master</vt:lpstr>
      <vt:lpstr>Dropdowns</vt:lpstr>
      <vt:lpstr>_Template</vt:lpstr>
      <vt:lpstr>_Demographics</vt:lpstr>
      <vt:lpstr>Population Demographic Characte</vt:lpstr>
      <vt:lpstr>Sex-Population</vt:lpstr>
      <vt:lpstr>Age-Population</vt:lpstr>
      <vt:lpstr>Ethnicity-Population</vt:lpstr>
      <vt:lpstr>Race-Population</vt:lpstr>
      <vt:lpstr>Spoken Lang-Population</vt:lpstr>
      <vt:lpstr>25 Years+-Population</vt:lpstr>
      <vt:lpstr>Educational Attainment-Pop</vt:lpstr>
      <vt:lpstr>Total Households</vt:lpstr>
      <vt:lpstr>Households by Income</vt:lpstr>
      <vt:lpstr>Veteran Status-Population</vt:lpstr>
      <vt:lpstr>Type of Disability-Population</vt:lpstr>
      <vt:lpstr>_Social and Phys Determinant</vt:lpstr>
      <vt:lpstr>Labor-Force</vt:lpstr>
      <vt:lpstr>Population Unemployed</vt:lpstr>
      <vt:lpstr>Food-Insecurity</vt:lpstr>
      <vt:lpstr>Child-Food-Insecurity</vt:lpstr>
      <vt:lpstr>Cost-Burdened-Renters</vt:lpstr>
      <vt:lpstr>Severely-Cost-Burdened</vt:lpstr>
      <vt:lpstr>HUD-Housing</vt:lpstr>
      <vt:lpstr>Poverty-Threshold</vt:lpstr>
      <vt:lpstr>Poverty-Rate</vt:lpstr>
      <vt:lpstr>Poverty-By-Race</vt:lpstr>
      <vt:lpstr>Economically-Disadvantaged</vt:lpstr>
      <vt:lpstr>ALICE-Budget</vt:lpstr>
      <vt:lpstr>ALICE-Threshold</vt:lpstr>
      <vt:lpstr>Graduation-Rate</vt:lpstr>
      <vt:lpstr>Graduation-By-Race</vt:lpstr>
      <vt:lpstr>Educational-Attainment</vt:lpstr>
      <vt:lpstr>Language-Proficiency</vt:lpstr>
      <vt:lpstr>Disconnected-Youth</vt:lpstr>
      <vt:lpstr>Food-Environment-Index</vt:lpstr>
      <vt:lpstr>Limited-Access-Foods</vt:lpstr>
      <vt:lpstr>Violent-Crime</vt:lpstr>
      <vt:lpstr>Air-Pollution</vt:lpstr>
      <vt:lpstr>Lead-Testing</vt:lpstr>
      <vt:lpstr>Severe-Housing-Problems</vt:lpstr>
      <vt:lpstr>No-Vehicles</vt:lpstr>
      <vt:lpstr>Modes-Transportation</vt:lpstr>
      <vt:lpstr>Commute-Time</vt:lpstr>
      <vt:lpstr>Residential-Segregation</vt:lpstr>
      <vt:lpstr>Medical-Care-Cost</vt:lpstr>
      <vt:lpstr>Children-Uninsured</vt:lpstr>
      <vt:lpstr>Adults-Insured</vt:lpstr>
      <vt:lpstr>Medically-Underserved</vt:lpstr>
      <vt:lpstr>Primary-Care-Providers</vt:lpstr>
      <vt:lpstr>Dentists</vt:lpstr>
      <vt:lpstr>Mental-Health-Providers</vt:lpstr>
      <vt:lpstr>Access-Primary-Care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Crandell, Dayquan</cp:lastModifiedBy>
  <dcterms:created xsi:type="dcterms:W3CDTF">2026-02-17T16:57:23Z</dcterms:created>
  <dcterms:modified xsi:type="dcterms:W3CDTF">2026-02-25T15:39:19Z</dcterms:modified>
</cp:coreProperties>
</file>